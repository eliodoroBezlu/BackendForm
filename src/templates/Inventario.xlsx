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omments1.xml" ContentType="application/vnd.openxmlformats-officedocument.spreadsheetml.comments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comments2.xml" ContentType="application/vnd.openxmlformats-officedocument.spreadsheetml.comments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comments3.xml" ContentType="application/vnd.openxmlformats-officedocument.spreadsheetml.comments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comments4.xml" ContentType="application/vnd.openxmlformats-officedocument.spreadsheetml.comments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comments5.xml" ContentType="application/vnd.openxmlformats-officedocument.spreadsheetml.comments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comments6.xml" ContentType="application/vnd.openxmlformats-officedocument.spreadsheetml.comments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comments7.xml" ContentType="application/vnd.openxmlformats-officedocument.spreadsheetml.comments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comments8.xml" ContentType="application/vnd.openxmlformats-officedocument.spreadsheetml.comments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comments9.xml" ContentType="application/vnd.openxmlformats-officedocument.spreadsheetml.comments+xml"/>
  <Override PartName="/xl/tables/table358.xml" ContentType="application/vnd.openxmlformats-officedocument.spreadsheetml.table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isSanCristobal\forms\BackendForm\BackendForm\src\templates\"/>
    </mc:Choice>
  </mc:AlternateContent>
  <xr:revisionPtr revIDLastSave="0" documentId="8_{4F9AF62E-AFD0-40B8-B98E-2436675A29AF}" xr6:coauthVersionLast="47" xr6:coauthVersionMax="47" xr10:uidLastSave="{00000000-0000-0000-0000-000000000000}"/>
  <bookViews>
    <workbookView xWindow="-108" yWindow="-108" windowWidth="23256" windowHeight="12456" tabRatio="695" firstSheet="2" activeTab="4" xr2:uid="{C764485B-0BF5-49E7-BF9F-6F212C67D54E}"/>
  </bookViews>
  <sheets>
    <sheet name="Esmeril de banco" sheetId="10" r:id="rId1"/>
    <sheet name="Taldro de banco" sheetId="9" r:id="rId2"/>
    <sheet name="TALADRO" sheetId="11" r:id="rId3"/>
    <sheet name="ParaCopiar (2)" sheetId="8" r:id="rId4"/>
    <sheet name="EquiposSoldar" sheetId="7" r:id="rId5"/>
    <sheet name="Cilindros" sheetId="6" r:id="rId6"/>
    <sheet name="Amoladora" sheetId="5" r:id="rId7"/>
    <sheet name="Escalera" sheetId="3" r:id="rId8"/>
    <sheet name="Hoja1" sheetId="1" r:id="rId9"/>
    <sheet name="Hoja2" sheetId="2" r:id="rId10"/>
    <sheet name="Hoja3" sheetId="4" r:id="rId11"/>
  </sheets>
  <definedNames>
    <definedName name="_xlnm._FilterDatabase" localSheetId="6" hidden="1">Amoladora!$B$1:$U$1</definedName>
    <definedName name="_xlnm._FilterDatabase" localSheetId="5" hidden="1">Cilindros!$B$1:$P$1</definedName>
    <definedName name="_xlnm._FilterDatabase" localSheetId="4" hidden="1">EquiposSoldar!$B$1:$R$1</definedName>
    <definedName name="_xlnm._FilterDatabase" localSheetId="7" hidden="1">Escalera!$B$1:$S$1</definedName>
    <definedName name="_xlnm._FilterDatabase" localSheetId="0" hidden="1">'Esmeril de banco'!$B$1:$T$1</definedName>
    <definedName name="_xlnm._FilterDatabase" localSheetId="3" hidden="1">'ParaCopiar (2)'!$B$1:$P$1</definedName>
    <definedName name="_xlnm._FilterDatabase" localSheetId="2" hidden="1">TALADRO!$B$1:$S$1</definedName>
    <definedName name="_xlnm._FilterDatabase" localSheetId="1" hidden="1">'Taldro de banco'!$B$1:$T$1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7" l="1" a="1"/>
  <c r="E36" i="7" s="1"/>
  <c r="E37" i="7" a="1"/>
  <c r="E37" i="7" s="1"/>
  <c r="E38" i="7" a="1"/>
  <c r="E38" i="7" s="1"/>
  <c r="E39" i="7" a="1"/>
  <c r="E39" i="7" s="1"/>
  <c r="E40" i="7" a="1"/>
  <c r="E40" i="7" s="1"/>
  <c r="E41" i="7" a="1"/>
  <c r="E41" i="7" s="1"/>
  <c r="E42" i="7" a="1"/>
  <c r="E42" i="7" s="1"/>
  <c r="E43" i="7" a="1"/>
  <c r="E43" i="7" s="1"/>
  <c r="E44" i="7" a="1"/>
  <c r="E44" i="7" s="1"/>
  <c r="E45" i="7" a="1"/>
  <c r="E45" i="7" s="1"/>
  <c r="E46" i="7" a="1"/>
  <c r="E46" i="7" s="1"/>
  <c r="E47" i="7" a="1"/>
  <c r="E47" i="7" s="1"/>
  <c r="E48" i="7" a="1"/>
  <c r="E48" i="7"/>
  <c r="E49" i="7" a="1"/>
  <c r="E49" i="7" s="1"/>
  <c r="E50" i="7" a="1"/>
  <c r="E50" i="7" s="1"/>
  <c r="E51" i="7" a="1"/>
  <c r="E51" i="7" s="1"/>
  <c r="E52" i="7" a="1"/>
  <c r="E52" i="7" s="1"/>
  <c r="E53" i="7" a="1"/>
  <c r="E53" i="7" s="1"/>
  <c r="E54" i="7" a="1"/>
  <c r="E54" i="7" s="1"/>
  <c r="E55" i="7" a="1"/>
  <c r="E55" i="7" s="1"/>
  <c r="E56" i="7" a="1"/>
  <c r="E56" i="7" s="1"/>
  <c r="E57" i="7" a="1"/>
  <c r="E57" i="7" s="1"/>
  <c r="E58" i="7" a="1"/>
  <c r="E58" i="7" s="1"/>
  <c r="E59" i="7" a="1"/>
  <c r="E59" i="7" s="1"/>
  <c r="E60" i="7" a="1"/>
  <c r="E60" i="7" s="1"/>
  <c r="E61" i="7" a="1"/>
  <c r="E61" i="7" s="1"/>
  <c r="E62" i="7" a="1"/>
  <c r="E62" i="7" s="1"/>
  <c r="E63" i="7" a="1"/>
  <c r="E63" i="7" s="1"/>
  <c r="E64" i="7" a="1"/>
  <c r="E64" i="7" s="1"/>
  <c r="E65" i="7" a="1"/>
  <c r="E65" i="7" s="1"/>
  <c r="E66" i="7" a="1"/>
  <c r="E66" i="7" s="1"/>
  <c r="E67" i="7" a="1"/>
  <c r="E67" i="7" s="1"/>
  <c r="E68" i="7" a="1"/>
  <c r="E68" i="7" s="1"/>
  <c r="E69" i="7" a="1"/>
  <c r="E69" i="7" s="1"/>
  <c r="E70" i="7" a="1"/>
  <c r="E70" i="7" s="1"/>
  <c r="E71" i="7" a="1"/>
  <c r="E71" i="7" s="1"/>
  <c r="E72" i="7" a="1"/>
  <c r="E72" i="7" s="1"/>
  <c r="E73" i="7" a="1"/>
  <c r="E73" i="7" s="1"/>
  <c r="E74" i="7" a="1"/>
  <c r="E74" i="7" s="1"/>
  <c r="E75" i="7" a="1"/>
  <c r="E75" i="7" s="1"/>
  <c r="E76" i="7" a="1"/>
  <c r="E76" i="7" s="1"/>
  <c r="E77" i="7" a="1"/>
  <c r="E77" i="7" s="1"/>
  <c r="E78" i="7" a="1"/>
  <c r="E78" i="7" s="1"/>
  <c r="E79" i="7" a="1"/>
  <c r="E79" i="7" s="1"/>
  <c r="E80" i="7" a="1"/>
  <c r="E80" i="7"/>
  <c r="E81" i="7" a="1"/>
  <c r="E81" i="7"/>
  <c r="E82" i="7" a="1"/>
  <c r="E82" i="7" s="1"/>
  <c r="E83" i="7" a="1"/>
  <c r="E83" i="7"/>
  <c r="E84" i="7" a="1"/>
  <c r="E84" i="7"/>
  <c r="E85" i="7" a="1"/>
  <c r="E85" i="7" s="1"/>
  <c r="E86" i="7" a="1"/>
  <c r="E86" i="7"/>
  <c r="E87" i="7" a="1"/>
  <c r="E87" i="7"/>
  <c r="E88" i="7" a="1"/>
  <c r="E88" i="7" s="1"/>
  <c r="E89" i="7" a="1"/>
  <c r="E89" i="7" s="1"/>
  <c r="E90" i="7" a="1"/>
  <c r="E90" i="7"/>
  <c r="E91" i="7" a="1"/>
  <c r="E91" i="7" s="1"/>
  <c r="E92" i="7" a="1"/>
  <c r="E92" i="7"/>
  <c r="E93" i="7" a="1"/>
  <c r="E93" i="7"/>
  <c r="E94" i="7" a="1"/>
  <c r="E94" i="7"/>
  <c r="E95" i="7" a="1"/>
  <c r="E95" i="7" s="1"/>
  <c r="E96" i="7" a="1"/>
  <c r="E96" i="7"/>
  <c r="E97" i="7" a="1"/>
  <c r="E97" i="7" s="1"/>
  <c r="E98" i="7" a="1"/>
  <c r="E98" i="7" s="1"/>
  <c r="E99" i="7" a="1"/>
  <c r="E99" i="7"/>
  <c r="E100" i="7" a="1"/>
  <c r="E100" i="7"/>
  <c r="E101" i="7" a="1"/>
  <c r="E101" i="7" s="1"/>
  <c r="E102" i="7" a="1"/>
  <c r="E102" i="7" s="1"/>
  <c r="E103" i="7" a="1"/>
  <c r="E103" i="7" s="1"/>
  <c r="E104" i="7" a="1"/>
  <c r="E104" i="7"/>
  <c r="E105" i="7" a="1"/>
  <c r="E105" i="7"/>
  <c r="E106" i="7" a="1"/>
  <c r="E106" i="7"/>
  <c r="E107" i="7" a="1"/>
  <c r="E107" i="7"/>
  <c r="E108" i="7" a="1"/>
  <c r="E108" i="7" s="1"/>
  <c r="E109" i="7" a="1"/>
  <c r="E109" i="7" s="1"/>
  <c r="E110" i="7" a="1"/>
  <c r="E110" i="7"/>
  <c r="E111" i="7" a="1"/>
  <c r="E111" i="7" s="1"/>
  <c r="E112" i="7" a="1"/>
  <c r="E112" i="7"/>
  <c r="E113" i="7" a="1"/>
  <c r="E113" i="7"/>
  <c r="E114" i="7" a="1"/>
  <c r="E114" i="7" s="1"/>
  <c r="E115" i="7" a="1"/>
  <c r="E115" i="7" s="1"/>
  <c r="E116" i="7" a="1"/>
  <c r="E116" i="7"/>
  <c r="E117" i="7" a="1"/>
  <c r="E117" i="7"/>
  <c r="E118" i="7" a="1"/>
  <c r="E118" i="7"/>
  <c r="E119" i="7" a="1"/>
  <c r="E119" i="7"/>
  <c r="E120" i="7" a="1"/>
  <c r="E120" i="7"/>
  <c r="E121" i="7" a="1"/>
  <c r="E121" i="7" s="1"/>
  <c r="E122" i="7" a="1"/>
  <c r="E122" i="7" s="1"/>
  <c r="E123" i="7" a="1"/>
  <c r="E123" i="7"/>
  <c r="E124" i="7" a="1"/>
  <c r="E124" i="7" s="1"/>
  <c r="E125" i="7" a="1"/>
  <c r="E125" i="7"/>
  <c r="E126" i="7" a="1"/>
  <c r="E126" i="7"/>
  <c r="E127" i="7" a="1"/>
  <c r="E127" i="7" s="1"/>
  <c r="E128" i="7" a="1"/>
  <c r="E128" i="7" s="1"/>
  <c r="E129" i="7" a="1"/>
  <c r="E129" i="7"/>
  <c r="E130" i="7" a="1"/>
  <c r="E130" i="7"/>
  <c r="E131" i="7" a="1"/>
  <c r="E131" i="7"/>
  <c r="E132" i="7" a="1"/>
  <c r="E132" i="7"/>
  <c r="E133" i="7" a="1"/>
  <c r="E133" i="7" s="1"/>
  <c r="E134" i="7" a="1"/>
  <c r="E134" i="7" s="1"/>
  <c r="E135" i="7" a="1"/>
  <c r="E135" i="7" s="1"/>
  <c r="E136" i="7" a="1"/>
  <c r="E136" i="7"/>
  <c r="E137" i="7" a="1"/>
  <c r="E137" i="7" s="1"/>
  <c r="E138" i="7" a="1"/>
  <c r="E138" i="7"/>
  <c r="E139" i="7" a="1"/>
  <c r="E139" i="7" s="1"/>
  <c r="E140" i="7" a="1"/>
  <c r="E140" i="7"/>
  <c r="E141" i="7" a="1"/>
  <c r="E141" i="7" s="1"/>
  <c r="E142" i="7" a="1"/>
  <c r="E142" i="7"/>
  <c r="E143" i="7" a="1"/>
  <c r="E143" i="7" s="1"/>
  <c r="E144" i="7" a="1"/>
  <c r="E144" i="7"/>
  <c r="E145" i="7" a="1"/>
  <c r="E145" i="7" s="1"/>
  <c r="E146" i="7" a="1"/>
  <c r="E146" i="7"/>
  <c r="E147" i="7" a="1"/>
  <c r="E147" i="7" s="1"/>
  <c r="E148" i="7" a="1"/>
  <c r="E148" i="7" s="1"/>
  <c r="E149" i="7" a="1"/>
  <c r="E149" i="7"/>
  <c r="E150" i="7" a="1"/>
  <c r="E150" i="7" s="1"/>
  <c r="E151" i="7" a="1"/>
  <c r="E151" i="7" s="1"/>
  <c r="E152" i="7" a="1"/>
  <c r="E152" i="7"/>
  <c r="E153" i="7" a="1"/>
  <c r="E153" i="7"/>
  <c r="E154" i="7" a="1"/>
  <c r="E154" i="7" s="1"/>
  <c r="E155" i="7" a="1"/>
  <c r="E155" i="7"/>
  <c r="E156" i="7" a="1"/>
  <c r="E156" i="7"/>
  <c r="E157" i="7" a="1"/>
  <c r="E157" i="7" s="1"/>
  <c r="E158" i="7" a="1"/>
  <c r="E158" i="7"/>
  <c r="E159" i="7" a="1"/>
  <c r="E159" i="7"/>
  <c r="E160" i="7" a="1"/>
  <c r="E160" i="7" s="1"/>
  <c r="E161" i="7" a="1"/>
  <c r="E161" i="7" s="1"/>
  <c r="E162" i="7" a="1"/>
  <c r="E162" i="7"/>
  <c r="E163" i="7" a="1"/>
  <c r="E163" i="7" s="1"/>
  <c r="E164" i="7" a="1"/>
  <c r="E164" i="7"/>
  <c r="E165" i="7" a="1"/>
  <c r="E165" i="7"/>
  <c r="E166" i="7" a="1"/>
  <c r="E166" i="7"/>
  <c r="E167" i="7" a="1"/>
  <c r="E167" i="7" s="1"/>
  <c r="E168" i="7" a="1"/>
  <c r="E168" i="7"/>
  <c r="E169" i="7" a="1"/>
  <c r="E169" i="7" s="1"/>
  <c r="E170" i="7" a="1"/>
  <c r="E170" i="7" s="1"/>
  <c r="E171" i="7" a="1"/>
  <c r="E171" i="7"/>
  <c r="E172" i="7" a="1"/>
  <c r="E172" i="7"/>
  <c r="E173" i="7" a="1"/>
  <c r="E173" i="7" s="1"/>
  <c r="E174" i="7" a="1"/>
  <c r="E174" i="7" s="1"/>
  <c r="E175" i="7" a="1"/>
  <c r="E175" i="7" s="1"/>
  <c r="E176" i="7" a="1"/>
  <c r="E176" i="7"/>
  <c r="E177" i="7" a="1"/>
  <c r="E177" i="7"/>
  <c r="E178" i="7" a="1"/>
  <c r="E178" i="7"/>
  <c r="E179" i="7" a="1"/>
  <c r="E179" i="7"/>
  <c r="E180" i="7" a="1"/>
  <c r="E180" i="7" s="1"/>
  <c r="E181" i="7" a="1"/>
  <c r="E181" i="7" s="1"/>
  <c r="E182" i="7" a="1"/>
  <c r="E182" i="7"/>
  <c r="E183" i="7" a="1"/>
  <c r="E183" i="7" s="1"/>
  <c r="E184" i="7" a="1"/>
  <c r="E184" i="7"/>
  <c r="E185" i="7" a="1"/>
  <c r="E185" i="7"/>
  <c r="E186" i="7" a="1"/>
  <c r="E186" i="7" s="1"/>
  <c r="E187" i="7" a="1"/>
  <c r="E187" i="7" s="1"/>
  <c r="E188" i="7" a="1"/>
  <c r="E188" i="7"/>
  <c r="E189" i="7" a="1"/>
  <c r="E189" i="7"/>
  <c r="E190" i="7" a="1"/>
  <c r="E190" i="7"/>
  <c r="E191" i="7" a="1"/>
  <c r="E191" i="7"/>
  <c r="E192" i="7" a="1"/>
  <c r="E192" i="7"/>
  <c r="E193" i="7" a="1"/>
  <c r="E193" i="7" s="1"/>
  <c r="E194" i="7" a="1"/>
  <c r="E194" i="7" s="1"/>
  <c r="E195" i="7" a="1"/>
  <c r="E195" i="7"/>
  <c r="E196" i="7" a="1"/>
  <c r="E196" i="7" s="1"/>
  <c r="E197" i="7" a="1"/>
  <c r="E197" i="7"/>
  <c r="E198" i="7" a="1"/>
  <c r="E198" i="7"/>
  <c r="E199" i="7" a="1"/>
  <c r="E199" i="7" s="1"/>
  <c r="E200" i="7" a="1"/>
  <c r="E200" i="7" s="1"/>
  <c r="E201" i="7" a="1"/>
  <c r="E201" i="7"/>
  <c r="E202" i="7" a="1"/>
  <c r="E202" i="7"/>
  <c r="E203" i="7" a="1"/>
  <c r="E203" i="7"/>
  <c r="E204" i="7" a="1"/>
  <c r="E204" i="7"/>
  <c r="E205" i="7" a="1"/>
  <c r="E205" i="7" s="1"/>
  <c r="E206" i="7" a="1"/>
  <c r="E206" i="7" s="1"/>
  <c r="E207" i="7" a="1"/>
  <c r="E207" i="7" s="1"/>
  <c r="E208" i="7" a="1"/>
  <c r="E208" i="7"/>
  <c r="E209" i="7" a="1"/>
  <c r="E209" i="7" s="1"/>
  <c r="E210" i="7" a="1"/>
  <c r="E210" i="7"/>
  <c r="E211" i="7" a="1"/>
  <c r="E211" i="7" s="1"/>
  <c r="E212" i="7" a="1"/>
  <c r="E212" i="7"/>
  <c r="E213" i="7" a="1"/>
  <c r="E213" i="7" s="1"/>
  <c r="E214" i="7" a="1"/>
  <c r="E214" i="7"/>
  <c r="E215" i="7" a="1"/>
  <c r="E215" i="7"/>
  <c r="E216" i="7" a="1"/>
  <c r="E216" i="7"/>
  <c r="E217" i="7" a="1"/>
  <c r="E217" i="7" s="1"/>
  <c r="E218" i="7" a="1"/>
  <c r="E218" i="7"/>
  <c r="E219" i="7" a="1"/>
  <c r="E219" i="7" s="1"/>
  <c r="E220" i="7" a="1"/>
  <c r="E220" i="7" s="1"/>
  <c r="E221" i="7" a="1"/>
  <c r="E221" i="7"/>
  <c r="E222" i="7" a="1"/>
  <c r="E222" i="7" s="1"/>
  <c r="E223" i="7" a="1"/>
  <c r="E223" i="7" s="1"/>
  <c r="E224" i="7" a="1"/>
  <c r="E224" i="7"/>
  <c r="E225" i="7" a="1"/>
  <c r="E225" i="7"/>
  <c r="E226" i="7" a="1"/>
  <c r="E226" i="7" s="1"/>
  <c r="E227" i="7" a="1"/>
  <c r="E227" i="7"/>
  <c r="E228" i="7" a="1"/>
  <c r="E228" i="7"/>
  <c r="E229" i="7" a="1"/>
  <c r="E229" i="7" s="1"/>
  <c r="E230" i="7" a="1"/>
  <c r="E230" i="7"/>
  <c r="E231" i="7" a="1"/>
  <c r="E231" i="7"/>
  <c r="E232" i="7" a="1"/>
  <c r="E232" i="7" s="1"/>
  <c r="E233" i="7" a="1"/>
  <c r="E233" i="7" s="1"/>
  <c r="E234" i="7" a="1"/>
  <c r="E234" i="7"/>
  <c r="E235" i="7" a="1"/>
  <c r="E235" i="7" s="1"/>
  <c r="E236" i="7" a="1"/>
  <c r="E236" i="7"/>
  <c r="E237" i="7" a="1"/>
  <c r="E237" i="7"/>
  <c r="E238" i="7" a="1"/>
  <c r="E238" i="7"/>
  <c r="E239" i="7" a="1"/>
  <c r="E239" i="7" s="1"/>
  <c r="E240" i="7" a="1"/>
  <c r="E240" i="7"/>
  <c r="E241" i="7" a="1"/>
  <c r="E241" i="7" s="1"/>
  <c r="E242" i="7" a="1"/>
  <c r="E242" i="7" s="1"/>
  <c r="E243" i="7" a="1"/>
  <c r="E243" i="7"/>
  <c r="E244" i="7" a="1"/>
  <c r="E244" i="7"/>
  <c r="E245" i="7" a="1"/>
  <c r="E245" i="7" s="1"/>
  <c r="E246" i="7" a="1"/>
  <c r="E246" i="7" s="1"/>
  <c r="E247" i="7" a="1"/>
  <c r="E247" i="7" s="1"/>
  <c r="E248" i="7" a="1"/>
  <c r="E248" i="7"/>
  <c r="E249" i="7" a="1"/>
  <c r="E249" i="7"/>
  <c r="E250" i="7" a="1"/>
  <c r="E250" i="7"/>
  <c r="E251" i="7" a="1"/>
  <c r="E251" i="7"/>
  <c r="E252" i="7" a="1"/>
  <c r="E252" i="7" s="1"/>
  <c r="E253" i="7" a="1"/>
  <c r="E253" i="7" s="1"/>
  <c r="E254" i="7" a="1"/>
  <c r="E254" i="7"/>
  <c r="E255" i="7" a="1"/>
  <c r="E255" i="7" s="1"/>
  <c r="E256" i="7" a="1"/>
  <c r="E256" i="7"/>
  <c r="E257" i="7" a="1"/>
  <c r="E257" i="7"/>
  <c r="E258" i="7" a="1"/>
  <c r="E258" i="7" s="1"/>
  <c r="E259" i="7" a="1"/>
  <c r="E259" i="7" s="1"/>
  <c r="E260" i="7" a="1"/>
  <c r="E260" i="7"/>
  <c r="E261" i="7" a="1"/>
  <c r="E261" i="7"/>
  <c r="E262" i="7" a="1"/>
  <c r="E262" i="7"/>
  <c r="E263" i="7" a="1"/>
  <c r="E263" i="7"/>
  <c r="E264" i="7" a="1"/>
  <c r="E264" i="7"/>
  <c r="E265" i="7" a="1"/>
  <c r="E265" i="7" s="1"/>
  <c r="E266" i="7" a="1"/>
  <c r="E266" i="7" s="1"/>
  <c r="E267" i="7" a="1"/>
  <c r="E267" i="7"/>
  <c r="E268" i="7" a="1"/>
  <c r="E268" i="7" s="1"/>
  <c r="E269" i="7" a="1"/>
  <c r="E269" i="7"/>
  <c r="E270" i="7" a="1"/>
  <c r="E270" i="7"/>
  <c r="E271" i="7" a="1"/>
  <c r="E271" i="7" s="1"/>
  <c r="E272" i="7" a="1"/>
  <c r="E272" i="7" s="1"/>
  <c r="E273" i="7" a="1"/>
  <c r="E273" i="7"/>
  <c r="E274" i="7" a="1"/>
  <c r="E274" i="7"/>
  <c r="E275" i="7" a="1"/>
  <c r="E275" i="7"/>
  <c r="E276" i="7" a="1"/>
  <c r="E276" i="7"/>
  <c r="E277" i="7" a="1"/>
  <c r="E277" i="7" s="1"/>
  <c r="E278" i="7" a="1"/>
  <c r="E278" i="7" s="1"/>
  <c r="E279" i="7" a="1"/>
  <c r="E279" i="7" s="1"/>
  <c r="E280" i="7" a="1"/>
  <c r="E280" i="7"/>
  <c r="E281" i="7" a="1"/>
  <c r="E281" i="7" s="1"/>
  <c r="E282" i="7" a="1"/>
  <c r="E282" i="7"/>
  <c r="E283" i="7" a="1"/>
  <c r="E283" i="7" s="1"/>
  <c r="E284" i="7" a="1"/>
  <c r="E284" i="7"/>
  <c r="E285" i="7" a="1"/>
  <c r="E285" i="7" s="1"/>
  <c r="E286" i="7" a="1"/>
  <c r="E286" i="7"/>
  <c r="E287" i="7" a="1"/>
  <c r="E287" i="7"/>
  <c r="E288" i="7" a="1"/>
  <c r="E288" i="7"/>
  <c r="E289" i="7" a="1"/>
  <c r="E289" i="7" s="1"/>
  <c r="E290" i="7" a="1"/>
  <c r="E290" i="7"/>
  <c r="E291" i="7" a="1"/>
  <c r="E291" i="7" s="1"/>
  <c r="E292" i="7" a="1"/>
  <c r="E292" i="7" s="1"/>
  <c r="E293" i="7" a="1"/>
  <c r="E293" i="7"/>
  <c r="E294" i="7" a="1"/>
  <c r="E294" i="7" s="1"/>
  <c r="E295" i="7" a="1"/>
  <c r="E295" i="7" s="1"/>
  <c r="E296" i="7" a="1"/>
  <c r="E296" i="7"/>
  <c r="E297" i="7" a="1"/>
  <c r="E297" i="7"/>
  <c r="E298" i="7" a="1"/>
  <c r="E298" i="7" s="1"/>
  <c r="E299" i="7" a="1"/>
  <c r="E299" i="7"/>
  <c r="E300" i="7" a="1"/>
  <c r="E300" i="7"/>
  <c r="E301" i="7" a="1"/>
  <c r="E301" i="7" s="1"/>
  <c r="E302" i="7" a="1"/>
  <c r="E302" i="7"/>
  <c r="E303" i="7" a="1"/>
  <c r="E303" i="7"/>
  <c r="E304" i="7" a="1"/>
  <c r="E304" i="7" s="1"/>
  <c r="E305" i="7" a="1"/>
  <c r="E305" i="7" s="1"/>
  <c r="E306" i="7" a="1"/>
  <c r="E306" i="7"/>
  <c r="E307" i="7" a="1"/>
  <c r="E307" i="7" s="1"/>
  <c r="E308" i="7" a="1"/>
  <c r="E308" i="7"/>
  <c r="E309" i="7" a="1"/>
  <c r="E309" i="7"/>
  <c r="E310" i="7" a="1"/>
  <c r="E310" i="7"/>
  <c r="E311" i="7" a="1"/>
  <c r="E311" i="7" s="1"/>
  <c r="E312" i="7" a="1"/>
  <c r="E312" i="7"/>
  <c r="E313" i="7" a="1"/>
  <c r="E313" i="7" s="1"/>
  <c r="E314" i="7" a="1"/>
  <c r="E314" i="7" s="1"/>
  <c r="E315" i="7" a="1"/>
  <c r="E315" i="7"/>
  <c r="E316" i="7" a="1"/>
  <c r="E316" i="7"/>
  <c r="E317" i="7" a="1"/>
  <c r="E317" i="7" s="1"/>
  <c r="E318" i="7" a="1"/>
  <c r="E318" i="7" s="1"/>
  <c r="E319" i="7" a="1"/>
  <c r="E319" i="7" s="1"/>
  <c r="E320" i="7" a="1"/>
  <c r="E320" i="7"/>
  <c r="E321" i="7" a="1"/>
  <c r="E321" i="7"/>
  <c r="E322" i="7" a="1"/>
  <c r="E322" i="7"/>
  <c r="E323" i="7" a="1"/>
  <c r="E323" i="7"/>
  <c r="E324" i="7" a="1"/>
  <c r="E324" i="7" s="1"/>
  <c r="E325" i="7" a="1"/>
  <c r="E325" i="7" s="1"/>
  <c r="E326" i="7" a="1"/>
  <c r="E326" i="7"/>
  <c r="E327" i="7" a="1"/>
  <c r="E327" i="7" s="1"/>
  <c r="E328" i="7" a="1"/>
  <c r="E328" i="7"/>
  <c r="E329" i="7" a="1"/>
  <c r="E329" i="7"/>
  <c r="E330" i="7" a="1"/>
  <c r="E330" i="7" s="1"/>
  <c r="E331" i="7" a="1"/>
  <c r="E331" i="7" s="1"/>
  <c r="E332" i="7" a="1"/>
  <c r="E332" i="7"/>
  <c r="E333" i="7" a="1"/>
  <c r="E333" i="7"/>
  <c r="E334" i="7" a="1"/>
  <c r="E334" i="7"/>
  <c r="E335" i="7" a="1"/>
  <c r="E335" i="7"/>
  <c r="E336" i="7" a="1"/>
  <c r="E336" i="7"/>
  <c r="E337" i="7" a="1"/>
  <c r="E337" i="7" s="1"/>
  <c r="E338" i="7" a="1"/>
  <c r="E338" i="7" s="1"/>
  <c r="E339" i="7" a="1"/>
  <c r="E339" i="7"/>
  <c r="E340" i="7" a="1"/>
  <c r="E340" i="7" s="1"/>
  <c r="E341" i="7" a="1"/>
  <c r="E341" i="7"/>
  <c r="E342" i="7" a="1"/>
  <c r="E342" i="7"/>
  <c r="E343" i="7" a="1"/>
  <c r="E343" i="7" s="1"/>
  <c r="E344" i="7" a="1"/>
  <c r="E344" i="7" s="1"/>
  <c r="E345" i="7" a="1"/>
  <c r="E345" i="7"/>
  <c r="E346" i="7" a="1"/>
  <c r="E346" i="7"/>
  <c r="E347" i="7" a="1"/>
  <c r="E347" i="7"/>
  <c r="E348" i="7" a="1"/>
  <c r="E348" i="7"/>
  <c r="E349" i="7" a="1"/>
  <c r="E349" i="7" s="1"/>
  <c r="E350" i="7" a="1"/>
  <c r="E350" i="7" s="1"/>
  <c r="E351" i="7" a="1"/>
  <c r="E351" i="7" s="1"/>
  <c r="E352" i="7" a="1"/>
  <c r="E352" i="7"/>
  <c r="E353" i="7" a="1"/>
  <c r="E353" i="7" s="1"/>
  <c r="E354" i="7" a="1"/>
  <c r="E354" i="7"/>
  <c r="E355" i="7" a="1"/>
  <c r="E355" i="7" s="1"/>
  <c r="E356" i="7" a="1"/>
  <c r="E356" i="7"/>
  <c r="E357" i="7" a="1"/>
  <c r="E357" i="7" s="1"/>
  <c r="E358" i="7" a="1"/>
  <c r="E358" i="7"/>
  <c r="E359" i="7" a="1"/>
  <c r="E359" i="7"/>
  <c r="E360" i="7" a="1"/>
  <c r="E360" i="7"/>
  <c r="E361" i="7" a="1"/>
  <c r="E361" i="7" s="1"/>
  <c r="E362" i="7" a="1"/>
  <c r="E362" i="7"/>
  <c r="E363" i="7" a="1"/>
  <c r="E363" i="7" s="1"/>
  <c r="E364" i="7" a="1"/>
  <c r="E364" i="7" s="1"/>
  <c r="E365" i="7" a="1"/>
  <c r="E365" i="7"/>
  <c r="E366" i="7" a="1"/>
  <c r="E366" i="7" s="1"/>
  <c r="E367" i="7" a="1"/>
  <c r="E367" i="7" s="1"/>
  <c r="E368" i="7" a="1"/>
  <c r="E368" i="7"/>
  <c r="E369" i="7" a="1"/>
  <c r="E369" i="7"/>
  <c r="E370" i="7" a="1"/>
  <c r="E370" i="7" s="1"/>
  <c r="E371" i="7" a="1"/>
  <c r="E371" i="7"/>
  <c r="E372" i="7" a="1"/>
  <c r="E372" i="7"/>
  <c r="E373" i="7" a="1"/>
  <c r="E373" i="7" s="1"/>
  <c r="E374" i="7" a="1"/>
  <c r="E374" i="7"/>
  <c r="E375" i="7" a="1"/>
  <c r="E375" i="7"/>
  <c r="E376" i="7" a="1"/>
  <c r="E376" i="7" s="1"/>
  <c r="E377" i="7" a="1"/>
  <c r="E377" i="7" s="1"/>
  <c r="E378" i="7" a="1"/>
  <c r="E378" i="7"/>
  <c r="E379" i="7" a="1"/>
  <c r="E379" i="7" s="1"/>
  <c r="E380" i="7" a="1"/>
  <c r="E380" i="7"/>
  <c r="E381" i="7" a="1"/>
  <c r="E381" i="7"/>
  <c r="E382" i="7" a="1"/>
  <c r="E382" i="7"/>
  <c r="E383" i="7" a="1"/>
  <c r="E383" i="7" s="1"/>
  <c r="E384" i="7" a="1"/>
  <c r="E384" i="7"/>
  <c r="E385" i="7" a="1"/>
  <c r="E385" i="7" s="1"/>
  <c r="E386" i="7" a="1"/>
  <c r="E386" i="7" s="1"/>
  <c r="E387" i="7" a="1"/>
  <c r="E387" i="7"/>
  <c r="E388" i="7" a="1"/>
  <c r="E388" i="7"/>
  <c r="E389" i="7" a="1"/>
  <c r="E389" i="7" s="1"/>
  <c r="E390" i="7" a="1"/>
  <c r="E390" i="7" s="1"/>
  <c r="E391" i="7" a="1"/>
  <c r="E391" i="7" s="1"/>
  <c r="E392" i="7" a="1"/>
  <c r="E392" i="7"/>
  <c r="E393" i="7" a="1"/>
  <c r="E393" i="7"/>
  <c r="E394" i="7" a="1"/>
  <c r="E394" i="7"/>
  <c r="E395" i="7" a="1"/>
  <c r="E395" i="7"/>
  <c r="E396" i="7" a="1"/>
  <c r="E396" i="7" s="1"/>
  <c r="E397" i="7" a="1"/>
  <c r="E397" i="7" s="1"/>
  <c r="E398" i="7" a="1"/>
  <c r="E398" i="7"/>
  <c r="E399" i="7" a="1"/>
  <c r="E399" i="7" s="1"/>
  <c r="E400" i="7" a="1"/>
  <c r="E400" i="7"/>
  <c r="E401" i="7" a="1"/>
  <c r="E401" i="7"/>
  <c r="E402" i="7" a="1"/>
  <c r="E402" i="7" s="1"/>
  <c r="E403" i="7" a="1"/>
  <c r="E403" i="7" s="1"/>
  <c r="E404" i="7" a="1"/>
  <c r="E404" i="7"/>
  <c r="E405" i="7" a="1"/>
  <c r="E405" i="7"/>
  <c r="E406" i="7" a="1"/>
  <c r="E406" i="7"/>
  <c r="E407" i="7" a="1"/>
  <c r="E407" i="7"/>
  <c r="E408" i="7" a="1"/>
  <c r="E408" i="7"/>
  <c r="E409" i="7" a="1"/>
  <c r="E409" i="7" s="1"/>
  <c r="E410" i="7" a="1"/>
  <c r="E410" i="7" s="1"/>
  <c r="E411" i="7" a="1"/>
  <c r="E411" i="7"/>
  <c r="E412" i="7" a="1"/>
  <c r="E412" i="7" s="1"/>
  <c r="E413" i="7" a="1"/>
  <c r="E413" i="7"/>
  <c r="E414" i="7" a="1"/>
  <c r="E414" i="7"/>
  <c r="E415" i="7" a="1"/>
  <c r="E415" i="7" s="1"/>
  <c r="E416" i="7" a="1"/>
  <c r="E416" i="7" s="1"/>
  <c r="E417" i="7" a="1"/>
  <c r="E417" i="7"/>
  <c r="E418" i="7" a="1"/>
  <c r="E418" i="7"/>
  <c r="E419" i="7" a="1"/>
  <c r="E419" i="7"/>
  <c r="E420" i="7" a="1"/>
  <c r="E420" i="7"/>
  <c r="E421" i="7" a="1"/>
  <c r="E421" i="7" s="1"/>
  <c r="E422" i="7" a="1"/>
  <c r="E422" i="7" s="1"/>
  <c r="E423" i="7" a="1"/>
  <c r="E423" i="7" s="1"/>
  <c r="E424" i="7" a="1"/>
  <c r="E424" i="7"/>
  <c r="E425" i="7" a="1"/>
  <c r="E425" i="7" s="1"/>
  <c r="E426" i="7" a="1"/>
  <c r="E426" i="7"/>
  <c r="E427" i="7" a="1"/>
  <c r="E427" i="7" s="1"/>
  <c r="E428" i="7" a="1"/>
  <c r="E428" i="7"/>
  <c r="E429" i="7" a="1"/>
  <c r="E429" i="7" s="1"/>
  <c r="E430" i="7" a="1"/>
  <c r="E430" i="7"/>
  <c r="E431" i="7" a="1"/>
  <c r="E431" i="7"/>
  <c r="E432" i="7" a="1"/>
  <c r="E432" i="7"/>
  <c r="E433" i="7" a="1"/>
  <c r="E433" i="7" s="1"/>
  <c r="E434" i="7" a="1"/>
  <c r="E434" i="7"/>
  <c r="E435" i="7" a="1"/>
  <c r="E435" i="7" s="1"/>
  <c r="E436" i="7" a="1"/>
  <c r="E436" i="7" s="1"/>
  <c r="E437" i="7" a="1"/>
  <c r="E437" i="7"/>
  <c r="E438" i="7" a="1"/>
  <c r="E438" i="7" s="1"/>
  <c r="E439" i="7" a="1"/>
  <c r="E439" i="7" s="1"/>
  <c r="E440" i="7" a="1"/>
  <c r="E440" i="7"/>
  <c r="E441" i="7" a="1"/>
  <c r="E441" i="7"/>
  <c r="E442" i="7" a="1"/>
  <c r="E442" i="7" s="1"/>
  <c r="E443" i="7" a="1"/>
  <c r="E443" i="7"/>
  <c r="E444" i="7" a="1"/>
  <c r="E444" i="7"/>
  <c r="E445" i="7" a="1"/>
  <c r="E445" i="7" s="1"/>
  <c r="E446" i="7" a="1"/>
  <c r="E446" i="7"/>
  <c r="E447" i="7" a="1"/>
  <c r="E447" i="7"/>
  <c r="E448" i="7" a="1"/>
  <c r="E448" i="7" s="1"/>
  <c r="E449" i="7" a="1"/>
  <c r="E449" i="7" s="1"/>
  <c r="E450" i="7" a="1"/>
  <c r="E450" i="7"/>
  <c r="E451" i="7" a="1"/>
  <c r="E451" i="7" s="1"/>
  <c r="E452" i="7" a="1"/>
  <c r="E452" i="7"/>
  <c r="E453" i="7" a="1"/>
  <c r="E453" i="7"/>
  <c r="E454" i="7" a="1"/>
  <c r="E454" i="7"/>
  <c r="E455" i="7" a="1"/>
  <c r="E455" i="7" s="1"/>
  <c r="E456" i="7" a="1"/>
  <c r="E456" i="7"/>
  <c r="E457" i="7" a="1"/>
  <c r="E457" i="7" s="1"/>
  <c r="E458" i="7" a="1"/>
  <c r="E458" i="7" s="1"/>
  <c r="E459" i="7" a="1"/>
  <c r="E459" i="7"/>
  <c r="E460" i="7" a="1"/>
  <c r="E460" i="7"/>
  <c r="E461" i="7" a="1"/>
  <c r="E461" i="7" s="1"/>
  <c r="E462" i="7" a="1"/>
  <c r="E462" i="7" s="1"/>
  <c r="E463" i="7" a="1"/>
  <c r="E463" i="7" s="1"/>
  <c r="E464" i="7" a="1"/>
  <c r="E464" i="7"/>
  <c r="E465" i="7" a="1"/>
  <c r="E465" i="7"/>
  <c r="E466" i="7" a="1"/>
  <c r="E466" i="7"/>
  <c r="E467" i="7" a="1"/>
  <c r="E467" i="7"/>
  <c r="E468" i="7" a="1"/>
  <c r="E468" i="7" s="1"/>
  <c r="E469" i="7" a="1"/>
  <c r="E469" i="7" s="1"/>
  <c r="E470" i="7" a="1"/>
  <c r="E470" i="7"/>
  <c r="E471" i="7" a="1"/>
  <c r="E471" i="7" s="1"/>
  <c r="E472" i="7" a="1"/>
  <c r="E472" i="7"/>
  <c r="E473" i="7" a="1"/>
  <c r="E473" i="7"/>
  <c r="E474" i="7" a="1"/>
  <c r="E474" i="7" s="1"/>
  <c r="E475" i="7" a="1"/>
  <c r="E475" i="7" s="1"/>
  <c r="E476" i="7" a="1"/>
  <c r="E476" i="7"/>
  <c r="E477" i="7" a="1"/>
  <c r="E477" i="7"/>
  <c r="E478" i="7" a="1"/>
  <c r="E478" i="7"/>
  <c r="E479" i="7" a="1"/>
  <c r="E479" i="7"/>
  <c r="E480" i="7" a="1"/>
  <c r="E480" i="7"/>
  <c r="E481" i="7" a="1"/>
  <c r="E481" i="7" s="1"/>
  <c r="E482" i="7" a="1"/>
  <c r="E482" i="7" s="1"/>
  <c r="E483" i="7" a="1"/>
  <c r="E483" i="7"/>
  <c r="E484" i="7" a="1"/>
  <c r="E484" i="7" s="1"/>
  <c r="E485" i="7" a="1"/>
  <c r="E485" i="7"/>
  <c r="E486" i="7" a="1"/>
  <c r="E486" i="7"/>
  <c r="E487" i="7" a="1"/>
  <c r="E487" i="7" s="1"/>
  <c r="E488" i="7" a="1"/>
  <c r="E488" i="7" s="1"/>
  <c r="E489" i="7" a="1"/>
  <c r="E489" i="7"/>
  <c r="E490" i="7" a="1"/>
  <c r="E490" i="7"/>
  <c r="E491" i="7" a="1"/>
  <c r="E491" i="7"/>
  <c r="E492" i="7" a="1"/>
  <c r="E492" i="7"/>
  <c r="E493" i="7" a="1"/>
  <c r="E493" i="7" s="1"/>
  <c r="E494" i="7" a="1"/>
  <c r="E494" i="7" s="1"/>
  <c r="E495" i="7" a="1"/>
  <c r="E495" i="7" s="1"/>
  <c r="E496" i="7" a="1"/>
  <c r="E496" i="7"/>
  <c r="E497" i="7" a="1"/>
  <c r="E497" i="7" s="1"/>
  <c r="E498" i="7" a="1"/>
  <c r="E498" i="7"/>
  <c r="E499" i="7" a="1"/>
  <c r="E499" i="7" s="1"/>
  <c r="E500" i="7" a="1"/>
  <c r="E500" i="7"/>
  <c r="E501" i="7" a="1"/>
  <c r="E501" i="7" s="1"/>
  <c r="E502" i="7" a="1"/>
  <c r="E502" i="7"/>
  <c r="E503" i="7" a="1"/>
  <c r="E503" i="7"/>
  <c r="E504" i="7" a="1"/>
  <c r="E504" i="7"/>
  <c r="E505" i="7" a="1"/>
  <c r="E505" i="7" s="1"/>
  <c r="E506" i="7" a="1"/>
  <c r="E506" i="7"/>
  <c r="E507" i="7" a="1"/>
  <c r="E507" i="7" s="1"/>
  <c r="E508" i="7" a="1"/>
  <c r="E508" i="7" s="1"/>
  <c r="E509" i="7" a="1"/>
  <c r="E509" i="7"/>
  <c r="E510" i="7" a="1"/>
  <c r="E510" i="7" s="1"/>
  <c r="E511" i="7" a="1"/>
  <c r="E511" i="7" s="1"/>
  <c r="E512" i="7" a="1"/>
  <c r="E512" i="7"/>
  <c r="E513" i="7" a="1"/>
  <c r="E513" i="7"/>
  <c r="E514" i="7" a="1"/>
  <c r="E514" i="7" s="1"/>
  <c r="E515" i="7" a="1"/>
  <c r="E515" i="7"/>
  <c r="E516" i="7" a="1"/>
  <c r="E516" i="7"/>
  <c r="E517" i="7" a="1"/>
  <c r="E517" i="7" s="1"/>
  <c r="E518" i="7" a="1"/>
  <c r="E518" i="7"/>
  <c r="E519" i="7" a="1"/>
  <c r="E519" i="7"/>
  <c r="E520" i="7" a="1"/>
  <c r="E520" i="7" s="1"/>
  <c r="E521" i="7" a="1"/>
  <c r="E521" i="7" s="1"/>
  <c r="E522" i="7" a="1"/>
  <c r="E522" i="7"/>
  <c r="E523" i="7" a="1"/>
  <c r="E523" i="7" s="1"/>
  <c r="E524" i="7" a="1"/>
  <c r="E524" i="7"/>
  <c r="E525" i="7" a="1"/>
  <c r="E525" i="7"/>
  <c r="E526" i="7" a="1"/>
  <c r="E526" i="7"/>
  <c r="E527" i="7" a="1"/>
  <c r="E527" i="7" s="1"/>
  <c r="E528" i="7" a="1"/>
  <c r="E528" i="7"/>
  <c r="E529" i="7" a="1"/>
  <c r="E529" i="7" s="1"/>
  <c r="E530" i="7" a="1"/>
  <c r="E530" i="7" s="1"/>
  <c r="E531" i="7" a="1"/>
  <c r="E531" i="7"/>
  <c r="E532" i="7" a="1"/>
  <c r="E532" i="7"/>
  <c r="E533" i="7" a="1"/>
  <c r="E533" i="7" s="1"/>
  <c r="E534" i="7" a="1"/>
  <c r="E534" i="7" s="1"/>
  <c r="E535" i="7" a="1"/>
  <c r="E535" i="7" s="1"/>
  <c r="E536" i="7" a="1"/>
  <c r="E536" i="7"/>
  <c r="E537" i="7" a="1"/>
  <c r="E537" i="7"/>
  <c r="E538" i="7" a="1"/>
  <c r="E538" i="7"/>
  <c r="E539" i="7" a="1"/>
  <c r="E539" i="7"/>
  <c r="E540" i="7" a="1"/>
  <c r="E540" i="7" s="1"/>
  <c r="E541" i="7" a="1"/>
  <c r="E541" i="7" s="1"/>
  <c r="E542" i="7" a="1"/>
  <c r="E542" i="7"/>
  <c r="E543" i="7" a="1"/>
  <c r="E543" i="7" s="1"/>
  <c r="E544" i="7" a="1"/>
  <c r="E544" i="7"/>
  <c r="E545" i="7" a="1"/>
  <c r="E545" i="7"/>
  <c r="E546" i="7" a="1"/>
  <c r="E546" i="7" s="1"/>
  <c r="E547" i="7" a="1"/>
  <c r="E547" i="7" s="1"/>
  <c r="E548" i="7" a="1"/>
  <c r="E548" i="7"/>
  <c r="E549" i="7" a="1"/>
  <c r="E549" i="7" s="1"/>
  <c r="E550" i="7" a="1"/>
  <c r="E550" i="7"/>
  <c r="E551" i="7" a="1"/>
  <c r="E551" i="7"/>
  <c r="E552" i="7" a="1"/>
  <c r="E552" i="7" s="1"/>
  <c r="E553" i="7" a="1"/>
  <c r="E553" i="7" s="1"/>
  <c r="E554" i="7" a="1"/>
  <c r="E554" i="7"/>
  <c r="E555" i="7" a="1"/>
  <c r="E555" i="7" s="1"/>
  <c r="E556" i="7" a="1"/>
  <c r="E556" i="7"/>
  <c r="E557" i="7" a="1"/>
  <c r="E557" i="7"/>
  <c r="E558" i="7" a="1"/>
  <c r="E558" i="7" s="1"/>
  <c r="E559" i="7" a="1"/>
  <c r="E559" i="7" s="1"/>
  <c r="E560" i="7" a="1"/>
  <c r="E560" i="7"/>
  <c r="E561" i="7" a="1"/>
  <c r="E561" i="7" s="1"/>
  <c r="E562" i="7" a="1"/>
  <c r="E562" i="7"/>
  <c r="E563" i="7" a="1"/>
  <c r="E563" i="7"/>
  <c r="E564" i="7" a="1"/>
  <c r="E564" i="7" s="1"/>
  <c r="E565" i="7" a="1"/>
  <c r="E565" i="7" s="1"/>
  <c r="E566" i="7" a="1"/>
  <c r="E566" i="7"/>
  <c r="E567" i="7" a="1"/>
  <c r="E567" i="7" s="1"/>
  <c r="E568" i="7" a="1"/>
  <c r="E568" i="7"/>
  <c r="E569" i="7" a="1"/>
  <c r="E569" i="7"/>
  <c r="E570" i="7" a="1"/>
  <c r="E570" i="7" s="1"/>
  <c r="E571" i="7" a="1"/>
  <c r="E571" i="7" s="1"/>
  <c r="E572" i="7" a="1"/>
  <c r="E572" i="7"/>
  <c r="E573" i="7" a="1"/>
  <c r="E573" i="7" s="1"/>
  <c r="E574" i="7" a="1"/>
  <c r="E574" i="7"/>
  <c r="E575" i="7" a="1"/>
  <c r="E575" i="7"/>
  <c r="E576" i="7" a="1"/>
  <c r="E576" i="7" s="1"/>
  <c r="E577" i="7" a="1"/>
  <c r="E577" i="7" s="1"/>
  <c r="E578" i="7" a="1"/>
  <c r="E578" i="7"/>
  <c r="E579" i="7" a="1"/>
  <c r="E579" i="7" s="1"/>
  <c r="E580" i="7" a="1"/>
  <c r="E580" i="7"/>
  <c r="E581" i="7" a="1"/>
  <c r="E581" i="7"/>
  <c r="E582" i="7" a="1"/>
  <c r="E582" i="7" s="1"/>
  <c r="E583" i="7" a="1"/>
  <c r="E583" i="7" s="1"/>
  <c r="E584" i="7" a="1"/>
  <c r="E584" i="7"/>
  <c r="E585" i="7" a="1"/>
  <c r="E585" i="7" s="1"/>
  <c r="E586" i="7" a="1"/>
  <c r="E586" i="7"/>
  <c r="E587" i="7" a="1"/>
  <c r="E587" i="7"/>
  <c r="E588" i="7" a="1"/>
  <c r="E588" i="7" s="1"/>
  <c r="E589" i="7" a="1"/>
  <c r="E589" i="7" s="1"/>
  <c r="E590" i="7" a="1"/>
  <c r="E590" i="7"/>
  <c r="E591" i="7" a="1"/>
  <c r="E591" i="7" s="1"/>
  <c r="E592" i="7" a="1"/>
  <c r="E592" i="7"/>
  <c r="E593" i="7" a="1"/>
  <c r="E593" i="7"/>
  <c r="E594" i="7" a="1"/>
  <c r="E594" i="7" s="1"/>
  <c r="E595" i="7" a="1"/>
  <c r="E595" i="7" s="1"/>
  <c r="E596" i="7" a="1"/>
  <c r="E596" i="7"/>
  <c r="E597" i="7" a="1"/>
  <c r="E597" i="7" s="1"/>
  <c r="E598" i="7" a="1"/>
  <c r="E598" i="7"/>
  <c r="E599" i="7" a="1"/>
  <c r="E599" i="7"/>
  <c r="E600" i="7" a="1"/>
  <c r="E600" i="7" s="1"/>
  <c r="E601" i="7" a="1"/>
  <c r="E601" i="7" s="1"/>
  <c r="E602" i="7" a="1"/>
  <c r="E602" i="7"/>
  <c r="E603" i="7" a="1"/>
  <c r="E603" i="7" s="1"/>
  <c r="E604" i="7" a="1"/>
  <c r="E604" i="7"/>
  <c r="E605" i="7" a="1"/>
  <c r="E605" i="7"/>
  <c r="E606" i="7" a="1"/>
  <c r="E606" i="7" s="1"/>
  <c r="E607" i="7" a="1"/>
  <c r="E607" i="7" s="1"/>
  <c r="E608" i="7" a="1"/>
  <c r="E608" i="7"/>
  <c r="E609" i="7" a="1"/>
  <c r="E609" i="7" s="1"/>
  <c r="E610" i="7" a="1"/>
  <c r="E610" i="7"/>
  <c r="E611" i="7" a="1"/>
  <c r="E611" i="7"/>
  <c r="E36" i="5" a="1"/>
  <c r="E36" i="5" s="1"/>
  <c r="E37" i="5" a="1"/>
  <c r="E37" i="5" s="1"/>
  <c r="E38" i="5" a="1"/>
  <c r="E38" i="5" s="1"/>
  <c r="E39" i="5" a="1"/>
  <c r="E39" i="5" s="1"/>
  <c r="E40" i="5" a="1"/>
  <c r="E40" i="5" s="1"/>
  <c r="E41" i="5" a="1"/>
  <c r="E41" i="5" s="1"/>
  <c r="E42" i="5" a="1"/>
  <c r="E42" i="5" s="1"/>
  <c r="E43" i="5" a="1"/>
  <c r="E43" i="5" s="1"/>
  <c r="E44" i="5" a="1"/>
  <c r="E44" i="5" s="1"/>
  <c r="E45" i="5" a="1"/>
  <c r="E45" i="5" s="1"/>
  <c r="E46" i="5" a="1"/>
  <c r="E46" i="5" s="1"/>
  <c r="E47" i="5" a="1"/>
  <c r="E47" i="5" s="1"/>
  <c r="E48" i="5" a="1"/>
  <c r="E48" i="5" s="1"/>
  <c r="E49" i="5" a="1"/>
  <c r="E49" i="5" s="1"/>
  <c r="E50" i="5" a="1"/>
  <c r="E50" i="5" s="1"/>
  <c r="E51" i="5" a="1"/>
  <c r="E51" i="5" s="1"/>
  <c r="E52" i="5" a="1"/>
  <c r="E52" i="5" s="1"/>
  <c r="E53" i="5" a="1"/>
  <c r="E53" i="5" s="1"/>
  <c r="E54" i="5" a="1"/>
  <c r="E54" i="5" s="1"/>
  <c r="E55" i="5" a="1"/>
  <c r="E55" i="5" s="1"/>
  <c r="E56" i="5" a="1"/>
  <c r="E56" i="5" s="1"/>
  <c r="E57" i="5" a="1"/>
  <c r="E57" i="5" s="1"/>
  <c r="E58" i="5" a="1"/>
  <c r="E58" i="5" s="1"/>
  <c r="E59" i="5" a="1"/>
  <c r="E59" i="5" s="1"/>
  <c r="E60" i="5" a="1"/>
  <c r="E60" i="5" s="1"/>
  <c r="E61" i="5" a="1"/>
  <c r="E61" i="5" s="1"/>
  <c r="E62" i="5" a="1"/>
  <c r="E62" i="5" s="1"/>
  <c r="E63" i="5" a="1"/>
  <c r="E63" i="5" s="1"/>
  <c r="E64" i="5" a="1"/>
  <c r="E64" i="5" s="1"/>
  <c r="E65" i="5" a="1"/>
  <c r="E65" i="5" s="1"/>
  <c r="E66" i="5" a="1"/>
  <c r="E66" i="5" s="1"/>
  <c r="E67" i="5" a="1"/>
  <c r="E67" i="5" s="1"/>
  <c r="E68" i="5" a="1"/>
  <c r="E68" i="5" s="1"/>
  <c r="E69" i="5" a="1"/>
  <c r="E69" i="5" s="1"/>
  <c r="E70" i="5" a="1"/>
  <c r="E70" i="5"/>
  <c r="E71" i="5" a="1"/>
  <c r="E71" i="5" s="1"/>
  <c r="E72" i="5" a="1"/>
  <c r="E72" i="5" s="1"/>
  <c r="E73" i="5" a="1"/>
  <c r="E73" i="5" s="1"/>
  <c r="E74" i="5" a="1"/>
  <c r="E74" i="5" s="1"/>
  <c r="E75" i="5" a="1"/>
  <c r="E75" i="5" s="1"/>
  <c r="E76" i="5" a="1"/>
  <c r="E76" i="5" s="1"/>
  <c r="E77" i="5" a="1"/>
  <c r="E77" i="5" s="1"/>
  <c r="E78" i="5" a="1"/>
  <c r="E78" i="5" s="1"/>
  <c r="E79" i="5" a="1"/>
  <c r="E79" i="5" s="1"/>
  <c r="E80" i="5" a="1"/>
  <c r="E80" i="5" s="1"/>
  <c r="E81" i="5" a="1"/>
  <c r="E81" i="5" s="1"/>
  <c r="E82" i="5" a="1"/>
  <c r="E82" i="5" s="1"/>
  <c r="E83" i="5" a="1"/>
  <c r="E83" i="5" s="1"/>
  <c r="E84" i="5" a="1"/>
  <c r="E84" i="5" s="1"/>
  <c r="E85" i="5" a="1"/>
  <c r="E85" i="5" s="1"/>
  <c r="E86" i="5" a="1"/>
  <c r="E86" i="5" s="1"/>
  <c r="E87" i="5" a="1"/>
  <c r="E87" i="5" s="1"/>
  <c r="E88" i="5" a="1"/>
  <c r="E88" i="5" s="1"/>
  <c r="E89" i="5" a="1"/>
  <c r="E89" i="5" s="1"/>
  <c r="E90" i="5" a="1"/>
  <c r="E90" i="5" s="1"/>
  <c r="E91" i="5" a="1"/>
  <c r="E91" i="5" s="1"/>
  <c r="E92" i="5" a="1"/>
  <c r="E92" i="5"/>
  <c r="E93" i="5" a="1"/>
  <c r="E93" i="5" s="1"/>
  <c r="E94" i="5" a="1"/>
  <c r="E94" i="5" s="1"/>
  <c r="E95" i="5" a="1"/>
  <c r="E95" i="5" s="1"/>
  <c r="E96" i="5" a="1"/>
  <c r="E96" i="5" s="1"/>
  <c r="E97" i="5" a="1"/>
  <c r="E97" i="5" s="1"/>
  <c r="E98" i="5" a="1"/>
  <c r="E98" i="5"/>
  <c r="E99" i="5" a="1"/>
  <c r="E99" i="5" s="1"/>
  <c r="E100" i="5" a="1"/>
  <c r="E100" i="5" s="1"/>
  <c r="E101" i="5" a="1"/>
  <c r="E101" i="5" s="1"/>
  <c r="E102" i="5" a="1"/>
  <c r="E102" i="5" s="1"/>
  <c r="E103" i="5" a="1"/>
  <c r="E103" i="5" s="1"/>
  <c r="E104" i="5" a="1"/>
  <c r="E104" i="5" s="1"/>
  <c r="E105" i="5" a="1"/>
  <c r="E105" i="5" s="1"/>
  <c r="E106" i="5" a="1"/>
  <c r="E106" i="5" s="1"/>
  <c r="E107" i="5" a="1"/>
  <c r="E107" i="5" s="1"/>
  <c r="E108" i="5" a="1"/>
  <c r="E108" i="5" s="1"/>
  <c r="E109" i="5" a="1"/>
  <c r="E109" i="5" s="1"/>
  <c r="E110" i="5" a="1"/>
  <c r="E110" i="5" s="1"/>
  <c r="E111" i="5" a="1"/>
  <c r="E111" i="5" s="1"/>
  <c r="E112" i="5" a="1"/>
  <c r="E112" i="5" s="1"/>
  <c r="E113" i="5" a="1"/>
  <c r="E113" i="5" s="1"/>
  <c r="E114" i="5" a="1"/>
  <c r="E114" i="5" s="1"/>
  <c r="E115" i="5" a="1"/>
  <c r="E115" i="5" s="1"/>
  <c r="E116" i="5" a="1"/>
  <c r="E116" i="5" s="1"/>
  <c r="E117" i="5" a="1"/>
  <c r="E117" i="5" s="1"/>
  <c r="E118" i="5" a="1"/>
  <c r="E118" i="5"/>
  <c r="E119" i="5" a="1"/>
  <c r="E119" i="5" s="1"/>
  <c r="E120" i="5" a="1"/>
  <c r="E120" i="5" s="1"/>
  <c r="E121" i="5" a="1"/>
  <c r="E121" i="5"/>
  <c r="E122" i="5" a="1"/>
  <c r="E122" i="5" s="1"/>
  <c r="E123" i="5" a="1"/>
  <c r="E123" i="5" s="1"/>
  <c r="E124" i="5" a="1"/>
  <c r="E124" i="5" s="1"/>
  <c r="E125" i="5" a="1"/>
  <c r="E125" i="5"/>
  <c r="E126" i="5" a="1"/>
  <c r="E126" i="5" s="1"/>
  <c r="E127" i="5" a="1"/>
  <c r="E127" i="5"/>
  <c r="E128" i="5" a="1"/>
  <c r="E128" i="5"/>
  <c r="E129" i="5" a="1"/>
  <c r="E129" i="5" s="1"/>
  <c r="E130" i="5" a="1"/>
  <c r="E130" i="5"/>
  <c r="E131" i="5" a="1"/>
  <c r="E131" i="5" s="1"/>
  <c r="E132" i="5" a="1"/>
  <c r="E132" i="5" s="1"/>
  <c r="E133" i="5" a="1"/>
  <c r="E133" i="5" s="1"/>
  <c r="E134" i="5" a="1"/>
  <c r="E134" i="5"/>
  <c r="E135" i="5" a="1"/>
  <c r="E135" i="5" s="1"/>
  <c r="E136" i="5" a="1"/>
  <c r="E136" i="5"/>
  <c r="E137" i="5" a="1"/>
  <c r="E137" i="5" s="1"/>
  <c r="E138" i="5" a="1"/>
  <c r="E138" i="5" s="1"/>
  <c r="E139" i="5" a="1"/>
  <c r="E139" i="5"/>
  <c r="E140" i="5" a="1"/>
  <c r="E140" i="5" s="1"/>
  <c r="E141" i="5" a="1"/>
  <c r="E141" i="5" s="1"/>
  <c r="E142" i="5" a="1"/>
  <c r="E142" i="5"/>
  <c r="E143" i="5" a="1"/>
  <c r="E143" i="5"/>
  <c r="E144" i="5" a="1"/>
  <c r="E144" i="5" s="1"/>
  <c r="E145" i="5" a="1"/>
  <c r="E145" i="5"/>
  <c r="E146" i="5" a="1"/>
  <c r="E146" i="5"/>
  <c r="E147" i="5" a="1"/>
  <c r="E147" i="5" s="1"/>
  <c r="E148" i="5" a="1"/>
  <c r="E148" i="5" s="1"/>
  <c r="E149" i="5" a="1"/>
  <c r="E149" i="5"/>
  <c r="E150" i="5" a="1"/>
  <c r="E150" i="5" s="1"/>
  <c r="E151" i="5" a="1"/>
  <c r="E151" i="5" s="1"/>
  <c r="E152" i="5" a="1"/>
  <c r="E152" i="5"/>
  <c r="E153" i="5" a="1"/>
  <c r="E153" i="5" s="1"/>
  <c r="E154" i="5" a="1"/>
  <c r="E154" i="5"/>
  <c r="E155" i="5" a="1"/>
  <c r="E155" i="5" s="1"/>
  <c r="E156" i="5" a="1"/>
  <c r="E156" i="5" s="1"/>
  <c r="E157" i="5" a="1"/>
  <c r="E157" i="5"/>
  <c r="E158" i="5" a="1"/>
  <c r="E158" i="5" s="1"/>
  <c r="E159" i="5" a="1"/>
  <c r="E159" i="5" s="1"/>
  <c r="E160" i="5" a="1"/>
  <c r="E160" i="5" s="1"/>
  <c r="E161" i="5" a="1"/>
  <c r="E161" i="5"/>
  <c r="E162" i="5" a="1"/>
  <c r="E162" i="5" s="1"/>
  <c r="E163" i="5" a="1"/>
  <c r="E163" i="5"/>
  <c r="E164" i="5" a="1"/>
  <c r="E164" i="5"/>
  <c r="E165" i="5" a="1"/>
  <c r="E165" i="5" s="1"/>
  <c r="E166" i="5" a="1"/>
  <c r="E166" i="5" s="1"/>
  <c r="E167" i="5" a="1"/>
  <c r="E167" i="5" s="1"/>
  <c r="E168" i="5" a="1"/>
  <c r="E168" i="5" s="1"/>
  <c r="E169" i="5" a="1"/>
  <c r="E169" i="5" s="1"/>
  <c r="E170" i="5" a="1"/>
  <c r="E170" i="5"/>
  <c r="E171" i="5" a="1"/>
  <c r="E171" i="5" s="1"/>
  <c r="E172" i="5" a="1"/>
  <c r="E172" i="5"/>
  <c r="E173" i="5" a="1"/>
  <c r="E173" i="5" s="1"/>
  <c r="E174" i="5" a="1"/>
  <c r="E174" i="5" s="1"/>
  <c r="E175" i="5" a="1"/>
  <c r="E175" i="5"/>
  <c r="E176" i="5" a="1"/>
  <c r="E176" i="5" s="1"/>
  <c r="E177" i="5" a="1"/>
  <c r="E177" i="5" s="1"/>
  <c r="E178" i="5" a="1"/>
  <c r="E178" i="5"/>
  <c r="E179" i="5" a="1"/>
  <c r="E179" i="5"/>
  <c r="E180" i="5" a="1"/>
  <c r="E180" i="5" s="1"/>
  <c r="E181" i="5" a="1"/>
  <c r="E181" i="5"/>
  <c r="E182" i="5" a="1"/>
  <c r="E182" i="5"/>
  <c r="E183" i="5" a="1"/>
  <c r="E183" i="5" s="1"/>
  <c r="E184" i="5" a="1"/>
  <c r="E184" i="5" s="1"/>
  <c r="E185" i="5" a="1"/>
  <c r="E185" i="5"/>
  <c r="E186" i="5" a="1"/>
  <c r="E186" i="5" s="1"/>
  <c r="E187" i="5" a="1"/>
  <c r="E187" i="5"/>
  <c r="E188" i="5" a="1"/>
  <c r="E188" i="5"/>
  <c r="E189" i="5" a="1"/>
  <c r="E189" i="5" s="1"/>
  <c r="E190" i="5" a="1"/>
  <c r="E190" i="5"/>
  <c r="E191" i="5" a="1"/>
  <c r="E191" i="5" s="1"/>
  <c r="E192" i="5" a="1"/>
  <c r="E192" i="5" s="1"/>
  <c r="E193" i="5" a="1"/>
  <c r="E193" i="5"/>
  <c r="E194" i="5" a="1"/>
  <c r="E194" i="5"/>
  <c r="E195" i="5" a="1"/>
  <c r="E195" i="5" s="1"/>
  <c r="E196" i="5" a="1"/>
  <c r="E196" i="5" s="1"/>
  <c r="E197" i="5" a="1"/>
  <c r="E197" i="5"/>
  <c r="E198" i="5" a="1"/>
  <c r="E198" i="5" s="1"/>
  <c r="E199" i="5" a="1"/>
  <c r="E199" i="5"/>
  <c r="E200" i="5" a="1"/>
  <c r="E200" i="5"/>
  <c r="E201" i="5" a="1"/>
  <c r="E201" i="5" s="1"/>
  <c r="E202" i="5" a="1"/>
  <c r="E202" i="5" s="1"/>
  <c r="E203" i="5" a="1"/>
  <c r="E203" i="5" s="1"/>
  <c r="E204" i="5" a="1"/>
  <c r="E204" i="5" s="1"/>
  <c r="E205" i="5" a="1"/>
  <c r="E205" i="5" s="1"/>
  <c r="E206" i="5" a="1"/>
  <c r="E206" i="5"/>
  <c r="E207" i="5" a="1"/>
  <c r="E207" i="5" s="1"/>
  <c r="E208" i="5" a="1"/>
  <c r="E208" i="5"/>
  <c r="E209" i="5" a="1"/>
  <c r="E209" i="5" s="1"/>
  <c r="E210" i="5" a="1"/>
  <c r="E210" i="5" s="1"/>
  <c r="E211" i="5" a="1"/>
  <c r="E211" i="5"/>
  <c r="E212" i="5" a="1"/>
  <c r="E212" i="5" s="1"/>
  <c r="E213" i="5" a="1"/>
  <c r="E213" i="5" s="1"/>
  <c r="E214" i="5" a="1"/>
  <c r="E214" i="5"/>
  <c r="E215" i="5" a="1"/>
  <c r="E215" i="5"/>
  <c r="E216" i="5" a="1"/>
  <c r="E216" i="5" s="1"/>
  <c r="E217" i="5" a="1"/>
  <c r="E217" i="5"/>
  <c r="E218" i="5" a="1"/>
  <c r="E218" i="5"/>
  <c r="E219" i="5" a="1"/>
  <c r="E219" i="5" s="1"/>
  <c r="E220" i="5" a="1"/>
  <c r="E220" i="5" s="1"/>
  <c r="E221" i="5" a="1"/>
  <c r="E221" i="5"/>
  <c r="E222" i="5" a="1"/>
  <c r="E222" i="5" s="1"/>
  <c r="E223" i="5" a="1"/>
  <c r="E223" i="5"/>
  <c r="E224" i="5" a="1"/>
  <c r="E224" i="5"/>
  <c r="E225" i="5" a="1"/>
  <c r="E225" i="5" s="1"/>
  <c r="E226" i="5" a="1"/>
  <c r="E226" i="5"/>
  <c r="E227" i="5" a="1"/>
  <c r="E227" i="5" s="1"/>
  <c r="E228" i="5" a="1"/>
  <c r="E228" i="5" s="1"/>
  <c r="E229" i="5" a="1"/>
  <c r="E229" i="5"/>
  <c r="E230" i="5" a="1"/>
  <c r="E230" i="5"/>
  <c r="E231" i="5" a="1"/>
  <c r="E231" i="5" s="1"/>
  <c r="E232" i="5" a="1"/>
  <c r="E232" i="5" s="1"/>
  <c r="E233" i="5" a="1"/>
  <c r="E233" i="5"/>
  <c r="E234" i="5" a="1"/>
  <c r="E234" i="5" s="1"/>
  <c r="E235" i="5" a="1"/>
  <c r="E235" i="5"/>
  <c r="E236" i="5" a="1"/>
  <c r="E236" i="5"/>
  <c r="E237" i="5" a="1"/>
  <c r="E237" i="5" s="1"/>
  <c r="E238" i="5" a="1"/>
  <c r="E238" i="5" s="1"/>
  <c r="E239" i="5" a="1"/>
  <c r="E239" i="5" s="1"/>
  <c r="E240" i="5" a="1"/>
  <c r="E240" i="5" s="1"/>
  <c r="E241" i="5" a="1"/>
  <c r="E241" i="5" s="1"/>
  <c r="E242" i="5" a="1"/>
  <c r="E242" i="5"/>
  <c r="E243" i="5" a="1"/>
  <c r="E243" i="5" s="1"/>
  <c r="E244" i="5" a="1"/>
  <c r="E244" i="5"/>
  <c r="E245" i="5" a="1"/>
  <c r="E245" i="5" s="1"/>
  <c r="E246" i="5" a="1"/>
  <c r="E246" i="5" s="1"/>
  <c r="E247" i="5" a="1"/>
  <c r="E247" i="5"/>
  <c r="E248" i="5" a="1"/>
  <c r="E248" i="5" s="1"/>
  <c r="E249" i="5" a="1"/>
  <c r="E249" i="5" s="1"/>
  <c r="E250" i="5" a="1"/>
  <c r="E250" i="5"/>
  <c r="E251" i="5" a="1"/>
  <c r="E251" i="5"/>
  <c r="E252" i="5" a="1"/>
  <c r="E252" i="5" s="1"/>
  <c r="E253" i="5" a="1"/>
  <c r="E253" i="5"/>
  <c r="E254" i="5" a="1"/>
  <c r="E254" i="5"/>
  <c r="E255" i="5" a="1"/>
  <c r="E255" i="5" s="1"/>
  <c r="E256" i="5" a="1"/>
  <c r="E256" i="5" s="1"/>
  <c r="E257" i="5" a="1"/>
  <c r="E257" i="5"/>
  <c r="E258" i="5" a="1"/>
  <c r="E258" i="5" s="1"/>
  <c r="E259" i="5" a="1"/>
  <c r="E259" i="5"/>
  <c r="E260" i="5" a="1"/>
  <c r="E260" i="5"/>
  <c r="E261" i="5" a="1"/>
  <c r="E261" i="5" s="1"/>
  <c r="E262" i="5" a="1"/>
  <c r="E262" i="5"/>
  <c r="E263" i="5" a="1"/>
  <c r="E263" i="5" s="1"/>
  <c r="E264" i="5" a="1"/>
  <c r="E264" i="5" s="1"/>
  <c r="E265" i="5" a="1"/>
  <c r="E265" i="5"/>
  <c r="E266" i="5" a="1"/>
  <c r="E266" i="5"/>
  <c r="E267" i="5" a="1"/>
  <c r="E267" i="5" s="1"/>
  <c r="E268" i="5" a="1"/>
  <c r="E268" i="5" s="1"/>
  <c r="E269" i="5" a="1"/>
  <c r="E269" i="5"/>
  <c r="E270" i="5" a="1"/>
  <c r="E270" i="5" s="1"/>
  <c r="E271" i="5" a="1"/>
  <c r="E271" i="5"/>
  <c r="E272" i="5" a="1"/>
  <c r="E272" i="5"/>
  <c r="E273" i="5" a="1"/>
  <c r="E273" i="5" s="1"/>
  <c r="E274" i="5" a="1"/>
  <c r="E274" i="5" s="1"/>
  <c r="E275" i="5" a="1"/>
  <c r="E275" i="5" s="1"/>
  <c r="E276" i="5" a="1"/>
  <c r="E276" i="5" s="1"/>
  <c r="E277" i="5" a="1"/>
  <c r="E277" i="5" s="1"/>
  <c r="E278" i="5" a="1"/>
  <c r="E278" i="5"/>
  <c r="E279" i="5" a="1"/>
  <c r="E279" i="5" s="1"/>
  <c r="E280" i="5" a="1"/>
  <c r="E280" i="5"/>
  <c r="E281" i="5" a="1"/>
  <c r="E281" i="5" s="1"/>
  <c r="E282" i="5" a="1"/>
  <c r="E282" i="5" s="1"/>
  <c r="E283" i="5" a="1"/>
  <c r="E283" i="5"/>
  <c r="E284" i="5" a="1"/>
  <c r="E284" i="5" s="1"/>
  <c r="E285" i="5" a="1"/>
  <c r="E285" i="5" s="1"/>
  <c r="E286" i="5" a="1"/>
  <c r="E286" i="5"/>
  <c r="E287" i="5" a="1"/>
  <c r="E287" i="5"/>
  <c r="E288" i="5" a="1"/>
  <c r="E288" i="5" s="1"/>
  <c r="E289" i="5" a="1"/>
  <c r="E289" i="5"/>
  <c r="E290" i="5" a="1"/>
  <c r="E290" i="5"/>
  <c r="E291" i="5" a="1"/>
  <c r="E291" i="5" s="1"/>
  <c r="E292" i="5" a="1"/>
  <c r="E292" i="5" s="1"/>
  <c r="E293" i="5" a="1"/>
  <c r="E293" i="5"/>
  <c r="E294" i="5" a="1"/>
  <c r="E294" i="5" s="1"/>
  <c r="E295" i="5" a="1"/>
  <c r="E295" i="5"/>
  <c r="E296" i="5" a="1"/>
  <c r="E296" i="5"/>
  <c r="E297" i="5" a="1"/>
  <c r="E297" i="5" s="1"/>
  <c r="E298" i="5" a="1"/>
  <c r="E298" i="5"/>
  <c r="E299" i="5" a="1"/>
  <c r="E299" i="5" s="1"/>
  <c r="E300" i="5" a="1"/>
  <c r="E300" i="5" s="1"/>
  <c r="E301" i="5" a="1"/>
  <c r="E301" i="5"/>
  <c r="E302" i="5" a="1"/>
  <c r="E302" i="5"/>
  <c r="E303" i="5" a="1"/>
  <c r="E303" i="5" s="1"/>
  <c r="E304" i="5" a="1"/>
  <c r="E304" i="5" s="1"/>
  <c r="E305" i="5" a="1"/>
  <c r="E305" i="5"/>
  <c r="E306" i="5" a="1"/>
  <c r="E306" i="5" s="1"/>
  <c r="E307" i="5" a="1"/>
  <c r="E307" i="5"/>
  <c r="E308" i="5" a="1"/>
  <c r="E308" i="5"/>
  <c r="E309" i="5" a="1"/>
  <c r="E309" i="5" s="1"/>
  <c r="E310" i="5" a="1"/>
  <c r="E310" i="5" s="1"/>
  <c r="E311" i="5" a="1"/>
  <c r="E311" i="5" s="1"/>
  <c r="E312" i="5" a="1"/>
  <c r="E312" i="5" s="1"/>
  <c r="E313" i="5" a="1"/>
  <c r="E313" i="5" s="1"/>
  <c r="E314" i="5" a="1"/>
  <c r="E314" i="5"/>
  <c r="E315" i="5" a="1"/>
  <c r="E315" i="5" s="1"/>
  <c r="E316" i="5" a="1"/>
  <c r="E316" i="5"/>
  <c r="E317" i="5" a="1"/>
  <c r="E317" i="5" s="1"/>
  <c r="E318" i="5" a="1"/>
  <c r="E318" i="5" s="1"/>
  <c r="E319" i="5" a="1"/>
  <c r="E319" i="5"/>
  <c r="E320" i="5" a="1"/>
  <c r="E320" i="5" s="1"/>
  <c r="E321" i="5" a="1"/>
  <c r="E321" i="5" s="1"/>
  <c r="E322" i="5" a="1"/>
  <c r="E322" i="5"/>
  <c r="E323" i="5" a="1"/>
  <c r="E323" i="5"/>
  <c r="E324" i="5" a="1"/>
  <c r="E324" i="5" s="1"/>
  <c r="E325" i="5" a="1"/>
  <c r="E325" i="5"/>
  <c r="E326" i="5" a="1"/>
  <c r="E326" i="5"/>
  <c r="E327" i="5" a="1"/>
  <c r="E327" i="5" s="1"/>
  <c r="E328" i="5" a="1"/>
  <c r="E328" i="5" s="1"/>
  <c r="E329" i="5" a="1"/>
  <c r="E329" i="5"/>
  <c r="E330" i="5" a="1"/>
  <c r="E330" i="5" s="1"/>
  <c r="E331" i="5" a="1"/>
  <c r="E331" i="5"/>
  <c r="E332" i="5" a="1"/>
  <c r="E332" i="5"/>
  <c r="E333" i="5" a="1"/>
  <c r="E333" i="5" s="1"/>
  <c r="E334" i="5" a="1"/>
  <c r="E334" i="5"/>
  <c r="E335" i="5" a="1"/>
  <c r="E335" i="5" s="1"/>
  <c r="E336" i="5" a="1"/>
  <c r="E336" i="5" s="1"/>
  <c r="E337" i="5" a="1"/>
  <c r="E337" i="5"/>
  <c r="E338" i="5" a="1"/>
  <c r="E338" i="5"/>
  <c r="E339" i="5" a="1"/>
  <c r="E339" i="5" s="1"/>
  <c r="E340" i="5" a="1"/>
  <c r="E340" i="5" s="1"/>
  <c r="E341" i="5" a="1"/>
  <c r="E341" i="5"/>
  <c r="E342" i="5" a="1"/>
  <c r="E342" i="5" s="1"/>
  <c r="E343" i="5" a="1"/>
  <c r="E343" i="5"/>
  <c r="E344" i="5" a="1"/>
  <c r="E344" i="5"/>
  <c r="E345" i="5" a="1"/>
  <c r="E345" i="5" s="1"/>
  <c r="E346" i="5" a="1"/>
  <c r="E346" i="5" s="1"/>
  <c r="E347" i="5" a="1"/>
  <c r="E347" i="5" s="1"/>
  <c r="E348" i="5" a="1"/>
  <c r="E348" i="5" s="1"/>
  <c r="E349" i="5" a="1"/>
  <c r="E349" i="5" s="1"/>
  <c r="E350" i="5" a="1"/>
  <c r="E350" i="5"/>
  <c r="E351" i="5" a="1"/>
  <c r="E351" i="5" s="1"/>
  <c r="E352" i="5" a="1"/>
  <c r="E352" i="5"/>
  <c r="E353" i="5" a="1"/>
  <c r="E353" i="5" s="1"/>
  <c r="E354" i="5" a="1"/>
  <c r="E354" i="5" s="1"/>
  <c r="E355" i="5" a="1"/>
  <c r="E355" i="5"/>
  <c r="E356" i="5" a="1"/>
  <c r="E356" i="5" s="1"/>
  <c r="E357" i="5" a="1"/>
  <c r="E357" i="5" s="1"/>
  <c r="E358" i="5" a="1"/>
  <c r="E358" i="5"/>
  <c r="E359" i="5" a="1"/>
  <c r="E359" i="5"/>
  <c r="E360" i="5" a="1"/>
  <c r="E360" i="5" s="1"/>
  <c r="E361" i="5" a="1"/>
  <c r="E361" i="5"/>
  <c r="E362" i="5" a="1"/>
  <c r="E362" i="5"/>
  <c r="E363" i="5" a="1"/>
  <c r="E363" i="5" s="1"/>
  <c r="E364" i="5" a="1"/>
  <c r="E364" i="5" s="1"/>
  <c r="E365" i="5" a="1"/>
  <c r="E365" i="5"/>
  <c r="E366" i="5" a="1"/>
  <c r="E366" i="5" s="1"/>
  <c r="E367" i="5" a="1"/>
  <c r="E367" i="5"/>
  <c r="E368" i="5" a="1"/>
  <c r="E368" i="5"/>
  <c r="E369" i="5" a="1"/>
  <c r="E369" i="5" s="1"/>
  <c r="E370" i="5" a="1"/>
  <c r="E370" i="5"/>
  <c r="E371" i="5" a="1"/>
  <c r="E371" i="5" s="1"/>
  <c r="E372" i="5" a="1"/>
  <c r="E372" i="5" s="1"/>
  <c r="E373" i="5" a="1"/>
  <c r="E373" i="5"/>
  <c r="E374" i="5" a="1"/>
  <c r="E374" i="5"/>
  <c r="E375" i="5" a="1"/>
  <c r="E375" i="5" s="1"/>
  <c r="E376" i="5" a="1"/>
  <c r="E376" i="5" s="1"/>
  <c r="E377" i="5" a="1"/>
  <c r="E377" i="5"/>
  <c r="E378" i="5" a="1"/>
  <c r="E378" i="5" s="1"/>
  <c r="E379" i="5" a="1"/>
  <c r="E379" i="5"/>
  <c r="E380" i="5" a="1"/>
  <c r="E380" i="5"/>
  <c r="E381" i="5" a="1"/>
  <c r="E381" i="5" s="1"/>
  <c r="E382" i="5" a="1"/>
  <c r="E382" i="5" s="1"/>
  <c r="E383" i="5" a="1"/>
  <c r="E383" i="5" s="1"/>
  <c r="E384" i="5" a="1"/>
  <c r="E384" i="5" s="1"/>
  <c r="E385" i="5" a="1"/>
  <c r="E385" i="5" s="1"/>
  <c r="E386" i="5" a="1"/>
  <c r="E386" i="5"/>
  <c r="E387" i="5" a="1"/>
  <c r="E387" i="5" s="1"/>
  <c r="E388" i="5" a="1"/>
  <c r="E388" i="5"/>
  <c r="E389" i="5" a="1"/>
  <c r="E389" i="5" s="1"/>
  <c r="E390" i="5" a="1"/>
  <c r="E390" i="5" s="1"/>
  <c r="E391" i="5" a="1"/>
  <c r="E391" i="5"/>
  <c r="E392" i="5" a="1"/>
  <c r="E392" i="5" s="1"/>
  <c r="E393" i="5" a="1"/>
  <c r="E393" i="5" s="1"/>
  <c r="E394" i="5" a="1"/>
  <c r="E394" i="5"/>
  <c r="E395" i="5" a="1"/>
  <c r="E395" i="5"/>
  <c r="E396" i="5" a="1"/>
  <c r="E396" i="5" s="1"/>
  <c r="E397" i="5" a="1"/>
  <c r="E397" i="5"/>
  <c r="E398" i="5" a="1"/>
  <c r="E398" i="5"/>
  <c r="E399" i="5" a="1"/>
  <c r="E399" i="5" s="1"/>
  <c r="E400" i="5" a="1"/>
  <c r="E400" i="5" s="1"/>
  <c r="E401" i="5" a="1"/>
  <c r="E401" i="5"/>
  <c r="E402" i="5" a="1"/>
  <c r="E402" i="5" s="1"/>
  <c r="E403" i="5" a="1"/>
  <c r="E403" i="5"/>
  <c r="E404" i="5" a="1"/>
  <c r="E404" i="5"/>
  <c r="E405" i="5" a="1"/>
  <c r="E405" i="5" s="1"/>
  <c r="E406" i="5" a="1"/>
  <c r="E406" i="5"/>
  <c r="E407" i="5" a="1"/>
  <c r="E407" i="5" s="1"/>
  <c r="E408" i="5" a="1"/>
  <c r="E408" i="5" s="1"/>
  <c r="E409" i="5" a="1"/>
  <c r="E409" i="5"/>
  <c r="E410" i="5" a="1"/>
  <c r="E410" i="5"/>
  <c r="E411" i="5" a="1"/>
  <c r="E411" i="5" s="1"/>
  <c r="E412" i="5" a="1"/>
  <c r="E412" i="5" s="1"/>
  <c r="E413" i="5" a="1"/>
  <c r="E413" i="5"/>
  <c r="E414" i="5" a="1"/>
  <c r="E414" i="5" s="1"/>
  <c r="E415" i="5" a="1"/>
  <c r="E415" i="5"/>
  <c r="E416" i="5" a="1"/>
  <c r="E416" i="5"/>
  <c r="E417" i="5" a="1"/>
  <c r="E417" i="5" s="1"/>
  <c r="E418" i="5" a="1"/>
  <c r="E418" i="5" s="1"/>
  <c r="E419" i="5" a="1"/>
  <c r="E419" i="5" s="1"/>
  <c r="E420" i="5" a="1"/>
  <c r="E420" i="5" s="1"/>
  <c r="E421" i="5" a="1"/>
  <c r="E421" i="5" s="1"/>
  <c r="E422" i="5" a="1"/>
  <c r="E422" i="5"/>
  <c r="E423" i="5" a="1"/>
  <c r="E423" i="5" s="1"/>
  <c r="E424" i="5" a="1"/>
  <c r="E424" i="5"/>
  <c r="E425" i="5" a="1"/>
  <c r="E425" i="5" s="1"/>
  <c r="E426" i="5" a="1"/>
  <c r="E426" i="5" s="1"/>
  <c r="E427" i="5" a="1"/>
  <c r="E427" i="5"/>
  <c r="E428" i="5" a="1"/>
  <c r="E428" i="5" s="1"/>
  <c r="E429" i="5" a="1"/>
  <c r="E429" i="5" s="1"/>
  <c r="E430" i="5" a="1"/>
  <c r="E430" i="5"/>
  <c r="E431" i="5" a="1"/>
  <c r="E431" i="5"/>
  <c r="E432" i="5" a="1"/>
  <c r="E432" i="5" s="1"/>
  <c r="E433" i="5" a="1"/>
  <c r="E433" i="5"/>
  <c r="E434" i="5" a="1"/>
  <c r="E434" i="5"/>
  <c r="E435" i="5" a="1"/>
  <c r="E435" i="5" s="1"/>
  <c r="E436" i="5" a="1"/>
  <c r="E436" i="5" s="1"/>
  <c r="E437" i="5" a="1"/>
  <c r="E437" i="5"/>
  <c r="E438" i="5" a="1"/>
  <c r="E438" i="5" s="1"/>
  <c r="E439" i="5" a="1"/>
  <c r="E439" i="5"/>
  <c r="E440" i="5" a="1"/>
  <c r="E440" i="5"/>
  <c r="E441" i="5" a="1"/>
  <c r="E441" i="5" s="1"/>
  <c r="E442" i="5" a="1"/>
  <c r="E442" i="5"/>
  <c r="E443" i="5" a="1"/>
  <c r="E443" i="5" s="1"/>
  <c r="E444" i="5" a="1"/>
  <c r="E444" i="5" s="1"/>
  <c r="E445" i="5" a="1"/>
  <c r="E445" i="5"/>
  <c r="E446" i="5" a="1"/>
  <c r="E446" i="5"/>
  <c r="E447" i="5" a="1"/>
  <c r="E447" i="5" s="1"/>
  <c r="E448" i="5" a="1"/>
  <c r="E448" i="5" s="1"/>
  <c r="E449" i="5" a="1"/>
  <c r="E449" i="5"/>
  <c r="E450" i="5" a="1"/>
  <c r="E450" i="5" s="1"/>
  <c r="E451" i="5" a="1"/>
  <c r="E451" i="5"/>
  <c r="E452" i="5" a="1"/>
  <c r="E452" i="5"/>
  <c r="E453" i="5" a="1"/>
  <c r="E453" i="5" s="1"/>
  <c r="E454" i="5" a="1"/>
  <c r="E454" i="5" s="1"/>
  <c r="E455" i="5" a="1"/>
  <c r="E455" i="5" s="1"/>
  <c r="E456" i="5" a="1"/>
  <c r="E456" i="5" s="1"/>
  <c r="E457" i="5" a="1"/>
  <c r="E457" i="5" s="1"/>
  <c r="E458" i="5" a="1"/>
  <c r="E458" i="5"/>
  <c r="E459" i="5" a="1"/>
  <c r="E459" i="5" s="1"/>
  <c r="E460" i="5" a="1"/>
  <c r="E460" i="5"/>
  <c r="E461" i="5" a="1"/>
  <c r="E461" i="5" s="1"/>
  <c r="E462" i="5" a="1"/>
  <c r="E462" i="5" s="1"/>
  <c r="E463" i="5" a="1"/>
  <c r="E463" i="5"/>
  <c r="E464" i="5" a="1"/>
  <c r="E464" i="5" s="1"/>
  <c r="E465" i="5" a="1"/>
  <c r="E465" i="5" s="1"/>
  <c r="E466" i="5" a="1"/>
  <c r="E466" i="5"/>
  <c r="E467" i="5" a="1"/>
  <c r="E467" i="5"/>
  <c r="E468" i="5" a="1"/>
  <c r="E468" i="5" s="1"/>
  <c r="E469" i="5" a="1"/>
  <c r="E469" i="5"/>
  <c r="E470" i="5" a="1"/>
  <c r="E470" i="5"/>
  <c r="E471" i="5" a="1"/>
  <c r="E471" i="5" s="1"/>
  <c r="E472" i="5" a="1"/>
  <c r="E472" i="5" s="1"/>
  <c r="E473" i="5" a="1"/>
  <c r="E473" i="5"/>
  <c r="E474" i="5" a="1"/>
  <c r="E474" i="5" s="1"/>
  <c r="E475" i="5" a="1"/>
  <c r="E475" i="5"/>
  <c r="E476" i="5" a="1"/>
  <c r="E476" i="5"/>
  <c r="E477" i="5" a="1"/>
  <c r="E477" i="5" s="1"/>
  <c r="E478" i="5" a="1"/>
  <c r="E478" i="5"/>
  <c r="E479" i="5" a="1"/>
  <c r="E479" i="5" s="1"/>
  <c r="E480" i="5" a="1"/>
  <c r="E480" i="5" s="1"/>
  <c r="E481" i="5" a="1"/>
  <c r="E481" i="5"/>
  <c r="E482" i="5" a="1"/>
  <c r="E482" i="5"/>
  <c r="E483" i="5" a="1"/>
  <c r="E483" i="5" s="1"/>
  <c r="E484" i="5" a="1"/>
  <c r="E484" i="5" s="1"/>
  <c r="E485" i="5" a="1"/>
  <c r="E485" i="5"/>
  <c r="E486" i="5" a="1"/>
  <c r="E486" i="5" s="1"/>
  <c r="E487" i="5" a="1"/>
  <c r="E487" i="5"/>
  <c r="E488" i="5" a="1"/>
  <c r="E488" i="5"/>
  <c r="E489" i="5" a="1"/>
  <c r="E489" i="5" s="1"/>
  <c r="E490" i="5" a="1"/>
  <c r="E490" i="5" s="1"/>
  <c r="E491" i="5" a="1"/>
  <c r="E491" i="5" s="1"/>
  <c r="E492" i="5" a="1"/>
  <c r="E492" i="5" s="1"/>
  <c r="E493" i="5" a="1"/>
  <c r="E493" i="5" s="1"/>
  <c r="E494" i="5" a="1"/>
  <c r="E494" i="5"/>
  <c r="E495" i="5" a="1"/>
  <c r="E495" i="5" s="1"/>
  <c r="E496" i="5" a="1"/>
  <c r="E496" i="5"/>
  <c r="E497" i="5" a="1"/>
  <c r="E497" i="5" s="1"/>
  <c r="E498" i="5" a="1"/>
  <c r="E498" i="5" s="1"/>
  <c r="E499" i="5" a="1"/>
  <c r="E499" i="5"/>
  <c r="E500" i="5" a="1"/>
  <c r="E500" i="5" s="1"/>
  <c r="E501" i="5" a="1"/>
  <c r="E501" i="5" s="1"/>
  <c r="E502" i="5" a="1"/>
  <c r="E502" i="5"/>
  <c r="E503" i="5" a="1"/>
  <c r="E503" i="5"/>
  <c r="E504" i="5" a="1"/>
  <c r="E504" i="5" s="1"/>
  <c r="E505" i="5" a="1"/>
  <c r="E505" i="5"/>
  <c r="E506" i="5" a="1"/>
  <c r="E506" i="5"/>
  <c r="E507" i="5" a="1"/>
  <c r="E507" i="5" s="1"/>
  <c r="E508" i="5" a="1"/>
  <c r="E508" i="5" s="1"/>
  <c r="E509" i="5" a="1"/>
  <c r="E509" i="5"/>
  <c r="E510" i="5" a="1"/>
  <c r="E510" i="5" s="1"/>
  <c r="E511" i="5" a="1"/>
  <c r="E511" i="5"/>
  <c r="E512" i="5" a="1"/>
  <c r="E512" i="5"/>
  <c r="E513" i="5" a="1"/>
  <c r="E513" i="5" s="1"/>
  <c r="E514" i="5" a="1"/>
  <c r="E514" i="5"/>
  <c r="E515" i="5" a="1"/>
  <c r="E515" i="5" s="1"/>
  <c r="E516" i="5" a="1"/>
  <c r="E516" i="5" s="1"/>
  <c r="E517" i="5" a="1"/>
  <c r="E517" i="5"/>
  <c r="E518" i="5" a="1"/>
  <c r="E518" i="5"/>
  <c r="E519" i="5" a="1"/>
  <c r="E519" i="5" s="1"/>
  <c r="E520" i="5" a="1"/>
  <c r="E520" i="5" s="1"/>
  <c r="E521" i="5" a="1"/>
  <c r="E521" i="5"/>
  <c r="E522" i="5" a="1"/>
  <c r="E522" i="5" s="1"/>
  <c r="E523" i="5" a="1"/>
  <c r="E523" i="5"/>
  <c r="E524" i="5" a="1"/>
  <c r="E524" i="5"/>
  <c r="E525" i="5" a="1"/>
  <c r="E525" i="5" s="1"/>
  <c r="E526" i="5" a="1"/>
  <c r="E526" i="5" s="1"/>
  <c r="E527" i="5" a="1"/>
  <c r="E527" i="5" s="1"/>
  <c r="E528" i="5" a="1"/>
  <c r="E528" i="5" s="1"/>
  <c r="E529" i="5" a="1"/>
  <c r="E529" i="5" s="1"/>
  <c r="E530" i="5" a="1"/>
  <c r="E530" i="5"/>
  <c r="E531" i="5" a="1"/>
  <c r="E531" i="5" s="1"/>
  <c r="E532" i="5" a="1"/>
  <c r="E532" i="5"/>
  <c r="E533" i="5" a="1"/>
  <c r="E533" i="5" s="1"/>
  <c r="E534" i="5" a="1"/>
  <c r="E534" i="5" s="1"/>
  <c r="E535" i="5" a="1"/>
  <c r="E535" i="5"/>
  <c r="E536" i="5" a="1"/>
  <c r="E536" i="5" s="1"/>
  <c r="E537" i="5" a="1"/>
  <c r="E537" i="5" s="1"/>
  <c r="E538" i="5" a="1"/>
  <c r="E538" i="5"/>
  <c r="E539" i="5" a="1"/>
  <c r="E539" i="5"/>
  <c r="E540" i="5" a="1"/>
  <c r="E540" i="5" s="1"/>
  <c r="E541" i="5" a="1"/>
  <c r="E541" i="5"/>
  <c r="E542" i="5" a="1"/>
  <c r="E542" i="5"/>
  <c r="E543" i="5" a="1"/>
  <c r="E543" i="5" s="1"/>
  <c r="E544" i="5" a="1"/>
  <c r="E544" i="5" s="1"/>
  <c r="E545" i="5" a="1"/>
  <c r="E545" i="5"/>
  <c r="E546" i="5" a="1"/>
  <c r="E546" i="5"/>
  <c r="E547" i="5" a="1"/>
  <c r="E547" i="5" s="1"/>
  <c r="E548" i="5" a="1"/>
  <c r="E548" i="5" s="1"/>
  <c r="E549" i="5" a="1"/>
  <c r="E549" i="5"/>
  <c r="E550" i="5" a="1"/>
  <c r="E550" i="5" s="1"/>
  <c r="E551" i="5" a="1"/>
  <c r="E551" i="5"/>
  <c r="E552" i="5" a="1"/>
  <c r="E552" i="5"/>
  <c r="E553" i="5" a="1"/>
  <c r="E553" i="5" s="1"/>
  <c r="E554" i="5" a="1"/>
  <c r="E554" i="5" s="1"/>
  <c r="E555" i="5" a="1"/>
  <c r="E555" i="5"/>
  <c r="E556" i="5" a="1"/>
  <c r="E556" i="5" s="1"/>
  <c r="E557" i="5" a="1"/>
  <c r="E557" i="5"/>
  <c r="E558" i="5" a="1"/>
  <c r="E558" i="5"/>
  <c r="E559" i="5" a="1"/>
  <c r="E559" i="5" s="1"/>
  <c r="E560" i="5" a="1"/>
  <c r="E560" i="5" s="1"/>
  <c r="E561" i="5" a="1"/>
  <c r="E561" i="5"/>
  <c r="E562" i="5" a="1"/>
  <c r="E562" i="5" s="1"/>
  <c r="E563" i="5" a="1"/>
  <c r="E563" i="5"/>
  <c r="E564" i="5" a="1"/>
  <c r="E564" i="5"/>
  <c r="E565" i="5" a="1"/>
  <c r="E565" i="5" s="1"/>
  <c r="E566" i="5" a="1"/>
  <c r="E566" i="5" s="1"/>
  <c r="E567" i="5" a="1"/>
  <c r="E567" i="5"/>
  <c r="E568" i="5" a="1"/>
  <c r="E568" i="5" s="1"/>
  <c r="E569" i="5" a="1"/>
  <c r="E569" i="5"/>
  <c r="E570" i="5" a="1"/>
  <c r="E570" i="5"/>
  <c r="E571" i="5" a="1"/>
  <c r="E571" i="5" s="1"/>
  <c r="E572" i="5" a="1"/>
  <c r="E572" i="5" s="1"/>
  <c r="E573" i="5" a="1"/>
  <c r="E573" i="5"/>
  <c r="E574" i="5" a="1"/>
  <c r="E574" i="5" s="1"/>
  <c r="E575" i="5" a="1"/>
  <c r="E575" i="5"/>
  <c r="E576" i="5" a="1"/>
  <c r="E576" i="5"/>
  <c r="E577" i="5" a="1"/>
  <c r="E577" i="5" s="1"/>
  <c r="E578" i="5" a="1"/>
  <c r="E578" i="5" s="1"/>
  <c r="E579" i="5" a="1"/>
  <c r="E579" i="5"/>
  <c r="E580" i="5" a="1"/>
  <c r="E580" i="5" s="1"/>
  <c r="E581" i="5" a="1"/>
  <c r="E581" i="5"/>
  <c r="E582" i="5" a="1"/>
  <c r="E582" i="5"/>
  <c r="E583" i="5" a="1"/>
  <c r="E583" i="5" s="1"/>
  <c r="E584" i="5" a="1"/>
  <c r="E584" i="5" s="1"/>
  <c r="E585" i="5" a="1"/>
  <c r="E585" i="5"/>
  <c r="E586" i="5" a="1"/>
  <c r="E586" i="5" s="1"/>
  <c r="E587" i="5" a="1"/>
  <c r="E587" i="5"/>
  <c r="E588" i="5" a="1"/>
  <c r="E588" i="5"/>
  <c r="E589" i="5" a="1"/>
  <c r="E589" i="5" s="1"/>
  <c r="E590" i="5" a="1"/>
  <c r="E590" i="5" s="1"/>
  <c r="E591" i="5" a="1"/>
  <c r="E591" i="5"/>
  <c r="E592" i="5" a="1"/>
  <c r="E592" i="5" s="1"/>
  <c r="E593" i="5" a="1"/>
  <c r="E593" i="5"/>
  <c r="E594" i="5" a="1"/>
  <c r="E594" i="5"/>
  <c r="E595" i="5" a="1"/>
  <c r="E595" i="5" s="1"/>
  <c r="E596" i="5" a="1"/>
  <c r="E596" i="5" s="1"/>
  <c r="E597" i="5" a="1"/>
  <c r="E597" i="5"/>
  <c r="E598" i="5" a="1"/>
  <c r="E598" i="5" s="1"/>
  <c r="E599" i="5" a="1"/>
  <c r="E599" i="5"/>
  <c r="E600" i="5" a="1"/>
  <c r="E600" i="5"/>
  <c r="E601" i="5" a="1"/>
  <c r="E601" i="5" s="1"/>
  <c r="E602" i="5" a="1"/>
  <c r="E602" i="5" s="1"/>
  <c r="E603" i="5" a="1"/>
  <c r="E603" i="5"/>
  <c r="E604" i="5" a="1"/>
  <c r="E604" i="5" s="1"/>
  <c r="E605" i="5" a="1"/>
  <c r="E605" i="5"/>
  <c r="E606" i="5" a="1"/>
  <c r="E606" i="5"/>
  <c r="E607" i="5" a="1"/>
  <c r="E607" i="5" s="1"/>
  <c r="E608" i="5" a="1"/>
  <c r="E608" i="5" s="1"/>
  <c r="E609" i="5" a="1"/>
  <c r="E609" i="5"/>
  <c r="E610" i="5" a="1"/>
  <c r="E610" i="5" s="1"/>
  <c r="E611" i="5" a="1"/>
  <c r="E611" i="5"/>
  <c r="M7" i="7"/>
  <c r="N611" i="11"/>
  <c r="N610" i="11"/>
  <c r="N609" i="11"/>
  <c r="N608" i="11"/>
  <c r="N607" i="11"/>
  <c r="N606" i="11"/>
  <c r="N605" i="11"/>
  <c r="N604" i="11"/>
  <c r="N603" i="11"/>
  <c r="N602" i="11"/>
  <c r="N601" i="11"/>
  <c r="N600" i="11"/>
  <c r="N599" i="11"/>
  <c r="N598" i="11"/>
  <c r="N597" i="11"/>
  <c r="N596" i="11"/>
  <c r="N595" i="11"/>
  <c r="N594" i="11"/>
  <c r="N593" i="11"/>
  <c r="N592" i="11"/>
  <c r="N591" i="11"/>
  <c r="N590" i="11"/>
  <c r="N589" i="11"/>
  <c r="N588" i="11"/>
  <c r="N587" i="11"/>
  <c r="N586" i="11"/>
  <c r="N585" i="11"/>
  <c r="N584" i="11"/>
  <c r="N583" i="11"/>
  <c r="N582" i="11"/>
  <c r="N581" i="11"/>
  <c r="N580" i="11"/>
  <c r="N579" i="11"/>
  <c r="N578" i="11"/>
  <c r="N577" i="11"/>
  <c r="N576" i="11"/>
  <c r="N575" i="11"/>
  <c r="N574" i="11"/>
  <c r="N573" i="11"/>
  <c r="N572" i="11"/>
  <c r="N571" i="11"/>
  <c r="N570" i="11"/>
  <c r="N569" i="11"/>
  <c r="N568" i="11"/>
  <c r="N567" i="11"/>
  <c r="N566" i="11"/>
  <c r="N565" i="11"/>
  <c r="N564" i="11"/>
  <c r="N563" i="11"/>
  <c r="N562" i="11"/>
  <c r="N561" i="11"/>
  <c r="N560" i="11"/>
  <c r="N559" i="11"/>
  <c r="N558" i="11"/>
  <c r="N557" i="11"/>
  <c r="N556" i="11"/>
  <c r="N555" i="11"/>
  <c r="N554" i="11"/>
  <c r="N553" i="11"/>
  <c r="N552" i="11"/>
  <c r="N551" i="11"/>
  <c r="N550" i="11"/>
  <c r="N549" i="11"/>
  <c r="N548" i="11"/>
  <c r="N547" i="11"/>
  <c r="N546" i="11"/>
  <c r="N545" i="11"/>
  <c r="N544" i="11"/>
  <c r="N543" i="11"/>
  <c r="N542" i="11"/>
  <c r="N541" i="11"/>
  <c r="N540" i="11"/>
  <c r="N539" i="11"/>
  <c r="N538" i="11"/>
  <c r="N537" i="11"/>
  <c r="N536" i="11"/>
  <c r="N535" i="11"/>
  <c r="N534" i="11"/>
  <c r="N533" i="11"/>
  <c r="N532" i="11"/>
  <c r="N531" i="11"/>
  <c r="N530" i="11"/>
  <c r="N529" i="11"/>
  <c r="N528" i="11"/>
  <c r="N527" i="11"/>
  <c r="N526" i="11"/>
  <c r="N525" i="11"/>
  <c r="N524" i="11"/>
  <c r="N523" i="11"/>
  <c r="N522" i="11"/>
  <c r="N521" i="11"/>
  <c r="N520" i="11"/>
  <c r="N519" i="11"/>
  <c r="N518" i="11"/>
  <c r="N517" i="11"/>
  <c r="N516" i="11"/>
  <c r="N515" i="11"/>
  <c r="N514" i="11"/>
  <c r="N513" i="11"/>
  <c r="N512" i="11"/>
  <c r="N511" i="11"/>
  <c r="N510" i="11"/>
  <c r="N509" i="11"/>
  <c r="N508" i="11"/>
  <c r="N507" i="11"/>
  <c r="N506" i="11"/>
  <c r="N505" i="11"/>
  <c r="N504" i="11"/>
  <c r="N503" i="11"/>
  <c r="N502" i="11"/>
  <c r="N501" i="11"/>
  <c r="N500" i="11"/>
  <c r="N499" i="11"/>
  <c r="N498" i="11"/>
  <c r="N497" i="11"/>
  <c r="N496" i="11"/>
  <c r="N495" i="11"/>
  <c r="N494" i="11"/>
  <c r="N493" i="11"/>
  <c r="N492" i="11"/>
  <c r="N491" i="11"/>
  <c r="N490" i="11"/>
  <c r="N489" i="11"/>
  <c r="N488" i="11"/>
  <c r="N487" i="11"/>
  <c r="N486" i="11"/>
  <c r="N485" i="11"/>
  <c r="N484" i="11"/>
  <c r="N483" i="11"/>
  <c r="N482" i="11"/>
  <c r="N481" i="11"/>
  <c r="N480" i="11"/>
  <c r="N479" i="11"/>
  <c r="N478" i="11"/>
  <c r="N477" i="11"/>
  <c r="N476" i="11"/>
  <c r="N475" i="11"/>
  <c r="N474" i="11"/>
  <c r="N473" i="11"/>
  <c r="N472" i="11"/>
  <c r="N471" i="11"/>
  <c r="N470" i="11"/>
  <c r="N469" i="11"/>
  <c r="N468" i="11"/>
  <c r="N467" i="11"/>
  <c r="N466" i="11"/>
  <c r="N465" i="11"/>
  <c r="N464" i="11"/>
  <c r="N463" i="11"/>
  <c r="N462" i="11"/>
  <c r="N461" i="11"/>
  <c r="N460" i="11"/>
  <c r="N459" i="11"/>
  <c r="N458" i="11"/>
  <c r="N457" i="11"/>
  <c r="N456" i="11"/>
  <c r="N455" i="11"/>
  <c r="N454" i="11"/>
  <c r="N453" i="11"/>
  <c r="N452" i="11"/>
  <c r="N451" i="11"/>
  <c r="N450" i="11"/>
  <c r="N449" i="11"/>
  <c r="N448" i="11"/>
  <c r="N447" i="11"/>
  <c r="N446" i="11"/>
  <c r="N445" i="11"/>
  <c r="N444" i="11"/>
  <c r="N443" i="11"/>
  <c r="N442" i="11"/>
  <c r="N441" i="11"/>
  <c r="N440" i="11"/>
  <c r="N439" i="11"/>
  <c r="N438" i="11"/>
  <c r="N437" i="11"/>
  <c r="N436" i="11"/>
  <c r="N435" i="11"/>
  <c r="N434" i="11"/>
  <c r="N433" i="11"/>
  <c r="N432" i="11"/>
  <c r="N431" i="11"/>
  <c r="N430" i="11"/>
  <c r="N429" i="11"/>
  <c r="N428" i="11"/>
  <c r="N427" i="11"/>
  <c r="N426" i="11"/>
  <c r="N425" i="11"/>
  <c r="N424" i="11"/>
  <c r="N423" i="11"/>
  <c r="N422" i="11"/>
  <c r="N421" i="11"/>
  <c r="N420" i="11"/>
  <c r="N419" i="11"/>
  <c r="N418" i="11"/>
  <c r="N417" i="11"/>
  <c r="N416" i="11"/>
  <c r="N415" i="11"/>
  <c r="N414" i="11"/>
  <c r="N413" i="11"/>
  <c r="N412" i="11"/>
  <c r="N411" i="11"/>
  <c r="N410" i="11"/>
  <c r="N409" i="11"/>
  <c r="N408" i="11"/>
  <c r="N407" i="11"/>
  <c r="N406" i="11"/>
  <c r="N405" i="11"/>
  <c r="N404" i="11"/>
  <c r="N403" i="11"/>
  <c r="N402" i="11"/>
  <c r="N401" i="11"/>
  <c r="N400" i="11"/>
  <c r="N399" i="11"/>
  <c r="N398" i="11"/>
  <c r="N397" i="11"/>
  <c r="N396" i="11"/>
  <c r="N395" i="11"/>
  <c r="N394" i="11"/>
  <c r="N393" i="11"/>
  <c r="N392" i="11"/>
  <c r="N391" i="11"/>
  <c r="N390" i="11"/>
  <c r="N389" i="11"/>
  <c r="N388" i="11"/>
  <c r="N387" i="11"/>
  <c r="N386" i="11"/>
  <c r="N385" i="11"/>
  <c r="N384" i="11"/>
  <c r="N383" i="11"/>
  <c r="N382" i="11"/>
  <c r="N381" i="11"/>
  <c r="N380" i="11"/>
  <c r="N379" i="11"/>
  <c r="N378" i="11"/>
  <c r="N377" i="11"/>
  <c r="N376" i="11"/>
  <c r="N375" i="11"/>
  <c r="N374" i="11"/>
  <c r="N373" i="11"/>
  <c r="N372" i="11"/>
  <c r="N371" i="11"/>
  <c r="N370" i="11"/>
  <c r="N369" i="11"/>
  <c r="N368" i="11"/>
  <c r="N367" i="11"/>
  <c r="N366" i="11"/>
  <c r="N365" i="11"/>
  <c r="N364" i="11"/>
  <c r="N363" i="11"/>
  <c r="N362" i="11"/>
  <c r="N361" i="11"/>
  <c r="N360" i="11"/>
  <c r="N359" i="11"/>
  <c r="N358" i="11"/>
  <c r="N357" i="11"/>
  <c r="N356" i="11"/>
  <c r="N355" i="11"/>
  <c r="N354" i="11"/>
  <c r="N353" i="11"/>
  <c r="N352" i="11"/>
  <c r="N351" i="11"/>
  <c r="N350" i="11"/>
  <c r="N349" i="11"/>
  <c r="N348" i="11"/>
  <c r="N347" i="11"/>
  <c r="N346" i="11"/>
  <c r="N345" i="11"/>
  <c r="N344" i="11"/>
  <c r="N343" i="11"/>
  <c r="N342" i="11"/>
  <c r="N341" i="11"/>
  <c r="N340" i="11"/>
  <c r="N339" i="11"/>
  <c r="N338" i="11"/>
  <c r="N337" i="11"/>
  <c r="N336" i="11"/>
  <c r="N335" i="11"/>
  <c r="N334" i="11"/>
  <c r="N333" i="11"/>
  <c r="N332" i="11"/>
  <c r="N331" i="11"/>
  <c r="N330" i="11"/>
  <c r="N329" i="11"/>
  <c r="N328" i="11"/>
  <c r="N327" i="11"/>
  <c r="N326" i="11"/>
  <c r="N325" i="11"/>
  <c r="N324" i="11"/>
  <c r="N323" i="11"/>
  <c r="N322" i="11"/>
  <c r="N321" i="11"/>
  <c r="N320" i="11"/>
  <c r="N319" i="11"/>
  <c r="N318" i="11"/>
  <c r="N317" i="11"/>
  <c r="N316" i="11"/>
  <c r="N315" i="11"/>
  <c r="N314" i="11"/>
  <c r="N313" i="11"/>
  <c r="N312" i="11"/>
  <c r="N311" i="11"/>
  <c r="N310" i="11"/>
  <c r="N309" i="11"/>
  <c r="N308" i="11"/>
  <c r="N307" i="11"/>
  <c r="N306" i="11"/>
  <c r="N305" i="11"/>
  <c r="N304" i="11"/>
  <c r="N303" i="11"/>
  <c r="N302" i="11"/>
  <c r="N301" i="11"/>
  <c r="N300" i="11"/>
  <c r="N299" i="11"/>
  <c r="N298" i="11"/>
  <c r="N297" i="11"/>
  <c r="N296" i="11"/>
  <c r="N295" i="11"/>
  <c r="N294" i="11"/>
  <c r="N293" i="11"/>
  <c r="N292" i="11"/>
  <c r="N291" i="11"/>
  <c r="N290" i="11"/>
  <c r="N289" i="11"/>
  <c r="N288" i="11"/>
  <c r="N287" i="11"/>
  <c r="N286" i="11"/>
  <c r="N285" i="11"/>
  <c r="N284" i="11"/>
  <c r="N283" i="11"/>
  <c r="N282" i="11"/>
  <c r="N281" i="11"/>
  <c r="N280" i="11"/>
  <c r="N279" i="11"/>
  <c r="N278" i="11"/>
  <c r="N277" i="11"/>
  <c r="N276" i="11"/>
  <c r="N275" i="11"/>
  <c r="N274" i="11"/>
  <c r="N273" i="11"/>
  <c r="N272" i="11"/>
  <c r="N271" i="11"/>
  <c r="N270" i="11"/>
  <c r="N269" i="11"/>
  <c r="N268" i="11"/>
  <c r="N267" i="11"/>
  <c r="N266" i="11"/>
  <c r="N265" i="11"/>
  <c r="N264" i="11"/>
  <c r="N263" i="11"/>
  <c r="N262" i="11"/>
  <c r="N261" i="11"/>
  <c r="N260" i="11"/>
  <c r="N259" i="11"/>
  <c r="N258" i="11"/>
  <c r="N257" i="11"/>
  <c r="N256" i="11"/>
  <c r="N255" i="11"/>
  <c r="N254" i="11"/>
  <c r="N253" i="11"/>
  <c r="N252" i="11"/>
  <c r="N251" i="11"/>
  <c r="N250" i="11"/>
  <c r="N249" i="11"/>
  <c r="N248" i="11"/>
  <c r="N247" i="11"/>
  <c r="N246" i="11"/>
  <c r="N245" i="11"/>
  <c r="N244" i="11"/>
  <c r="N243" i="11"/>
  <c r="N242" i="11"/>
  <c r="N241" i="11"/>
  <c r="N240" i="11"/>
  <c r="N239" i="11"/>
  <c r="N238" i="11"/>
  <c r="N237" i="11"/>
  <c r="N236" i="11"/>
  <c r="N235" i="11"/>
  <c r="N234" i="11"/>
  <c r="N233" i="11"/>
  <c r="N232" i="11"/>
  <c r="N231" i="11"/>
  <c r="N230" i="11"/>
  <c r="N229" i="11"/>
  <c r="N228" i="11"/>
  <c r="N227" i="11"/>
  <c r="N226" i="11"/>
  <c r="N225" i="11"/>
  <c r="N224" i="11"/>
  <c r="N223" i="11"/>
  <c r="N222" i="11"/>
  <c r="N221" i="11"/>
  <c r="N220" i="11"/>
  <c r="N219" i="11"/>
  <c r="N218" i="11"/>
  <c r="N217" i="11"/>
  <c r="N216" i="11"/>
  <c r="N215" i="11"/>
  <c r="N214" i="11"/>
  <c r="N213" i="11"/>
  <c r="N212" i="11"/>
  <c r="N211" i="11"/>
  <c r="N210" i="11"/>
  <c r="N209" i="11"/>
  <c r="N208" i="11"/>
  <c r="N207" i="11"/>
  <c r="N206" i="11"/>
  <c r="N205" i="11"/>
  <c r="N204" i="11"/>
  <c r="N203" i="11"/>
  <c r="N202" i="11"/>
  <c r="N201" i="11"/>
  <c r="N200" i="11"/>
  <c r="N199" i="11"/>
  <c r="N198" i="11"/>
  <c r="N197" i="11"/>
  <c r="N196" i="11"/>
  <c r="N195" i="11"/>
  <c r="N194" i="11"/>
  <c r="N193" i="11"/>
  <c r="N192" i="11"/>
  <c r="N191" i="11"/>
  <c r="N190" i="11"/>
  <c r="N189" i="11"/>
  <c r="N188" i="11"/>
  <c r="N187" i="11"/>
  <c r="N186" i="11"/>
  <c r="N185" i="11"/>
  <c r="N184" i="11"/>
  <c r="N183" i="11"/>
  <c r="N182" i="11"/>
  <c r="N181" i="11"/>
  <c r="N180" i="11"/>
  <c r="N179" i="11"/>
  <c r="N178" i="11"/>
  <c r="N177" i="11"/>
  <c r="N176" i="11"/>
  <c r="N175" i="11"/>
  <c r="N174" i="11"/>
  <c r="N173" i="11"/>
  <c r="N172" i="11"/>
  <c r="N171" i="11"/>
  <c r="N170" i="11"/>
  <c r="N169" i="11"/>
  <c r="N168" i="11"/>
  <c r="N167" i="11"/>
  <c r="N166" i="11"/>
  <c r="N165" i="11"/>
  <c r="N164" i="11"/>
  <c r="N163" i="11"/>
  <c r="N162" i="11"/>
  <c r="N161" i="11"/>
  <c r="N160" i="11"/>
  <c r="N159" i="11"/>
  <c r="N158" i="11"/>
  <c r="N157" i="11"/>
  <c r="N156" i="11"/>
  <c r="N155" i="11"/>
  <c r="N154" i="11"/>
  <c r="N153" i="11"/>
  <c r="N152" i="11"/>
  <c r="N151" i="11"/>
  <c r="N150" i="11"/>
  <c r="N149" i="11"/>
  <c r="N148" i="11"/>
  <c r="N147" i="11"/>
  <c r="N146" i="11"/>
  <c r="N145" i="11"/>
  <c r="N144" i="11"/>
  <c r="N143" i="11"/>
  <c r="N142" i="11"/>
  <c r="N141" i="11"/>
  <c r="N140" i="11"/>
  <c r="N139" i="11"/>
  <c r="N138" i="11"/>
  <c r="N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N118" i="11"/>
  <c r="N117" i="11"/>
  <c r="N116" i="11"/>
  <c r="N115" i="11"/>
  <c r="N114" i="11"/>
  <c r="N113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5" i="11"/>
  <c r="N64" i="11"/>
  <c r="N63" i="11"/>
  <c r="N62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9" i="11"/>
  <c r="N48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E35" i="11" a="1"/>
  <c r="E35" i="11" s="1"/>
  <c r="N34" i="11"/>
  <c r="E34" i="11" a="1"/>
  <c r="E34" i="11" s="1"/>
  <c r="N33" i="11"/>
  <c r="E33" i="11" a="1"/>
  <c r="E33" i="11" s="1"/>
  <c r="N32" i="11"/>
  <c r="E32" i="11" a="1"/>
  <c r="E32" i="11" s="1"/>
  <c r="N31" i="11"/>
  <c r="E31" i="11" a="1"/>
  <c r="E31" i="11" s="1"/>
  <c r="N30" i="11"/>
  <c r="E30" i="11" a="1"/>
  <c r="E30" i="11" s="1"/>
  <c r="N29" i="11"/>
  <c r="E29" i="11" a="1"/>
  <c r="E29" i="11" s="1"/>
  <c r="N28" i="11"/>
  <c r="E28" i="11" a="1"/>
  <c r="E28" i="11" s="1"/>
  <c r="N27" i="11"/>
  <c r="E27" i="11" a="1"/>
  <c r="E27" i="11" s="1"/>
  <c r="N26" i="11"/>
  <c r="E26" i="11" a="1"/>
  <c r="E26" i="11" s="1"/>
  <c r="N25" i="11"/>
  <c r="E25" i="11" a="1"/>
  <c r="E25" i="11" s="1"/>
  <c r="N24" i="11"/>
  <c r="E24" i="11" a="1"/>
  <c r="E24" i="11" s="1"/>
  <c r="N23" i="11"/>
  <c r="E23" i="11" a="1"/>
  <c r="E23" i="11" s="1"/>
  <c r="N22" i="11"/>
  <c r="E22" i="11" a="1"/>
  <c r="E22" i="11" s="1"/>
  <c r="N21" i="11"/>
  <c r="E21" i="11" a="1"/>
  <c r="E21" i="11" s="1"/>
  <c r="N20" i="11"/>
  <c r="E20" i="11" a="1"/>
  <c r="E20" i="11" s="1"/>
  <c r="N19" i="11"/>
  <c r="E19" i="11" a="1"/>
  <c r="E19" i="11" s="1"/>
  <c r="N18" i="11"/>
  <c r="E18" i="11" a="1"/>
  <c r="E18" i="11" s="1"/>
  <c r="N17" i="11"/>
  <c r="E17" i="11" a="1"/>
  <c r="E17" i="11" s="1"/>
  <c r="N16" i="11"/>
  <c r="E16" i="11" a="1"/>
  <c r="E16" i="11" s="1"/>
  <c r="N15" i="11"/>
  <c r="E15" i="11" a="1"/>
  <c r="E15" i="11" s="1"/>
  <c r="N14" i="11"/>
  <c r="E14" i="11" a="1"/>
  <c r="E14" i="11" s="1"/>
  <c r="N13" i="11"/>
  <c r="E13" i="11" a="1"/>
  <c r="E13" i="11" s="1"/>
  <c r="N12" i="11"/>
  <c r="E12" i="11" a="1"/>
  <c r="E12" i="11" s="1"/>
  <c r="N11" i="11"/>
  <c r="E11" i="11" a="1"/>
  <c r="E11" i="11" s="1"/>
  <c r="N10" i="11"/>
  <c r="E10" i="11" a="1"/>
  <c r="E10" i="11" s="1"/>
  <c r="N9" i="11"/>
  <c r="E9" i="11" a="1"/>
  <c r="E9" i="11" s="1"/>
  <c r="N8" i="11"/>
  <c r="E8" i="11" a="1"/>
  <c r="E8" i="11" s="1"/>
  <c r="N7" i="11"/>
  <c r="E7" i="11" a="1"/>
  <c r="E7" i="11" s="1"/>
  <c r="N6" i="11"/>
  <c r="E6" i="11" a="1"/>
  <c r="E6" i="11" s="1"/>
  <c r="N5" i="11"/>
  <c r="E5" i="11" a="1"/>
  <c r="E5" i="11" s="1"/>
  <c r="N4" i="11"/>
  <c r="E4" i="11" a="1"/>
  <c r="E4" i="11" s="1"/>
  <c r="N3" i="11"/>
  <c r="E3" i="11" a="1"/>
  <c r="E3" i="11" s="1"/>
  <c r="N2" i="11"/>
  <c r="E2" i="11" a="1"/>
  <c r="E2" i="11" s="1"/>
  <c r="O611" i="10"/>
  <c r="O610" i="10"/>
  <c r="O609" i="10"/>
  <c r="O608" i="10"/>
  <c r="O607" i="10"/>
  <c r="O606" i="10"/>
  <c r="O605" i="10"/>
  <c r="O604" i="10"/>
  <c r="O603" i="10"/>
  <c r="O602" i="10"/>
  <c r="O601" i="10"/>
  <c r="O600" i="10"/>
  <c r="O599" i="10"/>
  <c r="O598" i="10"/>
  <c r="O597" i="10"/>
  <c r="O596" i="10"/>
  <c r="O595" i="10"/>
  <c r="O594" i="10"/>
  <c r="O593" i="10"/>
  <c r="O592" i="10"/>
  <c r="O591" i="10"/>
  <c r="O590" i="10"/>
  <c r="O589" i="10"/>
  <c r="O588" i="10"/>
  <c r="O587" i="10"/>
  <c r="O586" i="10"/>
  <c r="O585" i="10"/>
  <c r="O584" i="10"/>
  <c r="O583" i="10"/>
  <c r="O582" i="10"/>
  <c r="O581" i="10"/>
  <c r="O580" i="10"/>
  <c r="O579" i="10"/>
  <c r="O578" i="10"/>
  <c r="O577" i="10"/>
  <c r="O576" i="10"/>
  <c r="O575" i="10"/>
  <c r="O574" i="10"/>
  <c r="O573" i="10"/>
  <c r="O572" i="10"/>
  <c r="O571" i="10"/>
  <c r="O570" i="10"/>
  <c r="O569" i="10"/>
  <c r="O568" i="10"/>
  <c r="O567" i="10"/>
  <c r="O566" i="10"/>
  <c r="O565" i="10"/>
  <c r="O564" i="10"/>
  <c r="O563" i="10"/>
  <c r="O562" i="10"/>
  <c r="O561" i="10"/>
  <c r="O560" i="10"/>
  <c r="O559" i="10"/>
  <c r="O558" i="10"/>
  <c r="O557" i="10"/>
  <c r="O556" i="10"/>
  <c r="O555" i="10"/>
  <c r="O554" i="10"/>
  <c r="O553" i="10"/>
  <c r="O552" i="10"/>
  <c r="O551" i="10"/>
  <c r="O550" i="10"/>
  <c r="O549" i="10"/>
  <c r="O548" i="10"/>
  <c r="O547" i="10"/>
  <c r="O546" i="10"/>
  <c r="O545" i="10"/>
  <c r="O544" i="10"/>
  <c r="O543" i="10"/>
  <c r="O542" i="10"/>
  <c r="O541" i="10"/>
  <c r="O540" i="10"/>
  <c r="O539" i="10"/>
  <c r="O538" i="10"/>
  <c r="O537" i="10"/>
  <c r="O536" i="10"/>
  <c r="O535" i="10"/>
  <c r="O534" i="10"/>
  <c r="O533" i="10"/>
  <c r="O532" i="10"/>
  <c r="O531" i="10"/>
  <c r="O530" i="10"/>
  <c r="O529" i="10"/>
  <c r="O528" i="10"/>
  <c r="O527" i="10"/>
  <c r="O526" i="10"/>
  <c r="O525" i="10"/>
  <c r="O524" i="10"/>
  <c r="O523" i="10"/>
  <c r="O522" i="10"/>
  <c r="O521" i="10"/>
  <c r="O520" i="10"/>
  <c r="O519" i="10"/>
  <c r="O518" i="10"/>
  <c r="O517" i="10"/>
  <c r="O516" i="10"/>
  <c r="O515" i="10"/>
  <c r="O514" i="10"/>
  <c r="O513" i="10"/>
  <c r="O512" i="10"/>
  <c r="O511" i="10"/>
  <c r="O510" i="10"/>
  <c r="O509" i="10"/>
  <c r="O508" i="10"/>
  <c r="O507" i="10"/>
  <c r="O506" i="10"/>
  <c r="O505" i="10"/>
  <c r="O504" i="10"/>
  <c r="O503" i="10"/>
  <c r="O502" i="10"/>
  <c r="O501" i="10"/>
  <c r="O500" i="10"/>
  <c r="O499" i="10"/>
  <c r="O498" i="10"/>
  <c r="O497" i="10"/>
  <c r="O496" i="10"/>
  <c r="O495" i="10"/>
  <c r="O494" i="10"/>
  <c r="O493" i="10"/>
  <c r="O492" i="10"/>
  <c r="O491" i="10"/>
  <c r="O490" i="10"/>
  <c r="O489" i="10"/>
  <c r="O488" i="10"/>
  <c r="O487" i="10"/>
  <c r="O486" i="10"/>
  <c r="O485" i="10"/>
  <c r="O484" i="10"/>
  <c r="O483" i="10"/>
  <c r="O482" i="10"/>
  <c r="O481" i="10"/>
  <c r="O480" i="10"/>
  <c r="O479" i="10"/>
  <c r="O478" i="10"/>
  <c r="O477" i="10"/>
  <c r="O476" i="10"/>
  <c r="O475" i="10"/>
  <c r="O474" i="10"/>
  <c r="O473" i="10"/>
  <c r="O472" i="10"/>
  <c r="O471" i="10"/>
  <c r="O470" i="10"/>
  <c r="O469" i="10"/>
  <c r="O468" i="10"/>
  <c r="O467" i="10"/>
  <c r="O466" i="10"/>
  <c r="O465" i="10"/>
  <c r="O464" i="10"/>
  <c r="O463" i="10"/>
  <c r="O462" i="10"/>
  <c r="O461" i="10"/>
  <c r="O460" i="10"/>
  <c r="O459" i="10"/>
  <c r="O458" i="10"/>
  <c r="O457" i="10"/>
  <c r="O456" i="10"/>
  <c r="O455" i="10"/>
  <c r="O454" i="10"/>
  <c r="O453" i="10"/>
  <c r="O452" i="10"/>
  <c r="O451" i="10"/>
  <c r="O450" i="10"/>
  <c r="O449" i="10"/>
  <c r="O448" i="10"/>
  <c r="O447" i="10"/>
  <c r="O446" i="10"/>
  <c r="O445" i="10"/>
  <c r="O444" i="10"/>
  <c r="O443" i="10"/>
  <c r="O442" i="10"/>
  <c r="O441" i="10"/>
  <c r="O440" i="10"/>
  <c r="O439" i="10"/>
  <c r="O438" i="10"/>
  <c r="O437" i="10"/>
  <c r="O436" i="10"/>
  <c r="O435" i="10"/>
  <c r="O434" i="10"/>
  <c r="O433" i="10"/>
  <c r="O432" i="10"/>
  <c r="O431" i="10"/>
  <c r="O430" i="10"/>
  <c r="O429" i="10"/>
  <c r="O428" i="10"/>
  <c r="O427" i="10"/>
  <c r="O426" i="10"/>
  <c r="O425" i="10"/>
  <c r="O424" i="10"/>
  <c r="O423" i="10"/>
  <c r="O422" i="10"/>
  <c r="O421" i="10"/>
  <c r="O420" i="10"/>
  <c r="O419" i="10"/>
  <c r="O418" i="10"/>
  <c r="O417" i="10"/>
  <c r="O416" i="10"/>
  <c r="O415" i="10"/>
  <c r="O414" i="10"/>
  <c r="O413" i="10"/>
  <c r="O412" i="10"/>
  <c r="O411" i="10"/>
  <c r="O410" i="10"/>
  <c r="O409" i="10"/>
  <c r="O408" i="10"/>
  <c r="O407" i="10"/>
  <c r="O406" i="10"/>
  <c r="O405" i="10"/>
  <c r="O404" i="10"/>
  <c r="O403" i="10"/>
  <c r="O402" i="10"/>
  <c r="O401" i="10"/>
  <c r="O400" i="10"/>
  <c r="O399" i="10"/>
  <c r="O398" i="10"/>
  <c r="O397" i="10"/>
  <c r="O396" i="10"/>
  <c r="O395" i="10"/>
  <c r="O394" i="10"/>
  <c r="O393" i="10"/>
  <c r="O392" i="10"/>
  <c r="O391" i="10"/>
  <c r="O390" i="10"/>
  <c r="O389" i="10"/>
  <c r="O388" i="10"/>
  <c r="O387" i="10"/>
  <c r="O386" i="10"/>
  <c r="O385" i="10"/>
  <c r="O384" i="10"/>
  <c r="O383" i="10"/>
  <c r="O382" i="10"/>
  <c r="O381" i="10"/>
  <c r="O380" i="10"/>
  <c r="O379" i="10"/>
  <c r="O378" i="10"/>
  <c r="O377" i="10"/>
  <c r="O376" i="10"/>
  <c r="O375" i="10"/>
  <c r="O374" i="10"/>
  <c r="O373" i="10"/>
  <c r="O372" i="10"/>
  <c r="O371" i="10"/>
  <c r="O370" i="10"/>
  <c r="O369" i="10"/>
  <c r="O368" i="10"/>
  <c r="O367" i="10"/>
  <c r="O366" i="10"/>
  <c r="O365" i="10"/>
  <c r="O364" i="10"/>
  <c r="O363" i="10"/>
  <c r="O362" i="10"/>
  <c r="O361" i="10"/>
  <c r="O360" i="10"/>
  <c r="O359" i="10"/>
  <c r="O358" i="10"/>
  <c r="O357" i="10"/>
  <c r="O356" i="10"/>
  <c r="O355" i="10"/>
  <c r="O354" i="10"/>
  <c r="O353" i="10"/>
  <c r="O352" i="10"/>
  <c r="O351" i="10"/>
  <c r="O350" i="10"/>
  <c r="O349" i="10"/>
  <c r="O348" i="10"/>
  <c r="O347" i="10"/>
  <c r="O346" i="10"/>
  <c r="O345" i="10"/>
  <c r="O344" i="10"/>
  <c r="O343" i="10"/>
  <c r="O342" i="10"/>
  <c r="O341" i="10"/>
  <c r="O340" i="10"/>
  <c r="O339" i="10"/>
  <c r="O338" i="10"/>
  <c r="O337" i="10"/>
  <c r="O336" i="10"/>
  <c r="O335" i="10"/>
  <c r="O334" i="10"/>
  <c r="O333" i="10"/>
  <c r="O332" i="10"/>
  <c r="O331" i="10"/>
  <c r="O330" i="10"/>
  <c r="O329" i="10"/>
  <c r="O328" i="10"/>
  <c r="O327" i="10"/>
  <c r="O326" i="10"/>
  <c r="O325" i="10"/>
  <c r="O324" i="10"/>
  <c r="O323" i="10"/>
  <c r="O322" i="10"/>
  <c r="O321" i="10"/>
  <c r="O320" i="10"/>
  <c r="O319" i="10"/>
  <c r="O318" i="10"/>
  <c r="O317" i="10"/>
  <c r="O316" i="10"/>
  <c r="O315" i="10"/>
  <c r="O314" i="10"/>
  <c r="O313" i="10"/>
  <c r="O312" i="10"/>
  <c r="O311" i="10"/>
  <c r="O310" i="10"/>
  <c r="O309" i="10"/>
  <c r="O308" i="10"/>
  <c r="O307" i="10"/>
  <c r="O306" i="10"/>
  <c r="O305" i="10"/>
  <c r="O304" i="10"/>
  <c r="O303" i="10"/>
  <c r="O302" i="10"/>
  <c r="O301" i="10"/>
  <c r="O300" i="10"/>
  <c r="O299" i="10"/>
  <c r="O298" i="10"/>
  <c r="O297" i="10"/>
  <c r="O296" i="10"/>
  <c r="O295" i="10"/>
  <c r="O294" i="10"/>
  <c r="O293" i="10"/>
  <c r="O292" i="10"/>
  <c r="O291" i="10"/>
  <c r="O290" i="10"/>
  <c r="O289" i="10"/>
  <c r="O288" i="10"/>
  <c r="O287" i="10"/>
  <c r="O286" i="10"/>
  <c r="O285" i="10"/>
  <c r="O284" i="10"/>
  <c r="O283" i="10"/>
  <c r="O282" i="10"/>
  <c r="O281" i="10"/>
  <c r="O280" i="10"/>
  <c r="O279" i="10"/>
  <c r="O278" i="10"/>
  <c r="O277" i="10"/>
  <c r="O276" i="10"/>
  <c r="O275" i="10"/>
  <c r="O274" i="10"/>
  <c r="O273" i="10"/>
  <c r="O272" i="10"/>
  <c r="O271" i="10"/>
  <c r="O270" i="10"/>
  <c r="O269" i="10"/>
  <c r="O268" i="10"/>
  <c r="O267" i="10"/>
  <c r="O266" i="10"/>
  <c r="O265" i="10"/>
  <c r="O264" i="10"/>
  <c r="O263" i="10"/>
  <c r="O262" i="10"/>
  <c r="O261" i="10"/>
  <c r="O260" i="10"/>
  <c r="O259" i="10"/>
  <c r="O258" i="10"/>
  <c r="O257" i="10"/>
  <c r="O256" i="10"/>
  <c r="O255" i="10"/>
  <c r="O254" i="10"/>
  <c r="O253" i="10"/>
  <c r="O252" i="10"/>
  <c r="O251" i="10"/>
  <c r="O250" i="10"/>
  <c r="O249" i="10"/>
  <c r="O248" i="10"/>
  <c r="O247" i="10"/>
  <c r="O246" i="10"/>
  <c r="O245" i="10"/>
  <c r="O244" i="10"/>
  <c r="O243" i="10"/>
  <c r="O242" i="10"/>
  <c r="O241" i="10"/>
  <c r="O240" i="10"/>
  <c r="O239" i="10"/>
  <c r="O238" i="10"/>
  <c r="O237" i="10"/>
  <c r="O236" i="10"/>
  <c r="O235" i="10"/>
  <c r="O234" i="10"/>
  <c r="O233" i="10"/>
  <c r="O232" i="10"/>
  <c r="O231" i="10"/>
  <c r="O230" i="10"/>
  <c r="O229" i="10"/>
  <c r="O228" i="10"/>
  <c r="O227" i="10"/>
  <c r="O226" i="10"/>
  <c r="O225" i="10"/>
  <c r="O224" i="10"/>
  <c r="O223" i="10"/>
  <c r="O222" i="10"/>
  <c r="O221" i="10"/>
  <c r="O220" i="10"/>
  <c r="O219" i="10"/>
  <c r="O218" i="10"/>
  <c r="O217" i="10"/>
  <c r="O216" i="10"/>
  <c r="O215" i="10"/>
  <c r="O214" i="10"/>
  <c r="O213" i="10"/>
  <c r="O212" i="10"/>
  <c r="O211" i="10"/>
  <c r="O210" i="10"/>
  <c r="O209" i="10"/>
  <c r="O208" i="10"/>
  <c r="O207" i="10"/>
  <c r="O206" i="10"/>
  <c r="O205" i="10"/>
  <c r="O204" i="10"/>
  <c r="O203" i="10"/>
  <c r="O202" i="10"/>
  <c r="O201" i="10"/>
  <c r="O200" i="10"/>
  <c r="O199" i="10"/>
  <c r="O198" i="10"/>
  <c r="O197" i="10"/>
  <c r="O196" i="10"/>
  <c r="O195" i="10"/>
  <c r="O194" i="10"/>
  <c r="O193" i="10"/>
  <c r="O192" i="10"/>
  <c r="O191" i="10"/>
  <c r="O190" i="10"/>
  <c r="O189" i="10"/>
  <c r="O188" i="10"/>
  <c r="O187" i="10"/>
  <c r="O186" i="10"/>
  <c r="O185" i="10"/>
  <c r="O184" i="10"/>
  <c r="O183" i="10"/>
  <c r="O182" i="10"/>
  <c r="O181" i="10"/>
  <c r="O180" i="10"/>
  <c r="O179" i="10"/>
  <c r="O178" i="10"/>
  <c r="O177" i="10"/>
  <c r="O176" i="10"/>
  <c r="O175" i="10"/>
  <c r="O174" i="10"/>
  <c r="O173" i="10"/>
  <c r="O172" i="10"/>
  <c r="O171" i="10"/>
  <c r="O170" i="10"/>
  <c r="O169" i="10"/>
  <c r="O168" i="10"/>
  <c r="O167" i="10"/>
  <c r="O166" i="10"/>
  <c r="O165" i="10"/>
  <c r="O164" i="10"/>
  <c r="O163" i="10"/>
  <c r="O162" i="10"/>
  <c r="O161" i="10"/>
  <c r="O160" i="10"/>
  <c r="O159" i="10"/>
  <c r="O158" i="10"/>
  <c r="O157" i="10"/>
  <c r="O156" i="10"/>
  <c r="O155" i="10"/>
  <c r="O154" i="10"/>
  <c r="O153" i="10"/>
  <c r="O152" i="10"/>
  <c r="O151" i="10"/>
  <c r="O150" i="10"/>
  <c r="O149" i="10"/>
  <c r="O148" i="10"/>
  <c r="O147" i="10"/>
  <c r="O146" i="10"/>
  <c r="O145" i="10"/>
  <c r="O144" i="10"/>
  <c r="O143" i="10"/>
  <c r="O142" i="10"/>
  <c r="O141" i="10"/>
  <c r="O140" i="10"/>
  <c r="O139" i="10"/>
  <c r="O138" i="10"/>
  <c r="O137" i="10"/>
  <c r="O136" i="10"/>
  <c r="O135" i="10"/>
  <c r="O134" i="10"/>
  <c r="O133" i="10"/>
  <c r="O132" i="10"/>
  <c r="O131" i="10"/>
  <c r="O130" i="10"/>
  <c r="O129" i="10"/>
  <c r="O128" i="10"/>
  <c r="O127" i="10"/>
  <c r="O126" i="10"/>
  <c r="O125" i="10"/>
  <c r="O124" i="10"/>
  <c r="O123" i="10"/>
  <c r="O122" i="10"/>
  <c r="O121" i="10"/>
  <c r="O120" i="10"/>
  <c r="O119" i="10"/>
  <c r="O118" i="10"/>
  <c r="O117" i="10"/>
  <c r="O116" i="10"/>
  <c r="O115" i="10"/>
  <c r="O114" i="10"/>
  <c r="O113" i="10"/>
  <c r="O112" i="10"/>
  <c r="O111" i="10"/>
  <c r="O110" i="10"/>
  <c r="O109" i="10"/>
  <c r="O108" i="10"/>
  <c r="O107" i="10"/>
  <c r="O106" i="10"/>
  <c r="O105" i="10"/>
  <c r="O104" i="10"/>
  <c r="O103" i="10"/>
  <c r="O102" i="10"/>
  <c r="O101" i="10"/>
  <c r="O100" i="10"/>
  <c r="O99" i="10"/>
  <c r="O98" i="10"/>
  <c r="O97" i="10"/>
  <c r="O96" i="10"/>
  <c r="O95" i="10"/>
  <c r="O94" i="10"/>
  <c r="O93" i="10"/>
  <c r="O92" i="10"/>
  <c r="O91" i="10"/>
  <c r="O90" i="10"/>
  <c r="O89" i="10"/>
  <c r="O88" i="10"/>
  <c r="O87" i="10"/>
  <c r="O86" i="10"/>
  <c r="O85" i="10"/>
  <c r="O84" i="10"/>
  <c r="O83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53" i="10"/>
  <c r="O52" i="10"/>
  <c r="O51" i="10"/>
  <c r="O50" i="10"/>
  <c r="O49" i="10"/>
  <c r="O48" i="10"/>
  <c r="O47" i="10"/>
  <c r="O46" i="10"/>
  <c r="O45" i="10"/>
  <c r="O44" i="10"/>
  <c r="O43" i="10"/>
  <c r="O42" i="10"/>
  <c r="O41" i="10"/>
  <c r="O40" i="10"/>
  <c r="O39" i="10"/>
  <c r="O38" i="10"/>
  <c r="O37" i="10"/>
  <c r="O36" i="10"/>
  <c r="O35" i="10"/>
  <c r="E35" i="10" a="1"/>
  <c r="E35" i="10" s="1"/>
  <c r="O34" i="10"/>
  <c r="E34" i="10" a="1"/>
  <c r="E34" i="10" s="1"/>
  <c r="O33" i="10"/>
  <c r="E33" i="10" a="1"/>
  <c r="E33" i="10" s="1"/>
  <c r="O32" i="10"/>
  <c r="E32" i="10" a="1"/>
  <c r="E32" i="10" s="1"/>
  <c r="O31" i="10"/>
  <c r="E31" i="10" a="1"/>
  <c r="E31" i="10" s="1"/>
  <c r="O30" i="10"/>
  <c r="E30" i="10" a="1"/>
  <c r="E30" i="10" s="1"/>
  <c r="O29" i="10"/>
  <c r="E29" i="10" a="1"/>
  <c r="E29" i="10" s="1"/>
  <c r="O28" i="10"/>
  <c r="E28" i="10" a="1"/>
  <c r="E28" i="10" s="1"/>
  <c r="O27" i="10"/>
  <c r="E27" i="10" a="1"/>
  <c r="E27" i="10" s="1"/>
  <c r="O26" i="10"/>
  <c r="E26" i="10" a="1"/>
  <c r="E26" i="10" s="1"/>
  <c r="O25" i="10"/>
  <c r="E25" i="10" a="1"/>
  <c r="E25" i="10" s="1"/>
  <c r="O24" i="10"/>
  <c r="E24" i="10" a="1"/>
  <c r="E24" i="10" s="1"/>
  <c r="O23" i="10"/>
  <c r="E23" i="10" a="1"/>
  <c r="E23" i="10" s="1"/>
  <c r="O22" i="10"/>
  <c r="E22" i="10" a="1"/>
  <c r="E22" i="10" s="1"/>
  <c r="O21" i="10"/>
  <c r="E21" i="10" a="1"/>
  <c r="E21" i="10" s="1"/>
  <c r="O20" i="10"/>
  <c r="E20" i="10" a="1"/>
  <c r="E20" i="10" s="1"/>
  <c r="O19" i="10"/>
  <c r="E19" i="10" a="1"/>
  <c r="E19" i="10" s="1"/>
  <c r="O18" i="10"/>
  <c r="E18" i="10" a="1"/>
  <c r="E18" i="10" s="1"/>
  <c r="O17" i="10"/>
  <c r="E17" i="10" a="1"/>
  <c r="E17" i="10" s="1"/>
  <c r="O16" i="10"/>
  <c r="E16" i="10" a="1"/>
  <c r="E16" i="10" s="1"/>
  <c r="O15" i="10"/>
  <c r="E15" i="10" a="1"/>
  <c r="E15" i="10" s="1"/>
  <c r="O14" i="10"/>
  <c r="E14" i="10" a="1"/>
  <c r="E14" i="10" s="1"/>
  <c r="O13" i="10"/>
  <c r="E13" i="10" a="1"/>
  <c r="E13" i="10" s="1"/>
  <c r="O12" i="10"/>
  <c r="E12" i="10" a="1"/>
  <c r="E12" i="10" s="1"/>
  <c r="O11" i="10"/>
  <c r="E11" i="10" a="1"/>
  <c r="E11" i="10" s="1"/>
  <c r="O10" i="10"/>
  <c r="E10" i="10" a="1"/>
  <c r="E10" i="10" s="1"/>
  <c r="O9" i="10"/>
  <c r="E9" i="10" a="1"/>
  <c r="E9" i="10" s="1"/>
  <c r="O8" i="10"/>
  <c r="E8" i="10" a="1"/>
  <c r="E8" i="10" s="1"/>
  <c r="O7" i="10"/>
  <c r="E7" i="10" a="1"/>
  <c r="E7" i="10" s="1"/>
  <c r="O6" i="10"/>
  <c r="E6" i="10" a="1"/>
  <c r="E6" i="10" s="1"/>
  <c r="O5" i="10"/>
  <c r="E5" i="10" a="1"/>
  <c r="E5" i="10" s="1"/>
  <c r="O4" i="10"/>
  <c r="E4" i="10" a="1"/>
  <c r="E4" i="10" s="1"/>
  <c r="O3" i="10"/>
  <c r="E3" i="10" a="1"/>
  <c r="E3" i="10" s="1"/>
  <c r="O2" i="10"/>
  <c r="E2" i="10" a="1"/>
  <c r="E2" i="10" s="1"/>
  <c r="O611" i="9"/>
  <c r="O610" i="9"/>
  <c r="O609" i="9"/>
  <c r="O608" i="9"/>
  <c r="O607" i="9"/>
  <c r="O606" i="9"/>
  <c r="O605" i="9"/>
  <c r="O604" i="9"/>
  <c r="O603" i="9"/>
  <c r="O602" i="9"/>
  <c r="O601" i="9"/>
  <c r="O600" i="9"/>
  <c r="O599" i="9"/>
  <c r="O598" i="9"/>
  <c r="O597" i="9"/>
  <c r="O596" i="9"/>
  <c r="O595" i="9"/>
  <c r="O594" i="9"/>
  <c r="O593" i="9"/>
  <c r="O592" i="9"/>
  <c r="O591" i="9"/>
  <c r="O590" i="9"/>
  <c r="O589" i="9"/>
  <c r="O588" i="9"/>
  <c r="O587" i="9"/>
  <c r="O586" i="9"/>
  <c r="O585" i="9"/>
  <c r="O584" i="9"/>
  <c r="O583" i="9"/>
  <c r="O582" i="9"/>
  <c r="O581" i="9"/>
  <c r="O580" i="9"/>
  <c r="O579" i="9"/>
  <c r="O578" i="9"/>
  <c r="O577" i="9"/>
  <c r="O576" i="9"/>
  <c r="O575" i="9"/>
  <c r="O574" i="9"/>
  <c r="O573" i="9"/>
  <c r="O572" i="9"/>
  <c r="O571" i="9"/>
  <c r="O570" i="9"/>
  <c r="O569" i="9"/>
  <c r="O568" i="9"/>
  <c r="O567" i="9"/>
  <c r="O566" i="9"/>
  <c r="O565" i="9"/>
  <c r="O564" i="9"/>
  <c r="O563" i="9"/>
  <c r="O562" i="9"/>
  <c r="O561" i="9"/>
  <c r="O560" i="9"/>
  <c r="O559" i="9"/>
  <c r="O558" i="9"/>
  <c r="O557" i="9"/>
  <c r="O556" i="9"/>
  <c r="O555" i="9"/>
  <c r="O554" i="9"/>
  <c r="O553" i="9"/>
  <c r="O552" i="9"/>
  <c r="O551" i="9"/>
  <c r="O550" i="9"/>
  <c r="O549" i="9"/>
  <c r="O548" i="9"/>
  <c r="O547" i="9"/>
  <c r="O546" i="9"/>
  <c r="O545" i="9"/>
  <c r="O544" i="9"/>
  <c r="O543" i="9"/>
  <c r="O542" i="9"/>
  <c r="O541" i="9"/>
  <c r="O540" i="9"/>
  <c r="O539" i="9"/>
  <c r="O538" i="9"/>
  <c r="O537" i="9"/>
  <c r="O536" i="9"/>
  <c r="O535" i="9"/>
  <c r="O534" i="9"/>
  <c r="O533" i="9"/>
  <c r="O532" i="9"/>
  <c r="O531" i="9"/>
  <c r="O530" i="9"/>
  <c r="O529" i="9"/>
  <c r="O528" i="9"/>
  <c r="O527" i="9"/>
  <c r="O526" i="9"/>
  <c r="O525" i="9"/>
  <c r="O524" i="9"/>
  <c r="O523" i="9"/>
  <c r="O522" i="9"/>
  <c r="O521" i="9"/>
  <c r="O520" i="9"/>
  <c r="O519" i="9"/>
  <c r="O518" i="9"/>
  <c r="O517" i="9"/>
  <c r="O516" i="9"/>
  <c r="O515" i="9"/>
  <c r="O514" i="9"/>
  <c r="O513" i="9"/>
  <c r="O512" i="9"/>
  <c r="O511" i="9"/>
  <c r="O510" i="9"/>
  <c r="O509" i="9"/>
  <c r="O508" i="9"/>
  <c r="O507" i="9"/>
  <c r="O506" i="9"/>
  <c r="O505" i="9"/>
  <c r="O504" i="9"/>
  <c r="O503" i="9"/>
  <c r="O502" i="9"/>
  <c r="O501" i="9"/>
  <c r="O500" i="9"/>
  <c r="O499" i="9"/>
  <c r="O498" i="9"/>
  <c r="O497" i="9"/>
  <c r="O496" i="9"/>
  <c r="O495" i="9"/>
  <c r="O494" i="9"/>
  <c r="O493" i="9"/>
  <c r="O492" i="9"/>
  <c r="O491" i="9"/>
  <c r="O490" i="9"/>
  <c r="O489" i="9"/>
  <c r="O488" i="9"/>
  <c r="O487" i="9"/>
  <c r="O486" i="9"/>
  <c r="O485" i="9"/>
  <c r="O484" i="9"/>
  <c r="O483" i="9"/>
  <c r="O482" i="9"/>
  <c r="O481" i="9"/>
  <c r="O480" i="9"/>
  <c r="O479" i="9"/>
  <c r="O478" i="9"/>
  <c r="O477" i="9"/>
  <c r="O476" i="9"/>
  <c r="O475" i="9"/>
  <c r="O474" i="9"/>
  <c r="O473" i="9"/>
  <c r="O472" i="9"/>
  <c r="O471" i="9"/>
  <c r="O470" i="9"/>
  <c r="O469" i="9"/>
  <c r="O468" i="9"/>
  <c r="O467" i="9"/>
  <c r="O466" i="9"/>
  <c r="O465" i="9"/>
  <c r="O464" i="9"/>
  <c r="O463" i="9"/>
  <c r="O462" i="9"/>
  <c r="O461" i="9"/>
  <c r="O460" i="9"/>
  <c r="O459" i="9"/>
  <c r="O458" i="9"/>
  <c r="O457" i="9"/>
  <c r="O456" i="9"/>
  <c r="O455" i="9"/>
  <c r="O454" i="9"/>
  <c r="O453" i="9"/>
  <c r="O452" i="9"/>
  <c r="O451" i="9"/>
  <c r="O450" i="9"/>
  <c r="O449" i="9"/>
  <c r="O448" i="9"/>
  <c r="O447" i="9"/>
  <c r="O446" i="9"/>
  <c r="O445" i="9"/>
  <c r="O444" i="9"/>
  <c r="O443" i="9"/>
  <c r="O442" i="9"/>
  <c r="O441" i="9"/>
  <c r="O440" i="9"/>
  <c r="O439" i="9"/>
  <c r="O438" i="9"/>
  <c r="O437" i="9"/>
  <c r="O436" i="9"/>
  <c r="O435" i="9"/>
  <c r="O434" i="9"/>
  <c r="O433" i="9"/>
  <c r="O432" i="9"/>
  <c r="O431" i="9"/>
  <c r="O430" i="9"/>
  <c r="O429" i="9"/>
  <c r="O428" i="9"/>
  <c r="O427" i="9"/>
  <c r="O426" i="9"/>
  <c r="O425" i="9"/>
  <c r="O424" i="9"/>
  <c r="O423" i="9"/>
  <c r="O422" i="9"/>
  <c r="O421" i="9"/>
  <c r="O420" i="9"/>
  <c r="O419" i="9"/>
  <c r="O418" i="9"/>
  <c r="O417" i="9"/>
  <c r="O416" i="9"/>
  <c r="O415" i="9"/>
  <c r="O414" i="9"/>
  <c r="O413" i="9"/>
  <c r="O412" i="9"/>
  <c r="O411" i="9"/>
  <c r="O410" i="9"/>
  <c r="O409" i="9"/>
  <c r="O408" i="9"/>
  <c r="O407" i="9"/>
  <c r="O406" i="9"/>
  <c r="O405" i="9"/>
  <c r="O404" i="9"/>
  <c r="O403" i="9"/>
  <c r="O402" i="9"/>
  <c r="O401" i="9"/>
  <c r="O400" i="9"/>
  <c r="O399" i="9"/>
  <c r="O398" i="9"/>
  <c r="O397" i="9"/>
  <c r="O396" i="9"/>
  <c r="O395" i="9"/>
  <c r="O394" i="9"/>
  <c r="O393" i="9"/>
  <c r="O392" i="9"/>
  <c r="O391" i="9"/>
  <c r="O390" i="9"/>
  <c r="O389" i="9"/>
  <c r="O388" i="9"/>
  <c r="O387" i="9"/>
  <c r="O386" i="9"/>
  <c r="O385" i="9"/>
  <c r="O384" i="9"/>
  <c r="O383" i="9"/>
  <c r="O382" i="9"/>
  <c r="O381" i="9"/>
  <c r="O380" i="9"/>
  <c r="O379" i="9"/>
  <c r="O378" i="9"/>
  <c r="O377" i="9"/>
  <c r="O376" i="9"/>
  <c r="O375" i="9"/>
  <c r="O374" i="9"/>
  <c r="O373" i="9"/>
  <c r="O372" i="9"/>
  <c r="O371" i="9"/>
  <c r="O370" i="9"/>
  <c r="O369" i="9"/>
  <c r="O368" i="9"/>
  <c r="O367" i="9"/>
  <c r="O366" i="9"/>
  <c r="O365" i="9"/>
  <c r="O364" i="9"/>
  <c r="O363" i="9"/>
  <c r="O362" i="9"/>
  <c r="O361" i="9"/>
  <c r="O360" i="9"/>
  <c r="O359" i="9"/>
  <c r="O358" i="9"/>
  <c r="O357" i="9"/>
  <c r="O356" i="9"/>
  <c r="O355" i="9"/>
  <c r="O354" i="9"/>
  <c r="O353" i="9"/>
  <c r="O352" i="9"/>
  <c r="O351" i="9"/>
  <c r="O350" i="9"/>
  <c r="O349" i="9"/>
  <c r="O348" i="9"/>
  <c r="O347" i="9"/>
  <c r="O346" i="9"/>
  <c r="O345" i="9"/>
  <c r="O344" i="9"/>
  <c r="O343" i="9"/>
  <c r="O342" i="9"/>
  <c r="O341" i="9"/>
  <c r="O340" i="9"/>
  <c r="O339" i="9"/>
  <c r="O338" i="9"/>
  <c r="O337" i="9"/>
  <c r="O336" i="9"/>
  <c r="O335" i="9"/>
  <c r="O334" i="9"/>
  <c r="O333" i="9"/>
  <c r="O332" i="9"/>
  <c r="O331" i="9"/>
  <c r="O330" i="9"/>
  <c r="O329" i="9"/>
  <c r="O328" i="9"/>
  <c r="O327" i="9"/>
  <c r="O326" i="9"/>
  <c r="O325" i="9"/>
  <c r="O324" i="9"/>
  <c r="O323" i="9"/>
  <c r="O322" i="9"/>
  <c r="O321" i="9"/>
  <c r="O320" i="9"/>
  <c r="O319" i="9"/>
  <c r="O318" i="9"/>
  <c r="O317" i="9"/>
  <c r="O316" i="9"/>
  <c r="O315" i="9"/>
  <c r="O314" i="9"/>
  <c r="O313" i="9"/>
  <c r="O312" i="9"/>
  <c r="O311" i="9"/>
  <c r="O310" i="9"/>
  <c r="O309" i="9"/>
  <c r="O308" i="9"/>
  <c r="O307" i="9"/>
  <c r="O306" i="9"/>
  <c r="O305" i="9"/>
  <c r="O304" i="9"/>
  <c r="O303" i="9"/>
  <c r="O302" i="9"/>
  <c r="O301" i="9"/>
  <c r="O300" i="9"/>
  <c r="O299" i="9"/>
  <c r="O298" i="9"/>
  <c r="O297" i="9"/>
  <c r="O296" i="9"/>
  <c r="O295" i="9"/>
  <c r="O294" i="9"/>
  <c r="O293" i="9"/>
  <c r="O292" i="9"/>
  <c r="O291" i="9"/>
  <c r="O290" i="9"/>
  <c r="O289" i="9"/>
  <c r="O288" i="9"/>
  <c r="O287" i="9"/>
  <c r="O286" i="9"/>
  <c r="O285" i="9"/>
  <c r="O284" i="9"/>
  <c r="O283" i="9"/>
  <c r="O282" i="9"/>
  <c r="O281" i="9"/>
  <c r="O280" i="9"/>
  <c r="O279" i="9"/>
  <c r="O278" i="9"/>
  <c r="O277" i="9"/>
  <c r="O276" i="9"/>
  <c r="O275" i="9"/>
  <c r="O274" i="9"/>
  <c r="O273" i="9"/>
  <c r="O272" i="9"/>
  <c r="O271" i="9"/>
  <c r="O270" i="9"/>
  <c r="O269" i="9"/>
  <c r="O268" i="9"/>
  <c r="O267" i="9"/>
  <c r="O266" i="9"/>
  <c r="O265" i="9"/>
  <c r="O264" i="9"/>
  <c r="O263" i="9"/>
  <c r="O262" i="9"/>
  <c r="O261" i="9"/>
  <c r="O260" i="9"/>
  <c r="O259" i="9"/>
  <c r="O258" i="9"/>
  <c r="O257" i="9"/>
  <c r="O256" i="9"/>
  <c r="O255" i="9"/>
  <c r="O254" i="9"/>
  <c r="O253" i="9"/>
  <c r="O252" i="9"/>
  <c r="O251" i="9"/>
  <c r="O250" i="9"/>
  <c r="O249" i="9"/>
  <c r="O248" i="9"/>
  <c r="O247" i="9"/>
  <c r="O246" i="9"/>
  <c r="O245" i="9"/>
  <c r="O244" i="9"/>
  <c r="O243" i="9"/>
  <c r="O242" i="9"/>
  <c r="O241" i="9"/>
  <c r="O240" i="9"/>
  <c r="O239" i="9"/>
  <c r="O238" i="9"/>
  <c r="O237" i="9"/>
  <c r="O236" i="9"/>
  <c r="O235" i="9"/>
  <c r="O234" i="9"/>
  <c r="O233" i="9"/>
  <c r="O232" i="9"/>
  <c r="O231" i="9"/>
  <c r="O230" i="9"/>
  <c r="O229" i="9"/>
  <c r="O228" i="9"/>
  <c r="O227" i="9"/>
  <c r="O226" i="9"/>
  <c r="O225" i="9"/>
  <c r="O224" i="9"/>
  <c r="O223" i="9"/>
  <c r="O222" i="9"/>
  <c r="O221" i="9"/>
  <c r="O220" i="9"/>
  <c r="O219" i="9"/>
  <c r="O218" i="9"/>
  <c r="O217" i="9"/>
  <c r="O216" i="9"/>
  <c r="O215" i="9"/>
  <c r="O214" i="9"/>
  <c r="O213" i="9"/>
  <c r="O212" i="9"/>
  <c r="O211" i="9"/>
  <c r="O210" i="9"/>
  <c r="O209" i="9"/>
  <c r="O208" i="9"/>
  <c r="O207" i="9"/>
  <c r="O206" i="9"/>
  <c r="O205" i="9"/>
  <c r="O204" i="9"/>
  <c r="O203" i="9"/>
  <c r="O202" i="9"/>
  <c r="O201" i="9"/>
  <c r="O200" i="9"/>
  <c r="O199" i="9"/>
  <c r="O198" i="9"/>
  <c r="O197" i="9"/>
  <c r="O196" i="9"/>
  <c r="O195" i="9"/>
  <c r="O194" i="9"/>
  <c r="O193" i="9"/>
  <c r="O192" i="9"/>
  <c r="O191" i="9"/>
  <c r="O190" i="9"/>
  <c r="O189" i="9"/>
  <c r="O188" i="9"/>
  <c r="O187" i="9"/>
  <c r="O186" i="9"/>
  <c r="O185" i="9"/>
  <c r="O184" i="9"/>
  <c r="O183" i="9"/>
  <c r="O182" i="9"/>
  <c r="O181" i="9"/>
  <c r="O180" i="9"/>
  <c r="O179" i="9"/>
  <c r="O178" i="9"/>
  <c r="O177" i="9"/>
  <c r="O176" i="9"/>
  <c r="O175" i="9"/>
  <c r="O174" i="9"/>
  <c r="O173" i="9"/>
  <c r="O172" i="9"/>
  <c r="O171" i="9"/>
  <c r="O170" i="9"/>
  <c r="O169" i="9"/>
  <c r="O168" i="9"/>
  <c r="O167" i="9"/>
  <c r="O166" i="9"/>
  <c r="O165" i="9"/>
  <c r="O164" i="9"/>
  <c r="O163" i="9"/>
  <c r="O162" i="9"/>
  <c r="O161" i="9"/>
  <c r="O160" i="9"/>
  <c r="O159" i="9"/>
  <c r="O158" i="9"/>
  <c r="O157" i="9"/>
  <c r="O156" i="9"/>
  <c r="O155" i="9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E35" i="9" a="1"/>
  <c r="E35" i="9" s="1"/>
  <c r="O34" i="9"/>
  <c r="E34" i="9" a="1"/>
  <c r="E34" i="9" s="1"/>
  <c r="O33" i="9"/>
  <c r="E33" i="9" a="1"/>
  <c r="E33" i="9" s="1"/>
  <c r="O32" i="9"/>
  <c r="E32" i="9" a="1"/>
  <c r="E32" i="9" s="1"/>
  <c r="O31" i="9"/>
  <c r="E31" i="9" a="1"/>
  <c r="E31" i="9" s="1"/>
  <c r="O30" i="9"/>
  <c r="E30" i="9" a="1"/>
  <c r="E30" i="9" s="1"/>
  <c r="O29" i="9"/>
  <c r="E29" i="9" a="1"/>
  <c r="E29" i="9" s="1"/>
  <c r="O28" i="9"/>
  <c r="E28" i="9" a="1"/>
  <c r="E28" i="9" s="1"/>
  <c r="O27" i="9"/>
  <c r="E27" i="9" a="1"/>
  <c r="E27" i="9" s="1"/>
  <c r="O26" i="9"/>
  <c r="E26" i="9" a="1"/>
  <c r="E26" i="9" s="1"/>
  <c r="O25" i="9"/>
  <c r="E25" i="9" a="1"/>
  <c r="E25" i="9" s="1"/>
  <c r="O24" i="9"/>
  <c r="E24" i="9" a="1"/>
  <c r="E24" i="9" s="1"/>
  <c r="O23" i="9"/>
  <c r="E23" i="9" a="1"/>
  <c r="E23" i="9" s="1"/>
  <c r="O22" i="9"/>
  <c r="E22" i="9" a="1"/>
  <c r="E22" i="9" s="1"/>
  <c r="O21" i="9"/>
  <c r="E21" i="9" a="1"/>
  <c r="E21" i="9" s="1"/>
  <c r="O20" i="9"/>
  <c r="E20" i="9" a="1"/>
  <c r="E20" i="9" s="1"/>
  <c r="O19" i="9"/>
  <c r="E19" i="9" a="1"/>
  <c r="E19" i="9" s="1"/>
  <c r="O18" i="9"/>
  <c r="E18" i="9" a="1"/>
  <c r="E18" i="9" s="1"/>
  <c r="O17" i="9"/>
  <c r="E17" i="9" a="1"/>
  <c r="E17" i="9" s="1"/>
  <c r="O16" i="9"/>
  <c r="E16" i="9" a="1"/>
  <c r="E16" i="9" s="1"/>
  <c r="O15" i="9"/>
  <c r="E15" i="9" a="1"/>
  <c r="E15" i="9" s="1"/>
  <c r="O14" i="9"/>
  <c r="E14" i="9" a="1"/>
  <c r="E14" i="9" s="1"/>
  <c r="O13" i="9"/>
  <c r="E13" i="9" a="1"/>
  <c r="E13" i="9" s="1"/>
  <c r="O12" i="9"/>
  <c r="E12" i="9" a="1"/>
  <c r="E12" i="9" s="1"/>
  <c r="O11" i="9"/>
  <c r="E11" i="9" a="1"/>
  <c r="E11" i="9" s="1"/>
  <c r="O10" i="9"/>
  <c r="O9" i="9"/>
  <c r="O8" i="9"/>
  <c r="O7" i="9"/>
  <c r="O6" i="9"/>
  <c r="O5" i="9"/>
  <c r="O4" i="9"/>
  <c r="O3" i="9"/>
  <c r="O2" i="9"/>
  <c r="N153" i="3" l="1"/>
  <c r="N154" i="3"/>
  <c r="N155" i="3"/>
  <c r="N156" i="3"/>
  <c r="N157" i="3"/>
  <c r="N158" i="3"/>
  <c r="N159" i="3"/>
  <c r="F73" i="3"/>
  <c r="F65" i="3"/>
  <c r="F66" i="3"/>
  <c r="E48" i="3" a="1"/>
  <c r="E48" i="3" s="1"/>
  <c r="E49" i="3" a="1"/>
  <c r="E49" i="3" s="1"/>
  <c r="E50" i="3" a="1"/>
  <c r="E50" i="3" s="1"/>
  <c r="E45" i="3" a="1"/>
  <c r="E45" i="3" s="1"/>
  <c r="E46" i="3" a="1"/>
  <c r="E46" i="3" s="1"/>
  <c r="E47" i="3" a="1"/>
  <c r="E47" i="3" s="1"/>
  <c r="E44" i="3" a="1"/>
  <c r="E44" i="3" s="1"/>
  <c r="E43" i="3" a="1"/>
  <c r="E43" i="3" s="1"/>
  <c r="E42" i="3" a="1"/>
  <c r="E42" i="3" s="1"/>
  <c r="N39" i="3"/>
  <c r="F39" i="3"/>
  <c r="E39" i="3" a="1"/>
  <c r="E39" i="3" s="1"/>
  <c r="E41" i="3" a="1"/>
  <c r="E41" i="3" s="1"/>
  <c r="E36" i="3" a="1"/>
  <c r="E36" i="3" s="1"/>
  <c r="E37" i="3" a="1"/>
  <c r="E37" i="3" s="1"/>
  <c r="E38" i="3" a="1"/>
  <c r="E38" i="3" s="1"/>
  <c r="E40" i="3" a="1"/>
  <c r="E40" i="3" s="1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8" i="3"/>
  <c r="F59" i="3"/>
  <c r="F60" i="3"/>
  <c r="F61" i="3"/>
  <c r="F62" i="3"/>
  <c r="F63" i="3"/>
  <c r="F64" i="3"/>
  <c r="F67" i="3"/>
  <c r="F68" i="3"/>
  <c r="F69" i="3"/>
  <c r="F70" i="3"/>
  <c r="F71" i="3"/>
  <c r="F72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K611" i="8"/>
  <c r="K610" i="8"/>
  <c r="K609" i="8"/>
  <c r="K608" i="8"/>
  <c r="K607" i="8"/>
  <c r="K606" i="8"/>
  <c r="K605" i="8"/>
  <c r="K604" i="8"/>
  <c r="K603" i="8"/>
  <c r="K602" i="8"/>
  <c r="K601" i="8"/>
  <c r="K600" i="8"/>
  <c r="K599" i="8"/>
  <c r="K598" i="8"/>
  <c r="K597" i="8"/>
  <c r="K596" i="8"/>
  <c r="K595" i="8"/>
  <c r="K594" i="8"/>
  <c r="K593" i="8"/>
  <c r="K592" i="8"/>
  <c r="K591" i="8"/>
  <c r="K590" i="8"/>
  <c r="K589" i="8"/>
  <c r="K588" i="8"/>
  <c r="K587" i="8"/>
  <c r="K586" i="8"/>
  <c r="K585" i="8"/>
  <c r="K584" i="8"/>
  <c r="K583" i="8"/>
  <c r="K582" i="8"/>
  <c r="K581" i="8"/>
  <c r="K580" i="8"/>
  <c r="K579" i="8"/>
  <c r="K578" i="8"/>
  <c r="K577" i="8"/>
  <c r="K576" i="8"/>
  <c r="K575" i="8"/>
  <c r="K574" i="8"/>
  <c r="K573" i="8"/>
  <c r="K572" i="8"/>
  <c r="K571" i="8"/>
  <c r="K570" i="8"/>
  <c r="K569" i="8"/>
  <c r="K568" i="8"/>
  <c r="K567" i="8"/>
  <c r="K566" i="8"/>
  <c r="K565" i="8"/>
  <c r="K564" i="8"/>
  <c r="K563" i="8"/>
  <c r="K562" i="8"/>
  <c r="K561" i="8"/>
  <c r="K560" i="8"/>
  <c r="K559" i="8"/>
  <c r="K558" i="8"/>
  <c r="K557" i="8"/>
  <c r="K556" i="8"/>
  <c r="K555" i="8"/>
  <c r="K554" i="8"/>
  <c r="K553" i="8"/>
  <c r="K552" i="8"/>
  <c r="K551" i="8"/>
  <c r="K550" i="8"/>
  <c r="K549" i="8"/>
  <c r="K548" i="8"/>
  <c r="K547" i="8"/>
  <c r="K546" i="8"/>
  <c r="K545" i="8"/>
  <c r="K544" i="8"/>
  <c r="K543" i="8"/>
  <c r="K542" i="8"/>
  <c r="K541" i="8"/>
  <c r="K540" i="8"/>
  <c r="K539" i="8"/>
  <c r="K538" i="8"/>
  <c r="K537" i="8"/>
  <c r="K536" i="8"/>
  <c r="K535" i="8"/>
  <c r="K534" i="8"/>
  <c r="K533" i="8"/>
  <c r="K532" i="8"/>
  <c r="K531" i="8"/>
  <c r="K530" i="8"/>
  <c r="K529" i="8"/>
  <c r="K528" i="8"/>
  <c r="K527" i="8"/>
  <c r="K526" i="8"/>
  <c r="K525" i="8"/>
  <c r="K524" i="8"/>
  <c r="K523" i="8"/>
  <c r="K522" i="8"/>
  <c r="K521" i="8"/>
  <c r="K520" i="8"/>
  <c r="K519" i="8"/>
  <c r="K518" i="8"/>
  <c r="K517" i="8"/>
  <c r="K516" i="8"/>
  <c r="K515" i="8"/>
  <c r="K514" i="8"/>
  <c r="K513" i="8"/>
  <c r="K512" i="8"/>
  <c r="K511" i="8"/>
  <c r="K510" i="8"/>
  <c r="K509" i="8"/>
  <c r="K508" i="8"/>
  <c r="K507" i="8"/>
  <c r="K506" i="8"/>
  <c r="K505" i="8"/>
  <c r="K504" i="8"/>
  <c r="K503" i="8"/>
  <c r="K502" i="8"/>
  <c r="K501" i="8"/>
  <c r="K500" i="8"/>
  <c r="K499" i="8"/>
  <c r="K498" i="8"/>
  <c r="K497" i="8"/>
  <c r="K496" i="8"/>
  <c r="K495" i="8"/>
  <c r="K494" i="8"/>
  <c r="K493" i="8"/>
  <c r="K492" i="8"/>
  <c r="K491" i="8"/>
  <c r="K490" i="8"/>
  <c r="K489" i="8"/>
  <c r="K488" i="8"/>
  <c r="K487" i="8"/>
  <c r="K486" i="8"/>
  <c r="K485" i="8"/>
  <c r="K484" i="8"/>
  <c r="K483" i="8"/>
  <c r="K482" i="8"/>
  <c r="K481" i="8"/>
  <c r="K480" i="8"/>
  <c r="K479" i="8"/>
  <c r="K478" i="8"/>
  <c r="K477" i="8"/>
  <c r="K476" i="8"/>
  <c r="K475" i="8"/>
  <c r="K474" i="8"/>
  <c r="K473" i="8"/>
  <c r="K472" i="8"/>
  <c r="K471" i="8"/>
  <c r="K470" i="8"/>
  <c r="K469" i="8"/>
  <c r="K468" i="8"/>
  <c r="K467" i="8"/>
  <c r="K466" i="8"/>
  <c r="K465" i="8"/>
  <c r="K464" i="8"/>
  <c r="K463" i="8"/>
  <c r="K462" i="8"/>
  <c r="K461" i="8"/>
  <c r="K460" i="8"/>
  <c r="K459" i="8"/>
  <c r="K458" i="8"/>
  <c r="K457" i="8"/>
  <c r="K456" i="8"/>
  <c r="K455" i="8"/>
  <c r="K454" i="8"/>
  <c r="K453" i="8"/>
  <c r="K452" i="8"/>
  <c r="K451" i="8"/>
  <c r="K450" i="8"/>
  <c r="K449" i="8"/>
  <c r="K448" i="8"/>
  <c r="K447" i="8"/>
  <c r="K446" i="8"/>
  <c r="K445" i="8"/>
  <c r="K444" i="8"/>
  <c r="K443" i="8"/>
  <c r="K442" i="8"/>
  <c r="K441" i="8"/>
  <c r="K440" i="8"/>
  <c r="K439" i="8"/>
  <c r="K438" i="8"/>
  <c r="K437" i="8"/>
  <c r="K436" i="8"/>
  <c r="K435" i="8"/>
  <c r="K434" i="8"/>
  <c r="K433" i="8"/>
  <c r="K432" i="8"/>
  <c r="K431" i="8"/>
  <c r="K430" i="8"/>
  <c r="K429" i="8"/>
  <c r="K428" i="8"/>
  <c r="K427" i="8"/>
  <c r="K426" i="8"/>
  <c r="K425" i="8"/>
  <c r="K424" i="8"/>
  <c r="K423" i="8"/>
  <c r="K422" i="8"/>
  <c r="K421" i="8"/>
  <c r="K420" i="8"/>
  <c r="K419" i="8"/>
  <c r="K418" i="8"/>
  <c r="K417" i="8"/>
  <c r="K416" i="8"/>
  <c r="K415" i="8"/>
  <c r="K414" i="8"/>
  <c r="K413" i="8"/>
  <c r="K412" i="8"/>
  <c r="K411" i="8"/>
  <c r="K410" i="8"/>
  <c r="K409" i="8"/>
  <c r="K408" i="8"/>
  <c r="K407" i="8"/>
  <c r="K406" i="8"/>
  <c r="K405" i="8"/>
  <c r="K404" i="8"/>
  <c r="K403" i="8"/>
  <c r="K402" i="8"/>
  <c r="K401" i="8"/>
  <c r="K400" i="8"/>
  <c r="K399" i="8"/>
  <c r="K398" i="8"/>
  <c r="K397" i="8"/>
  <c r="K396" i="8"/>
  <c r="K395" i="8"/>
  <c r="K394" i="8"/>
  <c r="K393" i="8"/>
  <c r="K392" i="8"/>
  <c r="K391" i="8"/>
  <c r="K390" i="8"/>
  <c r="K389" i="8"/>
  <c r="K388" i="8"/>
  <c r="K387" i="8"/>
  <c r="K386" i="8"/>
  <c r="K385" i="8"/>
  <c r="K384" i="8"/>
  <c r="K383" i="8"/>
  <c r="K382" i="8"/>
  <c r="K381" i="8"/>
  <c r="K380" i="8"/>
  <c r="K379" i="8"/>
  <c r="K378" i="8"/>
  <c r="K377" i="8"/>
  <c r="K376" i="8"/>
  <c r="K375" i="8"/>
  <c r="K374" i="8"/>
  <c r="K373" i="8"/>
  <c r="K372" i="8"/>
  <c r="K371" i="8"/>
  <c r="K370" i="8"/>
  <c r="K369" i="8"/>
  <c r="K368" i="8"/>
  <c r="K367" i="8"/>
  <c r="K366" i="8"/>
  <c r="K365" i="8"/>
  <c r="K364" i="8"/>
  <c r="K363" i="8"/>
  <c r="K362" i="8"/>
  <c r="K361" i="8"/>
  <c r="K360" i="8"/>
  <c r="K359" i="8"/>
  <c r="K358" i="8"/>
  <c r="K357" i="8"/>
  <c r="K356" i="8"/>
  <c r="K355" i="8"/>
  <c r="K354" i="8"/>
  <c r="K353" i="8"/>
  <c r="K352" i="8"/>
  <c r="K351" i="8"/>
  <c r="K350" i="8"/>
  <c r="K349" i="8"/>
  <c r="K348" i="8"/>
  <c r="K347" i="8"/>
  <c r="K346" i="8"/>
  <c r="K345" i="8"/>
  <c r="K344" i="8"/>
  <c r="K343" i="8"/>
  <c r="K342" i="8"/>
  <c r="K341" i="8"/>
  <c r="K340" i="8"/>
  <c r="K339" i="8"/>
  <c r="K338" i="8"/>
  <c r="K337" i="8"/>
  <c r="K336" i="8"/>
  <c r="K335" i="8"/>
  <c r="K334" i="8"/>
  <c r="K333" i="8"/>
  <c r="K332" i="8"/>
  <c r="K331" i="8"/>
  <c r="K330" i="8"/>
  <c r="K329" i="8"/>
  <c r="K328" i="8"/>
  <c r="K327" i="8"/>
  <c r="K326" i="8"/>
  <c r="K325" i="8"/>
  <c r="K324" i="8"/>
  <c r="K323" i="8"/>
  <c r="K322" i="8"/>
  <c r="K321" i="8"/>
  <c r="K320" i="8"/>
  <c r="K319" i="8"/>
  <c r="K318" i="8"/>
  <c r="K317" i="8"/>
  <c r="K316" i="8"/>
  <c r="K315" i="8"/>
  <c r="K314" i="8"/>
  <c r="K313" i="8"/>
  <c r="K312" i="8"/>
  <c r="K311" i="8"/>
  <c r="K310" i="8"/>
  <c r="K309" i="8"/>
  <c r="K308" i="8"/>
  <c r="K307" i="8"/>
  <c r="K306" i="8"/>
  <c r="K305" i="8"/>
  <c r="K304" i="8"/>
  <c r="K303" i="8"/>
  <c r="K302" i="8"/>
  <c r="K301" i="8"/>
  <c r="K300" i="8"/>
  <c r="K299" i="8"/>
  <c r="K298" i="8"/>
  <c r="K297" i="8"/>
  <c r="K296" i="8"/>
  <c r="K295" i="8"/>
  <c r="K294" i="8"/>
  <c r="K293" i="8"/>
  <c r="K292" i="8"/>
  <c r="K291" i="8"/>
  <c r="K290" i="8"/>
  <c r="K289" i="8"/>
  <c r="K288" i="8"/>
  <c r="K287" i="8"/>
  <c r="K286" i="8"/>
  <c r="K285" i="8"/>
  <c r="K284" i="8"/>
  <c r="K283" i="8"/>
  <c r="K282" i="8"/>
  <c r="K281" i="8"/>
  <c r="K280" i="8"/>
  <c r="K279" i="8"/>
  <c r="K278" i="8"/>
  <c r="K277" i="8"/>
  <c r="K276" i="8"/>
  <c r="K275" i="8"/>
  <c r="K274" i="8"/>
  <c r="K273" i="8"/>
  <c r="K272" i="8"/>
  <c r="K271" i="8"/>
  <c r="K270" i="8"/>
  <c r="K269" i="8"/>
  <c r="K268" i="8"/>
  <c r="K267" i="8"/>
  <c r="K266" i="8"/>
  <c r="K265" i="8"/>
  <c r="K264" i="8"/>
  <c r="K263" i="8"/>
  <c r="K262" i="8"/>
  <c r="K261" i="8"/>
  <c r="K260" i="8"/>
  <c r="K259" i="8"/>
  <c r="K258" i="8"/>
  <c r="K257" i="8"/>
  <c r="K256" i="8"/>
  <c r="K255" i="8"/>
  <c r="K254" i="8"/>
  <c r="K253" i="8"/>
  <c r="K252" i="8"/>
  <c r="K251" i="8"/>
  <c r="K250" i="8"/>
  <c r="K249" i="8"/>
  <c r="K248" i="8"/>
  <c r="K247" i="8"/>
  <c r="K246" i="8"/>
  <c r="K245" i="8"/>
  <c r="K244" i="8"/>
  <c r="K243" i="8"/>
  <c r="K242" i="8"/>
  <c r="K241" i="8"/>
  <c r="K240" i="8"/>
  <c r="K239" i="8"/>
  <c r="K238" i="8"/>
  <c r="K237" i="8"/>
  <c r="K236" i="8"/>
  <c r="K235" i="8"/>
  <c r="K234" i="8"/>
  <c r="K233" i="8"/>
  <c r="K232" i="8"/>
  <c r="K231" i="8"/>
  <c r="K230" i="8"/>
  <c r="K229" i="8"/>
  <c r="K228" i="8"/>
  <c r="K227" i="8"/>
  <c r="K226" i="8"/>
  <c r="K225" i="8"/>
  <c r="K224" i="8"/>
  <c r="K223" i="8"/>
  <c r="K222" i="8"/>
  <c r="K221" i="8"/>
  <c r="K220" i="8"/>
  <c r="K219" i="8"/>
  <c r="K218" i="8"/>
  <c r="K217" i="8"/>
  <c r="K216" i="8"/>
  <c r="K215" i="8"/>
  <c r="K214" i="8"/>
  <c r="K213" i="8"/>
  <c r="K212" i="8"/>
  <c r="K211" i="8"/>
  <c r="K210" i="8"/>
  <c r="K209" i="8"/>
  <c r="K208" i="8"/>
  <c r="K207" i="8"/>
  <c r="K206" i="8"/>
  <c r="K205" i="8"/>
  <c r="K204" i="8"/>
  <c r="K203" i="8"/>
  <c r="K202" i="8"/>
  <c r="K201" i="8"/>
  <c r="K200" i="8"/>
  <c r="K199" i="8"/>
  <c r="K198" i="8"/>
  <c r="K197" i="8"/>
  <c r="K196" i="8"/>
  <c r="K195" i="8"/>
  <c r="K194" i="8"/>
  <c r="K193" i="8"/>
  <c r="K192" i="8"/>
  <c r="K191" i="8"/>
  <c r="K190" i="8"/>
  <c r="K189" i="8"/>
  <c r="K188" i="8"/>
  <c r="K187" i="8"/>
  <c r="K186" i="8"/>
  <c r="K185" i="8"/>
  <c r="K184" i="8"/>
  <c r="K183" i="8"/>
  <c r="K182" i="8"/>
  <c r="K181" i="8"/>
  <c r="K180" i="8"/>
  <c r="K179" i="8"/>
  <c r="K178" i="8"/>
  <c r="K177" i="8"/>
  <c r="K176" i="8"/>
  <c r="K175" i="8"/>
  <c r="K174" i="8"/>
  <c r="K173" i="8"/>
  <c r="K172" i="8"/>
  <c r="K171" i="8"/>
  <c r="K170" i="8"/>
  <c r="K169" i="8"/>
  <c r="K168" i="8"/>
  <c r="K167" i="8"/>
  <c r="K166" i="8"/>
  <c r="K165" i="8"/>
  <c r="K164" i="8"/>
  <c r="K163" i="8"/>
  <c r="K162" i="8"/>
  <c r="K161" i="8"/>
  <c r="K160" i="8"/>
  <c r="K159" i="8"/>
  <c r="K158" i="8"/>
  <c r="K157" i="8"/>
  <c r="K156" i="8"/>
  <c r="K155" i="8"/>
  <c r="K154" i="8"/>
  <c r="K153" i="8"/>
  <c r="K152" i="8"/>
  <c r="K151" i="8"/>
  <c r="K150" i="8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E35" i="8" a="1"/>
  <c r="E35" i="8" s="1"/>
  <c r="K34" i="8"/>
  <c r="E34" i="8" a="1"/>
  <c r="E34" i="8" s="1"/>
  <c r="K33" i="8"/>
  <c r="E33" i="8" a="1"/>
  <c r="E33" i="8" s="1"/>
  <c r="K32" i="8"/>
  <c r="E32" i="8"/>
  <c r="E32" i="8" a="1"/>
  <c r="K31" i="8"/>
  <c r="E31" i="8" a="1"/>
  <c r="E31" i="8" s="1"/>
  <c r="K30" i="8"/>
  <c r="E30" i="8" a="1"/>
  <c r="E30" i="8" s="1"/>
  <c r="K29" i="8"/>
  <c r="E29" i="8" a="1"/>
  <c r="E29" i="8" s="1"/>
  <c r="K28" i="8"/>
  <c r="E28" i="8"/>
  <c r="E28" i="8" a="1"/>
  <c r="K27" i="8"/>
  <c r="E27" i="8" a="1"/>
  <c r="E27" i="8" s="1"/>
  <c r="K26" i="8"/>
  <c r="E26" i="8" a="1"/>
  <c r="E26" i="8" s="1"/>
  <c r="K25" i="8"/>
  <c r="E25" i="8" a="1"/>
  <c r="E25" i="8" s="1"/>
  <c r="K24" i="8"/>
  <c r="E24" i="8"/>
  <c r="E24" i="8" a="1"/>
  <c r="K23" i="8"/>
  <c r="E23" i="8" a="1"/>
  <c r="E23" i="8" s="1"/>
  <c r="K22" i="8"/>
  <c r="E22" i="8" a="1"/>
  <c r="E22" i="8" s="1"/>
  <c r="K21" i="8"/>
  <c r="E21" i="8" a="1"/>
  <c r="E21" i="8" s="1"/>
  <c r="K20" i="8"/>
  <c r="E20" i="8"/>
  <c r="E20" i="8" a="1"/>
  <c r="K19" i="8"/>
  <c r="E19" i="8" a="1"/>
  <c r="E19" i="8" s="1"/>
  <c r="K18" i="8"/>
  <c r="E18" i="8" a="1"/>
  <c r="E18" i="8" s="1"/>
  <c r="K17" i="8"/>
  <c r="E17" i="8" a="1"/>
  <c r="E17" i="8" s="1"/>
  <c r="K16" i="8"/>
  <c r="E16" i="8"/>
  <c r="E16" i="8" a="1"/>
  <c r="K15" i="8"/>
  <c r="E15" i="8" a="1"/>
  <c r="E15" i="8" s="1"/>
  <c r="K14" i="8"/>
  <c r="E14" i="8" a="1"/>
  <c r="E14" i="8" s="1"/>
  <c r="K13" i="8"/>
  <c r="E13" i="8" a="1"/>
  <c r="E13" i="8" s="1"/>
  <c r="K12" i="8"/>
  <c r="E12" i="8"/>
  <c r="E12" i="8" a="1"/>
  <c r="K11" i="8"/>
  <c r="E11" i="8" a="1"/>
  <c r="E11" i="8" s="1"/>
  <c r="K10" i="8"/>
  <c r="E10" i="8" a="1"/>
  <c r="E10" i="8" s="1"/>
  <c r="K9" i="8"/>
  <c r="E9" i="8" a="1"/>
  <c r="E9" i="8" s="1"/>
  <c r="K8" i="8"/>
  <c r="E8" i="8"/>
  <c r="E8" i="8" a="1"/>
  <c r="K7" i="8"/>
  <c r="E7" i="8" a="1"/>
  <c r="E7" i="8" s="1"/>
  <c r="K6" i="8"/>
  <c r="E6" i="8" a="1"/>
  <c r="E6" i="8" s="1"/>
  <c r="K5" i="8"/>
  <c r="E5" i="8" a="1"/>
  <c r="E5" i="8" s="1"/>
  <c r="K4" i="8"/>
  <c r="E4" i="8"/>
  <c r="E4" i="8" a="1"/>
  <c r="K3" i="8"/>
  <c r="E3" i="8" a="1"/>
  <c r="E3" i="8" s="1"/>
  <c r="K2" i="8"/>
  <c r="E2" i="8" a="1"/>
  <c r="E2" i="8" s="1"/>
  <c r="M611" i="7"/>
  <c r="M610" i="7"/>
  <c r="M609" i="7"/>
  <c r="M608" i="7"/>
  <c r="M607" i="7"/>
  <c r="M606" i="7"/>
  <c r="M605" i="7"/>
  <c r="M604" i="7"/>
  <c r="M603" i="7"/>
  <c r="M602" i="7"/>
  <c r="M601" i="7"/>
  <c r="M600" i="7"/>
  <c r="M599" i="7"/>
  <c r="M598" i="7"/>
  <c r="M597" i="7"/>
  <c r="M596" i="7"/>
  <c r="M595" i="7"/>
  <c r="M594" i="7"/>
  <c r="M593" i="7"/>
  <c r="M592" i="7"/>
  <c r="M591" i="7"/>
  <c r="M590" i="7"/>
  <c r="M589" i="7"/>
  <c r="M588" i="7"/>
  <c r="M587" i="7"/>
  <c r="M586" i="7"/>
  <c r="M585" i="7"/>
  <c r="M584" i="7"/>
  <c r="M583" i="7"/>
  <c r="M582" i="7"/>
  <c r="M581" i="7"/>
  <c r="M580" i="7"/>
  <c r="M579" i="7"/>
  <c r="M578" i="7"/>
  <c r="M577" i="7"/>
  <c r="M576" i="7"/>
  <c r="M575" i="7"/>
  <c r="M574" i="7"/>
  <c r="M573" i="7"/>
  <c r="M572" i="7"/>
  <c r="M571" i="7"/>
  <c r="M570" i="7"/>
  <c r="M569" i="7"/>
  <c r="M568" i="7"/>
  <c r="M567" i="7"/>
  <c r="M566" i="7"/>
  <c r="M565" i="7"/>
  <c r="M564" i="7"/>
  <c r="M563" i="7"/>
  <c r="M562" i="7"/>
  <c r="M561" i="7"/>
  <c r="M560" i="7"/>
  <c r="M559" i="7"/>
  <c r="M558" i="7"/>
  <c r="M557" i="7"/>
  <c r="M556" i="7"/>
  <c r="M555" i="7"/>
  <c r="M554" i="7"/>
  <c r="M553" i="7"/>
  <c r="M552" i="7"/>
  <c r="M551" i="7"/>
  <c r="M550" i="7"/>
  <c r="M549" i="7"/>
  <c r="M548" i="7"/>
  <c r="M547" i="7"/>
  <c r="M546" i="7"/>
  <c r="M545" i="7"/>
  <c r="M544" i="7"/>
  <c r="M543" i="7"/>
  <c r="M542" i="7"/>
  <c r="M541" i="7"/>
  <c r="M540" i="7"/>
  <c r="M539" i="7"/>
  <c r="M538" i="7"/>
  <c r="M537" i="7"/>
  <c r="M536" i="7"/>
  <c r="M535" i="7"/>
  <c r="M534" i="7"/>
  <c r="M533" i="7"/>
  <c r="M532" i="7"/>
  <c r="M531" i="7"/>
  <c r="M530" i="7"/>
  <c r="M529" i="7"/>
  <c r="M528" i="7"/>
  <c r="M527" i="7"/>
  <c r="M526" i="7"/>
  <c r="M525" i="7"/>
  <c r="M524" i="7"/>
  <c r="M523" i="7"/>
  <c r="M522" i="7"/>
  <c r="M521" i="7"/>
  <c r="M520" i="7"/>
  <c r="M519" i="7"/>
  <c r="M518" i="7"/>
  <c r="M517" i="7"/>
  <c r="M516" i="7"/>
  <c r="M515" i="7"/>
  <c r="M514" i="7"/>
  <c r="M513" i="7"/>
  <c r="M512" i="7"/>
  <c r="M511" i="7"/>
  <c r="M510" i="7"/>
  <c r="M509" i="7"/>
  <c r="M508" i="7"/>
  <c r="M507" i="7"/>
  <c r="M506" i="7"/>
  <c r="M505" i="7"/>
  <c r="M504" i="7"/>
  <c r="M503" i="7"/>
  <c r="M502" i="7"/>
  <c r="M501" i="7"/>
  <c r="M500" i="7"/>
  <c r="M499" i="7"/>
  <c r="M498" i="7"/>
  <c r="M497" i="7"/>
  <c r="M496" i="7"/>
  <c r="M495" i="7"/>
  <c r="M494" i="7"/>
  <c r="M493" i="7"/>
  <c r="M492" i="7"/>
  <c r="M491" i="7"/>
  <c r="M490" i="7"/>
  <c r="M489" i="7"/>
  <c r="M488" i="7"/>
  <c r="M487" i="7"/>
  <c r="M486" i="7"/>
  <c r="M485" i="7"/>
  <c r="M484" i="7"/>
  <c r="M483" i="7"/>
  <c r="M482" i="7"/>
  <c r="M481" i="7"/>
  <c r="M480" i="7"/>
  <c r="M479" i="7"/>
  <c r="M478" i="7"/>
  <c r="M477" i="7"/>
  <c r="M476" i="7"/>
  <c r="M475" i="7"/>
  <c r="M474" i="7"/>
  <c r="M473" i="7"/>
  <c r="M472" i="7"/>
  <c r="M471" i="7"/>
  <c r="M470" i="7"/>
  <c r="M469" i="7"/>
  <c r="M468" i="7"/>
  <c r="M467" i="7"/>
  <c r="M466" i="7"/>
  <c r="M465" i="7"/>
  <c r="M464" i="7"/>
  <c r="M463" i="7"/>
  <c r="M462" i="7"/>
  <c r="M461" i="7"/>
  <c r="M460" i="7"/>
  <c r="M459" i="7"/>
  <c r="M458" i="7"/>
  <c r="M457" i="7"/>
  <c r="M456" i="7"/>
  <c r="M455" i="7"/>
  <c r="M454" i="7"/>
  <c r="M453" i="7"/>
  <c r="M452" i="7"/>
  <c r="M451" i="7"/>
  <c r="M450" i="7"/>
  <c r="M449" i="7"/>
  <c r="M448" i="7"/>
  <c r="M447" i="7"/>
  <c r="M446" i="7"/>
  <c r="M445" i="7"/>
  <c r="M444" i="7"/>
  <c r="M443" i="7"/>
  <c r="M442" i="7"/>
  <c r="M441" i="7"/>
  <c r="M440" i="7"/>
  <c r="M439" i="7"/>
  <c r="M438" i="7"/>
  <c r="M437" i="7"/>
  <c r="M436" i="7"/>
  <c r="M435" i="7"/>
  <c r="M434" i="7"/>
  <c r="M433" i="7"/>
  <c r="M432" i="7"/>
  <c r="M431" i="7"/>
  <c r="M430" i="7"/>
  <c r="M429" i="7"/>
  <c r="M428" i="7"/>
  <c r="M427" i="7"/>
  <c r="M426" i="7"/>
  <c r="M425" i="7"/>
  <c r="M424" i="7"/>
  <c r="M423" i="7"/>
  <c r="M422" i="7"/>
  <c r="M421" i="7"/>
  <c r="M420" i="7"/>
  <c r="M419" i="7"/>
  <c r="M418" i="7"/>
  <c r="M417" i="7"/>
  <c r="M416" i="7"/>
  <c r="M415" i="7"/>
  <c r="M414" i="7"/>
  <c r="M413" i="7"/>
  <c r="M412" i="7"/>
  <c r="M411" i="7"/>
  <c r="M410" i="7"/>
  <c r="M409" i="7"/>
  <c r="M408" i="7"/>
  <c r="M407" i="7"/>
  <c r="M406" i="7"/>
  <c r="M405" i="7"/>
  <c r="M404" i="7"/>
  <c r="M403" i="7"/>
  <c r="M402" i="7"/>
  <c r="M401" i="7"/>
  <c r="M400" i="7"/>
  <c r="M399" i="7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M288" i="7"/>
  <c r="M287" i="7"/>
  <c r="M286" i="7"/>
  <c r="M285" i="7"/>
  <c r="M284" i="7"/>
  <c r="M283" i="7"/>
  <c r="M282" i="7"/>
  <c r="M281" i="7"/>
  <c r="M280" i="7"/>
  <c r="M279" i="7"/>
  <c r="M278" i="7"/>
  <c r="M277" i="7"/>
  <c r="M276" i="7"/>
  <c r="M275" i="7"/>
  <c r="M274" i="7"/>
  <c r="M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E35" i="7" a="1"/>
  <c r="E35" i="7" s="1"/>
  <c r="M34" i="7"/>
  <c r="E34" i="7" a="1"/>
  <c r="E34" i="7" s="1"/>
  <c r="M33" i="7"/>
  <c r="E33" i="7" a="1"/>
  <c r="E33" i="7" s="1"/>
  <c r="M32" i="7"/>
  <c r="E32" i="7" a="1"/>
  <c r="E32" i="7" s="1"/>
  <c r="M31" i="7"/>
  <c r="E31" i="7" a="1"/>
  <c r="E31" i="7" s="1"/>
  <c r="M30" i="7"/>
  <c r="E30" i="7" a="1"/>
  <c r="E30" i="7" s="1"/>
  <c r="M29" i="7"/>
  <c r="E29" i="7" a="1"/>
  <c r="E29" i="7" s="1"/>
  <c r="M28" i="7"/>
  <c r="E28" i="7" a="1"/>
  <c r="E28" i="7" s="1"/>
  <c r="M27" i="7"/>
  <c r="E27" i="7" a="1"/>
  <c r="E27" i="7" s="1"/>
  <c r="M26" i="7"/>
  <c r="E26" i="7" a="1"/>
  <c r="E26" i="7" s="1"/>
  <c r="M25" i="7"/>
  <c r="E25" i="7" a="1"/>
  <c r="E25" i="7" s="1"/>
  <c r="M24" i="7"/>
  <c r="E24" i="7" a="1"/>
  <c r="E24" i="7" s="1"/>
  <c r="M23" i="7"/>
  <c r="E23" i="7" a="1"/>
  <c r="E23" i="7" s="1"/>
  <c r="M22" i="7"/>
  <c r="E22" i="7" a="1"/>
  <c r="E22" i="7" s="1"/>
  <c r="M21" i="7"/>
  <c r="E21" i="7" a="1"/>
  <c r="E21" i="7" s="1"/>
  <c r="M20" i="7"/>
  <c r="E20" i="7" a="1"/>
  <c r="E20" i="7" s="1"/>
  <c r="M19" i="7"/>
  <c r="E19" i="7" a="1"/>
  <c r="E19" i="7" s="1"/>
  <c r="M18" i="7"/>
  <c r="E18" i="7" a="1"/>
  <c r="E18" i="7" s="1"/>
  <c r="M17" i="7"/>
  <c r="E17" i="7" a="1"/>
  <c r="E17" i="7" s="1"/>
  <c r="M16" i="7"/>
  <c r="E16" i="7" a="1"/>
  <c r="E16" i="7" s="1"/>
  <c r="M15" i="7"/>
  <c r="E15" i="7" a="1"/>
  <c r="E15" i="7" s="1"/>
  <c r="M14" i="7"/>
  <c r="E14" i="7" a="1"/>
  <c r="E14" i="7" s="1"/>
  <c r="M13" i="7"/>
  <c r="E13" i="7" a="1"/>
  <c r="E13" i="7" s="1"/>
  <c r="M12" i="7"/>
  <c r="E12" i="7" a="1"/>
  <c r="E12" i="7" s="1"/>
  <c r="M11" i="7"/>
  <c r="E11" i="7" a="1"/>
  <c r="E11" i="7" s="1"/>
  <c r="M10" i="7"/>
  <c r="E10" i="7" a="1"/>
  <c r="E10" i="7" s="1"/>
  <c r="M9" i="7"/>
  <c r="E9" i="7" a="1"/>
  <c r="E9" i="7" s="1"/>
  <c r="M8" i="7"/>
  <c r="E8" i="7" a="1"/>
  <c r="E8" i="7" s="1"/>
  <c r="E7" i="7" a="1"/>
  <c r="E7" i="7" s="1"/>
  <c r="M6" i="7"/>
  <c r="E6" i="7" a="1"/>
  <c r="E6" i="7" s="1"/>
  <c r="M5" i="7"/>
  <c r="E5" i="7" a="1"/>
  <c r="E5" i="7" s="1"/>
  <c r="M4" i="7"/>
  <c r="E4" i="7" a="1"/>
  <c r="E4" i="7" s="1"/>
  <c r="M3" i="7"/>
  <c r="E3" i="7" a="1"/>
  <c r="E3" i="7" s="1"/>
  <c r="M2" i="7"/>
  <c r="E2" i="7" a="1"/>
  <c r="E2" i="7" s="1"/>
  <c r="K611" i="6"/>
  <c r="K610" i="6"/>
  <c r="K609" i="6"/>
  <c r="K608" i="6"/>
  <c r="K607" i="6"/>
  <c r="K606" i="6"/>
  <c r="K605" i="6"/>
  <c r="K604" i="6"/>
  <c r="K603" i="6"/>
  <c r="K602" i="6"/>
  <c r="K601" i="6"/>
  <c r="K600" i="6"/>
  <c r="K599" i="6"/>
  <c r="K598" i="6"/>
  <c r="K597" i="6"/>
  <c r="K596" i="6"/>
  <c r="K595" i="6"/>
  <c r="K594" i="6"/>
  <c r="K593" i="6"/>
  <c r="K592" i="6"/>
  <c r="K591" i="6"/>
  <c r="K590" i="6"/>
  <c r="K589" i="6"/>
  <c r="K588" i="6"/>
  <c r="K587" i="6"/>
  <c r="K586" i="6"/>
  <c r="K585" i="6"/>
  <c r="K584" i="6"/>
  <c r="K583" i="6"/>
  <c r="K582" i="6"/>
  <c r="K581" i="6"/>
  <c r="K580" i="6"/>
  <c r="K579" i="6"/>
  <c r="K578" i="6"/>
  <c r="K577" i="6"/>
  <c r="K576" i="6"/>
  <c r="K575" i="6"/>
  <c r="K574" i="6"/>
  <c r="K573" i="6"/>
  <c r="K572" i="6"/>
  <c r="K571" i="6"/>
  <c r="K570" i="6"/>
  <c r="K569" i="6"/>
  <c r="K568" i="6"/>
  <c r="K567" i="6"/>
  <c r="K566" i="6"/>
  <c r="K565" i="6"/>
  <c r="K564" i="6"/>
  <c r="K563" i="6"/>
  <c r="K562" i="6"/>
  <c r="K561" i="6"/>
  <c r="K560" i="6"/>
  <c r="K559" i="6"/>
  <c r="K558" i="6"/>
  <c r="K557" i="6"/>
  <c r="K556" i="6"/>
  <c r="K555" i="6"/>
  <c r="K554" i="6"/>
  <c r="K553" i="6"/>
  <c r="K552" i="6"/>
  <c r="K551" i="6"/>
  <c r="K550" i="6"/>
  <c r="K549" i="6"/>
  <c r="K548" i="6"/>
  <c r="K547" i="6"/>
  <c r="K546" i="6"/>
  <c r="K545" i="6"/>
  <c r="K544" i="6"/>
  <c r="K543" i="6"/>
  <c r="K542" i="6"/>
  <c r="K541" i="6"/>
  <c r="K540" i="6"/>
  <c r="K539" i="6"/>
  <c r="K538" i="6"/>
  <c r="K537" i="6"/>
  <c r="K536" i="6"/>
  <c r="K535" i="6"/>
  <c r="K534" i="6"/>
  <c r="K533" i="6"/>
  <c r="K532" i="6"/>
  <c r="K531" i="6"/>
  <c r="K530" i="6"/>
  <c r="K529" i="6"/>
  <c r="K528" i="6"/>
  <c r="K527" i="6"/>
  <c r="K526" i="6"/>
  <c r="K525" i="6"/>
  <c r="K524" i="6"/>
  <c r="K523" i="6"/>
  <c r="K522" i="6"/>
  <c r="K521" i="6"/>
  <c r="K520" i="6"/>
  <c r="K519" i="6"/>
  <c r="K518" i="6"/>
  <c r="K517" i="6"/>
  <c r="K516" i="6"/>
  <c r="K515" i="6"/>
  <c r="K514" i="6"/>
  <c r="K513" i="6"/>
  <c r="K512" i="6"/>
  <c r="K511" i="6"/>
  <c r="K510" i="6"/>
  <c r="K509" i="6"/>
  <c r="K508" i="6"/>
  <c r="K507" i="6"/>
  <c r="K506" i="6"/>
  <c r="K505" i="6"/>
  <c r="K504" i="6"/>
  <c r="K503" i="6"/>
  <c r="K502" i="6"/>
  <c r="K501" i="6"/>
  <c r="K500" i="6"/>
  <c r="K499" i="6"/>
  <c r="K498" i="6"/>
  <c r="K497" i="6"/>
  <c r="K496" i="6"/>
  <c r="K495" i="6"/>
  <c r="K494" i="6"/>
  <c r="K493" i="6"/>
  <c r="K492" i="6"/>
  <c r="K491" i="6"/>
  <c r="K490" i="6"/>
  <c r="K489" i="6"/>
  <c r="K488" i="6"/>
  <c r="K487" i="6"/>
  <c r="K486" i="6"/>
  <c r="K485" i="6"/>
  <c r="K484" i="6"/>
  <c r="K483" i="6"/>
  <c r="K482" i="6"/>
  <c r="K481" i="6"/>
  <c r="K480" i="6"/>
  <c r="K479" i="6"/>
  <c r="K478" i="6"/>
  <c r="K477" i="6"/>
  <c r="K476" i="6"/>
  <c r="K475" i="6"/>
  <c r="K474" i="6"/>
  <c r="K473" i="6"/>
  <c r="K472" i="6"/>
  <c r="K471" i="6"/>
  <c r="K470" i="6"/>
  <c r="K469" i="6"/>
  <c r="K468" i="6"/>
  <c r="K467" i="6"/>
  <c r="K466" i="6"/>
  <c r="K465" i="6"/>
  <c r="K464" i="6"/>
  <c r="K463" i="6"/>
  <c r="K462" i="6"/>
  <c r="K461" i="6"/>
  <c r="K460" i="6"/>
  <c r="K459" i="6"/>
  <c r="K458" i="6"/>
  <c r="K457" i="6"/>
  <c r="K456" i="6"/>
  <c r="K455" i="6"/>
  <c r="K454" i="6"/>
  <c r="K453" i="6"/>
  <c r="K452" i="6"/>
  <c r="K451" i="6"/>
  <c r="K450" i="6"/>
  <c r="K449" i="6"/>
  <c r="K448" i="6"/>
  <c r="K447" i="6"/>
  <c r="K446" i="6"/>
  <c r="K445" i="6"/>
  <c r="K444" i="6"/>
  <c r="K443" i="6"/>
  <c r="K442" i="6"/>
  <c r="K441" i="6"/>
  <c r="K440" i="6"/>
  <c r="K439" i="6"/>
  <c r="K438" i="6"/>
  <c r="K437" i="6"/>
  <c r="K436" i="6"/>
  <c r="K435" i="6"/>
  <c r="K434" i="6"/>
  <c r="K433" i="6"/>
  <c r="K432" i="6"/>
  <c r="K431" i="6"/>
  <c r="K430" i="6"/>
  <c r="K429" i="6"/>
  <c r="K428" i="6"/>
  <c r="K427" i="6"/>
  <c r="K426" i="6"/>
  <c r="K425" i="6"/>
  <c r="K424" i="6"/>
  <c r="K423" i="6"/>
  <c r="K422" i="6"/>
  <c r="K421" i="6"/>
  <c r="K420" i="6"/>
  <c r="K419" i="6"/>
  <c r="K418" i="6"/>
  <c r="K417" i="6"/>
  <c r="K416" i="6"/>
  <c r="K415" i="6"/>
  <c r="K414" i="6"/>
  <c r="K413" i="6"/>
  <c r="K412" i="6"/>
  <c r="K411" i="6"/>
  <c r="K410" i="6"/>
  <c r="K409" i="6"/>
  <c r="K408" i="6"/>
  <c r="K407" i="6"/>
  <c r="K406" i="6"/>
  <c r="K405" i="6"/>
  <c r="K404" i="6"/>
  <c r="K403" i="6"/>
  <c r="K402" i="6"/>
  <c r="K401" i="6"/>
  <c r="K400" i="6"/>
  <c r="K399" i="6"/>
  <c r="K398" i="6"/>
  <c r="K397" i="6"/>
  <c r="K396" i="6"/>
  <c r="K395" i="6"/>
  <c r="K394" i="6"/>
  <c r="K393" i="6"/>
  <c r="K392" i="6"/>
  <c r="K391" i="6"/>
  <c r="K390" i="6"/>
  <c r="K389" i="6"/>
  <c r="K388" i="6"/>
  <c r="K387" i="6"/>
  <c r="K386" i="6"/>
  <c r="K385" i="6"/>
  <c r="K384" i="6"/>
  <c r="K383" i="6"/>
  <c r="K382" i="6"/>
  <c r="K381" i="6"/>
  <c r="K380" i="6"/>
  <c r="K379" i="6"/>
  <c r="K378" i="6"/>
  <c r="K377" i="6"/>
  <c r="K376" i="6"/>
  <c r="K375" i="6"/>
  <c r="K374" i="6"/>
  <c r="K373" i="6"/>
  <c r="K372" i="6"/>
  <c r="K371" i="6"/>
  <c r="K370" i="6"/>
  <c r="K369" i="6"/>
  <c r="K368" i="6"/>
  <c r="K367" i="6"/>
  <c r="K366" i="6"/>
  <c r="K365" i="6"/>
  <c r="K364" i="6"/>
  <c r="K363" i="6"/>
  <c r="K362" i="6"/>
  <c r="K361" i="6"/>
  <c r="K360" i="6"/>
  <c r="K359" i="6"/>
  <c r="K358" i="6"/>
  <c r="K357" i="6"/>
  <c r="K356" i="6"/>
  <c r="K355" i="6"/>
  <c r="K354" i="6"/>
  <c r="K353" i="6"/>
  <c r="K352" i="6"/>
  <c r="K351" i="6"/>
  <c r="K350" i="6"/>
  <c r="K349" i="6"/>
  <c r="K348" i="6"/>
  <c r="K347" i="6"/>
  <c r="K346" i="6"/>
  <c r="K345" i="6"/>
  <c r="K344" i="6"/>
  <c r="K343" i="6"/>
  <c r="K342" i="6"/>
  <c r="K341" i="6"/>
  <c r="K340" i="6"/>
  <c r="K339" i="6"/>
  <c r="K338" i="6"/>
  <c r="K337" i="6"/>
  <c r="K336" i="6"/>
  <c r="K335" i="6"/>
  <c r="K334" i="6"/>
  <c r="K333" i="6"/>
  <c r="K332" i="6"/>
  <c r="K331" i="6"/>
  <c r="K330" i="6"/>
  <c r="K329" i="6"/>
  <c r="K328" i="6"/>
  <c r="K327" i="6"/>
  <c r="K326" i="6"/>
  <c r="K325" i="6"/>
  <c r="K324" i="6"/>
  <c r="K323" i="6"/>
  <c r="K322" i="6"/>
  <c r="K321" i="6"/>
  <c r="K320" i="6"/>
  <c r="K319" i="6"/>
  <c r="K318" i="6"/>
  <c r="K317" i="6"/>
  <c r="K316" i="6"/>
  <c r="K315" i="6"/>
  <c r="K314" i="6"/>
  <c r="K313" i="6"/>
  <c r="K312" i="6"/>
  <c r="K311" i="6"/>
  <c r="K310" i="6"/>
  <c r="K309" i="6"/>
  <c r="K308" i="6"/>
  <c r="K307" i="6"/>
  <c r="K306" i="6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K259" i="6"/>
  <c r="K258" i="6"/>
  <c r="K257" i="6"/>
  <c r="K256" i="6"/>
  <c r="K255" i="6"/>
  <c r="K254" i="6"/>
  <c r="K253" i="6"/>
  <c r="K252" i="6"/>
  <c r="K251" i="6"/>
  <c r="K250" i="6"/>
  <c r="K249" i="6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E35" i="6" a="1"/>
  <c r="E35" i="6" s="1"/>
  <c r="K34" i="6"/>
  <c r="E34" i="6" a="1"/>
  <c r="E34" i="6" s="1"/>
  <c r="K33" i="6"/>
  <c r="E33" i="6" a="1"/>
  <c r="E33" i="6" s="1"/>
  <c r="K32" i="6"/>
  <c r="E32" i="6" a="1"/>
  <c r="E32" i="6" s="1"/>
  <c r="K31" i="6"/>
  <c r="E31" i="6" a="1"/>
  <c r="E31" i="6" s="1"/>
  <c r="K30" i="6"/>
  <c r="E30" i="6" a="1"/>
  <c r="E30" i="6" s="1"/>
  <c r="K29" i="6"/>
  <c r="E29" i="6" a="1"/>
  <c r="E29" i="6" s="1"/>
  <c r="K28" i="6"/>
  <c r="E28" i="6"/>
  <c r="E28" i="6" a="1"/>
  <c r="K27" i="6"/>
  <c r="E27" i="6" a="1"/>
  <c r="E27" i="6" s="1"/>
  <c r="K26" i="6"/>
  <c r="E26" i="6"/>
  <c r="E26" i="6" a="1"/>
  <c r="K25" i="6"/>
  <c r="E25" i="6" a="1"/>
  <c r="E25" i="6" s="1"/>
  <c r="K24" i="6"/>
  <c r="E24" i="6"/>
  <c r="E24" i="6" a="1"/>
  <c r="K23" i="6"/>
  <c r="E23" i="6" a="1"/>
  <c r="E23" i="6" s="1"/>
  <c r="K22" i="6"/>
  <c r="E22" i="6"/>
  <c r="E22" i="6" a="1"/>
  <c r="K21" i="6"/>
  <c r="E21" i="6" a="1"/>
  <c r="E21" i="6" s="1"/>
  <c r="K20" i="6"/>
  <c r="E20" i="6"/>
  <c r="E20" i="6" a="1"/>
  <c r="K19" i="6"/>
  <c r="E19" i="6" a="1"/>
  <c r="E19" i="6" s="1"/>
  <c r="K18" i="6"/>
  <c r="E18" i="6" a="1"/>
  <c r="E18" i="6" s="1"/>
  <c r="K17" i="6"/>
  <c r="E17" i="6" a="1"/>
  <c r="E17" i="6" s="1"/>
  <c r="K16" i="6"/>
  <c r="E16" i="6"/>
  <c r="E16" i="6" a="1"/>
  <c r="K15" i="6"/>
  <c r="E15" i="6" a="1"/>
  <c r="E15" i="6" s="1"/>
  <c r="K14" i="6"/>
  <c r="E14" i="6" a="1"/>
  <c r="E14" i="6" s="1"/>
  <c r="K13" i="6"/>
  <c r="E13" i="6" a="1"/>
  <c r="E13" i="6" s="1"/>
  <c r="K12" i="6"/>
  <c r="E12" i="6" a="1"/>
  <c r="E12" i="6" s="1"/>
  <c r="K11" i="6"/>
  <c r="E11" i="6" a="1"/>
  <c r="E11" i="6" s="1"/>
  <c r="K10" i="6"/>
  <c r="E10" i="6" a="1"/>
  <c r="E10" i="6" s="1"/>
  <c r="K9" i="6"/>
  <c r="E9" i="6" a="1"/>
  <c r="E9" i="6" s="1"/>
  <c r="K8" i="6"/>
  <c r="E8" i="6" a="1"/>
  <c r="E8" i="6" s="1"/>
  <c r="K7" i="6"/>
  <c r="E7" i="6" a="1"/>
  <c r="E7" i="6" s="1"/>
  <c r="K6" i="6"/>
  <c r="E6" i="6" a="1"/>
  <c r="E6" i="6" s="1"/>
  <c r="K5" i="6"/>
  <c r="E5" i="6" a="1"/>
  <c r="E5" i="6" s="1"/>
  <c r="K4" i="6"/>
  <c r="E4" i="6"/>
  <c r="E4" i="6" a="1"/>
  <c r="K3" i="6"/>
  <c r="E3" i="6" a="1"/>
  <c r="E3" i="6" s="1"/>
  <c r="K2" i="6"/>
  <c r="E2" i="6" a="1"/>
  <c r="E2" i="6" s="1"/>
  <c r="E2" i="5" l="1" a="1"/>
  <c r="E2" i="5" s="1"/>
  <c r="E3" i="5" a="1"/>
  <c r="E3" i="5" s="1"/>
  <c r="P611" i="5"/>
  <c r="P610" i="5"/>
  <c r="P609" i="5"/>
  <c r="P608" i="5"/>
  <c r="P607" i="5"/>
  <c r="P606" i="5"/>
  <c r="P605" i="5"/>
  <c r="P604" i="5"/>
  <c r="P603" i="5"/>
  <c r="P602" i="5"/>
  <c r="P601" i="5"/>
  <c r="P600" i="5"/>
  <c r="P599" i="5"/>
  <c r="P598" i="5"/>
  <c r="P597" i="5"/>
  <c r="P596" i="5"/>
  <c r="P595" i="5"/>
  <c r="P594" i="5"/>
  <c r="P593" i="5"/>
  <c r="P592" i="5"/>
  <c r="P591" i="5"/>
  <c r="P590" i="5"/>
  <c r="P589" i="5"/>
  <c r="P588" i="5"/>
  <c r="P587" i="5"/>
  <c r="P586" i="5"/>
  <c r="P585" i="5"/>
  <c r="P584" i="5"/>
  <c r="P583" i="5"/>
  <c r="P582" i="5"/>
  <c r="P581" i="5"/>
  <c r="P580" i="5"/>
  <c r="P579" i="5"/>
  <c r="P578" i="5"/>
  <c r="P577" i="5"/>
  <c r="P576" i="5"/>
  <c r="P575" i="5"/>
  <c r="P574" i="5"/>
  <c r="P573" i="5"/>
  <c r="P572" i="5"/>
  <c r="P571" i="5"/>
  <c r="P570" i="5"/>
  <c r="P569" i="5"/>
  <c r="P568" i="5"/>
  <c r="P567" i="5"/>
  <c r="P566" i="5"/>
  <c r="P565" i="5"/>
  <c r="P564" i="5"/>
  <c r="P563" i="5"/>
  <c r="P562" i="5"/>
  <c r="P561" i="5"/>
  <c r="P560" i="5"/>
  <c r="P559" i="5"/>
  <c r="P558" i="5"/>
  <c r="P557" i="5"/>
  <c r="P556" i="5"/>
  <c r="P555" i="5"/>
  <c r="P554" i="5"/>
  <c r="P553" i="5"/>
  <c r="P552" i="5"/>
  <c r="P551" i="5"/>
  <c r="P550" i="5"/>
  <c r="P549" i="5"/>
  <c r="P548" i="5"/>
  <c r="P547" i="5"/>
  <c r="P546" i="5"/>
  <c r="P545" i="5"/>
  <c r="P544" i="5"/>
  <c r="P543" i="5"/>
  <c r="P542" i="5"/>
  <c r="P541" i="5"/>
  <c r="P540" i="5"/>
  <c r="P539" i="5"/>
  <c r="P538" i="5"/>
  <c r="P537" i="5"/>
  <c r="P536" i="5"/>
  <c r="P535" i="5"/>
  <c r="P534" i="5"/>
  <c r="P533" i="5"/>
  <c r="P532" i="5"/>
  <c r="P531" i="5"/>
  <c r="P530" i="5"/>
  <c r="P529" i="5"/>
  <c r="P528" i="5"/>
  <c r="P527" i="5"/>
  <c r="P526" i="5"/>
  <c r="P525" i="5"/>
  <c r="P524" i="5"/>
  <c r="P523" i="5"/>
  <c r="P522" i="5"/>
  <c r="P521" i="5"/>
  <c r="P520" i="5"/>
  <c r="P519" i="5"/>
  <c r="P518" i="5"/>
  <c r="P517" i="5"/>
  <c r="P516" i="5"/>
  <c r="P515" i="5"/>
  <c r="P514" i="5"/>
  <c r="P513" i="5"/>
  <c r="P512" i="5"/>
  <c r="P511" i="5"/>
  <c r="P510" i="5"/>
  <c r="P509" i="5"/>
  <c r="P508" i="5"/>
  <c r="P507" i="5"/>
  <c r="P506" i="5"/>
  <c r="P505" i="5"/>
  <c r="P504" i="5"/>
  <c r="P503" i="5"/>
  <c r="P502" i="5"/>
  <c r="P501" i="5"/>
  <c r="P500" i="5"/>
  <c r="P499" i="5"/>
  <c r="P498" i="5"/>
  <c r="P497" i="5"/>
  <c r="P496" i="5"/>
  <c r="P495" i="5"/>
  <c r="P494" i="5"/>
  <c r="P493" i="5"/>
  <c r="P492" i="5"/>
  <c r="P491" i="5"/>
  <c r="P490" i="5"/>
  <c r="P489" i="5"/>
  <c r="P488" i="5"/>
  <c r="P487" i="5"/>
  <c r="P486" i="5"/>
  <c r="P485" i="5"/>
  <c r="P484" i="5"/>
  <c r="P483" i="5"/>
  <c r="P482" i="5"/>
  <c r="P481" i="5"/>
  <c r="P480" i="5"/>
  <c r="P479" i="5"/>
  <c r="P478" i="5"/>
  <c r="P477" i="5"/>
  <c r="P476" i="5"/>
  <c r="P475" i="5"/>
  <c r="P474" i="5"/>
  <c r="P473" i="5"/>
  <c r="P472" i="5"/>
  <c r="P471" i="5"/>
  <c r="P470" i="5"/>
  <c r="P469" i="5"/>
  <c r="P468" i="5"/>
  <c r="P467" i="5"/>
  <c r="P466" i="5"/>
  <c r="P465" i="5"/>
  <c r="P464" i="5"/>
  <c r="P463" i="5"/>
  <c r="P462" i="5"/>
  <c r="P461" i="5"/>
  <c r="P460" i="5"/>
  <c r="P459" i="5"/>
  <c r="P458" i="5"/>
  <c r="P457" i="5"/>
  <c r="P456" i="5"/>
  <c r="P455" i="5"/>
  <c r="P454" i="5"/>
  <c r="P453" i="5"/>
  <c r="P452" i="5"/>
  <c r="P451" i="5"/>
  <c r="P450" i="5"/>
  <c r="P449" i="5"/>
  <c r="P448" i="5"/>
  <c r="P447" i="5"/>
  <c r="P446" i="5"/>
  <c r="P445" i="5"/>
  <c r="P444" i="5"/>
  <c r="P443" i="5"/>
  <c r="P442" i="5"/>
  <c r="P441" i="5"/>
  <c r="P440" i="5"/>
  <c r="P439" i="5"/>
  <c r="P438" i="5"/>
  <c r="P437" i="5"/>
  <c r="P436" i="5"/>
  <c r="P435" i="5"/>
  <c r="P434" i="5"/>
  <c r="P433" i="5"/>
  <c r="P432" i="5"/>
  <c r="P431" i="5"/>
  <c r="P430" i="5"/>
  <c r="P429" i="5"/>
  <c r="P428" i="5"/>
  <c r="P427" i="5"/>
  <c r="P426" i="5"/>
  <c r="P425" i="5"/>
  <c r="P424" i="5"/>
  <c r="P423" i="5"/>
  <c r="P422" i="5"/>
  <c r="P421" i="5"/>
  <c r="P420" i="5"/>
  <c r="P419" i="5"/>
  <c r="P418" i="5"/>
  <c r="P417" i="5"/>
  <c r="P416" i="5"/>
  <c r="P415" i="5"/>
  <c r="P414" i="5"/>
  <c r="P413" i="5"/>
  <c r="P412" i="5"/>
  <c r="P411" i="5"/>
  <c r="P410" i="5"/>
  <c r="P409" i="5"/>
  <c r="P408" i="5"/>
  <c r="P407" i="5"/>
  <c r="P406" i="5"/>
  <c r="P405" i="5"/>
  <c r="P404" i="5"/>
  <c r="P403" i="5"/>
  <c r="P402" i="5"/>
  <c r="P401" i="5"/>
  <c r="P400" i="5"/>
  <c r="P399" i="5"/>
  <c r="P398" i="5"/>
  <c r="P397" i="5"/>
  <c r="P396" i="5"/>
  <c r="P395" i="5"/>
  <c r="P394" i="5"/>
  <c r="P393" i="5"/>
  <c r="P392" i="5"/>
  <c r="P391" i="5"/>
  <c r="P390" i="5"/>
  <c r="P389" i="5"/>
  <c r="P388" i="5"/>
  <c r="P387" i="5"/>
  <c r="P386" i="5"/>
  <c r="P385" i="5"/>
  <c r="P384" i="5"/>
  <c r="P383" i="5"/>
  <c r="P382" i="5"/>
  <c r="P381" i="5"/>
  <c r="P380" i="5"/>
  <c r="P379" i="5"/>
  <c r="P378" i="5"/>
  <c r="P377" i="5"/>
  <c r="P376" i="5"/>
  <c r="P375" i="5"/>
  <c r="P374" i="5"/>
  <c r="P373" i="5"/>
  <c r="P372" i="5"/>
  <c r="P371" i="5"/>
  <c r="P370" i="5"/>
  <c r="P369" i="5"/>
  <c r="P368" i="5"/>
  <c r="P367" i="5"/>
  <c r="P366" i="5"/>
  <c r="P365" i="5"/>
  <c r="P364" i="5"/>
  <c r="P363" i="5"/>
  <c r="P362" i="5"/>
  <c r="P361" i="5"/>
  <c r="P360" i="5"/>
  <c r="P359" i="5"/>
  <c r="P358" i="5"/>
  <c r="P357" i="5"/>
  <c r="P356" i="5"/>
  <c r="P355" i="5"/>
  <c r="P354" i="5"/>
  <c r="P353" i="5"/>
  <c r="P352" i="5"/>
  <c r="P351" i="5"/>
  <c r="P350" i="5"/>
  <c r="P349" i="5"/>
  <c r="P348" i="5"/>
  <c r="P347" i="5"/>
  <c r="P346" i="5"/>
  <c r="P345" i="5"/>
  <c r="P344" i="5"/>
  <c r="P343" i="5"/>
  <c r="P342" i="5"/>
  <c r="P341" i="5"/>
  <c r="P340" i="5"/>
  <c r="P339" i="5"/>
  <c r="P338" i="5"/>
  <c r="P337" i="5"/>
  <c r="P336" i="5"/>
  <c r="P335" i="5"/>
  <c r="P334" i="5"/>
  <c r="P333" i="5"/>
  <c r="P332" i="5"/>
  <c r="P331" i="5"/>
  <c r="P330" i="5"/>
  <c r="P329" i="5"/>
  <c r="P328" i="5"/>
  <c r="P327" i="5"/>
  <c r="P326" i="5"/>
  <c r="P325" i="5"/>
  <c r="P324" i="5"/>
  <c r="P323" i="5"/>
  <c r="P322" i="5"/>
  <c r="P321" i="5"/>
  <c r="P320" i="5"/>
  <c r="P319" i="5"/>
  <c r="P318" i="5"/>
  <c r="P317" i="5"/>
  <c r="P316" i="5"/>
  <c r="P315" i="5"/>
  <c r="P314" i="5"/>
  <c r="P313" i="5"/>
  <c r="P312" i="5"/>
  <c r="P311" i="5"/>
  <c r="P310" i="5"/>
  <c r="P309" i="5"/>
  <c r="P308" i="5"/>
  <c r="P307" i="5"/>
  <c r="P306" i="5"/>
  <c r="P305" i="5"/>
  <c r="P304" i="5"/>
  <c r="P303" i="5"/>
  <c r="P302" i="5"/>
  <c r="P301" i="5"/>
  <c r="P300" i="5"/>
  <c r="P299" i="5"/>
  <c r="P298" i="5"/>
  <c r="P297" i="5"/>
  <c r="P296" i="5"/>
  <c r="P295" i="5"/>
  <c r="P294" i="5"/>
  <c r="P293" i="5"/>
  <c r="P292" i="5"/>
  <c r="P291" i="5"/>
  <c r="P290" i="5"/>
  <c r="P289" i="5"/>
  <c r="P288" i="5"/>
  <c r="P287" i="5"/>
  <c r="P286" i="5"/>
  <c r="P285" i="5"/>
  <c r="P284" i="5"/>
  <c r="P283" i="5"/>
  <c r="P282" i="5"/>
  <c r="P281" i="5"/>
  <c r="P280" i="5"/>
  <c r="P279" i="5"/>
  <c r="P278" i="5"/>
  <c r="P277" i="5"/>
  <c r="P276" i="5"/>
  <c r="P275" i="5"/>
  <c r="P274" i="5"/>
  <c r="P273" i="5"/>
  <c r="P272" i="5"/>
  <c r="P271" i="5"/>
  <c r="P270" i="5"/>
  <c r="P269" i="5"/>
  <c r="P268" i="5"/>
  <c r="P267" i="5"/>
  <c r="P266" i="5"/>
  <c r="P265" i="5"/>
  <c r="P264" i="5"/>
  <c r="P263" i="5"/>
  <c r="P262" i="5"/>
  <c r="P261" i="5"/>
  <c r="P260" i="5"/>
  <c r="P259" i="5"/>
  <c r="P258" i="5"/>
  <c r="P257" i="5"/>
  <c r="P256" i="5"/>
  <c r="P255" i="5"/>
  <c r="P254" i="5"/>
  <c r="P253" i="5"/>
  <c r="P252" i="5"/>
  <c r="P251" i="5"/>
  <c r="P250" i="5"/>
  <c r="P249" i="5"/>
  <c r="P248" i="5"/>
  <c r="P247" i="5"/>
  <c r="P246" i="5"/>
  <c r="P245" i="5"/>
  <c r="P244" i="5"/>
  <c r="P243" i="5"/>
  <c r="P242" i="5"/>
  <c r="P241" i="5"/>
  <c r="P240" i="5"/>
  <c r="P239" i="5"/>
  <c r="P238" i="5"/>
  <c r="P237" i="5"/>
  <c r="P236" i="5"/>
  <c r="P235" i="5"/>
  <c r="P234" i="5"/>
  <c r="P233" i="5"/>
  <c r="P232" i="5"/>
  <c r="P231" i="5"/>
  <c r="P230" i="5"/>
  <c r="P229" i="5"/>
  <c r="P228" i="5"/>
  <c r="P227" i="5"/>
  <c r="P226" i="5"/>
  <c r="P225" i="5"/>
  <c r="P224" i="5"/>
  <c r="P223" i="5"/>
  <c r="P222" i="5"/>
  <c r="P221" i="5"/>
  <c r="P220" i="5"/>
  <c r="P219" i="5"/>
  <c r="P218" i="5"/>
  <c r="P217" i="5"/>
  <c r="P216" i="5"/>
  <c r="P215" i="5"/>
  <c r="P214" i="5"/>
  <c r="P213" i="5"/>
  <c r="P212" i="5"/>
  <c r="P211" i="5"/>
  <c r="P210" i="5"/>
  <c r="P209" i="5"/>
  <c r="P208" i="5"/>
  <c r="P207" i="5"/>
  <c r="P206" i="5"/>
  <c r="P205" i="5"/>
  <c r="P204" i="5"/>
  <c r="P203" i="5"/>
  <c r="P202" i="5"/>
  <c r="P201" i="5"/>
  <c r="P200" i="5"/>
  <c r="P199" i="5"/>
  <c r="P198" i="5"/>
  <c r="P197" i="5"/>
  <c r="P196" i="5"/>
  <c r="P195" i="5"/>
  <c r="P194" i="5"/>
  <c r="P193" i="5"/>
  <c r="P192" i="5"/>
  <c r="P191" i="5"/>
  <c r="P190" i="5"/>
  <c r="P189" i="5"/>
  <c r="P188" i="5"/>
  <c r="P187" i="5"/>
  <c r="P186" i="5"/>
  <c r="P185" i="5"/>
  <c r="P184" i="5"/>
  <c r="P183" i="5"/>
  <c r="P182" i="5"/>
  <c r="P181" i="5"/>
  <c r="P180" i="5"/>
  <c r="P179" i="5"/>
  <c r="P178" i="5"/>
  <c r="P177" i="5"/>
  <c r="P176" i="5"/>
  <c r="P175" i="5"/>
  <c r="P174" i="5"/>
  <c r="P173" i="5"/>
  <c r="P172" i="5"/>
  <c r="P171" i="5"/>
  <c r="P170" i="5"/>
  <c r="P169" i="5"/>
  <c r="P168" i="5"/>
  <c r="P167" i="5"/>
  <c r="P166" i="5"/>
  <c r="P165" i="5"/>
  <c r="P164" i="5"/>
  <c r="P163" i="5"/>
  <c r="P162" i="5"/>
  <c r="P161" i="5"/>
  <c r="P160" i="5"/>
  <c r="P159" i="5"/>
  <c r="P158" i="5"/>
  <c r="P157" i="5"/>
  <c r="P156" i="5"/>
  <c r="P155" i="5"/>
  <c r="P154" i="5"/>
  <c r="P153" i="5"/>
  <c r="P152" i="5"/>
  <c r="P151" i="5"/>
  <c r="P150" i="5"/>
  <c r="P149" i="5"/>
  <c r="P148" i="5"/>
  <c r="P147" i="5"/>
  <c r="P146" i="5"/>
  <c r="P145" i="5"/>
  <c r="P144" i="5"/>
  <c r="P143" i="5"/>
  <c r="P142" i="5"/>
  <c r="P141" i="5"/>
  <c r="P140" i="5"/>
  <c r="P139" i="5"/>
  <c r="P138" i="5"/>
  <c r="P137" i="5"/>
  <c r="P136" i="5"/>
  <c r="P135" i="5"/>
  <c r="P134" i="5"/>
  <c r="P133" i="5"/>
  <c r="P132" i="5"/>
  <c r="P131" i="5"/>
  <c r="P130" i="5"/>
  <c r="P129" i="5"/>
  <c r="P128" i="5"/>
  <c r="P127" i="5"/>
  <c r="P126" i="5"/>
  <c r="P125" i="5"/>
  <c r="P124" i="5"/>
  <c r="P123" i="5"/>
  <c r="P122" i="5"/>
  <c r="P121" i="5"/>
  <c r="P120" i="5"/>
  <c r="P119" i="5"/>
  <c r="P118" i="5"/>
  <c r="P117" i="5"/>
  <c r="P116" i="5"/>
  <c r="P115" i="5"/>
  <c r="P114" i="5"/>
  <c r="P113" i="5"/>
  <c r="P112" i="5"/>
  <c r="P111" i="5"/>
  <c r="P110" i="5"/>
  <c r="P109" i="5"/>
  <c r="P108" i="5"/>
  <c r="P107" i="5"/>
  <c r="P106" i="5"/>
  <c r="P105" i="5"/>
  <c r="P104" i="5"/>
  <c r="P103" i="5"/>
  <c r="P102" i="5"/>
  <c r="P101" i="5"/>
  <c r="P100" i="5"/>
  <c r="P99" i="5"/>
  <c r="P98" i="5"/>
  <c r="P97" i="5"/>
  <c r="P96" i="5"/>
  <c r="P95" i="5"/>
  <c r="P94" i="5"/>
  <c r="P93" i="5"/>
  <c r="P92" i="5"/>
  <c r="P91" i="5"/>
  <c r="P90" i="5"/>
  <c r="P89" i="5"/>
  <c r="P88" i="5"/>
  <c r="P87" i="5"/>
  <c r="P86" i="5"/>
  <c r="P85" i="5"/>
  <c r="P84" i="5"/>
  <c r="P83" i="5"/>
  <c r="P82" i="5"/>
  <c r="P81" i="5"/>
  <c r="P80" i="5"/>
  <c r="P79" i="5"/>
  <c r="P78" i="5"/>
  <c r="P77" i="5"/>
  <c r="P76" i="5"/>
  <c r="P75" i="5"/>
  <c r="P74" i="5"/>
  <c r="P73" i="5"/>
  <c r="P72" i="5"/>
  <c r="P71" i="5"/>
  <c r="P70" i="5"/>
  <c r="P69" i="5"/>
  <c r="P68" i="5"/>
  <c r="P67" i="5"/>
  <c r="P66" i="5"/>
  <c r="P65" i="5"/>
  <c r="P64" i="5"/>
  <c r="P63" i="5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E35" i="5" a="1"/>
  <c r="E35" i="5" s="1"/>
  <c r="P34" i="5"/>
  <c r="E34" i="5" a="1"/>
  <c r="E34" i="5" s="1"/>
  <c r="P33" i="5"/>
  <c r="E33" i="5" a="1"/>
  <c r="E33" i="5" s="1"/>
  <c r="P32" i="5"/>
  <c r="E32" i="5" a="1"/>
  <c r="E32" i="5" s="1"/>
  <c r="P31" i="5"/>
  <c r="E31" i="5" a="1"/>
  <c r="E31" i="5" s="1"/>
  <c r="P30" i="5"/>
  <c r="E30" i="5" a="1"/>
  <c r="E30" i="5" s="1"/>
  <c r="P29" i="5"/>
  <c r="E29" i="5" a="1"/>
  <c r="E29" i="5" s="1"/>
  <c r="P28" i="5"/>
  <c r="E28" i="5" a="1"/>
  <c r="E28" i="5" s="1"/>
  <c r="P27" i="5"/>
  <c r="E27" i="5" a="1"/>
  <c r="E27" i="5" s="1"/>
  <c r="P26" i="5"/>
  <c r="E26" i="5" a="1"/>
  <c r="E26" i="5" s="1"/>
  <c r="P25" i="5"/>
  <c r="E25" i="5" a="1"/>
  <c r="E25" i="5" s="1"/>
  <c r="P24" i="5"/>
  <c r="E24" i="5" a="1"/>
  <c r="E24" i="5" s="1"/>
  <c r="P23" i="5"/>
  <c r="E23" i="5" a="1"/>
  <c r="E23" i="5" s="1"/>
  <c r="P22" i="5"/>
  <c r="E22" i="5" a="1"/>
  <c r="E22" i="5" s="1"/>
  <c r="P21" i="5"/>
  <c r="E21" i="5" a="1"/>
  <c r="E21" i="5" s="1"/>
  <c r="P20" i="5"/>
  <c r="E20" i="5" a="1"/>
  <c r="E20" i="5" s="1"/>
  <c r="P19" i="5"/>
  <c r="E19" i="5" a="1"/>
  <c r="E19" i="5" s="1"/>
  <c r="P18" i="5"/>
  <c r="E18" i="5" a="1"/>
  <c r="E18" i="5" s="1"/>
  <c r="P17" i="5"/>
  <c r="E17" i="5" a="1"/>
  <c r="E17" i="5" s="1"/>
  <c r="P16" i="5"/>
  <c r="E16" i="5" a="1"/>
  <c r="E16" i="5" s="1"/>
  <c r="P15" i="5"/>
  <c r="E15" i="5" a="1"/>
  <c r="E15" i="5" s="1"/>
  <c r="P14" i="5"/>
  <c r="E14" i="5" a="1"/>
  <c r="E14" i="5" s="1"/>
  <c r="P13" i="5"/>
  <c r="E13" i="5" a="1"/>
  <c r="E13" i="5" s="1"/>
  <c r="P12" i="5"/>
  <c r="E12" i="5" a="1"/>
  <c r="E12" i="5" s="1"/>
  <c r="P11" i="5"/>
  <c r="E11" i="5" a="1"/>
  <c r="E11" i="5" s="1"/>
  <c r="P10" i="5"/>
  <c r="E10" i="5" a="1"/>
  <c r="E10" i="5" s="1"/>
  <c r="P9" i="5"/>
  <c r="E9" i="5" a="1"/>
  <c r="E9" i="5" s="1"/>
  <c r="P8" i="5"/>
  <c r="E8" i="5" a="1"/>
  <c r="E8" i="5" s="1"/>
  <c r="P7" i="5"/>
  <c r="E7" i="5" a="1"/>
  <c r="E7" i="5" s="1"/>
  <c r="P6" i="5"/>
  <c r="E6" i="5" a="1"/>
  <c r="E6" i="5" s="1"/>
  <c r="P5" i="5"/>
  <c r="E5" i="5" a="1"/>
  <c r="E5" i="5" s="1"/>
  <c r="P4" i="5"/>
  <c r="E4" i="5" a="1"/>
  <c r="E4" i="5" s="1"/>
  <c r="P3" i="5"/>
  <c r="P2" i="5"/>
  <c r="E35" i="3" a="1"/>
  <c r="E35" i="3" s="1"/>
  <c r="E3" i="3" a="1"/>
  <c r="E3" i="3" s="1"/>
  <c r="E4" i="3" a="1"/>
  <c r="E4" i="3" s="1"/>
  <c r="E5" i="3" a="1"/>
  <c r="E5" i="3" s="1"/>
  <c r="E6" i="3" a="1"/>
  <c r="E6" i="3" s="1"/>
  <c r="E7" i="3" a="1"/>
  <c r="E7" i="3" s="1"/>
  <c r="E8" i="3" a="1"/>
  <c r="E8" i="3" s="1"/>
  <c r="E9" i="3" a="1"/>
  <c r="E9" i="3" s="1"/>
  <c r="E10" i="3" a="1"/>
  <c r="E10" i="3" s="1"/>
  <c r="E11" i="3" a="1"/>
  <c r="E11" i="3" s="1"/>
  <c r="E12" i="3" a="1"/>
  <c r="E12" i="3" s="1"/>
  <c r="E13" i="3" a="1"/>
  <c r="E13" i="3" s="1"/>
  <c r="E14" i="3" a="1"/>
  <c r="E14" i="3" s="1"/>
  <c r="E15" i="3" a="1"/>
  <c r="E15" i="3" s="1"/>
  <c r="E16" i="3" a="1"/>
  <c r="E16" i="3" s="1"/>
  <c r="E17" i="3" a="1"/>
  <c r="E17" i="3" s="1"/>
  <c r="E18" i="3" a="1"/>
  <c r="E18" i="3" s="1"/>
  <c r="E19" i="3" a="1"/>
  <c r="E19" i="3" s="1"/>
  <c r="E20" i="3" a="1"/>
  <c r="E20" i="3" s="1"/>
  <c r="E21" i="3" a="1"/>
  <c r="E21" i="3" s="1"/>
  <c r="E22" i="3" a="1"/>
  <c r="E22" i="3" s="1"/>
  <c r="E23" i="3" a="1"/>
  <c r="E23" i="3" s="1"/>
  <c r="E24" i="3" a="1"/>
  <c r="E24" i="3" s="1"/>
  <c r="E25" i="3" a="1"/>
  <c r="E25" i="3" s="1"/>
  <c r="E26" i="3" a="1"/>
  <c r="E26" i="3" s="1"/>
  <c r="E27" i="3" a="1"/>
  <c r="E27" i="3" s="1"/>
  <c r="E28" i="3" a="1"/>
  <c r="E28" i="3" s="1"/>
  <c r="E29" i="3" a="1"/>
  <c r="E29" i="3" s="1"/>
  <c r="E30" i="3" a="1"/>
  <c r="E30" i="3" s="1"/>
  <c r="E31" i="3" a="1"/>
  <c r="E31" i="3" s="1"/>
  <c r="E32" i="3" a="1"/>
  <c r="E32" i="3" s="1"/>
  <c r="E33" i="3" a="1"/>
  <c r="E33" i="3" s="1"/>
  <c r="E34" i="3" a="1"/>
  <c r="E34" i="3" s="1"/>
  <c r="E2" i="3" a="1"/>
  <c r="E2" i="3" s="1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O4" i="3" a="1"/>
  <c r="O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F1" authorId="0" shapeId="0" xr:uid="{138F5C9F-3D67-49C1-9A4E-E57F02975355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G1" authorId="0" shapeId="0" xr:uid="{302F8388-9472-4C35-959F-EAA2651B3299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H1" authorId="0" shapeId="0" xr:uid="{D55EA746-0427-4A35-B338-C7AC76A74F78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I1" authorId="0" shapeId="0" xr:uid="{22F4E41B-CB9D-4690-A15C-88EF2EA5A80B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J1" authorId="0" shapeId="0" xr:uid="{D3E2EF74-D9CD-42CB-B0DD-D85BE8B7EA7E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L1" authorId="0" shapeId="0" xr:uid="{E5D4EE43-88FE-46BC-B4D5-9DE0ADC7F9E8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O1" authorId="0" shapeId="0" xr:uid="{2E55C3A9-9221-4AE5-95B7-B57A2A8D4284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F2" authorId="0" shapeId="0" xr:uid="{06E9473E-CB08-4BFD-ADE9-D4A480DF7251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R2" authorId="0" shapeId="0" xr:uid="{37C91F52-4488-4C33-A011-C0C36ADF7C2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G4" authorId="0" shapeId="0" xr:uid="{839914A1-B34F-4DE7-A059-A724C6DDC7C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R5" authorId="0" shapeId="0" xr:uid="{C479CB5A-AED5-4A57-B008-25F4D93850B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H8" authorId="0" shapeId="0" xr:uid="{961A6644-45E7-4830-8069-97FC7A668533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H10" authorId="0" shapeId="0" xr:uid="{B3D4C6AC-28AD-42E5-A2A7-53AA52FEA1C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O10" authorId="0" shapeId="0" xr:uid="{DD5B94FD-A42E-4D57-9334-0EAF2EF82B4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R10" authorId="0" shapeId="0" xr:uid="{D26372EA-C90A-4221-A331-511DE77C02B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F11" authorId="0" shapeId="0" xr:uid="{AC6A1FFB-1B63-43AC-9CAA-5E5D8E2B213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O11" authorId="0" shapeId="0" xr:uid="{50EEF009-0B03-4670-B7D2-0EC4024CF63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I12" authorId="0" shapeId="0" xr:uid="{2FEE533A-C9C8-4A73-92DD-FC5636F9405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O12" authorId="0" shapeId="0" xr:uid="{F3960E80-6863-4EF6-B0F7-41F6C78BF26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O13" authorId="0" shapeId="0" xr:uid="{B78E8AAC-D497-408B-ACE6-0F0D9F6B3AC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F14" authorId="0" shapeId="0" xr:uid="{334E8D8B-862D-43EF-BE01-EE3393C8C49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H14" authorId="0" shapeId="0" xr:uid="{4168960B-23A7-4C60-B8E4-E5B30562131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O14" authorId="0" shapeId="0" xr:uid="{A6165D5C-AD59-48C7-9F6A-A58B9DF41B1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O15" authorId="0" shapeId="0" xr:uid="{24836735-04B3-4BED-B2D2-75BE536C9BA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R15" authorId="0" shapeId="0" xr:uid="{65F12BAE-0BCA-4B3F-93CE-5DAE5D2FF38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I16" authorId="0" shapeId="0" xr:uid="{E9B900B2-58ED-4453-AB72-DFD5E87A387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O16" authorId="0" shapeId="0" xr:uid="{9A8F9018-CC5D-41D2-B365-92066974FC8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F17" authorId="0" shapeId="0" xr:uid="{08697096-6C2C-47E0-98A4-5DB8D4E2442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I17" authorId="0" shapeId="0" xr:uid="{8E8D7474-DF0D-488F-88CE-64378D5E45F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F18" authorId="0" shapeId="0" xr:uid="{F0DE7262-D979-41CE-A778-304FE58DC27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O19" authorId="0" shapeId="0" xr:uid="{3E50A0D5-ECCB-456C-8028-FD82DE7F309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P24" authorId="0" shapeId="0" xr:uid="{C2514823-CFC3-4C31-9FAE-DC6DDD00B90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P25" authorId="0" shapeId="0" xr:uid="{986DC867-A04D-4C7C-8C1E-3489A9E4F76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O30" authorId="0" shapeId="0" xr:uid="{8D07D906-6ECA-4FEC-BA69-81877BA2433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F31" authorId="0" shapeId="0" xr:uid="{845F3865-0F42-4CDA-91D0-E26A72B5818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O31" authorId="0" shapeId="0" xr:uid="{7E9D5FC9-2710-4B16-B386-75C760401D2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G34" authorId="0" shapeId="0" xr:uid="{D50487EC-2184-4F23-B7B4-43B92C1B2A2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F42" authorId="0" shapeId="0" xr:uid="{91ED9A02-52DC-412A-905A-3F1E65A919F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H43" authorId="0" shapeId="0" xr:uid="{E131FCA8-3942-4C06-92B7-EB963771DE2B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I48" authorId="0" shapeId="0" xr:uid="{17C5E251-CA56-456C-8D75-6C12CE08BE2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F63" authorId="0" shapeId="0" xr:uid="{9DDA2A1C-9F1F-4A39-A17B-4160822D924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F1" authorId="0" shapeId="0" xr:uid="{FCCC4C20-DDCE-427B-86FF-2680B831EA06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G1" authorId="0" shapeId="0" xr:uid="{D8796183-E146-4B1D-A227-427140623EA7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H1" authorId="0" shapeId="0" xr:uid="{DA39D59F-4536-4004-873E-30DED4AEF277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I1" authorId="0" shapeId="0" xr:uid="{29728DC5-ABCD-44A9-89D4-76A7A32A6151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J1" authorId="0" shapeId="0" xr:uid="{2492D85D-A5ED-44F4-B5D1-8EA053B9F2CA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L1" authorId="0" shapeId="0" xr:uid="{BF31B12A-3A00-40B1-A0AA-6498BDB255B3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O1" authorId="0" shapeId="0" xr:uid="{BD5C2CA6-8C64-411B-819D-7578C75F74B8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F2" authorId="0" shapeId="0" xr:uid="{BDE6A1E9-A802-4266-843C-8C6A483631E3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R2" authorId="0" shapeId="0" xr:uid="{F3B69EB8-8E7A-40F0-94A4-742E191A4E2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G4" authorId="0" shapeId="0" xr:uid="{2F109207-898B-448C-80C9-91069EC33DF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R5" authorId="0" shapeId="0" xr:uid="{747058CC-7FB0-420A-B80C-235A3AA651D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H8" authorId="0" shapeId="0" xr:uid="{48AF85EF-59FC-41F5-B60E-AA513D0C601C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H10" authorId="0" shapeId="0" xr:uid="{FEC9BDAC-002D-47DF-BB97-79BCE926248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O10" authorId="0" shapeId="0" xr:uid="{4C13C038-FA27-469A-B258-5061286F330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R10" authorId="0" shapeId="0" xr:uid="{F99E814C-7C93-40CE-AB83-1F1A5639907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F11" authorId="0" shapeId="0" xr:uid="{A3F0BF8A-1FEF-4A5D-B611-A63BAA01F76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O11" authorId="0" shapeId="0" xr:uid="{742E6D1A-212E-4D5E-BCCC-FED72936877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I12" authorId="0" shapeId="0" xr:uid="{F8981A83-D66A-46B1-9F47-CA76B810081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O12" authorId="0" shapeId="0" xr:uid="{86DB9B34-7A93-4BF6-9E5A-F24A8CA31ED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O13" authorId="0" shapeId="0" xr:uid="{62DE1956-5A50-42BE-9D3D-46CD4F827DD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F14" authorId="0" shapeId="0" xr:uid="{7939A5C6-5670-407D-9DC2-9330CBA1FDB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H14" authorId="0" shapeId="0" xr:uid="{F8303C4E-4E89-4152-89BD-4C039700255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O14" authorId="0" shapeId="0" xr:uid="{90040C60-989D-4126-AE45-F4E1F6EBC09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O15" authorId="0" shapeId="0" xr:uid="{7ECF5014-3156-44CE-8B4B-7AC8FEC2BB4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R15" authorId="0" shapeId="0" xr:uid="{E740B51E-C687-4A7D-A280-E7CC50392AE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I16" authorId="0" shapeId="0" xr:uid="{77A055F8-4B03-4FF7-A19B-EA50CF47675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O16" authorId="0" shapeId="0" xr:uid="{AB04B7C9-5A66-4645-B7F3-F377A565357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F17" authorId="0" shapeId="0" xr:uid="{656C6A21-942D-4EDB-AF99-098C6C0D4BC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I17" authorId="0" shapeId="0" xr:uid="{9A91690E-FC94-4EBD-BDFF-DD6899E266B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F18" authorId="0" shapeId="0" xr:uid="{CBA377BB-7802-4F8C-A296-8E7F60C786B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O19" authorId="0" shapeId="0" xr:uid="{41306F01-5B27-453C-981A-6E9EED6548E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P24" authorId="0" shapeId="0" xr:uid="{E3DB1494-48BB-4A4C-AEFA-5A1BF70F36B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P25" authorId="0" shapeId="0" xr:uid="{2D678E21-E3BE-4A16-92B9-C605D4AD626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O30" authorId="0" shapeId="0" xr:uid="{A3AB6CE3-7D8A-4751-BB7A-1696B2CE0AE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F31" authorId="0" shapeId="0" xr:uid="{16B21762-7A01-42A3-9ABC-082C8B68348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O31" authorId="0" shapeId="0" xr:uid="{21F27614-272C-408E-96A1-4779C213B5A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G34" authorId="0" shapeId="0" xr:uid="{8596F144-F72A-469A-822C-93B958EAEBE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F42" authorId="0" shapeId="0" xr:uid="{41942028-7062-4F8D-8042-BA950F66DAF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H43" authorId="0" shapeId="0" xr:uid="{FEC8FC9D-DD06-42DE-9CD7-FB7B15B2672C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I48" authorId="0" shapeId="0" xr:uid="{FE942921-B7DE-4C1C-8319-451B9B121BB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F63" authorId="0" shapeId="0" xr:uid="{6FAC604C-E8C0-4CEE-A184-CF2D1AB3C10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E1" authorId="0" shapeId="0" xr:uid="{1FA72BF7-A873-445E-BC5D-B73F78533030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F1" authorId="0" shapeId="0" xr:uid="{423FF97E-4333-43D4-9556-4D11428CA91D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G1" authorId="0" shapeId="0" xr:uid="{CA98667F-AFD5-44A0-921B-D0926211952F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H1" authorId="0" shapeId="0" xr:uid="{6C6C043A-DF4D-4638-8395-F8A9AF8D8122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I1" authorId="0" shapeId="0" xr:uid="{A4BB263C-BBDD-4427-AC5B-4A7162D54489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K1" authorId="0" shapeId="0" xr:uid="{625FFA6A-4AC0-492A-BA10-59DB1D0CCBC1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N1" authorId="0" shapeId="0" xr:uid="{04D0C5AB-42B6-4907-B85F-AAE3F09D09AB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E2" authorId="0" shapeId="0" xr:uid="{590F70BA-C599-4881-9748-A7D364CAF429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Q2" authorId="0" shapeId="0" xr:uid="{D018C3FE-BEB5-4009-9A58-091CCCD5E0E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F4" authorId="0" shapeId="0" xr:uid="{A8D25A5B-3461-46F8-A82B-F112DC23780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Q5" authorId="0" shapeId="0" xr:uid="{C00EDDBA-5488-4A9C-B82B-0F61A7DC360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G8" authorId="0" shapeId="0" xr:uid="{56D3246D-FBB8-4FE3-B19A-4C9722088304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G10" authorId="0" shapeId="0" xr:uid="{87443F3B-6B91-4135-AFBE-5D678BBB1AB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N10" authorId="0" shapeId="0" xr:uid="{D7F65DC6-78A3-4867-8C1A-860A1D240A3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Q10" authorId="0" shapeId="0" xr:uid="{7331B472-3C23-4C24-86D9-1A127A3BC70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E11" authorId="0" shapeId="0" xr:uid="{5CD929B0-A4A0-4F30-A7B6-BF1AB74D41B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N11" authorId="0" shapeId="0" xr:uid="{BF355CC0-9254-463D-AD45-FFE6B9A7C4C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H12" authorId="0" shapeId="0" xr:uid="{25A1AFB1-270F-4D04-9E0B-14262707E22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N12" authorId="0" shapeId="0" xr:uid="{4E13CCB8-DFCA-4EA3-835F-5C81421A616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N13" authorId="0" shapeId="0" xr:uid="{BA145085-C363-45AD-A39F-484C068E820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E14" authorId="0" shapeId="0" xr:uid="{0979A970-D1A9-45CB-AFAB-4E9D426372B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G14" authorId="0" shapeId="0" xr:uid="{B5D12E31-07CD-46E8-B26F-498EBD9BCB0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N14" authorId="0" shapeId="0" xr:uid="{5E209FCF-DE99-45DB-859E-21F205EB53A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N15" authorId="0" shapeId="0" xr:uid="{A7639038-B11A-47F5-83D5-9B3405EF853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Q15" authorId="0" shapeId="0" xr:uid="{F58D3683-9465-43F6-A415-1A4CE3AB20E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H16" authorId="0" shapeId="0" xr:uid="{D1CCF41B-D2F6-4BB8-BB69-ED4BCD84356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N16" authorId="0" shapeId="0" xr:uid="{79D57823-A51C-4657-A357-C2CA1175D0A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E17" authorId="0" shapeId="0" xr:uid="{27A37F4B-2B22-4E36-AAD6-00EA864FEBF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H17" authorId="0" shapeId="0" xr:uid="{CD2DF958-306F-4EC6-98DB-CDE557F7DA3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E18" authorId="0" shapeId="0" xr:uid="{6B2C99D0-E561-478E-83F7-D6ACEE5A0E5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N19" authorId="0" shapeId="0" xr:uid="{78376F14-867B-4EB5-9050-A6634D48050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O24" authorId="0" shapeId="0" xr:uid="{116A322D-5677-4ADE-8F23-B55E1DC39A2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O25" authorId="0" shapeId="0" xr:uid="{F00EF2A6-EC14-4556-919F-291D2A3AE55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N30" authorId="0" shapeId="0" xr:uid="{03971507-03F4-4AE4-B27D-40661599A79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E31" authorId="0" shapeId="0" xr:uid="{FD387EAB-3C75-48B1-BE44-557FA417BFB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N31" authorId="0" shapeId="0" xr:uid="{ECCBE328-952A-4D0A-BBFA-4B8B9D4EDC1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F34" authorId="0" shapeId="0" xr:uid="{69E08F45-677F-46B3-BF7C-CBC3AF48AC5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E42" authorId="0" shapeId="0" xr:uid="{5E6E7E78-94AE-4003-89FE-11B3CCCEBE8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G43" authorId="0" shapeId="0" xr:uid="{7FFE4903-B14C-4B41-88AF-EA110776E98D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H48" authorId="0" shapeId="0" xr:uid="{1EC6F333-0439-4182-929D-F67A3FDF624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E63" authorId="0" shapeId="0" xr:uid="{6C4AF0DF-CE4A-4435-8147-E0B513CF8F5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B1" authorId="0" shapeId="0" xr:uid="{F5375626-8E74-43B9-BC5D-C3315492903F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C1" authorId="0" shapeId="0" xr:uid="{F046FDDE-137A-41F3-8026-54779F8E4DBB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D1" authorId="0" shapeId="0" xr:uid="{7D83AC33-48E3-41CA-BEF0-158DCA36318A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E1" authorId="0" shapeId="0" xr:uid="{97635916-8246-46AE-B5F9-DC3DC0207D93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F1" authorId="0" shapeId="0" xr:uid="{58BE2899-B690-4E9E-B904-DB9943202DA5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H1" authorId="0" shapeId="0" xr:uid="{AADA582D-6281-495C-B987-52219F5EB0C7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K1" authorId="0" shapeId="0" xr:uid="{D639FE1B-53DE-4E6F-8EBF-B88881A7B1C0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B2" authorId="0" shapeId="0" xr:uid="{E1A946B7-10FF-42B3-8419-7BE6870820AE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N2" authorId="0" shapeId="0" xr:uid="{9F9C317C-5BC9-4621-BAEE-9A2662C8584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C4" authorId="0" shapeId="0" xr:uid="{9A7A1106-02A5-415C-8DF1-7B177A56098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N5" authorId="0" shapeId="0" xr:uid="{4E936920-0DFE-4EDF-A34F-00636292C07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D8" authorId="0" shapeId="0" xr:uid="{97E8CF8B-4512-4EB1-89A7-3DEDB9CE4318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D10" authorId="0" shapeId="0" xr:uid="{E7D13861-2921-41B0-8247-05A501CC5D9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K10" authorId="0" shapeId="0" xr:uid="{B742E01E-7969-470E-B599-E25EE0EAF59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N10" authorId="0" shapeId="0" xr:uid="{E9AFCF1F-1F05-4155-BC5D-B451F91FB3C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B11" authorId="0" shapeId="0" xr:uid="{C8B69AB8-E41A-4FE9-BF66-F212952DEB7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K11" authorId="0" shapeId="0" xr:uid="{042AC54C-8747-4DF4-982D-D844DA7BB50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E12" authorId="0" shapeId="0" xr:uid="{393BCE06-EA0E-4BC5-B541-D78028D4B4F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K12" authorId="0" shapeId="0" xr:uid="{951EC06F-F281-4B27-84F9-46400BEDC07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K13" authorId="0" shapeId="0" xr:uid="{9F2AA85E-4C37-4F8D-9352-36F1E13C35E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B14" authorId="0" shapeId="0" xr:uid="{27269DC9-ACAD-4280-825C-986EF3169EE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D14" authorId="0" shapeId="0" xr:uid="{E0CC9E29-27B1-41AB-BAD7-29493583953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K14" authorId="0" shapeId="0" xr:uid="{7ACF40CC-093A-4F7F-AE1A-CA47513166D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K15" authorId="0" shapeId="0" xr:uid="{39B5C48C-6065-4961-A067-14C937ABAF4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N15" authorId="0" shapeId="0" xr:uid="{F20741E6-B3CD-4C7E-AFCF-362F00433C8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E16" authorId="0" shapeId="0" xr:uid="{CA365CE4-DE52-48E1-B2BB-C80C253682A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K16" authorId="0" shapeId="0" xr:uid="{F9F644D6-829E-458C-8D8E-F7257F4F6C5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B17" authorId="0" shapeId="0" xr:uid="{647D59E9-DCF4-4A05-86A8-E9D92EDF4CA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E17" authorId="0" shapeId="0" xr:uid="{D247F8B8-772A-4280-B7FA-1F744CD4F91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B18" authorId="0" shapeId="0" xr:uid="{7AF0122A-B4C5-4FFF-977E-8D4C859B86A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K19" authorId="0" shapeId="0" xr:uid="{55964A04-44A4-4018-BAB5-17043EB4923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L24" authorId="0" shapeId="0" xr:uid="{818D676E-9A58-4E3E-BE03-8076A229090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L25" authorId="0" shapeId="0" xr:uid="{168DE758-83AA-48AF-A971-C6BFCA4B252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K30" authorId="0" shapeId="0" xr:uid="{503F6A39-08B5-4263-AB1D-899D9DA0ECC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B31" authorId="0" shapeId="0" xr:uid="{89D4C535-E4C1-4B63-87F2-B04D4CF2F23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K31" authorId="0" shapeId="0" xr:uid="{FA2B069F-9D74-42CD-9123-72B2BC1212C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C34" authorId="0" shapeId="0" xr:uid="{A3077F8E-180B-45FF-826E-FE6B952BF5A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B42" authorId="0" shapeId="0" xr:uid="{5533B8A4-0726-4A70-8168-26DAB280AFF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D43" authorId="0" shapeId="0" xr:uid="{38CA2209-A043-4CFF-91B7-46378E58058C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E48" authorId="0" shapeId="0" xr:uid="{7F094DCB-B563-4EEF-A9A1-506D833852F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B63" authorId="0" shapeId="0" xr:uid="{0974058D-AE20-4E17-B751-9BC5067482D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D1" authorId="0" shapeId="0" xr:uid="{C7B64775-76D8-440E-B2B6-944B7A1D1DE6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E1" authorId="0" shapeId="0" xr:uid="{2D3E6EE0-02BA-40D0-928B-37F934762536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F1" authorId="0" shapeId="0" xr:uid="{E157EDED-FE83-415B-8499-D435097529E1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G1" authorId="0" shapeId="0" xr:uid="{298C3AD0-5817-40F0-BC8A-0D38BD01187F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H1" authorId="0" shapeId="0" xr:uid="{4291DB7C-7BEB-4DFA-9D30-D024016AC78F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J1" authorId="0" shapeId="0" xr:uid="{8E93D8D7-0434-499A-A2FE-80B962024815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M1" authorId="0" shapeId="0" xr:uid="{BA805B4C-C129-494F-B60B-9D0FDFA2BAA3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D2" authorId="0" shapeId="0" xr:uid="{8F01B3D3-24CF-4F2B-9450-AC9107B734E4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P2" authorId="0" shapeId="0" xr:uid="{2C2F34AB-DB1E-453F-8B72-5E6B5690C04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E4" authorId="0" shapeId="0" xr:uid="{C4B725AC-BE06-4FAE-B26C-39EC08751C0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P5" authorId="0" shapeId="0" xr:uid="{5CE9E144-B89A-4A09-94DA-B7094AD6138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F8" authorId="0" shapeId="0" xr:uid="{C82387D5-0E60-4433-96C6-50BB23561CD4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F10" authorId="0" shapeId="0" xr:uid="{F761D165-79B4-4D5F-844E-BC575F8BFC5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M10" authorId="0" shapeId="0" xr:uid="{DCFC48FE-63D8-495D-9D6F-089C1924D84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P10" authorId="0" shapeId="0" xr:uid="{C2BDCE20-F919-4633-B97E-5C85337A321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D11" authorId="0" shapeId="0" xr:uid="{A7CC5790-9073-481A-9616-BCDC4258CAE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M11" authorId="0" shapeId="0" xr:uid="{9F955068-30A9-4749-BBC9-332B350A6D0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G12" authorId="0" shapeId="0" xr:uid="{F57342D1-0440-47C4-BE97-3AB0E6F1D52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M12" authorId="0" shapeId="0" xr:uid="{2F015BD1-95F5-4545-8DA3-5CDFAF81820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M13" authorId="0" shapeId="0" xr:uid="{9065613A-3C18-4FEC-96CC-1C23C10004A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D14" authorId="0" shapeId="0" xr:uid="{499B7A2E-6D1C-4F80-A6C7-95146E6AB8E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F14" authorId="0" shapeId="0" xr:uid="{AF3F128A-7292-48EF-A997-A838CCC6A68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M14" authorId="0" shapeId="0" xr:uid="{576BF605-8E02-4C5F-A99A-D0B88D4E9B2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M15" authorId="0" shapeId="0" xr:uid="{EEB6A4FA-AD3B-4628-AD57-EA234250C09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P15" authorId="0" shapeId="0" xr:uid="{92FC0073-F7A8-4AAF-BFF6-EBDA46CCDD8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G16" authorId="0" shapeId="0" xr:uid="{22194910-43DF-455D-A75B-13175CE7523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M16" authorId="0" shapeId="0" xr:uid="{EFAF6080-D770-4B2B-A2F9-2A34741241A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D17" authorId="0" shapeId="0" xr:uid="{ABDB1656-514E-49A9-8D24-6709D4EA334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G17" authorId="0" shapeId="0" xr:uid="{3A71208D-8D34-4923-8181-AD758CB4D1B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D18" authorId="0" shapeId="0" xr:uid="{57825AAE-C23E-4942-A83F-F1FF6D07CAF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M19" authorId="0" shapeId="0" xr:uid="{039A2920-3B20-4E9D-85A4-7A4C9120D13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N24" authorId="0" shapeId="0" xr:uid="{52465C13-91C9-4959-AD4E-8E89DDAD211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N25" authorId="0" shapeId="0" xr:uid="{B73F9746-AB44-41DD-B000-595676618F1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M30" authorId="0" shapeId="0" xr:uid="{0ADCD9B2-C2CE-42BA-9304-E5942908B0E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D31" authorId="0" shapeId="0" xr:uid="{FBB32405-D9BF-49B2-810F-7B7F46F4121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M31" authorId="0" shapeId="0" xr:uid="{F7EFB425-0118-4213-903A-6663838F1C3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E34" authorId="0" shapeId="0" xr:uid="{384ADB27-E5F5-442E-B4B3-A1F1F8FC106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D42" authorId="0" shapeId="0" xr:uid="{23185C8D-414E-443B-B60E-ECD290C2424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F43" authorId="0" shapeId="0" xr:uid="{C542B2A5-26DF-41C2-AE56-0A61F6F84CBF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G48" authorId="0" shapeId="0" xr:uid="{B28A69C8-FCFA-4530-806B-19D5F904CD6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D63" authorId="0" shapeId="0" xr:uid="{3C2154DD-0DA4-4456-A9DB-A8AFFD4ACDC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B1" authorId="0" shapeId="0" xr:uid="{87E1862D-F6C3-48A4-9B74-10F71BF23B61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C1" authorId="0" shapeId="0" xr:uid="{D7C4FDA4-6C9B-4307-88AB-000C431EF9DD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D1" authorId="0" shapeId="0" xr:uid="{666EC769-F686-48D6-BC29-A51F435C723F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E1" authorId="0" shapeId="0" xr:uid="{B0F11312-85CD-4303-8548-DA9A13A0AD8B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F1" authorId="0" shapeId="0" xr:uid="{0D574A11-4B18-4045-81C6-5C11883560A1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H1" authorId="0" shapeId="0" xr:uid="{417DD6B7-2119-4486-B53D-75655CE714FA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K1" authorId="0" shapeId="0" xr:uid="{054ACECB-04E8-400E-9925-BB9A9EED0AC4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B2" authorId="0" shapeId="0" xr:uid="{DAA3F374-6EF1-4E58-8A4B-2DE8B91B1B70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N2" authorId="0" shapeId="0" xr:uid="{DABA560C-496A-4B27-8798-DA3990477CE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C4" authorId="0" shapeId="0" xr:uid="{6D30C85A-6D7A-4D1D-A0C5-6498E804B6D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N5" authorId="0" shapeId="0" xr:uid="{FAA8DF2B-280D-4678-A9FB-5FF61545555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D8" authorId="0" shapeId="0" xr:uid="{27A1CC7D-98DF-4F0A-A65E-94C62FB9559C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D10" authorId="0" shapeId="0" xr:uid="{4C0721A2-E9D4-4423-8BC1-349E816CA72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K10" authorId="0" shapeId="0" xr:uid="{A226A0FB-DE27-4B3D-9DDD-D3505A9B524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N10" authorId="0" shapeId="0" xr:uid="{8713B0CE-B86E-4448-92DB-84B28288506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B11" authorId="0" shapeId="0" xr:uid="{10331DFB-6153-4087-9880-017F2F58F37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K11" authorId="0" shapeId="0" xr:uid="{B64E9881-62F6-4CB4-B6B4-B5301310237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E12" authorId="0" shapeId="0" xr:uid="{50A08297-CAFB-4356-B4FE-28215388F38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K12" authorId="0" shapeId="0" xr:uid="{3FE8EF86-6541-4706-9C3E-6314C15FE68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K13" authorId="0" shapeId="0" xr:uid="{006DBE8F-066D-44F8-ABB5-C7113B4196C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B14" authorId="0" shapeId="0" xr:uid="{790F3D06-D2A1-410D-961B-62D2B2DA9CD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D14" authorId="0" shapeId="0" xr:uid="{0EF2DAAB-564D-4A61-AB50-BAE748AABAC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K14" authorId="0" shapeId="0" xr:uid="{73642BDA-34BC-44B6-9111-BAE0578EA5E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K15" authorId="0" shapeId="0" xr:uid="{1B73BA50-5B8D-43E3-9B21-0851C007F5B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N15" authorId="0" shapeId="0" xr:uid="{9747089E-D86B-4AEA-B636-EC7DD05619E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E16" authorId="0" shapeId="0" xr:uid="{741B4029-934F-47B6-9C1C-4A61AA0EADD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K16" authorId="0" shapeId="0" xr:uid="{8F65AD0C-4A44-48D0-91B9-6124147B8CB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B17" authorId="0" shapeId="0" xr:uid="{666DBEB1-7493-45EF-A78D-0C182D98565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E17" authorId="0" shapeId="0" xr:uid="{1080C3C5-F8D2-46E3-A466-45BD8F24E72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B18" authorId="0" shapeId="0" xr:uid="{A8DE3C46-95C6-4374-A053-7AFF3C25965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K19" authorId="0" shapeId="0" xr:uid="{BB50D696-DCFD-4448-BC7E-D3437364DBE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L24" authorId="0" shapeId="0" xr:uid="{64BDD5BE-1557-4CBB-8997-C328E49C574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L25" authorId="0" shapeId="0" xr:uid="{162C747D-08C3-460D-B64B-13412E8632C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K30" authorId="0" shapeId="0" xr:uid="{0642CF3A-99C8-43B8-81FD-4204BB76F78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B31" authorId="0" shapeId="0" xr:uid="{A40CA5A2-FC12-43E8-A372-D25CE74B7A3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K31" authorId="0" shapeId="0" xr:uid="{87CB3264-8A14-456C-8130-749D937D5B5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C34" authorId="0" shapeId="0" xr:uid="{96E82BBA-6F34-4858-808B-92A5BF32B59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B42" authorId="0" shapeId="0" xr:uid="{CD5C46D5-3539-48ED-BC11-38417CB54B4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D43" authorId="0" shapeId="0" xr:uid="{DABDE459-3199-49BF-8117-FA68B0D0FA79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E48" authorId="0" shapeId="0" xr:uid="{83265D88-21FB-48B5-8F49-3F00ED56B6A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B63" authorId="0" shapeId="0" xr:uid="{5DC1E410-3B58-4924-8F7D-16021C6E798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G1" authorId="0" shapeId="0" xr:uid="{858179A1-AD1C-4E93-B305-BC132B80E05C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H1" authorId="0" shapeId="0" xr:uid="{0448BE46-DDFA-483E-9D39-1C930F1C66C0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I1" authorId="0" shapeId="0" xr:uid="{0A7004FF-3681-4992-9CE1-A77F1CD98953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J1" authorId="0" shapeId="0" xr:uid="{06BF8081-DAD7-4E25-8807-5BC962D8325B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K1" authorId="0" shapeId="0" xr:uid="{007C1F2D-D27C-4E41-9858-ACBDDA9DB9CE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M1" authorId="0" shapeId="0" xr:uid="{CD972B6B-513E-407B-9749-472A4BAADF72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P1" authorId="0" shapeId="0" xr:uid="{BEB03B32-59C8-4A8C-AFF8-DBC4E337D62A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G2" authorId="0" shapeId="0" xr:uid="{2E36A599-9C39-4428-BBBC-50CDE82B0989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S2" authorId="0" shapeId="0" xr:uid="{4D23BADD-E171-4A3C-9103-7267AADCB58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H4" authorId="0" shapeId="0" xr:uid="{FB806973-F69B-426E-A6BA-3C2D7BAF356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S5" authorId="0" shapeId="0" xr:uid="{E7D34844-39A3-431B-99F8-CD388420EEC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I8" authorId="0" shapeId="0" xr:uid="{AA5BF21C-51FB-44DF-A954-5C260BF28732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I10" authorId="0" shapeId="0" xr:uid="{862F6DEA-3297-4847-9E30-617659E2CC3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P10" authorId="0" shapeId="0" xr:uid="{1FAF6A52-1DEB-436D-8E0B-CA6DF6DAAD1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S10" authorId="0" shapeId="0" xr:uid="{1262D3C7-3093-4460-A4A2-ABAFBDA2EDA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G11" authorId="0" shapeId="0" xr:uid="{13D90143-767D-4AF1-99A6-8DB79DCD688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P11" authorId="0" shapeId="0" xr:uid="{C5DC409C-5ABB-468C-93FF-F2729379786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J12" authorId="0" shapeId="0" xr:uid="{EA066FD7-E7D8-4B3D-B1C6-E5FFCD0BA39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P12" authorId="0" shapeId="0" xr:uid="{F649DAC3-C6DB-45D3-8671-95E0EE76F83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P13" authorId="0" shapeId="0" xr:uid="{09C915CD-28A4-4F6E-8D42-F81DF584D53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G14" authorId="0" shapeId="0" xr:uid="{6E0AFDFA-5B1A-4E3E-B65E-22376306BE5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I14" authorId="0" shapeId="0" xr:uid="{6E713D3A-EFE0-4210-8007-CA459E6087F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P14" authorId="0" shapeId="0" xr:uid="{2E08A789-1238-44A1-9E81-96BF45DAEDB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P15" authorId="0" shapeId="0" xr:uid="{28D7A7C5-38A4-41D1-8FC7-AFD91B54CB8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S15" authorId="0" shapeId="0" xr:uid="{9D86D790-6B63-4E49-B91A-4F20E807B3D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J16" authorId="0" shapeId="0" xr:uid="{9CE082EC-3AC5-43C5-BB41-95E00228A7D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P16" authorId="0" shapeId="0" xr:uid="{AC60572F-2369-40AC-A6EA-32629003635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G17" authorId="0" shapeId="0" xr:uid="{7E837409-3F27-475B-8C2B-7611AA08286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J17" authorId="0" shapeId="0" xr:uid="{CE62DFD6-7ADC-4034-BD4C-58A8FD0C98F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G18" authorId="0" shapeId="0" xr:uid="{4502319C-2607-451D-8E22-89675F221E9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P19" authorId="0" shapeId="0" xr:uid="{768BB867-1403-4934-B033-69E555F3941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Q24" authorId="0" shapeId="0" xr:uid="{3AD2AC68-3ED0-4E70-8461-5E72FCE84DC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Q25" authorId="0" shapeId="0" xr:uid="{1DBF0467-D584-463D-B278-256CD4CC4E8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P30" authorId="0" shapeId="0" xr:uid="{DBB99E7E-1880-403D-B99F-E94999366BC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G31" authorId="0" shapeId="0" xr:uid="{D907B6B9-4F28-4818-A52E-67B7095946D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P31" authorId="0" shapeId="0" xr:uid="{8DF18D4A-690A-4581-B416-66A9B685DA0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H34" authorId="0" shapeId="0" xr:uid="{A5F2CD3E-C8B9-49F4-9343-BA738CCC98D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G42" authorId="0" shapeId="0" xr:uid="{7B84D914-57D5-4B4E-BBBE-EBC52BB22B8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I43" authorId="0" shapeId="0" xr:uid="{6265F9E5-1914-4225-B6A9-D73D1E8079A2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J48" authorId="0" shapeId="0" xr:uid="{59FCED6E-4871-4CD1-881D-20662EFDDEA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G63" authorId="0" shapeId="0" xr:uid="{83AC3BDF-0316-4BA9-A770-322249A4DF7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AE1" authorId="0" shapeId="0" xr:uid="{C7056AE1-CA20-4A38-A543-868B6ECC9EB0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AF1" authorId="0" shapeId="0" xr:uid="{0A903BC0-D5C8-499E-B999-11E589A0992A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AG1" authorId="0" shapeId="0" xr:uid="{4EC0AAEA-A056-4960-AA95-F34E90610046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AH1" authorId="0" shapeId="0" xr:uid="{6F157C53-994F-4627-95E8-AF84EB526F5C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AI1" authorId="0" shapeId="0" xr:uid="{6E9C9D6A-4DFC-4249-8EBA-B0F0DC448104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AK1" authorId="0" shapeId="0" xr:uid="{C6D0C9F3-81BA-4D92-88E6-BB0CC0796F7A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AN1" authorId="0" shapeId="0" xr:uid="{B77FF36C-457D-4220-ABA4-CF16D217CD5A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AE2" authorId="0" shapeId="0" xr:uid="{6A6695E0-962E-415B-B9FD-074FC6FAD2F5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AQ2" authorId="0" shapeId="0" xr:uid="{A0D4F401-0D47-491C-97AC-C7729F89EAC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filtros, para mantenimiento, según la clasificacion que le dio
</t>
        </r>
      </text>
    </comment>
    <comment ref="AF4" authorId="0" shapeId="0" xr:uid="{AC8FC76D-5782-4EC5-8CA0-246A4D1E4E5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AQ5" authorId="0" shapeId="0" xr:uid="{342BF86B-1679-4376-8B5B-B8F79795737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talvez solo el estuche de la sierra caladora y puede ir a electricas preguntar a filtro</t>
        </r>
      </text>
    </comment>
    <comment ref="AG8" authorId="0" shapeId="0" xr:uid="{EF3B6D83-CD1D-4AAF-9B47-5FA8D31D3DE1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AG10" authorId="0" shapeId="0" xr:uid="{496B7DFA-5D28-4581-8CB0-ECE65472E5A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AN10" authorId="0" shapeId="0" xr:uid="{CE8ADC5E-A570-4B30-9908-D2115B92860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Q10" authorId="0" shapeId="0" xr:uid="{D84C1E3B-1D19-42F9-82D8-A64EFD53786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Pedir que me muestren la herramienta, filtros
</t>
        </r>
      </text>
    </comment>
    <comment ref="AE11" authorId="0" shapeId="0" xr:uid="{DD6D344E-1005-4F60-984F-DB58A070FFC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AN11" authorId="0" shapeId="0" xr:uid="{2C14EBB8-4733-427F-8908-E41818FB4FC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H12" authorId="0" shapeId="0" xr:uid="{A326C497-3AA8-4E00-AD3D-CC76BFC8B24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AN12" authorId="0" shapeId="0" xr:uid="{BEE8B82B-6FA7-4F6F-91CC-083FF15C891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AN13" authorId="0" shapeId="0" xr:uid="{A2684E60-D472-4F56-8CE2-C70EB2D97B9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AE14" authorId="0" shapeId="0" xr:uid="{E64C83BB-4169-4A53-96EE-3F92B5216E3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AG14" authorId="0" shapeId="0" xr:uid="{1C1E186E-A3D2-489A-8186-9DF11497380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AN14" authorId="0" shapeId="0" xr:uid="{05C1901A-08AD-4A8A-9C02-5E273D09A90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N15" authorId="0" shapeId="0" xr:uid="{26CF41FC-5210-43D2-B142-EEF5AF35172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AQ15" authorId="0" shapeId="0" xr:uid="{BA38C6D6-E561-40A2-892E-9214706C71E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Puede ser mecanico por que es manual</t>
        </r>
      </text>
    </comment>
    <comment ref="AH16" authorId="0" shapeId="0" xr:uid="{07865124-26F7-443C-A4F4-D9CA3A47BE4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N16" authorId="0" shapeId="0" xr:uid="{CC835DAD-2340-4174-BF47-176587BE9E5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E17" authorId="0" shapeId="0" xr:uid="{6144DB09-2F79-403A-BD00-5DAAC84D2F82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AH17" authorId="0" shapeId="0" xr:uid="{E541F31A-0C9C-46CB-B9D7-7BEF1AAB1E6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AE18" authorId="0" shapeId="0" xr:uid="{FE6EE969-E582-4B2B-99E8-68AC40ACEB5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AN19" authorId="0" shapeId="0" xr:uid="{FB2A9D0C-B071-4340-A210-921354C63BF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  <comment ref="AO24" authorId="0" shapeId="0" xr:uid="{69E43148-EBB0-499A-92E3-2A296EB08AA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O25" authorId="0" shapeId="0" xr:uid="{A4773A19-4464-4708-89D9-C108629A5E5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N30" authorId="0" shapeId="0" xr:uid="{2D4E843A-775F-4D18-9A6A-94B521E1274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AE31" authorId="0" shapeId="0" xr:uid="{92C4F80C-57FF-4F9B-B43E-449A60B07AE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Ver un comentario en celdas mas abajo
</t>
        </r>
      </text>
    </comment>
    <comment ref="AN31" authorId="0" shapeId="0" xr:uid="{AD002097-ED99-4AB3-A1DC-4B044BC4BB0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AF34" authorId="0" shapeId="0" xr:uid="{DD4526D8-392F-4C85-AD18-66A51801CAD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Antes lubricador neumatico,tambien como engrasadora manual. filtros
</t>
        </r>
      </text>
    </comment>
    <comment ref="AE42" authorId="0" shapeId="0" xr:uid="{B5B946C2-6594-4681-A6EF-EDF63EA9101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impactool electrico
</t>
        </r>
      </text>
    </comment>
    <comment ref="AG43" authorId="0" shapeId="0" xr:uid="{F9C1816F-A837-4D64-9215-AB91EC98839B}">
      <text>
        <r>
          <rPr>
            <b/>
            <sz val="9"/>
            <color indexed="81"/>
            <rFont val="Tahoma"/>
            <charset val="1"/>
          </rPr>
          <t xml:space="preserve">Los calibradores tengo que centralizar el nombre para eliminar la redundancia
</t>
        </r>
      </text>
    </comment>
    <comment ref="AH48" authorId="0" shapeId="0" xr:uid="{5FED609D-DCF8-41F8-859B-CC328D2F28D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AE63" authorId="0" shapeId="0" xr:uid="{568F834E-0404-4298-8F06-76AEDA5CB57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Considerar con el reflector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K2" authorId="0" shapeId="0" xr:uid="{1A1076AB-5B90-4DE0-B7DE-CDB549863C8D}">
      <text>
        <r>
          <rPr>
            <b/>
            <sz val="9"/>
            <color indexed="81"/>
            <rFont val="Tahoma"/>
            <charset val="1"/>
          </rPr>
          <t>funcionan con energía eléctrica</t>
        </r>
      </text>
    </comment>
    <comment ref="L2" authorId="0" shapeId="0" xr:uid="{F1C59CFB-7B30-4F21-A1B5-AAD9AD6DBA9E}">
      <text>
        <r>
          <rPr>
            <b/>
            <sz val="9"/>
            <color indexed="81"/>
            <rFont val="Tahoma"/>
            <charset val="1"/>
          </rPr>
          <t>utilizan aire comprimido como fuente de energía</t>
        </r>
      </text>
    </comment>
    <comment ref="M2" authorId="0" shapeId="0" xr:uid="{0B0227A6-8C2E-4C8E-9D0C-EF36C6B81BD0}">
      <text>
        <r>
          <rPr>
            <b/>
            <sz val="9"/>
            <color indexed="81"/>
            <rFont val="Tahoma"/>
            <charset val="1"/>
          </rPr>
          <t>Para medir dimensiones, niveles, fuerzas o vibraciones</t>
        </r>
      </text>
    </comment>
    <comment ref="N2" authorId="0" shapeId="0" xr:uid="{CEEDF684-A5F6-44B1-9C19-52EB088D3DD0}">
      <text>
        <r>
          <rPr>
            <b/>
            <sz val="9"/>
            <color indexed="81"/>
            <rFont val="Tahoma"/>
            <charset val="1"/>
          </rPr>
          <t>Herramientas manuales diseñadas para realizar tareas como sujetar, cortar, apretar o ensamblar</t>
        </r>
      </text>
    </comment>
    <comment ref="O2" authorId="0" shapeId="0" xr:uid="{38F015B5-DD60-4BC0-94C3-AAAC72B9E351}">
      <text>
        <r>
          <rPr>
            <b/>
            <sz val="9"/>
            <color indexed="81"/>
            <rFont val="Tahoma"/>
            <charset val="1"/>
          </rPr>
          <t>Utilizan fluidos a presión para generar fuerza</t>
        </r>
      </text>
    </comment>
    <comment ref="Q2" authorId="0" shapeId="0" xr:uid="{D8518C20-A139-4F75-B2E6-C88667396F80}">
      <text>
        <r>
          <rPr>
            <b/>
            <sz val="9"/>
            <color indexed="81"/>
            <rFont val="Tahoma"/>
            <charset val="1"/>
          </rPr>
          <t>para levantar o mover cargas pesadas de manera segura.</t>
        </r>
      </text>
    </comment>
    <comment ref="T2" authorId="0" shapeId="0" xr:uid="{60F84B64-608B-40B9-AEB6-348901265769}">
      <text>
        <r>
          <rPr>
            <b/>
            <sz val="9"/>
            <color indexed="81"/>
            <rFont val="Tahoma"/>
            <charset val="1"/>
          </rPr>
          <t>Componentes adicionales que complementan las herramientas principales</t>
        </r>
      </text>
    </comment>
    <comment ref="K3" authorId="0" shapeId="0" xr:uid="{5279D3F2-2B92-401E-BA13-F7CB82CCEBF0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E4" authorId="0" shapeId="0" xr:uid="{001F4999-CE14-4DFD-9ADF-7329192F5986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L5" authorId="0" shapeId="0" xr:uid="{D92D3906-63C3-4AC0-A83E-4A086771FD11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I6" authorId="0" shapeId="0" xr:uid="{FC637B29-849F-44E8-9E12-AF989C9B938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M9" authorId="0" shapeId="0" xr:uid="{F58F27CF-8D18-4328-B4FD-DF471D9E5CB4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G10" authorId="0" shapeId="0" xr:uid="{C8AC5D33-6BF6-4BDE-9255-339537F5DD66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M11" authorId="0" shapeId="0" xr:uid="{2FE1229E-1438-4470-B0EB-3B0B91CB013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T11" authorId="0" shapeId="0" xr:uid="{DA3FDD6D-C210-4F7A-AC43-D5899D13143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G12" authorId="0" shapeId="0" xr:uid="{EF6C5128-C131-40CD-88DE-55079887524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K12" authorId="0" shapeId="0" xr:uid="{BA71718B-F3F7-45E1-B233-041CEED9849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T12" authorId="0" shapeId="0" xr:uid="{6656721A-A2F8-435D-B48B-EF28644518A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Es un accesorio
</t>
        </r>
      </text>
    </comment>
    <comment ref="E13" authorId="0" shapeId="0" xr:uid="{6ABEF284-7FF0-4DB6-9E91-808D99EDEAA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N13" authorId="0" shapeId="0" xr:uid="{E225C08B-7C71-4189-B033-1E71CF0BD8F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T13" authorId="0" shapeId="0" xr:uid="{EA872B47-0D88-4A17-855D-6CC335A1FBA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para niveles laser
</t>
        </r>
      </text>
    </comment>
    <comment ref="C14" authorId="0" shapeId="0" xr:uid="{B8B23429-6524-4359-A031-9FBEB38A754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T14" authorId="0" shapeId="0" xr:uid="{44535A08-AEC4-4F31-BF1B-57272B89CBD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</t>
        </r>
      </text>
    </comment>
    <comment ref="K15" authorId="0" shapeId="0" xr:uid="{0B3EBFAD-E106-49C8-8B12-820A4BD778F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M15" authorId="0" shapeId="0" xr:uid="{C6318672-7481-4329-92DF-CC2A01DD7C3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T15" authorId="0" shapeId="0" xr:uid="{5C1BFE56-C1C4-47DD-8EE9-937CE4BA59B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E16" authorId="0" shapeId="0" xr:uid="{D89E73FD-66D7-4358-9E87-A1EE14162D2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G16" authorId="0" shapeId="0" xr:uid="{79799F0C-D3F0-4C15-A7DB-73FC5D2E765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T16" authorId="0" shapeId="0" xr:uid="{1D4F81AD-1759-4319-86CA-A64C328E4DD9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 de la bomba hidraulica
</t>
        </r>
      </text>
    </comment>
    <comment ref="N17" authorId="0" shapeId="0" xr:uid="{10AE7C14-2D25-436B-B376-68067C867D0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T17" authorId="0" shapeId="0" xr:uid="{91872A1E-FAB4-4E5A-BD35-C0CE600B070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Accesorio
</t>
        </r>
      </text>
    </comment>
    <comment ref="C18" authorId="0" shapeId="0" xr:uid="{EEC3A5E4-76A6-4AF8-960D-FA69B0C6FE10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K18" authorId="0" shapeId="0" xr:uid="{7D918DFC-185B-411B-99B0-8E1E8C61714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N18" authorId="0" shapeId="0" xr:uid="{EA997811-9CB4-42A0-AE0E-17800AB9FF28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C19" authorId="0" shapeId="0" xr:uid="{E558787A-3943-4749-959E-51228217D4D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  <comment ref="E19" authorId="0" shapeId="0" xr:uid="{27AD8A2C-42B7-4002-B5BD-404CFCDEE68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K19" authorId="0" shapeId="0" xr:uid="{777608B6-2C1A-4519-B605-F2161704738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E20" authorId="0" shapeId="0" xr:uid="{6FBFD3B5-8DFB-4F56-8D7E-525224149783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T20" authorId="0" shapeId="0" xr:uid="{422AA2F5-1D4F-4D5A-9B2C-D44F62767A2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De PC SIS ST, descripcion hidraukica
flotacion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RYZEN 5</author>
  </authors>
  <commentList>
    <comment ref="B3" authorId="0" shapeId="0" xr:uid="{935A0F9C-2C8E-4912-827E-CA3C952DB844}">
      <text>
        <r>
          <rPr>
            <b/>
            <sz val="9"/>
            <color indexed="81"/>
            <rFont val="Tahoma"/>
            <family val="2"/>
          </rPr>
          <t>RYZEN 5:</t>
        </r>
        <r>
          <rPr>
            <sz val="9"/>
            <color indexed="81"/>
            <rFont val="Tahoma"/>
            <family val="2"/>
          </rPr>
          <t xml:space="preserve">
.
</t>
        </r>
      </text>
    </comment>
    <comment ref="B12" authorId="0" shapeId="0" xr:uid="{588BD8DF-0528-4ABB-B5F5-E2FD37EE91FD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seccion maquinas
</t>
        </r>
      </text>
    </comment>
    <comment ref="B15" authorId="0" shapeId="0" xr:uid="{B09EB4BD-0481-40C9-8922-4BBF34D70667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porque es electrico en filtros
</t>
        </r>
      </text>
    </comment>
    <comment ref="B18" authorId="0" shapeId="0" xr:uid="{DE8508DC-DC23-4206-A38A-0992253BF395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Considera impactor o pistola impactor
</t>
        </r>
      </text>
    </comment>
    <comment ref="B19" authorId="0" shapeId="0" xr:uid="{6B227A8D-D0D3-45A0-A23C-EB83AAE71A94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en flotacion
</t>
        </r>
      </text>
    </comment>
    <comment ref="B24" authorId="0" shapeId="0" xr:uid="{27EA51E2-E90F-4E30-8F37-4E1D9220C30F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Impactor y pistola se llega a lo mismo según investigaciones
</t>
        </r>
      </text>
    </comment>
    <comment ref="B33" authorId="0" shapeId="0" xr:uid="{186AB3EC-0432-4E3A-83EB-ADF8CBC71EDA}">
      <text>
        <r>
          <rPr>
            <b/>
            <sz val="9"/>
            <color indexed="81"/>
            <rFont val="Tahoma"/>
            <charset val="1"/>
          </rPr>
          <t xml:space="preserve">tiene un subtipo
</t>
        </r>
      </text>
    </comment>
    <comment ref="B35" authorId="0" shapeId="0" xr:uid="{9E1B5CEE-9B75-451B-B8D0-AC91499E775E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tiene una Subclasificion
</t>
        </r>
      </text>
    </comment>
    <comment ref="B39" authorId="0" shapeId="0" xr:uid="{9BCD96D1-855A-4757-8F02-B7A897B64BFC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preguntar, filtros
</t>
        </r>
      </text>
    </comment>
    <comment ref="B52" authorId="0" shapeId="0" xr:uid="{ECB8D5AA-B810-4FF0-82DE-4A67BDB27E8A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Formalizar con una sublista todos los tipos de dados
</t>
        </r>
      </text>
    </comment>
    <comment ref="B56" authorId="0" shapeId="0" xr:uid="{60B44C96-7AB9-46E8-9E93-553A69E966E6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Giratorio, corto, largo de encastre</t>
        </r>
      </text>
    </comment>
    <comment ref="B57" authorId="0" shapeId="0" xr:uid="{FD5DF218-B8D5-4035-BF21-745124D4FC3B}">
      <text>
        <r>
          <rPr>
            <b/>
            <sz val="9"/>
            <color indexed="81"/>
            <rFont val="Tahoma"/>
            <charset val="1"/>
          </rPr>
          <t>RYZEN 5:</t>
        </r>
        <r>
          <rPr>
            <sz val="9"/>
            <color indexed="81"/>
            <rFont val="Tahoma"/>
            <charset val="1"/>
          </rPr>
          <t xml:space="preserve">
preguntar filtros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<sst xmlns="http://schemas.openxmlformats.org/spreadsheetml/2006/main" count="5347" uniqueCount="1032">
  <si>
    <t>ZE (MISC ELECTRICAL ITEMS)</t>
  </si>
  <si>
    <t>ZI (MISC INSTRUMENTATIONS ITEMS)</t>
  </si>
  <si>
    <t>ZZ (MISCELANEOUS ITEMS)</t>
  </si>
  <si>
    <t>ZM ( MISC MECHANICALS ITEMS )</t>
  </si>
  <si>
    <t>Herramientas_eléctricas</t>
  </si>
  <si>
    <t>Herramientas_neumáticas</t>
  </si>
  <si>
    <t>Herramientas_de_medición</t>
  </si>
  <si>
    <t>Herramientas_mecánicas</t>
  </si>
  <si>
    <t>Herramientas_hidráulicas</t>
  </si>
  <si>
    <t>Herramientas_de_izaje</t>
  </si>
  <si>
    <t>Otros</t>
  </si>
  <si>
    <t>Equipos</t>
  </si>
  <si>
    <t>Accesorios</t>
  </si>
  <si>
    <t>Soldadora</t>
  </si>
  <si>
    <t xml:space="preserve">Impactor </t>
  </si>
  <si>
    <t xml:space="preserve">Escuadra </t>
  </si>
  <si>
    <t>Correa</t>
  </si>
  <si>
    <t>Martillo quita pernos</t>
  </si>
  <si>
    <t>Retractil</t>
  </si>
  <si>
    <t>Tecle</t>
  </si>
  <si>
    <t>Escalera</t>
  </si>
  <si>
    <t>Equipo oxicorte</t>
  </si>
  <si>
    <t>Estuche oxicorte</t>
  </si>
  <si>
    <t>Amoladora</t>
  </si>
  <si>
    <t xml:space="preserve">Martillo </t>
  </si>
  <si>
    <t xml:space="preserve">Regla </t>
  </si>
  <si>
    <t>Prensa</t>
  </si>
  <si>
    <t>Corta pernos</t>
  </si>
  <si>
    <t>Arnes</t>
  </si>
  <si>
    <t>Eslinga</t>
  </si>
  <si>
    <t>Trans Pallets</t>
  </si>
  <si>
    <t>Boquillas oxicorte</t>
  </si>
  <si>
    <t>Percutor</t>
  </si>
  <si>
    <t xml:space="preserve">Pistola </t>
  </si>
  <si>
    <t>Nivel</t>
  </si>
  <si>
    <t>Llave</t>
  </si>
  <si>
    <t>Bomba</t>
  </si>
  <si>
    <t>Conector linea de vida</t>
  </si>
  <si>
    <t>Grilletes</t>
  </si>
  <si>
    <t>Equipo de extrusión de polipropileno</t>
  </si>
  <si>
    <t>Chispazo</t>
  </si>
  <si>
    <t>Extractor</t>
  </si>
  <si>
    <t>Llave de impacto</t>
  </si>
  <si>
    <t>Reloj comparador</t>
  </si>
  <si>
    <t>Combo</t>
  </si>
  <si>
    <t>Cilindro</t>
  </si>
  <si>
    <t>Cancamo</t>
  </si>
  <si>
    <t>Equipo Soldadura Argon</t>
  </si>
  <si>
    <t>Gafas oxicorte</t>
  </si>
  <si>
    <t xml:space="preserve">Taladro </t>
  </si>
  <si>
    <t>Tensiómetro</t>
  </si>
  <si>
    <t>Machos de roscar</t>
  </si>
  <si>
    <t>Gata</t>
  </si>
  <si>
    <t>Equipo Corte de plasma</t>
  </si>
  <si>
    <t>Manómetro para</t>
  </si>
  <si>
    <t>Pulidora</t>
  </si>
  <si>
    <t>Micrometro</t>
  </si>
  <si>
    <t>Alicate</t>
  </si>
  <si>
    <t>Pastillas</t>
  </si>
  <si>
    <t xml:space="preserve">Regulador de flujo para </t>
  </si>
  <si>
    <t>Esmeril</t>
  </si>
  <si>
    <t>Calibrador</t>
  </si>
  <si>
    <t>Torquimetro</t>
  </si>
  <si>
    <t>Kit Oxicorte</t>
  </si>
  <si>
    <t>Iluminación</t>
  </si>
  <si>
    <t>Cámara termográfica</t>
  </si>
  <si>
    <t>Multiplicador</t>
  </si>
  <si>
    <t xml:space="preserve">Botellón con </t>
  </si>
  <si>
    <t>Calentador</t>
  </si>
  <si>
    <t xml:space="preserve">Medidor de </t>
  </si>
  <si>
    <t>Tarrajas</t>
  </si>
  <si>
    <t>Extensible</t>
  </si>
  <si>
    <t>Maquina roscadora</t>
  </si>
  <si>
    <t>Bascula</t>
  </si>
  <si>
    <t>Barreta</t>
  </si>
  <si>
    <t>Pinza</t>
  </si>
  <si>
    <t xml:space="preserve"> </t>
  </si>
  <si>
    <t>Inclinómetro</t>
  </si>
  <si>
    <t>Dado</t>
  </si>
  <si>
    <t>Trípode Telescopico</t>
  </si>
  <si>
    <t>Sierra caladora</t>
  </si>
  <si>
    <t>Manómetro</t>
  </si>
  <si>
    <t>Ampliaciones</t>
  </si>
  <si>
    <t>Manómetro para oxigeno</t>
  </si>
  <si>
    <t>Cepillo de carpinteria</t>
  </si>
  <si>
    <t>Alineador de correas</t>
  </si>
  <si>
    <t>Sierra</t>
  </si>
  <si>
    <t>Valvulas antiretorno</t>
  </si>
  <si>
    <t>Hidrolavadora</t>
  </si>
  <si>
    <t>Estetoscopio</t>
  </si>
  <si>
    <t>Destornillador</t>
  </si>
  <si>
    <t xml:space="preserve">Manguera </t>
  </si>
  <si>
    <t xml:space="preserve">Alargador </t>
  </si>
  <si>
    <t>Conectores</t>
  </si>
  <si>
    <t>Impactor</t>
  </si>
  <si>
    <t>Matrices dobles exagonales</t>
  </si>
  <si>
    <t>Gancho</t>
  </si>
  <si>
    <t>Martillo</t>
  </si>
  <si>
    <t>Tijera</t>
  </si>
  <si>
    <t>Flexo</t>
  </si>
  <si>
    <t>Conectores enerpac</t>
  </si>
  <si>
    <t>Lubricador</t>
  </si>
  <si>
    <t>Mesa</t>
  </si>
  <si>
    <t>Estuche sacabocados</t>
  </si>
  <si>
    <t>ZE-PE</t>
  </si>
  <si>
    <t>ZE-EX</t>
  </si>
  <si>
    <t>ZE-TA</t>
  </si>
  <si>
    <t>ZE-PU</t>
  </si>
  <si>
    <t>ZE-ES</t>
  </si>
  <si>
    <t>ZE-IL</t>
  </si>
  <si>
    <t>ZE-CA</t>
  </si>
  <si>
    <t>ZE-MR</t>
  </si>
  <si>
    <t>ZE-TE</t>
  </si>
  <si>
    <t>ZE-SC</t>
  </si>
  <si>
    <t>ZE-CE</t>
  </si>
  <si>
    <t>ZE-HI</t>
  </si>
  <si>
    <t>ZE-IM</t>
  </si>
  <si>
    <t>ZE-MA</t>
  </si>
  <si>
    <t>ZE-LL</t>
  </si>
  <si>
    <t>ZE-LU</t>
  </si>
  <si>
    <t>ZZ-IM</t>
  </si>
  <si>
    <t>ZZ-MA</t>
  </si>
  <si>
    <t>ZZ-PI</t>
  </si>
  <si>
    <t>ZZ-LL</t>
  </si>
  <si>
    <t>ZZ-BO</t>
  </si>
  <si>
    <t>ZE-AM</t>
  </si>
  <si>
    <t>ZI-ES</t>
  </si>
  <si>
    <t>ZI-RE</t>
  </si>
  <si>
    <t>ZI-NI</t>
  </si>
  <si>
    <t>ZI-RC</t>
  </si>
  <si>
    <t>ZI-TE</t>
  </si>
  <si>
    <t>ZI-MI</t>
  </si>
  <si>
    <t>ZI-CA</t>
  </si>
  <si>
    <t>ZI-CT</t>
  </si>
  <si>
    <t>ZI-ME</t>
  </si>
  <si>
    <t>ZI-BA</t>
  </si>
  <si>
    <t>ZI-IN</t>
  </si>
  <si>
    <t>ZI-MA</t>
  </si>
  <si>
    <t>ZI-AL</t>
  </si>
  <si>
    <t>ZI-ET</t>
  </si>
  <si>
    <t>ZI-TO</t>
  </si>
  <si>
    <t>ZM-CO</t>
  </si>
  <si>
    <t>ZM-PR</t>
  </si>
  <si>
    <t>ZM-LL</t>
  </si>
  <si>
    <t>ZM-CB</t>
  </si>
  <si>
    <t>ZM-MR</t>
  </si>
  <si>
    <t>ZM-AL</t>
  </si>
  <si>
    <t>ZM-TR</t>
  </si>
  <si>
    <t>ZM-MU</t>
  </si>
  <si>
    <t>ZM-TA</t>
  </si>
  <si>
    <t>ZM-BA</t>
  </si>
  <si>
    <t>ZM-DA</t>
  </si>
  <si>
    <t>ZM-AM</t>
  </si>
  <si>
    <t>ZM-SI</t>
  </si>
  <si>
    <t>ZM-DE</t>
  </si>
  <si>
    <t>ZM-AR</t>
  </si>
  <si>
    <t>ZM-MD</t>
  </si>
  <si>
    <t>ZM-TI</t>
  </si>
  <si>
    <t>ZM-EX</t>
  </si>
  <si>
    <t>ZM-ME</t>
  </si>
  <si>
    <t>SPCC</t>
  </si>
  <si>
    <t>ZZ-CP</t>
  </si>
  <si>
    <t>ZZ-CI</t>
  </si>
  <si>
    <t>ZZ-GA</t>
  </si>
  <si>
    <t>ZZ-PA</t>
  </si>
  <si>
    <t>ZZ-CO</t>
  </si>
  <si>
    <t>ZZ-TE</t>
  </si>
  <si>
    <t>ZZ-ES</t>
  </si>
  <si>
    <t>ZZ-GR</t>
  </si>
  <si>
    <t>ZZ-CA</t>
  </si>
  <si>
    <t>Areas</t>
  </si>
  <si>
    <t>CHANCADO</t>
  </si>
  <si>
    <t>MOLIENDA</t>
  </si>
  <si>
    <t>FLOTACION</t>
  </si>
  <si>
    <t>FILTROS</t>
  </si>
  <si>
    <t>LUBRICACION</t>
  </si>
  <si>
    <t>ELECTRICO</t>
  </si>
  <si>
    <t>INSTRUMENTACION</t>
  </si>
  <si>
    <t>TALLER GENERAL</t>
  </si>
  <si>
    <t>GENERACIÓN</t>
  </si>
  <si>
    <t>CONFIABILIDAD</t>
  </si>
  <si>
    <t>RECURSOS HIDRICOS Y VIAS FERREAS</t>
  </si>
  <si>
    <t>Codigo</t>
  </si>
  <si>
    <t>CH</t>
  </si>
  <si>
    <t>FL</t>
  </si>
  <si>
    <t>FI</t>
  </si>
  <si>
    <t>LU</t>
  </si>
  <si>
    <t>GE</t>
  </si>
  <si>
    <t>CO</t>
  </si>
  <si>
    <t>ML</t>
  </si>
  <si>
    <t>ELT</t>
  </si>
  <si>
    <t>INS</t>
  </si>
  <si>
    <t>RH</t>
  </si>
  <si>
    <t xml:space="preserve">Forma de codificación para las herramientas y equipos </t>
  </si>
  <si>
    <t>Columna1</t>
  </si>
  <si>
    <t>Columna2</t>
  </si>
  <si>
    <t>Columna3</t>
  </si>
  <si>
    <t>Columna4</t>
  </si>
  <si>
    <t>ZE-SO</t>
  </si>
  <si>
    <t>ZM-ES</t>
  </si>
  <si>
    <t>Item</t>
  </si>
  <si>
    <t>Area</t>
  </si>
  <si>
    <t>Cantidad</t>
  </si>
  <si>
    <t>Clasificacion</t>
  </si>
  <si>
    <t>Descripción del equipo</t>
  </si>
  <si>
    <t>Marca</t>
  </si>
  <si>
    <t>Modelo</t>
  </si>
  <si>
    <t>Número de Serie</t>
  </si>
  <si>
    <t>Codigo de parte</t>
  </si>
  <si>
    <t>Ubicación</t>
  </si>
  <si>
    <t>Frecuencia de uso</t>
  </si>
  <si>
    <t>Estado</t>
  </si>
  <si>
    <t>Observaciones</t>
  </si>
  <si>
    <t>ID</t>
  </si>
  <si>
    <t>Clasificación</t>
  </si>
  <si>
    <t>Accesorios/ consumibles</t>
  </si>
  <si>
    <t>Operativo</t>
  </si>
  <si>
    <t>ESTUCHE DE ACCESORIOS PARA MONTAJE DE RODAMIENTIOS</t>
  </si>
  <si>
    <t>Kit de montaje de rodamientos</t>
  </si>
  <si>
    <t>Colocar en descripción detalle tecnico</t>
  </si>
  <si>
    <t>Bearing Fitting Tool</t>
  </si>
  <si>
    <t>Mismo que el estuche para montaje de rodamientos</t>
  </si>
  <si>
    <t>Inoperativo</t>
  </si>
  <si>
    <t>ESTUCHE DE TERRAJAS DIFERENRES MEDIDAS</t>
  </si>
  <si>
    <t>De Baja</t>
  </si>
  <si>
    <t>ESTUCHE DE EXTRACTORES SEGER</t>
  </si>
  <si>
    <t>ESTUCHE DE CALADORA</t>
  </si>
  <si>
    <t>ESTUCHE ESTRACTOR SEGURO SEGER</t>
  </si>
  <si>
    <t>Extractores SEGER SNAP ON PB147</t>
  </si>
  <si>
    <t>Mismo que el estuche de estractor seger</t>
  </si>
  <si>
    <t>BOTELLON CON OXIGENO</t>
  </si>
  <si>
    <t>Regulador de flujo para argon</t>
  </si>
  <si>
    <t>Diario</t>
  </si>
  <si>
    <t>Semanal</t>
  </si>
  <si>
    <t>De parada</t>
  </si>
  <si>
    <t>Nuevo requerimiento sobre equipos para prestamos</t>
  </si>
  <si>
    <t>SubClasificación de herramientas electricas</t>
  </si>
  <si>
    <t>SubClasificación de herramientas Neumaticas</t>
  </si>
  <si>
    <t>SubClasificación de herramientas de medición</t>
  </si>
  <si>
    <t>SubClasificación de herramientas mecanicas</t>
  </si>
  <si>
    <t>SubClasificación de herramientas hidraulicas</t>
  </si>
  <si>
    <t>EPP</t>
  </si>
  <si>
    <t>SubClasificación de herramientas de izaje</t>
  </si>
  <si>
    <t>SubClasificación de otros</t>
  </si>
  <si>
    <t>SubClasificación de equipos</t>
  </si>
  <si>
    <t>SubClasificación de Accesorios</t>
  </si>
  <si>
    <t>Soldadoras</t>
  </si>
  <si>
    <t xml:space="preserve">Llave </t>
  </si>
  <si>
    <t>Maquina de soldar</t>
  </si>
  <si>
    <t>Nivel magneto / laser</t>
  </si>
  <si>
    <t>Multiplicador de torsion</t>
  </si>
  <si>
    <t>Llave dinanometrica hidraulica</t>
  </si>
  <si>
    <t>Tecle de palanca (señorita)</t>
  </si>
  <si>
    <t xml:space="preserve">Pinza porta electrodo </t>
  </si>
  <si>
    <t>Arco de soldar</t>
  </si>
  <si>
    <t>Nivel laser transversal</t>
  </si>
  <si>
    <t>Pinza negativo</t>
  </si>
  <si>
    <t>Medidor</t>
  </si>
  <si>
    <t>Llaves</t>
  </si>
  <si>
    <t>Calentador por induccion</t>
  </si>
  <si>
    <t>Bomba de grasa</t>
  </si>
  <si>
    <t>Medidor de vibraciones</t>
  </si>
  <si>
    <t>Llave crescent</t>
  </si>
  <si>
    <t>Calentador de Rodamientos</t>
  </si>
  <si>
    <t>Medidor de vibraciones con 
acelerómetro integrado</t>
  </si>
  <si>
    <t>Llave de boca(Hidraulica)</t>
  </si>
  <si>
    <t xml:space="preserve">Medidor RPM </t>
  </si>
  <si>
    <t>Llave Stillson</t>
  </si>
  <si>
    <t>Llaves alen</t>
  </si>
  <si>
    <t>Camara termografica</t>
  </si>
  <si>
    <t>Llave mixta</t>
  </si>
  <si>
    <t>Martillo neumático; modelo TE 05P; marca Atlas Copco</t>
  </si>
  <si>
    <t>Cámara termográfica industrial</t>
  </si>
  <si>
    <t>Llave de golpe</t>
  </si>
  <si>
    <t>Llaves de bombas</t>
  </si>
  <si>
    <t>Vernier, pie de rey, de precisión</t>
  </si>
  <si>
    <t>Impactool eléctrico encastre</t>
  </si>
  <si>
    <t xml:space="preserve">Calibrador de lainas </t>
  </si>
  <si>
    <t>Pistola de impacto de encastre</t>
  </si>
  <si>
    <t>Calibrador torgum</t>
  </si>
  <si>
    <t>Tijera corta Lata Punta Curva</t>
  </si>
  <si>
    <t xml:space="preserve">Calibrador digital </t>
  </si>
  <si>
    <t>Alargador</t>
  </si>
  <si>
    <t>Micrómetro</t>
  </si>
  <si>
    <t>Alargador (giratorio, largo, corto) de encastre</t>
  </si>
  <si>
    <t>Extractor QB 30 cm (12")</t>
  </si>
  <si>
    <t>Micrometro de interiores</t>
  </si>
  <si>
    <t>extractor Blue Point E 1025</t>
  </si>
  <si>
    <t>Micrometro de exteriores</t>
  </si>
  <si>
    <t>Dados</t>
  </si>
  <si>
    <t>Barrote de fuerza del alargador de encastre</t>
  </si>
  <si>
    <t>Dado de encastre</t>
  </si>
  <si>
    <t>Dado estriado de encastre</t>
  </si>
  <si>
    <t>Esmeril recto</t>
  </si>
  <si>
    <t>Dado tubo de encastre</t>
  </si>
  <si>
    <t>Dado copa</t>
  </si>
  <si>
    <t>Dado de rotula</t>
  </si>
  <si>
    <t>Manometro</t>
  </si>
  <si>
    <t>Dado de impacto</t>
  </si>
  <si>
    <t>Manómetro digital</t>
  </si>
  <si>
    <t xml:space="preserve">Dado Torch </t>
  </si>
  <si>
    <t>Dado Corona</t>
  </si>
  <si>
    <t>Amoladora recta(turbineta)</t>
  </si>
  <si>
    <t>Estuche dados</t>
  </si>
  <si>
    <t>Torquimetro cuadrante</t>
  </si>
  <si>
    <t>Combos</t>
  </si>
  <si>
    <t>combo de teflon</t>
  </si>
  <si>
    <t>Lampara</t>
  </si>
  <si>
    <t>Reflector</t>
  </si>
  <si>
    <t xml:space="preserve">Etsuche detector con bateria y auriculares </t>
  </si>
  <si>
    <t>Mesa para tarraja</t>
  </si>
  <si>
    <t>Lubricador automático</t>
  </si>
  <si>
    <t>Bascula electrónica</t>
  </si>
  <si>
    <t>Alicates</t>
  </si>
  <si>
    <t>Alicates chaveteros</t>
  </si>
  <si>
    <t>Alicate loro</t>
  </si>
  <si>
    <t>Detalle del arco de soldar tiene el siguiente nombre Soldadoras Eléctricas Multiproceso</t>
  </si>
  <si>
    <t>Datos</t>
  </si>
  <si>
    <t>LOUISVILLE</t>
  </si>
  <si>
    <t>100-AT02-D-1688697</t>
  </si>
  <si>
    <t>ZM-E-INS-31</t>
  </si>
  <si>
    <t>BODEGA INSTRUMENTACION</t>
  </si>
  <si>
    <t>FS1504</t>
  </si>
  <si>
    <t>FS2004</t>
  </si>
  <si>
    <t>ZM-E-INS-04</t>
  </si>
  <si>
    <t>L-2091-17</t>
  </si>
  <si>
    <t>ZM-E-INS-03</t>
  </si>
  <si>
    <t>FE3108</t>
  </si>
  <si>
    <t>ZM-E-INST-32</t>
  </si>
  <si>
    <t>CONTENEDOR INSTRUMENTACION</t>
  </si>
  <si>
    <t>FM1508</t>
  </si>
  <si>
    <t>ZM-E-INS-5</t>
  </si>
  <si>
    <t>FS4004</t>
  </si>
  <si>
    <t>ZM-E-INS-1</t>
  </si>
  <si>
    <t>ZM-E-LU-04</t>
  </si>
  <si>
    <t>S/M</t>
  </si>
  <si>
    <t>S/S</t>
  </si>
  <si>
    <t>CUPRUM</t>
  </si>
  <si>
    <t>79204N</t>
  </si>
  <si>
    <t>S/C</t>
  </si>
  <si>
    <t>AS3002</t>
  </si>
  <si>
    <t>ZM-E-LU-06</t>
  </si>
  <si>
    <t>Cod. Antiguo</t>
  </si>
  <si>
    <t>Cód. Nuevo Asig</t>
  </si>
  <si>
    <t>Taller central lubricacion</t>
  </si>
  <si>
    <t>fs2004</t>
  </si>
  <si>
    <t>zm-e-elt-25</t>
  </si>
  <si>
    <t>ap1003</t>
  </si>
  <si>
    <t>zm-e-elt-32</t>
  </si>
  <si>
    <t>ZM-E-ELT-26</t>
  </si>
  <si>
    <t>792-04N</t>
  </si>
  <si>
    <t>9564108B28</t>
  </si>
  <si>
    <t>ZM-E-ELT-09</t>
  </si>
  <si>
    <t>FC2004</t>
  </si>
  <si>
    <t>ZM-E-ELT-27</t>
  </si>
  <si>
    <t>NO TIENE</t>
  </si>
  <si>
    <t>ZM-E-ELT-15</t>
  </si>
  <si>
    <t>ZM-E-ELT-24</t>
  </si>
  <si>
    <t>ZM-E-ELT-30</t>
  </si>
  <si>
    <t>FE1716</t>
  </si>
  <si>
    <t>ZM-E-ELT08</t>
  </si>
  <si>
    <t>ZM-E-ELT-05</t>
  </si>
  <si>
    <t>544-08N</t>
  </si>
  <si>
    <t>ZM-E-ELT-208</t>
  </si>
  <si>
    <t>ZM-E-ELT-06</t>
  </si>
  <si>
    <t>578-32E</t>
  </si>
  <si>
    <t>ZM-E-ELT-07</t>
  </si>
  <si>
    <t>ZM-E-ELT-12</t>
  </si>
  <si>
    <t>FE3236</t>
  </si>
  <si>
    <t>AE2240</t>
  </si>
  <si>
    <t>ZM-E-ELU-03</t>
  </si>
  <si>
    <t>ZM-E-ELT-46</t>
  </si>
  <si>
    <t>FS1512</t>
  </si>
  <si>
    <t>ZM-E-ELT-29</t>
  </si>
  <si>
    <t>ZM-E-ELT-11</t>
  </si>
  <si>
    <t>544-08E</t>
  </si>
  <si>
    <t>ZM-E-CO-07</t>
  </si>
  <si>
    <t>FB1504</t>
  </si>
  <si>
    <t>ZM-E-CO-09</t>
  </si>
  <si>
    <t>C-3271-04</t>
  </si>
  <si>
    <t>ZM-E-CO-08</t>
  </si>
  <si>
    <t>Tipo de escalera</t>
  </si>
  <si>
    <t>Tipo de Escalera</t>
  </si>
  <si>
    <t>ESCALERA SIMPLE DE UN TRAMO</t>
  </si>
  <si>
    <t>ESCALERA DOBLE O DE TIJERA</t>
  </si>
  <si>
    <t>ESCALERA EXTENSIBLE O TELESCÓPICA</t>
  </si>
  <si>
    <t>ESCALERA TIPO PLATAFORMA MOVIBLE</t>
  </si>
  <si>
    <t>Carga Maxima</t>
  </si>
  <si>
    <t>Longitud</t>
  </si>
  <si>
    <t>Diametro de disco</t>
  </si>
  <si>
    <t>RPMs</t>
  </si>
  <si>
    <t>TG</t>
  </si>
  <si>
    <t>3m</t>
  </si>
  <si>
    <t>300 lb</t>
  </si>
  <si>
    <t>FE311</t>
  </si>
  <si>
    <t>ZM-E-SO-13</t>
  </si>
  <si>
    <t>300 LB</t>
  </si>
  <si>
    <t>2.4 M</t>
  </si>
  <si>
    <t>2.2 M</t>
  </si>
  <si>
    <t>ZM-SO-12</t>
  </si>
  <si>
    <t>ZM-E-SO-16</t>
  </si>
  <si>
    <t>225 KG</t>
  </si>
  <si>
    <t>ZM-E-SO-14</t>
  </si>
  <si>
    <t>544-S8M</t>
  </si>
  <si>
    <t>548-08E</t>
  </si>
  <si>
    <t>E-FL-102</t>
  </si>
  <si>
    <t>2.4 m</t>
  </si>
  <si>
    <t>zm-e-so-18</t>
  </si>
  <si>
    <t>ZM-E-SO17</t>
  </si>
  <si>
    <t>2,4 M</t>
  </si>
  <si>
    <t>ZM-E-SO-09</t>
  </si>
  <si>
    <t>ZM-E-SO-21</t>
  </si>
  <si>
    <t>3,6 M</t>
  </si>
  <si>
    <t>ZM-E-SO-23</t>
  </si>
  <si>
    <t>ZM-E-SO-24</t>
  </si>
  <si>
    <t>ZM-E-SO-28</t>
  </si>
  <si>
    <t>TRUPER</t>
  </si>
  <si>
    <t>102 KG</t>
  </si>
  <si>
    <t>ZM-E-SO-26</t>
  </si>
  <si>
    <t>zm-e-so-06</t>
  </si>
  <si>
    <t>250 LB</t>
  </si>
  <si>
    <t>24 PIES</t>
  </si>
  <si>
    <t>ZM-E-SO-01</t>
  </si>
  <si>
    <t>400 LB</t>
  </si>
  <si>
    <t>40 PIES</t>
  </si>
  <si>
    <t>CINTA ROJA</t>
  </si>
  <si>
    <t>ZM-E-SO-4</t>
  </si>
  <si>
    <t>ZM-CO-04</t>
  </si>
  <si>
    <t>L-2094-13</t>
  </si>
  <si>
    <t>10 PULGADAS</t>
  </si>
  <si>
    <t>136 KG</t>
  </si>
  <si>
    <t>l-3042-03</t>
  </si>
  <si>
    <t>50 CM</t>
  </si>
  <si>
    <t>FE-1724</t>
  </si>
  <si>
    <t>230-ML-04</t>
  </si>
  <si>
    <t>230-ML-01</t>
  </si>
  <si>
    <t>230-ML-03</t>
  </si>
  <si>
    <t>230-ML-18</t>
  </si>
  <si>
    <t>230-ML-11</t>
  </si>
  <si>
    <t>230-ML-08</t>
  </si>
  <si>
    <t>230-ML-07</t>
  </si>
  <si>
    <t>FE7116</t>
  </si>
  <si>
    <t>16 PIES</t>
  </si>
  <si>
    <t>230-ML-32</t>
  </si>
  <si>
    <t>544-12N</t>
  </si>
  <si>
    <t>3,6 METROS</t>
  </si>
  <si>
    <t>230-ML-33</t>
  </si>
  <si>
    <t>FE3216</t>
  </si>
  <si>
    <t>230-ML-25</t>
  </si>
  <si>
    <t>230-ML-26</t>
  </si>
  <si>
    <t>8 PIES</t>
  </si>
  <si>
    <t>230-ML-31</t>
  </si>
  <si>
    <t>230-ML-27</t>
  </si>
  <si>
    <t>230-ML-28</t>
  </si>
  <si>
    <t>FM1506</t>
  </si>
  <si>
    <t>6 PIES</t>
  </si>
  <si>
    <t>ZM-E-CH-2</t>
  </si>
  <si>
    <t>250 KG</t>
  </si>
  <si>
    <t>FS2006</t>
  </si>
  <si>
    <t>ZM--E-CH.-15</t>
  </si>
  <si>
    <t>4 PIES</t>
  </si>
  <si>
    <t>ZM-E-CH-5</t>
  </si>
  <si>
    <t>FE7408</t>
  </si>
  <si>
    <t>ZM-E-CH-1</t>
  </si>
  <si>
    <t>L-20911017</t>
  </si>
  <si>
    <t>17 PIES</t>
  </si>
  <si>
    <t>ZM-E-CH-4</t>
  </si>
  <si>
    <t>792-04M</t>
  </si>
  <si>
    <t>225 LB</t>
  </si>
  <si>
    <t>ZM-E-CH-13</t>
  </si>
  <si>
    <t>ZM-E-CH-6</t>
  </si>
  <si>
    <t>220KG</t>
  </si>
  <si>
    <t>12 PIES</t>
  </si>
  <si>
    <t>FE7108</t>
  </si>
  <si>
    <t>780ESC002</t>
  </si>
  <si>
    <t>780ESC004</t>
  </si>
  <si>
    <t>FP1504</t>
  </si>
  <si>
    <t>780ESC003</t>
  </si>
  <si>
    <t>22 PIES</t>
  </si>
  <si>
    <t>5 PIES</t>
  </si>
  <si>
    <t>ZM-E-ELT-02</t>
  </si>
  <si>
    <t>780ESC001</t>
  </si>
  <si>
    <t>FE7240</t>
  </si>
  <si>
    <t>300LB</t>
  </si>
  <si>
    <t>ZM-E-FI-01</t>
  </si>
  <si>
    <t>320-ES-003</t>
  </si>
  <si>
    <t>320-ES-010</t>
  </si>
  <si>
    <t>49424N</t>
  </si>
  <si>
    <t>150 KG</t>
  </si>
  <si>
    <t>E33224</t>
  </si>
  <si>
    <t>C-2124-24-SLN</t>
  </si>
  <si>
    <t>113 KG</t>
  </si>
  <si>
    <t>FI-011</t>
  </si>
  <si>
    <t>320-ES-001</t>
  </si>
  <si>
    <t>14 PIES</t>
  </si>
  <si>
    <t>320-ES-006</t>
  </si>
  <si>
    <t>STANLEY</t>
  </si>
  <si>
    <t>320-ES-017</t>
  </si>
  <si>
    <t>SXL21208</t>
  </si>
  <si>
    <t>320-ES-009</t>
  </si>
  <si>
    <t>320-ES-013</t>
  </si>
  <si>
    <t>250-E-FL-093</t>
  </si>
  <si>
    <t>FERPAK</t>
  </si>
  <si>
    <t>19 PIES</t>
  </si>
  <si>
    <t>250-E-FL-014</t>
  </si>
  <si>
    <t>250-E-FL-010</t>
  </si>
  <si>
    <t>250-E-FL-001</t>
  </si>
  <si>
    <t>240-E-FL-060</t>
  </si>
  <si>
    <t>250-FL-103</t>
  </si>
  <si>
    <t>250-E-FL-102</t>
  </si>
  <si>
    <t xml:space="preserve">136 KG </t>
  </si>
  <si>
    <t>240-E-FL-62</t>
  </si>
  <si>
    <t>250-E-FL-042</t>
  </si>
  <si>
    <t>20 PIES</t>
  </si>
  <si>
    <t>240-E-FL-064</t>
  </si>
  <si>
    <t>18 PIES</t>
  </si>
  <si>
    <t>250-E-FL-008</t>
  </si>
  <si>
    <t>250-E-FL-018</t>
  </si>
  <si>
    <t>250-E-FL-041</t>
  </si>
  <si>
    <t>240-E-FL-063</t>
  </si>
  <si>
    <t>250-E-FL-013</t>
  </si>
  <si>
    <t>250-E-FL-007</t>
  </si>
  <si>
    <t>250-E-FL-94</t>
  </si>
  <si>
    <t>250-E-FL-015</t>
  </si>
  <si>
    <t>E-FL-60</t>
  </si>
  <si>
    <t>AE4114</t>
  </si>
  <si>
    <t>250-E-FL-92</t>
  </si>
  <si>
    <t>E-FL-01</t>
  </si>
  <si>
    <t>E-FL-068</t>
  </si>
  <si>
    <t>440-08N</t>
  </si>
  <si>
    <t>175 KG</t>
  </si>
  <si>
    <t>240-E-FL-81</t>
  </si>
  <si>
    <t>ZM-E-FL-100</t>
  </si>
  <si>
    <t>250-E-FL-035</t>
  </si>
  <si>
    <t>301 LB</t>
  </si>
  <si>
    <t>302 LB</t>
  </si>
  <si>
    <t>303 LB</t>
  </si>
  <si>
    <t>9 PIES</t>
  </si>
  <si>
    <t>10 PIES</t>
  </si>
  <si>
    <t>11 PIES</t>
  </si>
  <si>
    <t>250-E-FL-048</t>
  </si>
  <si>
    <t>E-FL-036</t>
  </si>
  <si>
    <t>440-10N</t>
  </si>
  <si>
    <t>240-E-FL-302</t>
  </si>
  <si>
    <t>240-SN</t>
  </si>
  <si>
    <t>FE3112</t>
  </si>
  <si>
    <t>250-E-FL-020</t>
  </si>
  <si>
    <t>250-E-FL-80</t>
  </si>
  <si>
    <t>90 KG</t>
  </si>
  <si>
    <t>SKL2320-20</t>
  </si>
  <si>
    <t>ZM-E-FL-089</t>
  </si>
  <si>
    <t>30 PIES</t>
  </si>
  <si>
    <t>FLT-208</t>
  </si>
  <si>
    <t>FLT-210</t>
  </si>
  <si>
    <t>FLT-207</t>
  </si>
  <si>
    <t>FM1510</t>
  </si>
  <si>
    <t>135 KG</t>
  </si>
  <si>
    <t>SKL2212-10</t>
  </si>
  <si>
    <t>710ZM-E-FL-040</t>
  </si>
  <si>
    <t>FLT-209</t>
  </si>
  <si>
    <t>240-FL-027</t>
  </si>
  <si>
    <t>240-E-FL-0101</t>
  </si>
  <si>
    <t>36 PIES</t>
  </si>
  <si>
    <t>ZM-RH-001</t>
  </si>
  <si>
    <t>7 PIES</t>
  </si>
  <si>
    <t>ZM-E-RH-003</t>
  </si>
  <si>
    <t>voltaje</t>
  </si>
  <si>
    <t>Potencia</t>
  </si>
  <si>
    <t>Diametro máximo</t>
  </si>
  <si>
    <t xml:space="preserve">Diametro de discos </t>
  </si>
  <si>
    <t>Voltaje</t>
  </si>
  <si>
    <t>amperaje</t>
  </si>
  <si>
    <t>BOSCH</t>
  </si>
  <si>
    <t>ILEGIBLE</t>
  </si>
  <si>
    <t>DEWALT</t>
  </si>
  <si>
    <t>DCD940</t>
  </si>
  <si>
    <t>18V</t>
  </si>
  <si>
    <t>060119B439</t>
  </si>
  <si>
    <t>120V</t>
  </si>
  <si>
    <t>8,5A</t>
  </si>
  <si>
    <t>1/2'' * 3/4''  1100/ 3000MIN</t>
  </si>
  <si>
    <t>701W</t>
  </si>
  <si>
    <t>0-1000 / 3000 MIN 13/8mm</t>
  </si>
  <si>
    <t>GSB20-2RE</t>
  </si>
  <si>
    <t>DC920</t>
  </si>
  <si>
    <t>0-450/MIN 0-1500 0-2000</t>
  </si>
  <si>
    <t>0-1100 /3000 1/2 3/4 ''</t>
  </si>
  <si>
    <t>HILTI</t>
  </si>
  <si>
    <t>TE6-S</t>
  </si>
  <si>
    <t>50 60HZ 0-880MIN HORMIGON 1'', ACERO 1/2''</t>
  </si>
  <si>
    <t>GWS9-115</t>
  </si>
  <si>
    <t xml:space="preserve">240V </t>
  </si>
  <si>
    <t>900W</t>
  </si>
  <si>
    <t>AMPERAJE</t>
  </si>
  <si>
    <t>4,2A</t>
  </si>
  <si>
    <t>115mm</t>
  </si>
  <si>
    <t>50/60hz</t>
  </si>
  <si>
    <t>GEH4-32DFR</t>
  </si>
  <si>
    <t>13mm</t>
  </si>
  <si>
    <t>0-1100 / 0-3000</t>
  </si>
  <si>
    <t>EE-07</t>
  </si>
  <si>
    <t>GBH2-26 DRF</t>
  </si>
  <si>
    <t>50/60HZ</t>
  </si>
  <si>
    <t>HH-30</t>
  </si>
  <si>
    <t>TE7</t>
  </si>
  <si>
    <t>220-230</t>
  </si>
  <si>
    <t>GSB18VE-2-LI</t>
  </si>
  <si>
    <t>EE-18</t>
  </si>
  <si>
    <t>EE-17</t>
  </si>
  <si>
    <t>GSB18V18-LI</t>
  </si>
  <si>
    <t>GSR12V-300HX</t>
  </si>
  <si>
    <t>MAKITA</t>
  </si>
  <si>
    <t>XAG09</t>
  </si>
  <si>
    <t>I-2</t>
  </si>
  <si>
    <t>GSW9-115</t>
  </si>
  <si>
    <t>22-240</t>
  </si>
  <si>
    <t>220-240</t>
  </si>
  <si>
    <t>EE-16</t>
  </si>
  <si>
    <t>EE-15</t>
  </si>
  <si>
    <t>Taladro de banco</t>
  </si>
  <si>
    <t>ZE-TB</t>
  </si>
  <si>
    <t>50cm</t>
  </si>
  <si>
    <t>TB131</t>
  </si>
  <si>
    <t>0,25KW</t>
  </si>
  <si>
    <t>GSB16RE</t>
  </si>
  <si>
    <t>3601B185</t>
  </si>
  <si>
    <t>Equipos de soldar</t>
  </si>
  <si>
    <t>LINCOLN</t>
  </si>
  <si>
    <t>P1180406178</t>
  </si>
  <si>
    <t>INVERTEC270SX</t>
  </si>
  <si>
    <t>400V</t>
  </si>
  <si>
    <t>20,4 14,5 A</t>
  </si>
  <si>
    <t>AMPERIOS</t>
  </si>
  <si>
    <t>VOLTAJE</t>
  </si>
  <si>
    <t>MA270229G</t>
  </si>
  <si>
    <t>CST280</t>
  </si>
  <si>
    <t>ME241443N</t>
  </si>
  <si>
    <t>MILLOR JHORMATIC 180</t>
  </si>
  <si>
    <t>MILLER</t>
  </si>
  <si>
    <t>MILWAUKEE</t>
  </si>
  <si>
    <t>7''/180mm</t>
  </si>
  <si>
    <t>E73A13481097</t>
  </si>
  <si>
    <t>HEM-3002</t>
  </si>
  <si>
    <t>8500/min</t>
  </si>
  <si>
    <t>6086S-59</t>
  </si>
  <si>
    <t>ilegible</t>
  </si>
  <si>
    <t>ZM-A-ELT-111</t>
  </si>
  <si>
    <t>GD0800C</t>
  </si>
  <si>
    <t>25mm</t>
  </si>
  <si>
    <t>AA-800</t>
  </si>
  <si>
    <t>GWS12-125S</t>
  </si>
  <si>
    <t>125mm</t>
  </si>
  <si>
    <t>A-ELT-02</t>
  </si>
  <si>
    <t>GWS-670</t>
  </si>
  <si>
    <t>ELT-005</t>
  </si>
  <si>
    <t>9557HN</t>
  </si>
  <si>
    <t>ELT-002</t>
  </si>
  <si>
    <t>GSR18-2LIPLUS</t>
  </si>
  <si>
    <t>TE-2</t>
  </si>
  <si>
    <t>0-500/0-1900 13mm</t>
  </si>
  <si>
    <t>GSB13RE</t>
  </si>
  <si>
    <t>0-3800 13mm</t>
  </si>
  <si>
    <t>PP-01</t>
  </si>
  <si>
    <t>LO DEMAS ILEGIBLE</t>
  </si>
  <si>
    <t>GSR6-45TE</t>
  </si>
  <si>
    <t>HEM-2012</t>
  </si>
  <si>
    <t>0-4500 6mm</t>
  </si>
  <si>
    <t>TPD-27</t>
  </si>
  <si>
    <t>0-1100/ 0-3000 13mm</t>
  </si>
  <si>
    <t>ELT-316</t>
  </si>
  <si>
    <t>0-3250 13mm</t>
  </si>
  <si>
    <t>GCO14-24</t>
  </si>
  <si>
    <t>355mm</t>
  </si>
  <si>
    <t>SC-01</t>
  </si>
  <si>
    <t>GSB18V-65</t>
  </si>
  <si>
    <t>VEM-2038</t>
  </si>
  <si>
    <t>0-550/0-2100 13mm</t>
  </si>
  <si>
    <t>DAYTON</t>
  </si>
  <si>
    <t>2Z425U</t>
  </si>
  <si>
    <t>HEM2001</t>
  </si>
  <si>
    <t>15cm</t>
  </si>
  <si>
    <t>taller electrico</t>
  </si>
  <si>
    <t>120 - 240</t>
  </si>
  <si>
    <t>GCO230</t>
  </si>
  <si>
    <t>HEM-2032</t>
  </si>
  <si>
    <t>HB500</t>
  </si>
  <si>
    <t>ELT-50</t>
  </si>
  <si>
    <t>M3995</t>
  </si>
  <si>
    <t>50-60</t>
  </si>
  <si>
    <t>FONTEMEGAFORTE250iD</t>
  </si>
  <si>
    <t>ELT-52</t>
  </si>
  <si>
    <t>Z3250300479</t>
  </si>
  <si>
    <t>30,3-35,3</t>
  </si>
  <si>
    <t>110-220</t>
  </si>
  <si>
    <t>HM-2040</t>
  </si>
  <si>
    <t>HEM-2039</t>
  </si>
  <si>
    <t>200i-ST</t>
  </si>
  <si>
    <t>GLT51</t>
  </si>
  <si>
    <t>U1080704389</t>
  </si>
  <si>
    <t>010ERT</t>
  </si>
  <si>
    <t>M-2030</t>
  </si>
  <si>
    <t>GCO14-1</t>
  </si>
  <si>
    <t>Dado de baja/ DEMAS DATOS NO VISIBLES</t>
  </si>
  <si>
    <t>GWS13-125</t>
  </si>
  <si>
    <t>GWS26-180</t>
  </si>
  <si>
    <t>AE-LU-04</t>
  </si>
  <si>
    <t>AE-LU-07</t>
  </si>
  <si>
    <t>208-230/400-460</t>
  </si>
  <si>
    <t>36-34/20-17</t>
  </si>
  <si>
    <t>MA490053G</t>
  </si>
  <si>
    <t>CST280VRD</t>
  </si>
  <si>
    <t>HEDU</t>
  </si>
  <si>
    <t>FL02</t>
  </si>
  <si>
    <t>NEO</t>
  </si>
  <si>
    <t>TC932</t>
  </si>
  <si>
    <t>FL-01</t>
  </si>
  <si>
    <t>PARA DAR DE BAJA</t>
  </si>
  <si>
    <t>27-35,3</t>
  </si>
  <si>
    <t>MG104319U</t>
  </si>
  <si>
    <t>XMT425VS</t>
  </si>
  <si>
    <t>FLNS003</t>
  </si>
  <si>
    <t>area de soldar</t>
  </si>
  <si>
    <t>ESPECTRUM1251</t>
  </si>
  <si>
    <t>100-265</t>
  </si>
  <si>
    <t>17-35</t>
  </si>
  <si>
    <t>ARCWELD200i -ST</t>
  </si>
  <si>
    <t>FLOT-A-RS-03-20</t>
  </si>
  <si>
    <t>10-200</t>
  </si>
  <si>
    <t>BODEGA</t>
  </si>
  <si>
    <t>FLEXTEC350X</t>
  </si>
  <si>
    <t>U1250900397</t>
  </si>
  <si>
    <t>TELWIN</t>
  </si>
  <si>
    <t>INEAR450I</t>
  </si>
  <si>
    <t>0231142818-001</t>
  </si>
  <si>
    <t>HYPERTHERM</t>
  </si>
  <si>
    <t>POWERMAX85SYNC</t>
  </si>
  <si>
    <t>8555-027182</t>
  </si>
  <si>
    <t>BODEGA INSUMOS ACCESORIOS</t>
  </si>
  <si>
    <t>INVETECV350-PRO</t>
  </si>
  <si>
    <t>U1051105307</t>
  </si>
  <si>
    <t>31-76</t>
  </si>
  <si>
    <t>200-575</t>
  </si>
  <si>
    <t>BAMBOZZI</t>
  </si>
  <si>
    <t>TRR2600S</t>
  </si>
  <si>
    <t>220-380</t>
  </si>
  <si>
    <t>57/33</t>
  </si>
  <si>
    <t>180mm</t>
  </si>
  <si>
    <t>A7-CH-01</t>
  </si>
  <si>
    <t>GWS17-125CIE</t>
  </si>
  <si>
    <t>A4CH06</t>
  </si>
  <si>
    <t>GWS18-180</t>
  </si>
  <si>
    <t>A7-CH-13</t>
  </si>
  <si>
    <t>GWS18-125PL</t>
  </si>
  <si>
    <t>A4-CH-07</t>
  </si>
  <si>
    <t>GWS12-125CI</t>
  </si>
  <si>
    <t>A4-CH-01</t>
  </si>
  <si>
    <t>INVERTECB350PRO</t>
  </si>
  <si>
    <t>U1051211804</t>
  </si>
  <si>
    <t>32-575</t>
  </si>
  <si>
    <t>41-16</t>
  </si>
  <si>
    <t>ES-CH-02</t>
  </si>
  <si>
    <t>208-575</t>
  </si>
  <si>
    <t>19-60</t>
  </si>
  <si>
    <t>XMT-350BS</t>
  </si>
  <si>
    <t>ES-CH-03</t>
  </si>
  <si>
    <t>31-350</t>
  </si>
  <si>
    <t>22-460</t>
  </si>
  <si>
    <t>ESCH-01</t>
  </si>
  <si>
    <t>POWER105</t>
  </si>
  <si>
    <t>100-300</t>
  </si>
  <si>
    <t>105-267</t>
  </si>
  <si>
    <t>PLCH03</t>
  </si>
  <si>
    <t>MEGAFORCE300IDE</t>
  </si>
  <si>
    <t>ES-CH-04</t>
  </si>
  <si>
    <t>ES-CH-06</t>
  </si>
  <si>
    <t>PALMGREN</t>
  </si>
  <si>
    <t>120-240</t>
  </si>
  <si>
    <t>10,2-5,1</t>
  </si>
  <si>
    <t>9680177A</t>
  </si>
  <si>
    <t>43CM</t>
  </si>
  <si>
    <t>GWS20-180</t>
  </si>
  <si>
    <t>A7CH-02</t>
  </si>
  <si>
    <t>GLADIATOR</t>
  </si>
  <si>
    <t>EM-CH-01</t>
  </si>
  <si>
    <t>AV608</t>
  </si>
  <si>
    <t>8''</t>
  </si>
  <si>
    <t>GWS13-125CI</t>
  </si>
  <si>
    <t>FL-402</t>
  </si>
  <si>
    <t>FL-209</t>
  </si>
  <si>
    <t>GWS28-180</t>
  </si>
  <si>
    <t>GWS2200-180</t>
  </si>
  <si>
    <t>FL-133</t>
  </si>
  <si>
    <t>GWS-850</t>
  </si>
  <si>
    <t>GWS11-125P</t>
  </si>
  <si>
    <t>GWS13125CI</t>
  </si>
  <si>
    <t>FL-203</t>
  </si>
  <si>
    <t>METABO</t>
  </si>
  <si>
    <t>BRUSHLESS</t>
  </si>
  <si>
    <t>FWS24-180</t>
  </si>
  <si>
    <t>GENARO</t>
  </si>
  <si>
    <t>DADO DE BAJA/GENARO</t>
  </si>
  <si>
    <t>MARCIAL</t>
  </si>
  <si>
    <t>MARCO</t>
  </si>
  <si>
    <t>MOTOR QUEMADO/MARCO</t>
  </si>
  <si>
    <t>TALLER</t>
  </si>
  <si>
    <t>DADO DE BAJA/TALLER</t>
  </si>
  <si>
    <t>GWS24-180</t>
  </si>
  <si>
    <t>FL-04</t>
  </si>
  <si>
    <t>GWS8-115</t>
  </si>
  <si>
    <t>GWS</t>
  </si>
  <si>
    <t>FL-2814</t>
  </si>
  <si>
    <t>FL-207</t>
  </si>
  <si>
    <t>FL-03</t>
  </si>
  <si>
    <t>GWS25-180</t>
  </si>
  <si>
    <t>KBRERA</t>
  </si>
  <si>
    <t>EDGAR</t>
  </si>
  <si>
    <t>240-002</t>
  </si>
  <si>
    <t>240-001</t>
  </si>
  <si>
    <t>TALLER DE SOLDADURA MOLIENDA</t>
  </si>
  <si>
    <t>GWS22-180</t>
  </si>
  <si>
    <t>RW1401</t>
  </si>
  <si>
    <t>XMT350VS</t>
  </si>
  <si>
    <t>MOLIENDA20146</t>
  </si>
  <si>
    <t>30-240</t>
  </si>
  <si>
    <t>220-575</t>
  </si>
  <si>
    <t>208-460</t>
  </si>
  <si>
    <t>17-44</t>
  </si>
  <si>
    <t>MB360169G</t>
  </si>
  <si>
    <t>GCO14-2</t>
  </si>
  <si>
    <t>2014-7</t>
  </si>
  <si>
    <t>2014-8</t>
  </si>
  <si>
    <t>MG364201U</t>
  </si>
  <si>
    <t>50-575</t>
  </si>
  <si>
    <t>19-54</t>
  </si>
  <si>
    <t>2014-4</t>
  </si>
  <si>
    <t>MD450293G</t>
  </si>
  <si>
    <t>MD450288G</t>
  </si>
  <si>
    <t>MB380185G</t>
  </si>
  <si>
    <t>GWS-26-180</t>
  </si>
  <si>
    <t>2800-11000</t>
  </si>
  <si>
    <t>A</t>
  </si>
  <si>
    <t>GWS-20-180</t>
  </si>
  <si>
    <t>MOLINOS</t>
  </si>
  <si>
    <t>GWS10-125</t>
  </si>
  <si>
    <t>GWS17-125100</t>
  </si>
  <si>
    <t>24-180</t>
  </si>
  <si>
    <t>50-460</t>
  </si>
  <si>
    <t>ME040663G</t>
  </si>
  <si>
    <t>320-AM-008</t>
  </si>
  <si>
    <t>GWS9-125S</t>
  </si>
  <si>
    <t>320-AM-002</t>
  </si>
  <si>
    <t>320-AM-003</t>
  </si>
  <si>
    <t>320-AM-004</t>
  </si>
  <si>
    <t>320-AM-007</t>
  </si>
  <si>
    <t>320-AM-005</t>
  </si>
  <si>
    <t>GWS-12-125S</t>
  </si>
  <si>
    <t>2000-11000</t>
  </si>
  <si>
    <t>GWS23-180</t>
  </si>
  <si>
    <t>320-AM-021</t>
  </si>
  <si>
    <t>320-AM-014</t>
  </si>
  <si>
    <t>320-AM-015</t>
  </si>
  <si>
    <t>320-AM-013</t>
  </si>
  <si>
    <t>LINEAL450I</t>
  </si>
  <si>
    <t>320-MS-003</t>
  </si>
  <si>
    <t>20-400</t>
  </si>
  <si>
    <t>320-MS-004</t>
  </si>
  <si>
    <t>LINEAR450I</t>
  </si>
  <si>
    <t>320-MS-001</t>
  </si>
  <si>
    <t>LJ010326G</t>
  </si>
  <si>
    <t>218-460</t>
  </si>
  <si>
    <t>CLASEB</t>
  </si>
  <si>
    <t>GB801</t>
  </si>
  <si>
    <t>88mm</t>
  </si>
  <si>
    <t>P-01</t>
  </si>
  <si>
    <t>P-05</t>
  </si>
  <si>
    <t>SCHULZ</t>
  </si>
  <si>
    <t>FSB16-TORK</t>
  </si>
  <si>
    <t>T-001</t>
  </si>
  <si>
    <t>90mm</t>
  </si>
  <si>
    <t>E-01</t>
  </si>
  <si>
    <t>AB610 1/220</t>
  </si>
  <si>
    <t>INVERTECV350PRO</t>
  </si>
  <si>
    <t>AE-001</t>
  </si>
  <si>
    <t>U105105270</t>
  </si>
  <si>
    <t>20-575</t>
  </si>
  <si>
    <t>20-350</t>
  </si>
  <si>
    <t>CLASIC300D</t>
  </si>
  <si>
    <t>MS003</t>
  </si>
  <si>
    <t>C1071200127</t>
  </si>
  <si>
    <t>250-30</t>
  </si>
  <si>
    <t>30-32</t>
  </si>
  <si>
    <t>AM-03</t>
  </si>
  <si>
    <t>VIAS FERREAS</t>
  </si>
  <si>
    <t>VF</t>
  </si>
  <si>
    <t>FXP1704</t>
  </si>
  <si>
    <t>136KG</t>
  </si>
  <si>
    <t>5''</t>
  </si>
  <si>
    <t>ES-02</t>
  </si>
  <si>
    <t>75kg</t>
  </si>
  <si>
    <t>7,3m/24''</t>
  </si>
  <si>
    <t>es-01</t>
  </si>
  <si>
    <t>patio triangulo de inversion via ferrea</t>
  </si>
  <si>
    <t>AG18020P</t>
  </si>
  <si>
    <t>AM-02VWF</t>
  </si>
  <si>
    <t>GWSB175CL</t>
  </si>
  <si>
    <t>AM-001VF</t>
  </si>
  <si>
    <t>BALBOA</t>
  </si>
  <si>
    <t>GWS15-125CIE</t>
  </si>
  <si>
    <t>AGUSTIN LLANES</t>
  </si>
  <si>
    <t>GA7040S</t>
  </si>
  <si>
    <t>GA7060</t>
  </si>
  <si>
    <t>ROMAN VELASQUEZ MAXIMO</t>
  </si>
  <si>
    <t>9557HP</t>
  </si>
  <si>
    <t>9564PCV</t>
  </si>
  <si>
    <t>FWS18-128PL</t>
  </si>
  <si>
    <t>E-013-04-10996</t>
  </si>
  <si>
    <t>OSVALDO CAYO</t>
  </si>
  <si>
    <t>GWS26-180LVI</t>
  </si>
  <si>
    <t>BALBOA JUAN CARLOS</t>
  </si>
  <si>
    <t>61372B</t>
  </si>
  <si>
    <t>FAUSTO CHURA</t>
  </si>
  <si>
    <t>GWSGA7040S</t>
  </si>
  <si>
    <t>SAUL MAMANI</t>
  </si>
  <si>
    <t>040271U</t>
  </si>
  <si>
    <t>32-34</t>
  </si>
  <si>
    <t>17-60</t>
  </si>
  <si>
    <t>TC-918</t>
  </si>
  <si>
    <t>1635mm/80mm</t>
  </si>
  <si>
    <t>SO-02</t>
  </si>
  <si>
    <t>EB-003</t>
  </si>
  <si>
    <t>205-19</t>
  </si>
  <si>
    <t>350X</t>
  </si>
  <si>
    <t>18-21</t>
  </si>
  <si>
    <t>29-350</t>
  </si>
  <si>
    <t>TALLER DE VALVULAS</t>
  </si>
  <si>
    <t>MIGUEL ANGEL MAMANI</t>
  </si>
  <si>
    <t>DAVID RAMOS</t>
  </si>
  <si>
    <t>TBA</t>
  </si>
  <si>
    <t>ARC SPRAY 300</t>
  </si>
  <si>
    <t>INVERTECCC400-SPLUS</t>
  </si>
  <si>
    <t>330-415</t>
  </si>
  <si>
    <t>22-23</t>
  </si>
  <si>
    <t>BERNARDINO MAMANI</t>
  </si>
  <si>
    <t>2H135</t>
  </si>
  <si>
    <t>CCPMPCKBA</t>
  </si>
  <si>
    <t>56-220</t>
  </si>
  <si>
    <t>ELIAS MERCADO</t>
  </si>
  <si>
    <t>INVERTEC350PRO</t>
  </si>
  <si>
    <t>MD0432280U</t>
  </si>
  <si>
    <t>11,2-13,8</t>
  </si>
  <si>
    <t>ROMAN MAXIMO</t>
  </si>
  <si>
    <t>EB-001</t>
  </si>
  <si>
    <t>20-230</t>
  </si>
  <si>
    <t>TALLER DE SOLDADURA</t>
  </si>
  <si>
    <t>205x19x15,88mm</t>
  </si>
  <si>
    <t>ELOY CHOQUE</t>
  </si>
  <si>
    <t>MD100085A</t>
  </si>
  <si>
    <t>208-525</t>
  </si>
  <si>
    <t>CASTO AJATA</t>
  </si>
  <si>
    <t>INOCENCIO CALCINA0</t>
  </si>
  <si>
    <t>INVERTEC400SX</t>
  </si>
  <si>
    <t>COD020</t>
  </si>
  <si>
    <t>NICODEMO TORREZ</t>
  </si>
  <si>
    <t>MB220586A</t>
  </si>
  <si>
    <t>JUAN OJEDA</t>
  </si>
  <si>
    <t>U10511005300</t>
  </si>
  <si>
    <t>LJ250088L</t>
  </si>
  <si>
    <t>18-28</t>
  </si>
  <si>
    <t>SYNCROWAVE200</t>
  </si>
  <si>
    <t>ESPECTRUM2050</t>
  </si>
  <si>
    <t>25-55</t>
  </si>
  <si>
    <t>PABLO MIRANDA</t>
  </si>
  <si>
    <t>JUAN CARLOS BALBOA</t>
  </si>
  <si>
    <t>MB100084A</t>
  </si>
  <si>
    <t>DELTAWELT852</t>
  </si>
  <si>
    <t>taller</t>
  </si>
  <si>
    <t>GWSt8-12SPL</t>
  </si>
  <si>
    <t>TALLER DE SOLDADURA TALLER G</t>
  </si>
  <si>
    <t>WENSESLAO O.</t>
  </si>
  <si>
    <t>GWS17+125CIE</t>
  </si>
  <si>
    <t>INOCENCIO CALCINA</t>
  </si>
  <si>
    <t>EB-002</t>
  </si>
  <si>
    <t>205X19X15X88mm</t>
  </si>
  <si>
    <t>D726222</t>
  </si>
  <si>
    <t>646014SERRASENSITIVAPROFESIONAL</t>
  </si>
  <si>
    <t>400X3X25XX,4mm</t>
  </si>
  <si>
    <t>INVERTECV205ST</t>
  </si>
  <si>
    <t>WNSESLAO O</t>
  </si>
  <si>
    <t>MC2006264</t>
  </si>
  <si>
    <t>MD03028SU</t>
  </si>
  <si>
    <t>MAXIMO ROMAN</t>
  </si>
  <si>
    <t>CHURA</t>
  </si>
  <si>
    <t>U1051115065</t>
  </si>
  <si>
    <t>CLEMENTE VALENCIO</t>
  </si>
  <si>
    <t>VICTOR TARKI</t>
  </si>
  <si>
    <t>U1051211805</t>
  </si>
  <si>
    <t>INVERTECV205-T</t>
  </si>
  <si>
    <t>MARTIN MAMANI DONAIRE</t>
  </si>
  <si>
    <t>RUBEN MAMANI</t>
  </si>
  <si>
    <t>INVERTEC205-T</t>
  </si>
  <si>
    <t>57-37</t>
  </si>
  <si>
    <t>TRR2650</t>
  </si>
  <si>
    <t>83-48</t>
  </si>
  <si>
    <t>42880DD4503</t>
  </si>
  <si>
    <t>PICOLA405DC</t>
  </si>
  <si>
    <t>405D0TTT205</t>
  </si>
  <si>
    <t>V205-T</t>
  </si>
  <si>
    <t>NICODEMO</t>
  </si>
  <si>
    <t>L4060700153</t>
  </si>
  <si>
    <t>ARENADO</t>
  </si>
  <si>
    <t>BRUSHLESS/VVEBD2025</t>
  </si>
  <si>
    <t>FL-28</t>
  </si>
  <si>
    <t>FL-205</t>
  </si>
  <si>
    <t>7''</t>
  </si>
  <si>
    <t>GWS17-125S</t>
  </si>
  <si>
    <t>FL-208</t>
  </si>
  <si>
    <t>61369B</t>
  </si>
  <si>
    <t>8601h94he2</t>
  </si>
  <si>
    <t>MARTIN MAMANI</t>
  </si>
  <si>
    <t>U1250900398</t>
  </si>
  <si>
    <t>26279A</t>
  </si>
  <si>
    <t>GA7040F</t>
  </si>
  <si>
    <t>61836B</t>
  </si>
  <si>
    <t>GWSDWS11-125B</t>
  </si>
  <si>
    <t>GWZS17-125CIE</t>
  </si>
  <si>
    <t>OSVALDO CAYO COPA</t>
  </si>
  <si>
    <t>U1051115063</t>
  </si>
  <si>
    <t>gws17-195s</t>
  </si>
  <si>
    <t>area 240</t>
  </si>
  <si>
    <t>AREA240</t>
  </si>
  <si>
    <t>FL-07</t>
  </si>
  <si>
    <t>P1190388184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</si>
</sst>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rgb="FF242424"/>
      <name val="Aptos Narrow"/>
      <family val="2"/>
      <charset val="1"/>
    </font>
    <font>
      <sz val="11"/>
      <color rgb="FF242424"/>
      <name val="Aptos Narrow"/>
      <charset val="1"/>
    </font>
    <font>
      <sz val="9"/>
      <color theme="1"/>
      <name val="Cambria"/>
      <family val="2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0"/>
      <name val="Cambria"/>
      <family val="2"/>
    </font>
    <font>
      <b/>
      <sz val="14"/>
      <color theme="0"/>
      <name val="Calibri"/>
      <family val="2"/>
      <scheme val="minor"/>
    </font>
    <font>
      <sz val="9"/>
      <color theme="8" tint="-0.249977111117893"/>
      <name val="Cambria"/>
      <family val="2"/>
    </font>
    <font>
      <sz val="9"/>
      <color theme="3"/>
      <name val="Cambria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6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2" borderId="1" xfId="0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0" borderId="1" xfId="0" applyBorder="1"/>
    <xf numFmtId="0" fontId="1" fillId="0" borderId="0" xfId="0" applyFont="1"/>
    <xf numFmtId="0" fontId="2" fillId="0" borderId="0" xfId="0" applyFont="1"/>
    <xf numFmtId="0" fontId="1" fillId="0" borderId="2" xfId="0" applyFont="1" applyBorder="1" applyAlignment="1">
      <alignment wrapText="1"/>
    </xf>
    <xf numFmtId="0" fontId="0" fillId="0" borderId="3" xfId="0" applyBorder="1"/>
    <xf numFmtId="0" fontId="1" fillId="2" borderId="2" xfId="0" applyFont="1" applyFill="1" applyBorder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3" xfId="0" applyBorder="1" applyAlignment="1">
      <alignment wrapText="1"/>
    </xf>
    <xf numFmtId="0" fontId="0" fillId="2" borderId="2" xfId="0" applyFill="1" applyBorder="1" applyAlignment="1">
      <alignment wrapText="1"/>
    </xf>
    <xf numFmtId="0" fontId="1" fillId="0" borderId="4" xfId="0" applyFont="1" applyBorder="1" applyAlignment="1">
      <alignment wrapText="1"/>
    </xf>
    <xf numFmtId="0" fontId="0" fillId="0" borderId="2" xfId="0" applyBorder="1"/>
    <xf numFmtId="0" fontId="2" fillId="0" borderId="3" xfId="0" applyFont="1" applyBorder="1" applyAlignment="1">
      <alignment wrapText="1"/>
    </xf>
    <xf numFmtId="0" fontId="0" fillId="0" borderId="5" xfId="0" applyBorder="1"/>
    <xf numFmtId="0" fontId="0" fillId="0" borderId="6" xfId="0" applyBorder="1"/>
    <xf numFmtId="0" fontId="0" fillId="2" borderId="2" xfId="0" applyFill="1" applyBorder="1"/>
    <xf numFmtId="0" fontId="0" fillId="2" borderId="6" xfId="0" applyFill="1" applyBorder="1" applyAlignment="1">
      <alignment wrapText="1"/>
    </xf>
    <xf numFmtId="0" fontId="1" fillId="0" borderId="6" xfId="0" applyFont="1" applyBorder="1"/>
    <xf numFmtId="0" fontId="0" fillId="2" borderId="6" xfId="0" applyFill="1" applyBorder="1"/>
    <xf numFmtId="0" fontId="1" fillId="2" borderId="6" xfId="0" applyFont="1" applyFill="1" applyBorder="1"/>
    <xf numFmtId="0" fontId="3" fillId="3" borderId="0" xfId="0" applyFont="1" applyFill="1" applyAlignment="1">
      <alignment horizontal="left" vertical="center" wrapText="1"/>
    </xf>
    <xf numFmtId="0" fontId="0" fillId="0" borderId="2" xfId="0" applyBorder="1" applyAlignment="1">
      <alignment wrapText="1"/>
    </xf>
    <xf numFmtId="0" fontId="0" fillId="2" borderId="7" xfId="0" applyFill="1" applyBorder="1"/>
    <xf numFmtId="49" fontId="9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wrapText="1"/>
    </xf>
    <xf numFmtId="49" fontId="9" fillId="3" borderId="9" xfId="0" applyNumberFormat="1" applyFont="1" applyFill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5" xfId="0" applyBorder="1"/>
    <xf numFmtId="0" fontId="10" fillId="5" borderId="6" xfId="0" applyFont="1" applyFill="1" applyBorder="1"/>
    <xf numFmtId="0" fontId="8" fillId="4" borderId="0" xfId="0" applyFont="1" applyFill="1" applyAlignment="1">
      <alignment horizontal="center"/>
    </xf>
    <xf numFmtId="0" fontId="11" fillId="4" borderId="20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21" xfId="0" applyBorder="1"/>
    <xf numFmtId="0" fontId="12" fillId="6" borderId="22" xfId="0" applyFont="1" applyFill="1" applyBorder="1" applyAlignment="1">
      <alignment horizontal="center" vertical="center"/>
    </xf>
    <xf numFmtId="0" fontId="0" fillId="7" borderId="23" xfId="0" applyFill="1" applyBorder="1"/>
    <xf numFmtId="0" fontId="0" fillId="7" borderId="24" xfId="0" applyFill="1" applyBorder="1"/>
    <xf numFmtId="0" fontId="0" fillId="8" borderId="23" xfId="0" applyFill="1" applyBorder="1"/>
    <xf numFmtId="0" fontId="0" fillId="8" borderId="24" xfId="0" applyFill="1" applyBorder="1"/>
    <xf numFmtId="0" fontId="1" fillId="3" borderId="0" xfId="0" applyFont="1" applyFill="1" applyAlignment="1">
      <alignment wrapText="1"/>
    </xf>
    <xf numFmtId="0" fontId="0" fillId="0" borderId="2" xfId="0" applyBorder="1" applyAlignment="1">
      <alignment horizontal="left"/>
    </xf>
    <xf numFmtId="0" fontId="0" fillId="0" borderId="25" xfId="0" applyBorder="1"/>
    <xf numFmtId="0" fontId="0" fillId="3" borderId="26" xfId="0" applyFill="1" applyBorder="1"/>
    <xf numFmtId="49" fontId="9" fillId="3" borderId="27" xfId="0" applyNumberFormat="1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27" xfId="0" applyBorder="1"/>
    <xf numFmtId="0" fontId="1" fillId="0" borderId="27" xfId="0" applyFont="1" applyBorder="1"/>
    <xf numFmtId="0" fontId="13" fillId="9" borderId="0" xfId="0" applyFont="1" applyFill="1" applyAlignment="1">
      <alignment wrapText="1"/>
    </xf>
    <xf numFmtId="0" fontId="0" fillId="0" borderId="28" xfId="0" applyBorder="1"/>
    <xf numFmtId="0" fontId="0" fillId="0" borderId="29" xfId="0" applyBorder="1"/>
    <xf numFmtId="0" fontId="1" fillId="3" borderId="27" xfId="0" applyFont="1" applyFill="1" applyBorder="1" applyAlignment="1">
      <alignment horizontal="center" wrapText="1"/>
    </xf>
    <xf numFmtId="0" fontId="0" fillId="10" borderId="18" xfId="0" applyFill="1" applyBorder="1"/>
    <xf numFmtId="0" fontId="0" fillId="0" borderId="30" xfId="0" applyBorder="1"/>
    <xf numFmtId="0" fontId="0" fillId="3" borderId="28" xfId="0" applyFill="1" applyBorder="1"/>
    <xf numFmtId="49" fontId="9" fillId="3" borderId="29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0" fillId="2" borderId="31" xfId="0" applyFill="1" applyBorder="1"/>
    <xf numFmtId="0" fontId="1" fillId="0" borderId="3" xfId="0" applyFont="1" applyBorder="1" applyAlignment="1">
      <alignment wrapText="1"/>
    </xf>
    <xf numFmtId="0" fontId="1" fillId="2" borderId="7" xfId="0" applyFont="1" applyFill="1" applyBorder="1"/>
    <xf numFmtId="0" fontId="0" fillId="0" borderId="32" xfId="0" applyBorder="1"/>
    <xf numFmtId="0" fontId="0" fillId="0" borderId="6" xfId="0" applyBorder="1" applyAlignment="1">
      <alignment wrapText="1"/>
    </xf>
    <xf numFmtId="0" fontId="0" fillId="2" borderId="3" xfId="0" applyFill="1" applyBorder="1"/>
    <xf numFmtId="0" fontId="0" fillId="0" borderId="31" xfId="0" applyBorder="1"/>
    <xf numFmtId="0" fontId="0" fillId="0" borderId="7" xfId="0" applyBorder="1"/>
    <xf numFmtId="0" fontId="14" fillId="3" borderId="19" xfId="0" applyFont="1" applyFill="1" applyBorder="1" applyAlignment="1">
      <alignment horizontal="left" vertical="center" wrapText="1"/>
    </xf>
    <xf numFmtId="0" fontId="0" fillId="2" borderId="16" xfId="0" applyFill="1" applyBorder="1" applyAlignment="1">
      <alignment wrapText="1"/>
    </xf>
    <xf numFmtId="0" fontId="0" fillId="2" borderId="33" xfId="0" applyFill="1" applyBorder="1"/>
    <xf numFmtId="0" fontId="0" fillId="0" borderId="7" xfId="0" applyBorder="1" applyAlignment="1">
      <alignment wrapText="1"/>
    </xf>
    <xf numFmtId="0" fontId="8" fillId="0" borderId="6" xfId="0" applyFont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0" fontId="2" fillId="0" borderId="6" xfId="0" applyFont="1" applyBorder="1"/>
    <xf numFmtId="0" fontId="2" fillId="2" borderId="6" xfId="0" applyFont="1" applyFill="1" applyBorder="1" applyAlignment="1">
      <alignment wrapText="1"/>
    </xf>
    <xf numFmtId="0" fontId="0" fillId="2" borderId="17" xfId="0" applyFill="1" applyBorder="1"/>
    <xf numFmtId="0" fontId="0" fillId="0" borderId="4" xfId="0" applyBorder="1"/>
    <xf numFmtId="0" fontId="3" fillId="3" borderId="6" xfId="0" applyFont="1" applyFill="1" applyBorder="1" applyAlignment="1">
      <alignment horizontal="left" vertical="center" wrapText="1"/>
    </xf>
    <xf numFmtId="0" fontId="2" fillId="2" borderId="6" xfId="0" applyFont="1" applyFill="1" applyBorder="1"/>
    <xf numFmtId="0" fontId="0" fillId="0" borderId="2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0" fontId="0" fillId="2" borderId="7" xfId="0" applyFont="1" applyFill="1" applyBorder="1"/>
    <xf numFmtId="0" fontId="8" fillId="4" borderId="12" xfId="0" applyFont="1" applyFill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</cellXfs>
  <cellStyles count="1">
    <cellStyle name="Normal" xfId="0" builtinId="0"/>
  </cellStyles>
  <dxfs count="8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numFmt numFmtId="0" formatCode="General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E1F2"/>
          <bgColor rgb="FFD9E1F2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mbria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top style="thin">
          <color rgb="FF8EA9DB"/>
        </top>
        <bottom style="thin">
          <color rgb="FF8EA9DB"/>
        </bottom>
      </border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charset val="1"/>
        <scheme val="none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charset val="1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497D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10FFCD7F-7D27-45FD-88E6-B53293941C1B}" name="Tabla758102145188274" displayName="Tabla758102145188274" ref="V1:W12" totalsRowShown="0" dataDxfId="879" tableBorderDxfId="878">
  <autoFilter ref="V1:W12" xr:uid="{9C601E76-6EC7-4996-8C5A-4EC2650D4D49}"/>
  <tableColumns count="2">
    <tableColumn id="1" xr3:uid="{DD1A2098-4668-4D84-8B96-971E0E12E39C}" name="ID" dataDxfId="877"/>
    <tableColumn id="2" xr3:uid="{104CC02F-8273-4118-BA88-D863BF6FD894}" name="Area" dataDxfId="8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F5C4E529-98A3-4B57-9E2E-06A441197F76}" name="Tabla259103146189275" displayName="Tabla259103146189275" ref="Y1:Z4" totalsRowShown="0" headerRowDxfId="875" headerRowBorderDxfId="874" tableBorderDxfId="873" totalsRowBorderDxfId="872">
  <autoFilter ref="Y1:Z4" xr:uid="{8EA5E146-546E-4301-8341-E9A2182AF11B}"/>
  <tableColumns count="2">
    <tableColumn id="1" xr3:uid="{E8298DDF-5089-44AB-9F48-4B359284051A}" name="ID" dataDxfId="871"/>
    <tableColumn id="2" xr3:uid="{4294EF25-B3D8-4A6D-AED7-7202543E7CDF}" name="Estado" dataDxfId="8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AA83DBF0-9370-4CC0-A30F-7F02FE94CD06}" name="Tabla360104147190276" displayName="Tabla360104147190276" ref="AB1:AC7" totalsRowShown="0" headerRowDxfId="869" headerRowBorderDxfId="868" tableBorderDxfId="867" totalsRowBorderDxfId="866">
  <autoFilter ref="AB1:AC7" xr:uid="{4313A204-2187-4F5D-B195-E9D8244B0B6A}"/>
  <tableColumns count="2">
    <tableColumn id="1" xr3:uid="{C3551A1C-50B8-4820-899C-C5FAF9F1726F}" name="ID" dataDxfId="865"/>
    <tableColumn id="2" xr3:uid="{5BD4D0C1-733C-44C1-ACAC-6554177C46D8}" name="Clasificación" dataDxfId="8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20013944-6A41-40D1-BB66-5751696BBFD7}" name="Tabla461105148191277" displayName="Tabla461105148191277" ref="AB9:AB12" totalsRowShown="0" headerRowDxfId="863" headerRowBorderDxfId="862" tableBorderDxfId="861" totalsRowBorderDxfId="860">
  <autoFilter ref="AB9:AB12" xr:uid="{4FA69CD1-8D3C-4F41-B69E-D64790738288}"/>
  <tableColumns count="1">
    <tableColumn id="1" xr3:uid="{28055357-0E4C-4C3D-B5DB-CD1FB7FFF446}" name="Frecuencia de uso" dataDxfId="8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7" xr:uid="{BB14DBA6-EF72-45A8-B1C1-5CDB30D373DC}" name="Herramientas_eléctricas1862106149192278" displayName="Herramientas_eléctricas1862106149192278" ref="AF1:AF21" totalsRowShown="0" headerRowDxfId="858" headerRowBorderDxfId="857" tableBorderDxfId="856">
  <autoFilter ref="AF1:AF21" xr:uid="{9A901B8B-4001-4C56-97C1-F800FB168E81}"/>
  <tableColumns count="1">
    <tableColumn id="1" xr3:uid="{F0A4EE37-09A1-4517-AB8E-D45489E6B128}" name="Herramientas_eléctric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8" xr:uid="{5119ABBC-AEE8-41FF-A30A-B1E0429AEADD}" name="Herramientas_neumáticas1963107150193279" displayName="Herramientas_neumáticas1963107150193279" ref="AG1:AG6" totalsRowShown="0" headerRowDxfId="855" headerRowBorderDxfId="854" tableBorderDxfId="853">
  <autoFilter ref="AG1:AG6" xr:uid="{DDFD7ABB-9233-49B8-8E7D-0C4E4E73668B}"/>
  <tableColumns count="1">
    <tableColumn id="1" xr3:uid="{92B11C6E-FB64-4151-9C40-1ED807AB6247}" name="Herramientas_neumátic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9" xr:uid="{9116DC27-78EB-4790-AB4B-78DC45B07974}" name="Herramientas_de_medición2064108151194280" displayName="Herramientas_de_medición2064108151194280" ref="AH1:AH16" totalsRowShown="0" headerRowDxfId="852" headerRowBorderDxfId="851" tableBorderDxfId="850">
  <autoFilter ref="AH1:AH16" xr:uid="{A1A99238-FF6A-4B46-95FE-F6F59C0A59FF}"/>
  <tableColumns count="1">
    <tableColumn id="1" xr3:uid="{F7E0EAB1-B877-4B6B-985C-F8BF7AB9F65B}" name="Herramientas_de_medición" dataDxfId="84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0" xr:uid="{FD8ABDE1-6293-4E7D-8712-8839E3DFF069}" name="Herrramientas_mecánicas2165109152195281" displayName="Herrramientas_mecánicas2165109152195281" ref="AI1:AI21" totalsRowShown="0" headerRowDxfId="848" headerRowBorderDxfId="847" tableBorderDxfId="846">
  <autoFilter ref="AI1:AI21" xr:uid="{82699701-A4C7-4A41-A40B-8F87727B2FCD}"/>
  <tableColumns count="1">
    <tableColumn id="1" xr3:uid="{F6B2DEF4-F98C-4F5C-B640-6893C55B0470}" name="Herramientas_mecánica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1" xr:uid="{72F3A0F2-EF49-49E2-A56F-7AA27C22CE20}" name="Herramientas_hidráulicas2266110153196282" displayName="Herramientas_hidráulicas2266110153196282" ref="AJ1:AJ9" totalsRowShown="0" headerRowDxfId="845" dataDxfId="843" headerRowBorderDxfId="844" tableBorderDxfId="842">
  <autoFilter ref="AJ1:AJ9" xr:uid="{5C7C5014-0DFD-4140-8DC3-6AF6EDF169E4}"/>
  <tableColumns count="1">
    <tableColumn id="1" xr3:uid="{1BE57793-C78C-4D1A-B81A-6BD4B413ADA0}" name="Herramientas_hidráulicas" dataDxfId="8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2" xr:uid="{31246633-6296-4A00-AC3F-0A3178736A1C}" name="EPP_2367111154197283" displayName="EPP_2367111154197283" ref="AK1:AK6" totalsRowShown="0" headerRowDxfId="840" headerRowBorderDxfId="839" tableBorderDxfId="838">
  <autoFilter ref="AK1:AK6" xr:uid="{6ED4F867-D028-4151-85A1-2598FAD98928}"/>
  <tableColumns count="1">
    <tableColumn id="1" xr3:uid="{2FFBB613-B1E0-4303-8FDA-341FDB1D1E65}" name="SPC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3" xr:uid="{3E7803FE-9B90-4F82-8138-583B9A90388E}" name="Herramientas_de_izaje2468112155198284" displayName="Herramientas_de_izaje2468112155198284" ref="AL1:AL6" totalsRowShown="0" headerRowDxfId="837" headerRowBorderDxfId="836" tableBorderDxfId="835">
  <autoFilter ref="AL1:AL6" xr:uid="{0DE75960-5B93-46A7-AAE6-BC581FFF1354}"/>
  <tableColumns count="1">
    <tableColumn id="1" xr3:uid="{C42E62A4-FE6C-4E6F-8CF1-22CC1EF73DC6}" name="Herramientas_de_izaj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4" xr:uid="{B6E317D8-7941-4475-AC84-8A020F223937}" name="Tabla152569113156199285" displayName="Tabla152569113156199285" ref="AM1:AM2" totalsRowShown="0" headerRowDxfId="834" dataDxfId="832" headerRowBorderDxfId="833" tableBorderDxfId="831">
  <autoFilter ref="AM1:AM2" xr:uid="{7CDF3488-ADF8-42BB-8EFE-46E3A509430E}"/>
  <tableColumns count="1">
    <tableColumn id="1" xr3:uid="{DC952D3A-780C-4DFF-B821-D7DE6D08D66E}" name="Otros" dataDxfId="8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5" xr:uid="{E6CCEDF9-CF59-406A-BC3F-B3FFE4FC3A72}" name="Tabla162670114157200286" displayName="Tabla162670114157200286" ref="AN1:AN6" totalsRowShown="0">
  <autoFilter ref="AN1:AN6" xr:uid="{BA84FDFB-CFCF-49B5-A4A0-7E55EE0C8343}"/>
  <tableColumns count="1">
    <tableColumn id="1" xr3:uid="{C1668E6B-6C2C-43B3-942D-14F12F68533F}" name="Equipo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6" xr:uid="{D9F71F24-F937-4BE9-AF37-DF232F53CB28}" name="Tabla571115158201287" displayName="Tabla571115158201287" ref="AF33:AG35" totalsRowShown="0" tableBorderDxfId="829">
  <autoFilter ref="AF33:AG35" xr:uid="{CF2FEFF5-0ED4-40EF-A2CA-B8658D653CBB}"/>
  <tableColumns count="2">
    <tableColumn id="1" xr3:uid="{B0D728D0-977B-42BE-A860-2B6958FAA388}" name="Calentador"/>
    <tableColumn id="2" xr3:uid="{185AEFB8-A50B-4797-9B67-EEEE2D84216F}" name="Bomb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7" xr:uid="{CF69CDD3-D68E-4DC6-BC26-3D038F80887F}" name="Tabla1772116159202288" displayName="Tabla1772116159202288" ref="AF38:AF40" totalsRowShown="0" headerRowDxfId="828" headerRowBorderDxfId="827" tableBorderDxfId="826">
  <autoFilter ref="AF38:AF40" xr:uid="{830EF362-0156-4A25-9CC5-538DDBFCF308}"/>
  <tableColumns count="1">
    <tableColumn id="1" xr3:uid="{8A782E23-F9E0-44C8-92DD-67A0C3AC7632}" name="Martillo 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8" xr:uid="{A6265930-D5ED-4614-9FC4-08C8C8E1AAB9}" name="Tabla1873117160203289" displayName="Tabla1873117160203289" ref="AH29:AH31" totalsRowShown="0" dataDxfId="825">
  <autoFilter ref="AH29:AH31" xr:uid="{D9204BB2-CBF2-43D1-8CAA-9AC826A37056}"/>
  <tableColumns count="1">
    <tableColumn id="1" xr3:uid="{0FA8E357-BBB8-4BDC-B3E1-0352F9D2D754}" name="Nivel" dataDxfId="82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4E6CFD80-353B-4B6E-973D-74AD8F04E374}" name="Tabla1974118161204290" displayName="Tabla1974118161204290" ref="AF42:AF45" totalsRowShown="0" headerRowDxfId="823" headerRowBorderDxfId="822" tableBorderDxfId="821" totalsRowBorderDxfId="820">
  <autoFilter ref="AF42:AF45" xr:uid="{751CC4DE-0F10-45F1-BAA4-31688AE830B1}"/>
  <tableColumns count="1">
    <tableColumn id="1" xr3:uid="{F7C291EE-08E7-4EAA-AB55-6F35A23ABB05}" name="Impactor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07D5D87F-942B-46E7-AA6B-765E52B56D1A}" name="Tabla2075119162205291" displayName="Tabla2075119162205291" ref="AF47:AF50" totalsRowShown="0">
  <autoFilter ref="AF47:AF50" xr:uid="{A14E2475-26A8-4E9D-8E77-6DD3075B12E9}"/>
  <tableColumns count="1">
    <tableColumn id="1" xr3:uid="{E220850A-BCAC-4B3B-B531-2A9905A0C810}" name="Extracto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7906CF0B-4AD0-4947-81C5-F93399B4E120}" name="Tabla2176120163206292" displayName="Tabla2176120163206292" ref="AF52:AF53" totalsRowShown="0" dataDxfId="819" tableBorderDxfId="818">
  <autoFilter ref="AF52:AF53" xr:uid="{FB135CB6-85B5-46C8-99B8-45176F814696}"/>
  <tableColumns count="1">
    <tableColumn id="1" xr3:uid="{7F5EE634-4EB1-4593-8D05-000F1CE2C0AB}" name="Esmeril" dataDxfId="817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8AD1AC4A-5561-4975-823C-51C8F0E40000}" name="Tabla2277121164207293" displayName="Tabla2277121164207293" ref="AH56:AH58" totalsRowShown="0">
  <autoFilter ref="AH56:AH58" xr:uid="{3AB821FA-FFC5-4307-AC30-B52EA5139269}"/>
  <tableColumns count="1">
    <tableColumn id="1" xr3:uid="{4EB29510-0EEC-46C9-9869-2ECA4DB52855}" name="Manometr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5C874C88-AEA1-4D35-B4E1-EFADD2596F92}" name="Tabla2378122165208294" displayName="Tabla2378122165208294" ref="AH33:AH36" totalsRowShown="0" headerRowDxfId="816" tableBorderDxfId="815">
  <autoFilter ref="AH33:AH36" xr:uid="{16F850A9-F3B2-41CD-A0AE-53D6CE1A75ED}"/>
  <tableColumns count="1">
    <tableColumn id="1" xr3:uid="{A2979D5E-3709-4747-AAE1-A54D9FB468B4}" name="Medido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950DD923-B2A1-4DDE-A0B9-36F33C2C7E22}" name="Tabla2479123166209295" displayName="Tabla2479123166209295" ref="AH38:AH39" totalsRowShown="0" dataDxfId="814" tableBorderDxfId="813">
  <autoFilter ref="AH38:AH39" xr:uid="{1889A6F9-230B-4AFF-867D-3DF6472821F5}"/>
  <tableColumns count="1">
    <tableColumn id="1" xr3:uid="{596CFCAE-18C2-4B55-A0DB-827824508E15}" name="Camara termografica" dataDxfId="8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7BD76F5A-60C8-4256-97A6-DDE6F797AAEB}" name="Tabla2580124167210296" displayName="Tabla2580124167210296" ref="AI33:AI40" totalsRowShown="0">
  <autoFilter ref="AI33:AI40" xr:uid="{A0DED689-2510-4BE0-B85F-FD1D7D88DFA4}"/>
  <tableColumns count="1">
    <tableColumn id="1" xr3:uid="{6136028E-EFC1-4E87-B4F2-1A849B101378}" name="Llave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D2F02206-778B-441C-B31F-E566418B5213}" name="Tabla2681125168211297" displayName="Tabla2681125168211297" ref="AH41:AH45" totalsRowShown="0" tableBorderDxfId="811">
  <autoFilter ref="AH41:AH45" xr:uid="{8ED6E545-64E7-44D4-B8A8-CB23D42265C0}"/>
  <tableColumns count="1">
    <tableColumn id="1" xr3:uid="{248BA581-9EC2-42B6-95F7-ABA4E4BCCFE2}" name="Calibrado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7365496A-76C4-4EE8-9B5C-1F988A683DCF}" name="Tabla2882126169212298" displayName="Tabla2882126169212298" ref="AH48:AH51" totalsRowShown="0">
  <autoFilter ref="AH48:AH51" xr:uid="{9EF16892-84A3-4412-9559-E3ECBCBE8FAD}"/>
  <tableColumns count="1">
    <tableColumn id="1" xr3:uid="{38043971-69FF-4E08-99C3-17B388A09216}" name="Micrómetr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9E5771E4-4A0A-45F4-8CE8-117408BC7EF6}" name="Tabla2983127170213299" displayName="Tabla2983127170213299" ref="AI67:AI69" totalsRowShown="0" tableBorderDxfId="810">
  <autoFilter ref="AI67:AI69" xr:uid="{2312EFE8-ED6F-40CE-936E-92708A2A3E11}"/>
  <tableColumns count="1">
    <tableColumn id="1" xr3:uid="{350FDF08-2E80-49FC-8B5A-FF86BCB83F9D}" name="Alicate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9C93682B-DDEA-4987-B987-BCF11B228DE3}" name="Tabla3084128171214300" displayName="Tabla3084128171214300" ref="AI50:AI59" totalsRowShown="0" dataDxfId="809" tableBorderDxfId="808">
  <autoFilter ref="AI50:AI59" xr:uid="{3B268A63-E4A5-4D1B-B445-E13631B6E887}"/>
  <tableColumns count="1">
    <tableColumn id="1" xr3:uid="{FC78F205-786C-42BE-90E0-71A8A14AC60D}" name="Dados" dataDxfId="807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9B69422A-20F2-4FEF-9504-81ADE37D70EC}" name="Tabla3285129172215301" displayName="Tabla3285129172215301" ref="AI43:AI44" totalsRowShown="0" dataDxfId="806" tableBorderDxfId="805">
  <autoFilter ref="AI43:AI44" xr:uid="{005ABD67-F7E0-47FD-8970-322FEA5BBC4C}"/>
  <tableColumns count="1">
    <tableColumn id="1" xr3:uid="{75948269-0F6F-4F95-8911-ED197C90549D}" name="Tijera" dataDxfId="80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BE6D0405-EFE9-4362-8106-B69B0191D290}" name="Tabla3386130173216302" displayName="Tabla3386130173216302" ref="AH63:AH64" totalsRowShown="0" dataDxfId="803" tableBorderDxfId="802">
  <autoFilter ref="AH63:AH64" xr:uid="{7D457BB0-C389-4126-BC6E-CB6D91AFE2A6}"/>
  <tableColumns count="1">
    <tableColumn id="1" xr3:uid="{2467AEC4-A880-4196-9694-67B7A401357F}" name="Estetoscopio" dataDxfId="80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F0268086-70BC-488B-97F3-80C1CFDDD1FE}" name="Tabla3487131174217303" displayName="Tabla3487131174217303" ref="AI47:AI48" totalsRowShown="0" dataDxfId="800" tableBorderDxfId="799">
  <autoFilter ref="AI47:AI48" xr:uid="{EC300733-E688-43CB-A693-F1E2F80F6495}"/>
  <tableColumns count="1">
    <tableColumn id="1" xr3:uid="{C60EFCA0-7F0E-4436-AA23-4A6F48A18061}" name="Alargador" dataDxfId="79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B53D83E0-F3DE-4CF7-8F0A-4269B9367EB3}" name="Tabla3588132175218304" displayName="Tabla3588132175218304" ref="AH60:AH61" totalsRowShown="0" dataDxfId="797" tableBorderDxfId="796">
  <autoFilter ref="AH60:AH61" xr:uid="{B42C8F8F-E6AD-4FF3-9580-F9F4B996FF6F}"/>
  <tableColumns count="1">
    <tableColumn id="1" xr3:uid="{0DF425DB-CCF5-49A4-BBE4-D389AA372DBD}" name="Torquimetro" dataDxfId="79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2F6B8C91-4503-43C9-A12E-E73BA40CA0EE}" name="Tabla3789133176219305" displayName="Tabla3789133176219305" ref="AJ29:AJ30" totalsRowShown="0" headerRowDxfId="794" dataDxfId="792" headerRowBorderDxfId="793" tableBorderDxfId="791" totalsRowBorderDxfId="790">
  <autoFilter ref="AJ29:AJ30" xr:uid="{2886962D-17B4-4D37-AB1E-9FE27B267D99}"/>
  <tableColumns count="1">
    <tableColumn id="1" xr3:uid="{EDEDDCA3-E236-41C4-A540-066A069C5F90}" name="Llave " dataDxfId="789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7F3DE86D-8F1D-4BE7-B334-38985DEFA45B}" name="Tabla3890134177220306" displayName="Tabla3890134177220306" ref="B1:T611" totalsRowShown="0" headerRowDxfId="788">
  <autoFilter ref="B1:T611" xr:uid="{58127080-A22D-466C-8BA0-CCF2E2227FD2}"/>
  <tableColumns count="19">
    <tableColumn id="1" xr3:uid="{757C9F04-EF30-4E2A-86CC-8D0BD0C63DD6}" name="Item">
      <calculatedColumnFormula>ROW()-1</calculatedColumnFormula>
    </tableColumn>
    <tableColumn id="2" xr3:uid="{B3F0E683-CACF-4753-8B19-C49A5F58197F}" name="Area" dataDxfId="787"/>
    <tableColumn id="3" xr3:uid="{93BE3FE0-A656-41DE-A866-A610D4D89EFE}" name="Cantidad"/>
    <tableColumn id="4" xr3:uid="{4914D54D-5F44-4F35-9D99-14DBCD05EBF0}" name="Clasificacion" dataDxfId="786"/>
    <tableColumn id="5" xr3:uid="{E4BEB269-9F5C-4028-BE48-04ED461ABD47}" name="Descripción del equipo"/>
    <tableColumn id="18" xr3:uid="{852FD1A4-E9E8-46CF-9A05-46C26261CAD3}" name="voltaje"/>
    <tableColumn id="19" xr3:uid="{E51A0AC4-647B-4DD3-B0DC-D58274D68E82}" name="amperaje"/>
    <tableColumn id="17" xr3:uid="{8A4C304A-CD6D-4B2D-ADDB-3402D2796C87}" name="RPMs"/>
    <tableColumn id="16" xr3:uid="{67DDE79E-DABD-4158-B0E2-B596D208E7DC}" name="Diametro de discos "/>
    <tableColumn id="6" xr3:uid="{D7700758-05A2-46B6-B4A4-0D5CAED24E23}" name="Marca" dataDxfId="785"/>
    <tableColumn id="7" xr3:uid="{7DB6787D-8199-41DF-8CC5-4169834C2E81}" name="Modelo" dataDxfId="784"/>
    <tableColumn id="8" xr3:uid="{6A9B29DF-E825-4565-B05B-B12CEAE0C706}" name="Cod. Antiguo"/>
    <tableColumn id="9" xr3:uid="{BCB32A85-5E8A-4348-A1AD-C7F55B2E781A}" name="Número de Serie"/>
    <tableColumn id="10" xr3:uid="{6DCE42B3-89B4-47D3-8C4E-70FAC01CF00A}" name="Cód. Nuevo Asig" dataDxfId="783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C1857F9A-E0B3-4C56-ACD3-0056EC7AF7B3}" name="Codigo de parte"/>
    <tableColumn id="12" xr3:uid="{49246B51-CD8F-4F50-AFCB-E3BAB0E81572}" name="Ubicación"/>
    <tableColumn id="13" xr3:uid="{F4BBCB51-0E5B-4866-BA6A-8DF612FD4D19}" name="Frecuencia de uso"/>
    <tableColumn id="14" xr3:uid="{32300A07-F7A6-47AB-8054-11EF7A4B09B8}" name="Estado"/>
    <tableColumn id="15" xr3:uid="{8AFEBFC2-D7B5-47D0-9859-DB4C08B1822F}" name="Observaciones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B4E276A9-BB6C-4F62-8C05-2712A986A11E}" name="Tabla3991135178221307" displayName="Tabla3991135178221307" ref="AI29:AI30" totalsRowShown="0">
  <autoFilter ref="AI29:AI30" xr:uid="{1C0F20AA-1469-4335-A289-55F2E420509F}"/>
  <tableColumns count="1">
    <tableColumn id="1" xr3:uid="{161F1A65-4D17-4046-8955-6D73573A3899}" name="Multiplicado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82DBA7D2-D3B9-4077-B976-1467721D9814}" name="Tabla4092136179222308" displayName="Tabla4092136179222308" ref="AF29:AG31" totalsRowShown="0" tableBorderDxfId="782">
  <autoFilter ref="AF29:AG31" xr:uid="{2E7F26C8-B310-438B-BD08-8C0BC82B7627}"/>
  <tableColumns count="2">
    <tableColumn id="1" xr3:uid="{B8A7ECDC-C99B-44D7-B2F9-A59FA5DCE98A}" name="Soldadoras"/>
    <tableColumn id="2" xr3:uid="{8917FD97-E351-4BB7-A20E-AD35A0AF63CD}" name="Martill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0C160707-6E5F-41F0-9E9A-24AC26F7CE44}" name="Tabla4293137180223309" displayName="Tabla4293137180223309" ref="AF58:AF59" totalsRowShown="0">
  <autoFilter ref="AF58:AF59" xr:uid="{BDB2A400-1F11-4F53-807B-27202876BE6C}"/>
  <tableColumns count="1">
    <tableColumn id="1" xr3:uid="{5CD78EEF-6AA7-408E-917B-1D5880048176}" name="Amolador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2AC6B4D8-3294-4C22-8596-513C017FBB67}" name="Tabla4394138181224310" displayName="Tabla4394138181224310" ref="AF62:AF64" totalsRowShown="0" dataDxfId="781" tableBorderDxfId="780">
  <autoFilter ref="AF62:AF64" xr:uid="{931F2BE3-67FF-44D5-B415-148F761F93A6}"/>
  <tableColumns count="1">
    <tableColumn id="1" xr3:uid="{022BC337-83EF-4B4C-83E5-C494616D9067}" name="Iluminación" dataDxfId="779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4AEDBBA4-AD1E-4565-9FC5-29A83A425572}" name="Tabla4495139182225311" displayName="Tabla4495139182225311" ref="AL29:AL30" totalsRowShown="0">
  <autoFilter ref="AL29:AL30" xr:uid="{9781A61A-AC29-41AE-98F6-916225D99E1D}"/>
  <tableColumns count="1">
    <tableColumn id="1" xr3:uid="{3FF5746C-D38B-4900-BEBF-49624CF8D7A3}" name="Tecle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F9CB3B07-5CFA-485F-B597-6F064A109A39}" name="Tabla4596140183226312" displayName="Tabla4596140183226312" ref="AF66:AF68" totalsRowShown="0">
  <autoFilter ref="AF66:AF68" xr:uid="{883961C8-D276-4BAE-B81D-192750F3D2CC}"/>
  <tableColumns count="1">
    <tableColumn id="1" xr3:uid="{6883D3BB-417B-4AD5-B19B-B1429498FFDC}" name="Lubricador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ABDF6DE8-6E0F-4718-8E01-EBAC7B17A4A8}" name="Tabla4697141184227313" displayName="Tabla4697141184227313" ref="AI61:AI62" totalsRowShown="0">
  <autoFilter ref="AI61:AI62" xr:uid="{F9F816C6-2BEF-46FF-915F-BE5B9C6045E2}"/>
  <tableColumns count="1">
    <tableColumn id="1" xr3:uid="{6C8F00D3-8D0C-4CDF-B058-DE7CEE22F9B1}" name="Combo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82A2B497-1A90-4C5E-8A31-46E5D7CA70B7}" name="Tabla4798142185228314" displayName="Tabla4798142185228314" ref="AI64:AI65" totalsRowShown="0">
  <autoFilter ref="AI64:AI65" xr:uid="{D0087047-FAAD-47F1-8107-9751D313CB07}"/>
  <tableColumns count="1">
    <tableColumn id="1" xr3:uid="{72887126-1551-4739-B577-5B2C39BA7AB5}" name="Mesa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D7434E43-2657-423B-9D9C-3644ED41876A}" name="Tabla4899143186229315" displayName="Tabla4899143186229315" ref="AO29:AO31" totalsRowShown="0" tableBorderDxfId="778">
  <autoFilter ref="AO29:AO31" xr:uid="{98D206C1-A450-4754-81B2-030642ED939D}"/>
  <tableColumns count="1">
    <tableColumn id="1" xr3:uid="{3D0B6004-8EDC-4251-BB42-3D2ED27AFA5D}" name="Pinza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0ED1C4D0-F29F-437C-9447-8630A33615A4}" name="Tabla4956100144187230316" displayName="Tabla4956100144187230316" ref="AO1:AO20" totalsRowShown="0" tableBorderDxfId="777">
  <autoFilter ref="AO1:AO20" xr:uid="{682A1042-040F-4BDC-814E-19EDB04144BA}"/>
  <tableColumns count="1">
    <tableColumn id="1" xr3:uid="{AD9C0F7A-AFBA-4FF3-A394-6D9DACBA8621}" name="Accesorio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0ADB5D7A-E157-49DD-AE84-FD76623B0FF6}" name="Tabla758102145188231" displayName="Tabla758102145188231" ref="V1:W12" totalsRowShown="0" dataDxfId="776" tableBorderDxfId="775">
  <autoFilter ref="V1:W12" xr:uid="{9C601E76-6EC7-4996-8C5A-4EC2650D4D49}"/>
  <tableColumns count="2">
    <tableColumn id="1" xr3:uid="{CE34DD8A-2B5B-463A-AA52-EE90E4B8954D}" name="ID" dataDxfId="774"/>
    <tableColumn id="2" xr3:uid="{B3757126-6F35-49C3-9EDA-7F9B13537CA6}" name="Area" dataDxfId="773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1562A2E7-86DF-44B4-A4DF-5D44EB54CB1B}" name="Tabla259103146189232" displayName="Tabla259103146189232" ref="Y1:Z4" totalsRowShown="0" headerRowDxfId="772" headerRowBorderDxfId="771" tableBorderDxfId="770" totalsRowBorderDxfId="769">
  <autoFilter ref="Y1:Z4" xr:uid="{8EA5E146-546E-4301-8341-E9A2182AF11B}"/>
  <tableColumns count="2">
    <tableColumn id="1" xr3:uid="{B1873A51-8336-429B-8A15-B8C83E8FB0CB}" name="ID" dataDxfId="768"/>
    <tableColumn id="2" xr3:uid="{6BFB346C-8A91-4CAB-833E-0FA31CF5EFCC}" name="Estado" dataDxfId="767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D406082A-C5AD-4A21-9376-6401F3DE1333}" name="Tabla360104147190233" displayName="Tabla360104147190233" ref="AB1:AC7" totalsRowShown="0" headerRowDxfId="766" headerRowBorderDxfId="765" tableBorderDxfId="764" totalsRowBorderDxfId="763">
  <autoFilter ref="AB1:AC7" xr:uid="{4313A204-2187-4F5D-B195-E9D8244B0B6A}"/>
  <tableColumns count="2">
    <tableColumn id="1" xr3:uid="{6093A3A0-74D4-4D05-AFF2-543340A7413B}" name="ID" dataDxfId="762"/>
    <tableColumn id="2" xr3:uid="{79CC7775-E013-42D0-A04F-89C0788FBD55}" name="Clasificación" dataDxfId="761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37FCB595-8BAA-4176-A9BB-70C9657DFB51}" name="Tabla461105148191234" displayName="Tabla461105148191234" ref="AB9:AB12" totalsRowShown="0" headerRowDxfId="760" headerRowBorderDxfId="759" tableBorderDxfId="758" totalsRowBorderDxfId="757">
  <autoFilter ref="AB9:AB12" xr:uid="{4FA69CD1-8D3C-4F41-B69E-D64790738288}"/>
  <tableColumns count="1">
    <tableColumn id="1" xr3:uid="{B8B7B181-194A-4681-8516-15B270551D28}" name="Frecuencia de uso" dataDxfId="756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1E8DA373-7134-41B5-B579-6ABEDE948225}" name="Herramientas_eléctricas1862106149192235" displayName="Herramientas_eléctricas1862106149192235" ref="AF1:AF21" totalsRowShown="0" headerRowDxfId="755" headerRowBorderDxfId="754" tableBorderDxfId="753">
  <autoFilter ref="AF1:AF21" xr:uid="{9A901B8B-4001-4C56-97C1-F800FB168E81}"/>
  <tableColumns count="1">
    <tableColumn id="1" xr3:uid="{DCD8E27C-9490-484C-A4FA-ABD726E2D192}" name="Herramientas_eléctrica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A98B2604-84DF-4F34-B8B0-8024B7E2F882}" name="Herramientas_neumáticas1963107150193236" displayName="Herramientas_neumáticas1963107150193236" ref="AG1:AG6" totalsRowShown="0" headerRowDxfId="752" headerRowBorderDxfId="751" tableBorderDxfId="750">
  <autoFilter ref="AG1:AG6" xr:uid="{DDFD7ABB-9233-49B8-8E7D-0C4E4E73668B}"/>
  <tableColumns count="1">
    <tableColumn id="1" xr3:uid="{75F6859A-84FC-4024-8ED2-B8B16F2886A3}" name="Herramientas_neumática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6802F604-B9C8-4665-84F4-C6F905671EF2}" name="Herramientas_de_medición2064108151194237" displayName="Herramientas_de_medición2064108151194237" ref="AH1:AH16" totalsRowShown="0" headerRowDxfId="749" headerRowBorderDxfId="748" tableBorderDxfId="747">
  <autoFilter ref="AH1:AH16" xr:uid="{A1A99238-FF6A-4B46-95FE-F6F59C0A59FF}"/>
  <tableColumns count="1">
    <tableColumn id="1" xr3:uid="{D88DD097-12EC-473E-A552-23FD31FE81F3}" name="Herramientas_de_medición" dataDxfId="746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CB7A978F-2E36-4DD4-AF5B-A7B5BBDD859B}" name="Herrramientas_mecánicas2165109152195238" displayName="Herrramientas_mecánicas2165109152195238" ref="AI1:AI21" totalsRowShown="0" headerRowDxfId="745" headerRowBorderDxfId="744" tableBorderDxfId="743">
  <autoFilter ref="AI1:AI21" xr:uid="{82699701-A4C7-4A41-A40B-8F87727B2FCD}"/>
  <tableColumns count="1">
    <tableColumn id="1" xr3:uid="{D05408F3-C682-4746-B7E4-AFB371FF4096}" name="Herramientas_mecánicas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865219AC-17DC-4613-B876-404272674FC4}" name="Herramientas_hidráulicas2266110153196239" displayName="Herramientas_hidráulicas2266110153196239" ref="AJ1:AJ9" totalsRowShown="0" headerRowDxfId="742" dataDxfId="740" headerRowBorderDxfId="741" tableBorderDxfId="739">
  <autoFilter ref="AJ1:AJ9" xr:uid="{5C7C5014-0DFD-4140-8DC3-6AF6EDF169E4}"/>
  <tableColumns count="1">
    <tableColumn id="1" xr3:uid="{C929FDF7-116E-436E-BCA7-8A7980934FE6}" name="Herramientas_hidráulicas" dataDxfId="738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D5C29A72-AA41-46A2-B6E4-52AD3F997026}" name="EPP_2367111154197240" displayName="EPP_2367111154197240" ref="AK1:AK6" totalsRowShown="0" headerRowDxfId="737" headerRowBorderDxfId="736" tableBorderDxfId="735">
  <autoFilter ref="AK1:AK6" xr:uid="{6ED4F867-D028-4151-85A1-2598FAD98928}"/>
  <tableColumns count="1">
    <tableColumn id="1" xr3:uid="{27F8DBAC-D8C0-4023-AE32-3260FF4832EF}" name="SPCC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5DF52E97-F254-4856-8FAF-A0AFCF1C6328}" name="Herramientas_de_izaje2468112155198241" displayName="Herramientas_de_izaje2468112155198241" ref="AL1:AL6" totalsRowShown="0" headerRowDxfId="734" headerRowBorderDxfId="733" tableBorderDxfId="732">
  <autoFilter ref="AL1:AL6" xr:uid="{0DE75960-5B93-46A7-AAE6-BC581FFF1354}"/>
  <tableColumns count="1">
    <tableColumn id="1" xr3:uid="{3B27BDBD-69E2-4A0F-9DFC-B75B36ECBE3B}" name="Herramientas_de_izaje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4F88FC1B-19E1-4E3A-BA23-7906EF7AE442}" name="Tabla152569113156199242" displayName="Tabla152569113156199242" ref="AM1:AM2" totalsRowShown="0" headerRowDxfId="731" dataDxfId="729" headerRowBorderDxfId="730" tableBorderDxfId="728">
  <autoFilter ref="AM1:AM2" xr:uid="{7CDF3488-ADF8-42BB-8EFE-46E3A509430E}"/>
  <tableColumns count="1">
    <tableColumn id="1" xr3:uid="{2FF954D7-A0A6-4705-9D9F-42122B4F9A46}" name="Otros" dataDxfId="727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3783D76D-9F47-4BCB-9DE7-A5F2676D45DD}" name="Tabla162670114157200243" displayName="Tabla162670114157200243" ref="AN1:AN6" totalsRowShown="0">
  <autoFilter ref="AN1:AN6" xr:uid="{BA84FDFB-CFCF-49B5-A4A0-7E55EE0C8343}"/>
  <tableColumns count="1">
    <tableColumn id="1" xr3:uid="{802BBC54-1E8C-4A05-950A-23FBF9E44C24}" name="Equipos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8895EB74-B791-4B73-AD79-F921E03D29C3}" name="Tabla571115158201244" displayName="Tabla571115158201244" ref="AF33:AG35" totalsRowShown="0" tableBorderDxfId="726">
  <autoFilter ref="AF33:AG35" xr:uid="{CF2FEFF5-0ED4-40EF-A2CA-B8658D653CBB}"/>
  <tableColumns count="2">
    <tableColumn id="1" xr3:uid="{5D373AFE-599C-4171-94DA-E638F5A56BE8}" name="Calentador"/>
    <tableColumn id="2" xr3:uid="{535E42EE-2C19-48CA-A05D-1B017F58F0DD}" name="Bomba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2433AD8-1730-4AF0-8C90-160428150820}" name="Tabla1772116159202245" displayName="Tabla1772116159202245" ref="AF38:AF40" totalsRowShown="0" headerRowDxfId="725" headerRowBorderDxfId="724" tableBorderDxfId="723">
  <autoFilter ref="AF38:AF40" xr:uid="{830EF362-0156-4A25-9CC5-538DDBFCF308}"/>
  <tableColumns count="1">
    <tableColumn id="1" xr3:uid="{1698201C-53CE-45C1-AE54-BE0F6D0840E4}" name="Martillo 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F9A901FE-8FDB-47E5-A534-6D057CE22D94}" name="Tabla1873117160203246" displayName="Tabla1873117160203246" ref="AH29:AH31" totalsRowShown="0" dataDxfId="722">
  <autoFilter ref="AH29:AH31" xr:uid="{D9204BB2-CBF2-43D1-8CAA-9AC826A37056}"/>
  <tableColumns count="1">
    <tableColumn id="1" xr3:uid="{31655FC7-30AF-4415-9191-1D70A6D85F49}" name="Nivel" dataDxfId="721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C3629785-EC5A-47E9-AA42-5B43FFECA5C8}" name="Tabla1974118161204247" displayName="Tabla1974118161204247" ref="AF42:AF45" totalsRowShown="0" headerRowDxfId="720" headerRowBorderDxfId="719" tableBorderDxfId="718" totalsRowBorderDxfId="717">
  <autoFilter ref="AF42:AF45" xr:uid="{751CC4DE-0F10-45F1-BAA4-31688AE830B1}"/>
  <tableColumns count="1">
    <tableColumn id="1" xr3:uid="{21EECDE5-BA5F-47FD-853E-044255682E51}" name="Impactor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5C8A4D35-B0EF-40BE-9D4B-B3769D308762}" name="Tabla2075119162205248" displayName="Tabla2075119162205248" ref="AF47:AF50" totalsRowShown="0">
  <autoFilter ref="AF47:AF50" xr:uid="{A14E2475-26A8-4E9D-8E77-6DD3075B12E9}"/>
  <tableColumns count="1">
    <tableColumn id="1" xr3:uid="{05EBAFC3-C55D-478A-9882-2F24C07AF6C3}" name="Extractor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2FF005AB-FFC3-43BC-89DA-342893A1E08E}" name="Tabla2176120163206249" displayName="Tabla2176120163206249" ref="AF52:AF53" totalsRowShown="0" dataDxfId="716" tableBorderDxfId="715">
  <autoFilter ref="AF52:AF53" xr:uid="{FB135CB6-85B5-46C8-99B8-45176F814696}"/>
  <tableColumns count="1">
    <tableColumn id="1" xr3:uid="{010325A0-4810-4D2C-9D21-C021BDF7C889}" name="Esmeril" dataDxfId="714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066230D9-D7FF-4673-B579-7861A96EDD2C}" name="Tabla2277121164207250" displayName="Tabla2277121164207250" ref="AH56:AH58" totalsRowShown="0">
  <autoFilter ref="AH56:AH58" xr:uid="{3AB821FA-FFC5-4307-AC30-B52EA5139269}"/>
  <tableColumns count="1">
    <tableColumn id="1" xr3:uid="{8B0FC10B-ACED-462B-8751-C571E7A1DB9F}" name="Manometro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FCE30E1D-C4CB-47B2-8641-9349E9A64E1C}" name="Tabla2378122165208251" displayName="Tabla2378122165208251" ref="AH33:AH36" totalsRowShown="0" headerRowDxfId="713" tableBorderDxfId="712">
  <autoFilter ref="AH33:AH36" xr:uid="{16F850A9-F3B2-41CD-A0AE-53D6CE1A75ED}"/>
  <tableColumns count="1">
    <tableColumn id="1" xr3:uid="{A2CE3E6D-0A7C-4E26-AA63-4EFC0E4DA085}" name="Medidor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1B6A180-9877-4DC8-AE32-F48305BD8540}" name="Tabla2479123166209252" displayName="Tabla2479123166209252" ref="AH38:AH39" totalsRowShown="0" dataDxfId="711" tableBorderDxfId="710">
  <autoFilter ref="AH38:AH39" xr:uid="{1889A6F9-230B-4AFF-867D-3DF6472821F5}"/>
  <tableColumns count="1">
    <tableColumn id="1" xr3:uid="{D322A4C4-9DD7-4E40-9673-5E5927A48D65}" name="Camara termografica" dataDxfId="709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56AB242D-622F-4EB7-9A19-965FF8A6826F}" name="Tabla2580124167210253" displayName="Tabla2580124167210253" ref="AI33:AI40" totalsRowShown="0">
  <autoFilter ref="AI33:AI40" xr:uid="{A0DED689-2510-4BE0-B85F-FD1D7D88DFA4}"/>
  <tableColumns count="1">
    <tableColumn id="1" xr3:uid="{0FA09052-6AB2-4281-95F1-BEBB0A333BE0}" name="Llave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B3F24005-AA4C-423C-8D06-E11623FDB993}" name="Tabla2681125168211254" displayName="Tabla2681125168211254" ref="AH41:AH45" totalsRowShown="0" tableBorderDxfId="708">
  <autoFilter ref="AH41:AH45" xr:uid="{8ED6E545-64E7-44D4-B8A8-CB23D42265C0}"/>
  <tableColumns count="1">
    <tableColumn id="1" xr3:uid="{4A022BB7-5039-4618-9AE1-25B130F9AD36}" name="Calibrador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C9EDEECA-D0B6-43E4-ACF5-6E052C157FC6}" name="Tabla2882126169212255" displayName="Tabla2882126169212255" ref="AH48:AH51" totalsRowShown="0">
  <autoFilter ref="AH48:AH51" xr:uid="{9EF16892-84A3-4412-9559-E3ECBCBE8FAD}"/>
  <tableColumns count="1">
    <tableColumn id="1" xr3:uid="{07D24C0F-0D11-452A-9AEB-7D941D9198B1}" name="Micrómetro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B85CBAB1-3A94-49B7-82D3-487FA055D5BE}" name="Tabla2983127170213256" displayName="Tabla2983127170213256" ref="AI67:AI69" totalsRowShown="0" tableBorderDxfId="707">
  <autoFilter ref="AI67:AI69" xr:uid="{2312EFE8-ED6F-40CE-936E-92708A2A3E11}"/>
  <tableColumns count="1">
    <tableColumn id="1" xr3:uid="{4657E793-3C2A-4455-98B0-BB139638372A}" name="Alicates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13D2FBB5-77E1-4B84-936E-8F03E511B15C}" name="Tabla3084128171214257" displayName="Tabla3084128171214257" ref="AI50:AI59" totalsRowShown="0" dataDxfId="706" tableBorderDxfId="705">
  <autoFilter ref="AI50:AI59" xr:uid="{3B268A63-E4A5-4D1B-B445-E13631B6E887}"/>
  <tableColumns count="1">
    <tableColumn id="1" xr3:uid="{587A90B6-6947-482F-9D55-D2CAD1647DAD}" name="Dados" dataDxfId="704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A21A2D09-EAB4-4F9E-A4AF-3D54AAEFB5C1}" name="Tabla3285129172215258" displayName="Tabla3285129172215258" ref="AI43:AI44" totalsRowShown="0" dataDxfId="703" tableBorderDxfId="702">
  <autoFilter ref="AI43:AI44" xr:uid="{005ABD67-F7E0-47FD-8970-322FEA5BBC4C}"/>
  <tableColumns count="1">
    <tableColumn id="1" xr3:uid="{E4DE528B-29AE-4065-BD19-9A0FABFF777D}" name="Tijera" dataDxfId="701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3027E72F-6A75-45B4-A868-B3E1DED52412}" name="Tabla3386130173216259" displayName="Tabla3386130173216259" ref="AH63:AH64" totalsRowShown="0" dataDxfId="700" tableBorderDxfId="699">
  <autoFilter ref="AH63:AH64" xr:uid="{7D457BB0-C389-4126-BC6E-CB6D91AFE2A6}"/>
  <tableColumns count="1">
    <tableColumn id="1" xr3:uid="{607CFF10-2041-431F-88E0-AA1278D2BA1D}" name="Estetoscopio" dataDxfId="698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5CDC1FAA-F016-4134-869D-79F41A2B22A1}" name="Tabla3487131174217260" displayName="Tabla3487131174217260" ref="AI47:AI48" totalsRowShown="0" dataDxfId="697" tableBorderDxfId="696">
  <autoFilter ref="AI47:AI48" xr:uid="{EC300733-E688-43CB-A693-F1E2F80F6495}"/>
  <tableColumns count="1">
    <tableColumn id="1" xr3:uid="{EC938FBA-79AB-41BF-8786-A7435A0AA204}" name="Alargador" dataDxfId="695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93CE1738-F69E-4D23-97C6-62900ED0D33E}" name="Tabla3588132175218261" displayName="Tabla3588132175218261" ref="AH60:AH61" totalsRowShown="0" dataDxfId="694" tableBorderDxfId="693">
  <autoFilter ref="AH60:AH61" xr:uid="{B42C8F8F-E6AD-4FF3-9580-F9F4B996FF6F}"/>
  <tableColumns count="1">
    <tableColumn id="1" xr3:uid="{A6B15C30-0950-4D74-9393-6B6C7E6AF63E}" name="Torquimetro" dataDxfId="692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641E892D-2896-47ED-A189-11F1F64879AB}" name="Tabla3789133176219262" displayName="Tabla3789133176219262" ref="AJ29:AJ30" totalsRowShown="0" headerRowDxfId="691" dataDxfId="689" headerRowBorderDxfId="690" tableBorderDxfId="688" totalsRowBorderDxfId="687">
  <autoFilter ref="AJ29:AJ30" xr:uid="{2886962D-17B4-4D37-AB1E-9FE27B267D99}"/>
  <tableColumns count="1">
    <tableColumn id="1" xr3:uid="{10EFB339-2F33-412C-9EE0-01F8DBB65C67}" name="Llave " dataDxfId="686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CD246C01-D14D-40C4-AD99-F359E7E876F9}" name="Tabla3890134177220263" displayName="Tabla3890134177220263" ref="B1:T611" totalsRowShown="0" headerRowDxfId="685">
  <autoFilter ref="B1:T611" xr:uid="{58127080-A22D-466C-8BA0-CCF2E2227FD2}"/>
  <tableColumns count="19">
    <tableColumn id="1" xr3:uid="{C6C5C672-2D05-466B-9837-F382E608FEC7}" name="Item">
      <calculatedColumnFormula>ROW()-1</calculatedColumnFormula>
    </tableColumn>
    <tableColumn id="2" xr3:uid="{5E590B8F-E9B3-4DDD-AF9F-6081CB46EAF8}" name="Area" dataDxfId="684"/>
    <tableColumn id="3" xr3:uid="{4E76FFB3-D163-44DA-AA5A-AAE8182ECEC0}" name="Cantidad"/>
    <tableColumn id="4" xr3:uid="{63851822-742E-4ACC-947F-3D7EAD71ABE2}" name="Clasificacion" dataDxfId="683"/>
    <tableColumn id="5" xr3:uid="{F6EBE6FF-A2E7-4409-94F8-79AF56DED274}" name="Descripción del equipo"/>
    <tableColumn id="17" xr3:uid="{BAB6D0B7-9319-496F-B83C-EAA53B55B66A}" name="Diametro máximo"/>
    <tableColumn id="27" xr3:uid="{18E9B7EF-57C0-444C-9557-A255FDA4DEB5}" name="voltaje"/>
    <tableColumn id="28" xr3:uid="{A16CC2C0-E064-4402-B3BD-45439F24ED66}" name="AMPERAJE"/>
    <tableColumn id="16" xr3:uid="{0809270C-522C-4A0A-8617-8CFDAF75525E}" name="Potencia"/>
    <tableColumn id="6" xr3:uid="{0740F3D7-B6FD-438E-AB63-6BA6ED736E97}" name="Marca" dataDxfId="682"/>
    <tableColumn id="7" xr3:uid="{9A43D5D8-B4AB-45C7-B246-431E42590169}" name="Modelo" dataDxfId="681"/>
    <tableColumn id="8" xr3:uid="{D359CCAB-6895-42C3-B9A8-3BF01CAA7BC9}" name="Cod. Antiguo"/>
    <tableColumn id="9" xr3:uid="{77841F83-4368-4B88-8042-9D9FDADD9C29}" name="Número de Serie"/>
    <tableColumn id="10" xr3:uid="{A852AAB4-1186-42F6-B57E-0455966AFFD6}" name="Cód. Nuevo Asig" dataDxfId="680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B432BACD-8D56-4A2E-8473-AF2D2D58C1AA}" name="Codigo de parte"/>
    <tableColumn id="12" xr3:uid="{499A31C2-7799-45AD-9F99-D14C4E0D7B29}" name="Ubicación"/>
    <tableColumn id="13" xr3:uid="{7E7E6A7D-83EE-4E3C-974B-96798FCFC35B}" name="Frecuencia de uso"/>
    <tableColumn id="14" xr3:uid="{9C6298F0-A6E7-4A8D-8774-0BC186523DD6}" name="Estado"/>
    <tableColumn id="15" xr3:uid="{BBA8711C-E28E-4414-9859-DC942039218E}" name="Observaciones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4A1BFF1E-9C6F-4E7B-A984-26CCE3329094}" name="Tabla3991135178221264" displayName="Tabla3991135178221264" ref="AI29:AI30" totalsRowShown="0">
  <autoFilter ref="AI29:AI30" xr:uid="{1C0F20AA-1469-4335-A289-55F2E420509F}"/>
  <tableColumns count="1">
    <tableColumn id="1" xr3:uid="{C3BE1B63-2E2C-4148-903A-95600765469F}" name="Multiplicador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286E25CB-BA1C-4B51-B901-44A19F48B02C}" name="Tabla4092136179222265" displayName="Tabla4092136179222265" ref="AF29:AG31" totalsRowShown="0" tableBorderDxfId="679">
  <autoFilter ref="AF29:AG31" xr:uid="{2E7F26C8-B310-438B-BD08-8C0BC82B7627}"/>
  <tableColumns count="2">
    <tableColumn id="1" xr3:uid="{CE4F6DCE-C46B-473D-B278-C9D189CBEE56}" name="Soldadoras"/>
    <tableColumn id="2" xr3:uid="{15A3680F-2A30-44E8-AA12-C8EAD68AF721}" name="Martillo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FD51F308-829B-439D-B720-BC10F730BB25}" name="Tabla4293137180223266" displayName="Tabla4293137180223266" ref="AF58:AF59" totalsRowShown="0">
  <autoFilter ref="AF58:AF59" xr:uid="{BDB2A400-1F11-4F53-807B-27202876BE6C}"/>
  <tableColumns count="1">
    <tableColumn id="1" xr3:uid="{AAA596B5-8696-4819-B083-9F08D84DC71C}" name="Amoladora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91C59D8D-7D15-4AFE-9F79-BB985B866962}" name="Tabla4394138181224267" displayName="Tabla4394138181224267" ref="AF62:AF64" totalsRowShown="0" dataDxfId="678" tableBorderDxfId="677">
  <autoFilter ref="AF62:AF64" xr:uid="{931F2BE3-67FF-44D5-B415-148F761F93A6}"/>
  <tableColumns count="1">
    <tableColumn id="1" xr3:uid="{FC4ECE83-42B4-43F6-BDC1-918E5F0E9394}" name="Iluminación" dataDxfId="676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C7662CEB-EBC6-43F2-B946-694A41058398}" name="Tabla4495139182225268" displayName="Tabla4495139182225268" ref="AL29:AL30" totalsRowShown="0">
  <autoFilter ref="AL29:AL30" xr:uid="{9781A61A-AC29-41AE-98F6-916225D99E1D}"/>
  <tableColumns count="1">
    <tableColumn id="1" xr3:uid="{239F5BDD-7B3C-42E0-A1BC-19069194CCBA}" name="Tecle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A2ED08DA-9C0E-4457-8E84-8440EFDD548C}" name="Tabla4596140183226269" displayName="Tabla4596140183226269" ref="AF66:AF68" totalsRowShown="0">
  <autoFilter ref="AF66:AF68" xr:uid="{883961C8-D276-4BAE-B81D-192750F3D2CC}"/>
  <tableColumns count="1">
    <tableColumn id="1" xr3:uid="{36AD3F0D-F512-42D0-AB5E-A47397BFF380}" name="Lubricador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3DF038B3-2723-412C-B1A4-9F18000B954E}" name="Tabla4697141184227270" displayName="Tabla4697141184227270" ref="AI61:AI62" totalsRowShown="0">
  <autoFilter ref="AI61:AI62" xr:uid="{F9F816C6-2BEF-46FF-915F-BE5B9C6045E2}"/>
  <tableColumns count="1">
    <tableColumn id="1" xr3:uid="{FCDC2760-FE62-455F-BA49-1511F20F0A5B}" name="Combos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775C3690-D3DF-4BA6-A7AD-4E4E6522ABA2}" name="Tabla4798142185228271" displayName="Tabla4798142185228271" ref="AI64:AI65" totalsRowShown="0">
  <autoFilter ref="AI64:AI65" xr:uid="{D0087047-FAAD-47F1-8107-9751D313CB07}"/>
  <tableColumns count="1">
    <tableColumn id="1" xr3:uid="{2ACAACD8-BDEA-44DD-BB42-E9F30A369053}" name="Mesa"/>
  </tableColumns>
  <tableStyleInfo name="TableStyleMedium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688FDF4D-B88B-4D0F-94D3-8D1F3416598C}" name="Tabla4899143186229272" displayName="Tabla4899143186229272" ref="AO29:AO31" totalsRowShown="0" tableBorderDxfId="675">
  <autoFilter ref="AO29:AO31" xr:uid="{98D206C1-A450-4754-81B2-030642ED939D}"/>
  <tableColumns count="1">
    <tableColumn id="1" xr3:uid="{3BFB65E8-E784-4FD9-A3F1-CC4073F8F872}" name="Pinza"/>
  </tableColumns>
  <tableStyleInfo name="TableStyleMedium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6400C8F6-1424-4EF8-BF07-F459E8FAB2E8}" name="Tabla4956100144187230273" displayName="Tabla4956100144187230273" ref="AO1:AO20" totalsRowShown="0" tableBorderDxfId="674">
  <autoFilter ref="AO1:AO20" xr:uid="{682A1042-040F-4BDC-814E-19EDB04144BA}"/>
  <tableColumns count="1">
    <tableColumn id="1" xr3:uid="{182F5A02-F32C-4420-83A2-32BB87A42760}" name="Accesorios"/>
  </tableColumns>
  <tableStyleInfo name="TableStyleMedium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9385F3C0-CDC7-4D4D-917A-D13A688B9493}" name="Tabla758102145188317" displayName="Tabla758102145188317" ref="U1:V12" totalsRowShown="0" dataDxfId="673" tableBorderDxfId="672">
  <autoFilter ref="U1:V12" xr:uid="{9C601E76-6EC7-4996-8C5A-4EC2650D4D49}"/>
  <tableColumns count="2">
    <tableColumn id="1" xr3:uid="{91D279D4-A627-419A-BA57-B12E91991691}" name="ID" dataDxfId="671"/>
    <tableColumn id="2" xr3:uid="{6759DAA8-E9B8-49B9-A1E9-7D6510A05183}" name="Area" dataDxfId="670"/>
  </tableColumns>
  <tableStyleInfo name="TableStyleMedium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99D066A6-FE65-43ED-9990-CE2ECE5D9DEE}" name="Tabla259103146189318" displayName="Tabla259103146189318" ref="X1:Y4" totalsRowShown="0" headerRowDxfId="669" headerRowBorderDxfId="668" tableBorderDxfId="667" totalsRowBorderDxfId="666">
  <autoFilter ref="X1:Y4" xr:uid="{8EA5E146-546E-4301-8341-E9A2182AF11B}"/>
  <tableColumns count="2">
    <tableColumn id="1" xr3:uid="{C3C9D9C4-E2B7-42AC-BDD9-E793492A8434}" name="ID" dataDxfId="665"/>
    <tableColumn id="2" xr3:uid="{0AB5EF41-FB73-454D-8A14-09E2C966BF20}" name="Estado" dataDxfId="664"/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12C6F843-F157-42BE-AC20-5A46F8CE2A3A}" name="Tabla360104147190319" displayName="Tabla360104147190319" ref="AA1:AB7" totalsRowShown="0" headerRowDxfId="663" headerRowBorderDxfId="662" tableBorderDxfId="661" totalsRowBorderDxfId="660">
  <autoFilter ref="AA1:AB7" xr:uid="{4313A204-2187-4F5D-B195-E9D8244B0B6A}"/>
  <tableColumns count="2">
    <tableColumn id="1" xr3:uid="{04685332-A45A-480F-9366-87A2BC025884}" name="ID" dataDxfId="659"/>
    <tableColumn id="2" xr3:uid="{3D385D5E-F5F0-44BB-9704-2C55D52E04DA}" name="Clasificación" dataDxfId="658"/>
  </tableColumns>
  <tableStyleInfo name="TableStyleMedium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FED52538-4EE3-411E-A25B-8EE705C6DE0E}" name="Tabla461105148191320" displayName="Tabla461105148191320" ref="AA9:AA12" totalsRowShown="0" headerRowDxfId="657" headerRowBorderDxfId="656" tableBorderDxfId="655" totalsRowBorderDxfId="654">
  <autoFilter ref="AA9:AA12" xr:uid="{4FA69CD1-8D3C-4F41-B69E-D64790738288}"/>
  <tableColumns count="1">
    <tableColumn id="1" xr3:uid="{A86648F6-6A0F-48F5-846F-12ADF0D5ED4D}" name="Frecuencia de uso" dataDxfId="653"/>
  </tableColumns>
  <tableStyleInfo name="TableStyleMedium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AC555229-B1F5-4D31-B25B-8DBE20FB1112}" name="Herramientas_eléctricas1862106149192321" displayName="Herramientas_eléctricas1862106149192321" ref="AE1:AE21" totalsRowShown="0" headerRowDxfId="652" headerRowBorderDxfId="651" tableBorderDxfId="650">
  <autoFilter ref="AE1:AE21" xr:uid="{9A901B8B-4001-4C56-97C1-F800FB168E81}"/>
  <tableColumns count="1">
    <tableColumn id="1" xr3:uid="{F23C312F-42A1-4D6D-B332-633CBFA48A19}" name="Herramientas_eléctricas"/>
  </tableColumns>
  <tableStyleInfo name="TableStyleMedium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653CD0BA-6DFC-4BE7-91FE-7091E294DC6D}" name="Herramientas_neumáticas1963107150193322" displayName="Herramientas_neumáticas1963107150193322" ref="AF1:AF6" totalsRowShown="0" headerRowDxfId="649" headerRowBorderDxfId="648" tableBorderDxfId="647">
  <autoFilter ref="AF1:AF6" xr:uid="{DDFD7ABB-9233-49B8-8E7D-0C4E4E73668B}"/>
  <tableColumns count="1">
    <tableColumn id="1" xr3:uid="{11F5D621-7EFC-49AE-B741-7EC9B598C5E4}" name="Herramientas_neumáticas"/>
  </tableColumns>
  <tableStyleInfo name="TableStyleMedium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3E97A4B0-4347-47E1-AA27-B172428ACF80}" name="Herramientas_de_medición2064108151194323" displayName="Herramientas_de_medición2064108151194323" ref="AG1:AG16" totalsRowShown="0" headerRowDxfId="646" headerRowBorderDxfId="645" tableBorderDxfId="644">
  <autoFilter ref="AG1:AG16" xr:uid="{A1A99238-FF6A-4B46-95FE-F6F59C0A59FF}"/>
  <tableColumns count="1">
    <tableColumn id="1" xr3:uid="{5AAD3D39-D867-4B22-A3B2-341F59306CBF}" name="Herramientas_de_medición" dataDxfId="643"/>
  </tableColumns>
  <tableStyleInfo name="TableStyleMedium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3BF27C3C-0E7C-401B-923A-D3C5A1753927}" name="Herrramientas_mecánicas2165109152195324" displayName="Herrramientas_mecánicas2165109152195324" ref="AH1:AH21" totalsRowShown="0" headerRowDxfId="642" headerRowBorderDxfId="641" tableBorderDxfId="640">
  <autoFilter ref="AH1:AH21" xr:uid="{82699701-A4C7-4A41-A40B-8F87727B2FCD}"/>
  <tableColumns count="1">
    <tableColumn id="1" xr3:uid="{A3543A37-0254-4AE3-918F-D6C5300A07E3}" name="Herramientas_mecánicas"/>
  </tableColumns>
  <tableStyleInfo name="TableStyleMedium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10FD923F-B88B-4189-83C8-4BB7E2EBABF1}" name="Herramientas_hidráulicas2266110153196325" displayName="Herramientas_hidráulicas2266110153196325" ref="AI1:AI9" totalsRowShown="0" headerRowDxfId="639" dataDxfId="637" headerRowBorderDxfId="638" tableBorderDxfId="636">
  <autoFilter ref="AI1:AI9" xr:uid="{5C7C5014-0DFD-4140-8DC3-6AF6EDF169E4}"/>
  <tableColumns count="1">
    <tableColumn id="1" xr3:uid="{6A401888-D52A-4334-8BE4-A29B887E6D81}" name="Herramientas_hidráulicas" dataDxfId="635"/>
  </tableColumns>
  <tableStyleInfo name="TableStyleMedium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64DECC87-AAC8-4B1A-8BA4-D04A5A719F7F}" name="EPP_2367111154197326" displayName="EPP_2367111154197326" ref="AJ1:AJ6" totalsRowShown="0" headerRowDxfId="634" headerRowBorderDxfId="633" tableBorderDxfId="632">
  <autoFilter ref="AJ1:AJ6" xr:uid="{6ED4F867-D028-4151-85A1-2598FAD98928}"/>
  <tableColumns count="1">
    <tableColumn id="1" xr3:uid="{052E0D63-2EC9-4E4F-AF47-22AE8F8B38D7}" name="SPCC"/>
  </tableColumns>
  <tableStyleInfo name="TableStyleMedium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B7079C30-BA31-4ED9-B2FD-DDD8F0226FA3}" name="Herramientas_de_izaje2468112155198327" displayName="Herramientas_de_izaje2468112155198327" ref="AK1:AK6" totalsRowShown="0" headerRowDxfId="631" headerRowBorderDxfId="630" tableBorderDxfId="629">
  <autoFilter ref="AK1:AK6" xr:uid="{0DE75960-5B93-46A7-AAE6-BC581FFF1354}"/>
  <tableColumns count="1">
    <tableColumn id="1" xr3:uid="{A51F9103-F6B3-4782-BE5C-FF222A487C40}" name="Herramientas_de_izaje"/>
  </tableColumns>
  <tableStyleInfo name="TableStyleMedium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B918A409-E9C2-42AE-B9E5-8118866AF966}" name="Tabla152569113156199328" displayName="Tabla152569113156199328" ref="AL1:AL2" totalsRowShown="0" headerRowDxfId="628" dataDxfId="626" headerRowBorderDxfId="627" tableBorderDxfId="625">
  <autoFilter ref="AL1:AL2" xr:uid="{7CDF3488-ADF8-42BB-8EFE-46E3A509430E}"/>
  <tableColumns count="1">
    <tableColumn id="1" xr3:uid="{0A8F125D-D6F6-40C7-B59B-0A78D491DE57}" name="Otros" dataDxfId="624"/>
  </tableColumns>
  <tableStyleInfo name="TableStyleMedium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9CF8C5E4-570C-4673-8027-54A448ED75CC}" name="Tabla162670114157200329" displayName="Tabla162670114157200329" ref="AM1:AM6" totalsRowShown="0">
  <autoFilter ref="AM1:AM6" xr:uid="{BA84FDFB-CFCF-49B5-A4A0-7E55EE0C8343}"/>
  <tableColumns count="1">
    <tableColumn id="1" xr3:uid="{E271D9D8-B02C-4440-A04D-BC4674B3EDCD}" name="Equipos"/>
  </tableColumns>
  <tableStyleInfo name="TableStyleMedium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3E007313-30AD-4E37-B79A-66FB0FA6494E}" name="Tabla571115158201330" displayName="Tabla571115158201330" ref="AE33:AF35" totalsRowShown="0" tableBorderDxfId="623">
  <autoFilter ref="AE33:AF35" xr:uid="{CF2FEFF5-0ED4-40EF-A2CA-B8658D653CBB}"/>
  <tableColumns count="2">
    <tableColumn id="1" xr3:uid="{7E6E792C-E6BD-44FA-844F-924D7B0336BF}" name="Calentador"/>
    <tableColumn id="2" xr3:uid="{D8A03681-78DF-4D44-B68E-5C3F700AE619}" name="Bomba"/>
  </tableColumns>
  <tableStyleInfo name="TableStyleMedium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97255148-E72A-4BA7-B730-12DDBC380652}" name="Tabla1772116159202331" displayName="Tabla1772116159202331" ref="AE38:AE40" totalsRowShown="0" headerRowDxfId="622" headerRowBorderDxfId="621" tableBorderDxfId="620">
  <autoFilter ref="AE38:AE40" xr:uid="{830EF362-0156-4A25-9CC5-538DDBFCF308}"/>
  <tableColumns count="1">
    <tableColumn id="1" xr3:uid="{97C348F1-9DE6-4FB7-AE74-6BA258744287}" name="Martillo "/>
  </tableColumns>
  <tableStyleInfo name="TableStyleMedium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1" xr:uid="{9CEF6E34-5DE0-499C-A084-7DCF4CDBD076}" name="Tabla1873117160203332" displayName="Tabla1873117160203332" ref="AG29:AG31" totalsRowShown="0" dataDxfId="619">
  <autoFilter ref="AG29:AG31" xr:uid="{D9204BB2-CBF2-43D1-8CAA-9AC826A37056}"/>
  <tableColumns count="1">
    <tableColumn id="1" xr3:uid="{BEF80D04-269A-44E2-BA1D-A99804892E06}" name="Nivel" dataDxfId="618"/>
  </tableColumns>
  <tableStyleInfo name="TableStyleMedium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2" xr:uid="{CE21A2AD-16C8-478F-9998-BB122AC49458}" name="Tabla1974118161204333" displayName="Tabla1974118161204333" ref="AE42:AE45" totalsRowShown="0" headerRowDxfId="617" headerRowBorderDxfId="616" tableBorderDxfId="615" totalsRowBorderDxfId="614">
  <autoFilter ref="AE42:AE45" xr:uid="{751CC4DE-0F10-45F1-BAA4-31688AE830B1}"/>
  <tableColumns count="1">
    <tableColumn id="1" xr3:uid="{E64AC16B-2D5D-4EDE-88D4-495B7F257652}" name="Impactor"/>
  </tableColumns>
  <tableStyleInfo name="TableStyleMedium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3" xr:uid="{3D564C88-2EFD-4852-97F3-B7630A09BFD6}" name="Tabla2075119162205334" displayName="Tabla2075119162205334" ref="AE47:AE50" totalsRowShown="0">
  <autoFilter ref="AE47:AE50" xr:uid="{A14E2475-26A8-4E9D-8E77-6DD3075B12E9}"/>
  <tableColumns count="1">
    <tableColumn id="1" xr3:uid="{3C1FAE5A-1D75-446D-9E12-B3978FF31A50}" name="Extractor"/>
  </tableColumns>
  <tableStyleInfo name="TableStyleMedium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4" xr:uid="{153201D8-F2C1-471F-B22E-CC6AC99A17DB}" name="Tabla2176120163206335" displayName="Tabla2176120163206335" ref="AE52:AE53" totalsRowShown="0" dataDxfId="613" tableBorderDxfId="612">
  <autoFilter ref="AE52:AE53" xr:uid="{FB135CB6-85B5-46C8-99B8-45176F814696}"/>
  <tableColumns count="1">
    <tableColumn id="1" xr3:uid="{D0B01298-8368-4C67-AE43-E5B16A3DBF25}" name="Esmeril" dataDxfId="611"/>
  </tableColumns>
  <tableStyleInfo name="TableStyleMedium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5" xr:uid="{F048E6FC-646F-49F8-A608-E39437E95770}" name="Tabla2277121164207336" displayName="Tabla2277121164207336" ref="AG56:AG58" totalsRowShown="0">
  <autoFilter ref="AG56:AG58" xr:uid="{3AB821FA-FFC5-4307-AC30-B52EA5139269}"/>
  <tableColumns count="1">
    <tableColumn id="1" xr3:uid="{DBE1D101-A312-4186-9720-1D0096C61DA5}" name="Manometro"/>
  </tableColumns>
  <tableStyleInfo name="TableStyleMedium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6" xr:uid="{6C4ADE7F-0E19-43F2-A4E9-932CF2409AB6}" name="Tabla2378122165208337" displayName="Tabla2378122165208337" ref="AG33:AG36" totalsRowShown="0" headerRowDxfId="610" tableBorderDxfId="609">
  <autoFilter ref="AG33:AG36" xr:uid="{16F850A9-F3B2-41CD-A0AE-53D6CE1A75ED}"/>
  <tableColumns count="1">
    <tableColumn id="1" xr3:uid="{2D3AA306-A798-48D1-9F7F-728AEBD538A0}" name="Medidor"/>
  </tableColumns>
  <tableStyleInfo name="TableStyleMedium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7" xr:uid="{23C9AD61-7077-4B92-B687-011B1AFFC7E0}" name="Tabla2479123166209338" displayName="Tabla2479123166209338" ref="AG38:AG39" totalsRowShown="0" dataDxfId="608" tableBorderDxfId="607">
  <autoFilter ref="AG38:AG39" xr:uid="{1889A6F9-230B-4AFF-867D-3DF6472821F5}"/>
  <tableColumns count="1">
    <tableColumn id="1" xr3:uid="{66E7F27D-A681-4B11-A74A-3F85A4784CE0}" name="Camara termografica" dataDxfId="606"/>
  </tableColumns>
  <tableStyleInfo name="TableStyleMedium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8" xr:uid="{DD30B449-D19D-42B7-92B8-80BF1CEE4356}" name="Tabla2580124167210339" displayName="Tabla2580124167210339" ref="AH33:AH40" totalsRowShown="0">
  <autoFilter ref="AH33:AH40" xr:uid="{A0DED689-2510-4BE0-B85F-FD1D7D88DFA4}"/>
  <tableColumns count="1">
    <tableColumn id="1" xr3:uid="{CAEC66C0-F439-455A-8E1B-BB13B7DCF69A}" name="Llaves"/>
  </tableColumns>
  <tableStyleInfo name="TableStyleMedium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9" xr:uid="{3A6B5411-65C0-42CC-B243-E16CC8C52830}" name="Tabla2681125168211340" displayName="Tabla2681125168211340" ref="AG41:AG45" totalsRowShown="0" tableBorderDxfId="605">
  <autoFilter ref="AG41:AG45" xr:uid="{8ED6E545-64E7-44D4-B8A8-CB23D42265C0}"/>
  <tableColumns count="1">
    <tableColumn id="1" xr3:uid="{B17D2470-494B-41BC-8D4C-2ECB613C46A8}" name="Calibrador"/>
  </tableColumns>
  <tableStyleInfo name="TableStyleMedium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0" xr:uid="{3E90F2E4-A28B-40B7-9386-DC2E88DB9EB7}" name="Tabla2882126169212341" displayName="Tabla2882126169212341" ref="AG48:AG51" totalsRowShown="0">
  <autoFilter ref="AG48:AG51" xr:uid="{9EF16892-84A3-4412-9559-E3ECBCBE8FAD}"/>
  <tableColumns count="1">
    <tableColumn id="1" xr3:uid="{8B46497B-FAA7-4FC0-84D4-F9966A590EB2}" name="Micrómetro"/>
  </tableColumns>
  <tableStyleInfo name="TableStyleMedium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1" xr:uid="{B25B7C10-CE8E-4DCD-934F-99284EF4B885}" name="Tabla2983127170213342" displayName="Tabla2983127170213342" ref="AH67:AH69" totalsRowShown="0" tableBorderDxfId="604">
  <autoFilter ref="AH67:AH69" xr:uid="{2312EFE8-ED6F-40CE-936E-92708A2A3E11}"/>
  <tableColumns count="1">
    <tableColumn id="1" xr3:uid="{3483BCED-45C3-4632-A4FA-7FDFE5B9DB05}" name="Alicates"/>
  </tableColumns>
  <tableStyleInfo name="TableStyleMedium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2" xr:uid="{1F4F8865-748A-45C9-AF5F-FA362CA4A631}" name="Tabla3084128171214343" displayName="Tabla3084128171214343" ref="AH50:AH59" totalsRowShown="0" dataDxfId="603" tableBorderDxfId="602">
  <autoFilter ref="AH50:AH59" xr:uid="{3B268A63-E4A5-4D1B-B445-E13631B6E887}"/>
  <tableColumns count="1">
    <tableColumn id="1" xr3:uid="{EB3FB134-B7AB-4B23-B5F7-FBF1C21F7C93}" name="Dados" dataDxfId="601"/>
  </tableColumns>
  <tableStyleInfo name="TableStyleMedium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3" xr:uid="{AAD02867-9577-4996-B2C3-CB20CD6C505E}" name="Tabla3285129172215344" displayName="Tabla3285129172215344" ref="AH43:AH44" totalsRowShown="0" dataDxfId="600" tableBorderDxfId="599">
  <autoFilter ref="AH43:AH44" xr:uid="{005ABD67-F7E0-47FD-8970-322FEA5BBC4C}"/>
  <tableColumns count="1">
    <tableColumn id="1" xr3:uid="{7D06C890-8657-45EB-8CED-9417EFBACED1}" name="Tijera" dataDxfId="598"/>
  </tableColumns>
  <tableStyleInfo name="TableStyleMedium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4" xr:uid="{3B9A467F-4BA7-4C5B-9D32-3512892B4EE2}" name="Tabla3386130173216345" displayName="Tabla3386130173216345" ref="AG63:AG64" totalsRowShown="0" dataDxfId="597" tableBorderDxfId="596">
  <autoFilter ref="AG63:AG64" xr:uid="{7D457BB0-C389-4126-BC6E-CB6D91AFE2A6}"/>
  <tableColumns count="1">
    <tableColumn id="1" xr3:uid="{DE715DB7-C485-4B17-A1F1-754E2FC96895}" name="Estetoscopio" dataDxfId="595"/>
  </tableColumns>
  <tableStyleInfo name="TableStyleMedium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5" xr:uid="{F7EB98A6-57B3-4C96-8C87-040164E2CC6D}" name="Tabla3487131174217346" displayName="Tabla3487131174217346" ref="AH47:AH48" totalsRowShown="0" dataDxfId="594" tableBorderDxfId="593">
  <autoFilter ref="AH47:AH48" xr:uid="{EC300733-E688-43CB-A693-F1E2F80F6495}"/>
  <tableColumns count="1">
    <tableColumn id="1" xr3:uid="{83780C20-6205-44AA-9CC1-E88C547A0B0A}" name="Alargador" dataDxfId="592"/>
  </tableColumns>
  <tableStyleInfo name="TableStyleMedium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6" xr:uid="{C19CDE28-09AB-4289-8200-47642BFED1EF}" name="Tabla3588132175218347" displayName="Tabla3588132175218347" ref="AG60:AG61" totalsRowShown="0" dataDxfId="591" tableBorderDxfId="590">
  <autoFilter ref="AG60:AG61" xr:uid="{B42C8F8F-E6AD-4FF3-9580-F9F4B996FF6F}"/>
  <tableColumns count="1">
    <tableColumn id="1" xr3:uid="{9F884B2D-61D8-475D-8864-C41696B80B47}" name="Torquimetro" dataDxfId="589"/>
  </tableColumns>
  <tableStyleInfo name="TableStyleMedium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7" xr:uid="{DA1ECCA1-07E9-40DD-95AE-B84189A1C2BE}" name="Tabla3789133176219348" displayName="Tabla3789133176219348" ref="AI29:AI30" totalsRowShown="0" headerRowDxfId="588" dataDxfId="586" headerRowBorderDxfId="587" tableBorderDxfId="585" totalsRowBorderDxfId="584">
  <autoFilter ref="AI29:AI30" xr:uid="{2886962D-17B4-4D37-AB1E-9FE27B267D99}"/>
  <tableColumns count="1">
    <tableColumn id="1" xr3:uid="{0EDB1726-05A7-46EA-9F04-AD7ECD1DFF5A}" name="Llave " dataDxfId="583"/>
  </tableColumns>
  <tableStyleInfo name="TableStyleMedium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8" xr:uid="{85A9C693-7D16-42C3-99C3-56FCD5CBAD02}" name="Tabla3890134177220349" displayName="Tabla3890134177220349" ref="B1:S611" totalsRowShown="0" headerRowDxfId="582">
  <autoFilter ref="B1:S611" xr:uid="{58127080-A22D-466C-8BA0-CCF2E2227FD2}"/>
  <tableColumns count="18">
    <tableColumn id="1" xr3:uid="{770660E3-FFDC-48DF-B494-5CBB8885DEBC}" name="Item">
      <calculatedColumnFormula>ROW()-1</calculatedColumnFormula>
    </tableColumn>
    <tableColumn id="2" xr3:uid="{63AD9B6B-37D0-43C9-B1D7-627C27034A83}" name="Area" dataDxfId="581"/>
    <tableColumn id="3" xr3:uid="{BAE0B56C-4949-4161-8D50-D0588CB8020A}" name="Cantidad"/>
    <tableColumn id="4" xr3:uid="{510D9FC7-990A-4BC9-8E7D-6F4FE34AE79E}" name="Clasificacion" dataDxfId="580"/>
    <tableColumn id="5" xr3:uid="{6409062C-0E1B-4B7C-A78A-AF0ACCD8B8B3}" name="Descripción del equipo"/>
    <tableColumn id="16" xr3:uid="{5BF3DD61-D2B5-41D4-8D4A-8269AB9E618A}" name="Potencia"/>
    <tableColumn id="17" xr3:uid="{BB52D618-4D54-47CF-B4DB-23948ED48CEB}" name="Voltaje"/>
    <tableColumn id="18" xr3:uid="{44FFBEF4-25A7-4CB4-9EA9-976C9F5F0AD3}" name="amperaje"/>
    <tableColumn id="6" xr3:uid="{9034CF9D-99F8-4B08-8C33-A072DD0A4679}" name="Marca" dataDxfId="579"/>
    <tableColumn id="7" xr3:uid="{5189E392-BA7C-4834-9718-0F69AAE253AA}" name="Modelo" dataDxfId="578"/>
    <tableColumn id="8" xr3:uid="{D5797842-5350-45BD-8415-54953EEDDCE2}" name="Cod. Antiguo"/>
    <tableColumn id="9" xr3:uid="{B8B7B89D-7CBE-4F6A-8AB8-BACA3CF077E8}" name="Número de Serie"/>
    <tableColumn id="10" xr3:uid="{B496F62C-8F8E-4A02-9D70-143D51B9EB28}" name="Cód. Nuevo Asig" dataDxfId="577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88F543C3-A730-4CFE-9032-DE4625846879}" name="Codigo de parte"/>
    <tableColumn id="12" xr3:uid="{7EEA1DF9-05FD-461A-84C5-9FC2EE4B9241}" name="Ubicación"/>
    <tableColumn id="13" xr3:uid="{DFC4C049-9A0E-4F3E-B44C-DF6B2C5200AD}" name="Frecuencia de uso"/>
    <tableColumn id="14" xr3:uid="{27D9BB17-4456-4754-8ADA-FA0293F32A6E}" name="Estado"/>
    <tableColumn id="15" xr3:uid="{D43C67EE-B3A3-4C3D-8E61-A314E1A524F5}" name="Observaciones"/>
  </tableColumns>
  <tableStyleInfo name="TableStyleMedium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9" xr:uid="{A73EC931-B8E5-4CE0-AC1A-A49FBC0AFF95}" name="Tabla3991135178221350" displayName="Tabla3991135178221350" ref="AH29:AH30" totalsRowShown="0">
  <autoFilter ref="AH29:AH30" xr:uid="{1C0F20AA-1469-4335-A289-55F2E420509F}"/>
  <tableColumns count="1">
    <tableColumn id="1" xr3:uid="{BFA9EBE6-DBE4-460A-9C22-6D0C1DBDD10E}" name="Multiplicador"/>
  </tableColumns>
  <tableStyleInfo name="TableStyleMedium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0" xr:uid="{78312721-D7E5-46B9-A8AE-9746F19FFA0A}" name="Tabla4092136179222351" displayName="Tabla4092136179222351" ref="AE29:AF31" totalsRowShown="0" tableBorderDxfId="576">
  <autoFilter ref="AE29:AF31" xr:uid="{2E7F26C8-B310-438B-BD08-8C0BC82B7627}"/>
  <tableColumns count="2">
    <tableColumn id="1" xr3:uid="{698964FA-A346-4DA6-9386-13D5AB18334A}" name="Soldadoras"/>
    <tableColumn id="2" xr3:uid="{B908FB37-08CD-4316-954E-61ECF8A0CD64}" name="Martillo"/>
  </tableColumns>
  <tableStyleInfo name="TableStyleMedium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1" xr:uid="{FE3AFEF6-EF0A-4196-B437-AFF7E0215DE2}" name="Tabla4293137180223352" displayName="Tabla4293137180223352" ref="AE58:AE59" totalsRowShown="0">
  <autoFilter ref="AE58:AE59" xr:uid="{BDB2A400-1F11-4F53-807B-27202876BE6C}"/>
  <tableColumns count="1">
    <tableColumn id="1" xr3:uid="{0546AB18-C7E1-4B81-80E7-B19B292A0C52}" name="Amoladora"/>
  </tableColumns>
  <tableStyleInfo name="TableStyleMedium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2" xr:uid="{3C183BAE-281F-4900-BF44-A276ECEFC575}" name="Tabla4394138181224353" displayName="Tabla4394138181224353" ref="AE62:AE64" totalsRowShown="0" dataDxfId="575" tableBorderDxfId="574">
  <autoFilter ref="AE62:AE64" xr:uid="{931F2BE3-67FF-44D5-B415-148F761F93A6}"/>
  <tableColumns count="1">
    <tableColumn id="1" xr3:uid="{97BF94D5-C30B-489A-AF4C-64AAA4136833}" name="Iluminación" dataDxfId="573"/>
  </tableColumns>
  <tableStyleInfo name="TableStyleMedium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3" xr:uid="{B5418C94-A7BA-4E14-AFAC-1D3BD477229E}" name="Tabla4495139182225354" displayName="Tabla4495139182225354" ref="AK29:AK30" totalsRowShown="0">
  <autoFilter ref="AK29:AK30" xr:uid="{9781A61A-AC29-41AE-98F6-916225D99E1D}"/>
  <tableColumns count="1">
    <tableColumn id="1" xr3:uid="{8291D661-3D75-405C-98DF-A734EDA91FE0}" name="Tecle"/>
  </tableColumns>
  <tableStyleInfo name="TableStyleMedium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4" xr:uid="{30AB84C0-EB53-435F-A443-B582C5507277}" name="Tabla4596140183226355" displayName="Tabla4596140183226355" ref="AE66:AE68" totalsRowShown="0">
  <autoFilter ref="AE66:AE68" xr:uid="{883961C8-D276-4BAE-B81D-192750F3D2CC}"/>
  <tableColumns count="1">
    <tableColumn id="1" xr3:uid="{5085C82C-EAF6-4EB0-BD40-2F9A54AE3737}" name="Lubricador"/>
  </tableColumns>
  <tableStyleInfo name="TableStyleMedium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5" xr:uid="{0258FCB8-BFD6-4011-8362-EE8D5F33547C}" name="Tabla4697141184227356" displayName="Tabla4697141184227356" ref="AH61:AH62" totalsRowShown="0">
  <autoFilter ref="AH61:AH62" xr:uid="{F9F816C6-2BEF-46FF-915F-BE5B9C6045E2}"/>
  <tableColumns count="1">
    <tableColumn id="1" xr3:uid="{580027D8-B1EA-421E-8A71-4555F6E59EFC}" name="Combos"/>
  </tableColumns>
  <tableStyleInfo name="TableStyleMedium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6" xr:uid="{6785A69A-2ECA-4E91-9C90-00573D50DFE9}" name="Tabla4798142185228357" displayName="Tabla4798142185228357" ref="AH64:AH65" totalsRowShown="0">
  <autoFilter ref="AH64:AH65" xr:uid="{D0087047-FAAD-47F1-8107-9751D313CB07}"/>
  <tableColumns count="1">
    <tableColumn id="1" xr3:uid="{FEC5F89E-8927-4ADE-A848-4AECE28657DF}" name="Mesa"/>
  </tableColumns>
  <tableStyleInfo name="TableStyleMedium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7" xr:uid="{10A70F38-4E62-45D3-85B8-A19091C121FF}" name="Tabla4899143186229358" displayName="Tabla4899143186229358" ref="AN29:AN31" totalsRowShown="0" tableBorderDxfId="572">
  <autoFilter ref="AN29:AN31" xr:uid="{98D206C1-A450-4754-81B2-030642ED939D}"/>
  <tableColumns count="1">
    <tableColumn id="1" xr3:uid="{5C6CDA17-2102-482A-AAF1-77AF7CD2CC75}" name="Pinza"/>
  </tableColumns>
  <tableStyleInfo name="TableStyleMedium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8" xr:uid="{0E4CC610-9361-4736-AC06-605CD14C5C5D}" name="Tabla4956100144187230359" displayName="Tabla4956100144187230359" ref="AN1:AN20" totalsRowShown="0" tableBorderDxfId="571">
  <autoFilter ref="AN1:AN20" xr:uid="{682A1042-040F-4BDC-814E-19EDB04144BA}"/>
  <tableColumns count="1">
    <tableColumn id="1" xr3:uid="{A7AD5119-646D-4F35-AE56-603C3BFA7CE1}" name="Accesorios"/>
  </tableColumns>
  <tableStyleInfo name="TableStyleMedium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92D7C5A6-F2D5-4BF7-9174-590C9840669F}" name="Tabla758102145188" displayName="Tabla758102145188" ref="R1:S12" totalsRowShown="0" dataDxfId="570" tableBorderDxfId="569">
  <autoFilter ref="R1:S12" xr:uid="{9C601E76-6EC7-4996-8C5A-4EC2650D4D49}"/>
  <tableColumns count="2">
    <tableColumn id="1" xr3:uid="{C35A5FDF-4299-4862-BDE7-00A98AC1651F}" name="ID" dataDxfId="568"/>
    <tableColumn id="2" xr3:uid="{825D8C2B-982C-4D29-B176-6A8F5221EE12}" name="Area" dataDxfId="567"/>
  </tableColumns>
  <tableStyleInfo name="TableStyleMedium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10ECA7C-BB80-4AEB-A6D6-FBD3C2138ED8}" name="Tabla259103146189" displayName="Tabla259103146189" ref="U1:V4" totalsRowShown="0" headerRowDxfId="566" headerRowBorderDxfId="565" tableBorderDxfId="564" totalsRowBorderDxfId="563">
  <autoFilter ref="U1:V4" xr:uid="{8EA5E146-546E-4301-8341-E9A2182AF11B}"/>
  <tableColumns count="2">
    <tableColumn id="1" xr3:uid="{DF65FC86-5833-493E-B129-E550655F9D3E}" name="ID" dataDxfId="562"/>
    <tableColumn id="2" xr3:uid="{A03C014B-4394-484C-974E-3BAF0C1927AE}" name="Estado" dataDxfId="561"/>
  </tableColumns>
  <tableStyleInfo name="TableStyleMedium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3A6765C-E84A-4B83-AB75-C4C68A0C36EB}" name="Tabla360104147190" displayName="Tabla360104147190" ref="X1:Y7" totalsRowShown="0" headerRowDxfId="560" headerRowBorderDxfId="559" tableBorderDxfId="558" totalsRowBorderDxfId="557">
  <autoFilter ref="X1:Y7" xr:uid="{4313A204-2187-4F5D-B195-E9D8244B0B6A}"/>
  <tableColumns count="2">
    <tableColumn id="1" xr3:uid="{A9BC99CD-0948-4231-8F7C-FFF3A06C1851}" name="ID" dataDxfId="556"/>
    <tableColumn id="2" xr3:uid="{89C438B4-2354-4710-853F-8E3670A0A3F8}" name="Clasificación" dataDxfId="555"/>
  </tableColumns>
  <tableStyleInfo name="TableStyleMedium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8C0043BD-C613-4871-A054-EC08B4D7EC5F}" name="Tabla461105148191" displayName="Tabla461105148191" ref="X9:X12" totalsRowShown="0" headerRowDxfId="554" headerRowBorderDxfId="553" tableBorderDxfId="552" totalsRowBorderDxfId="551">
  <autoFilter ref="X9:X12" xr:uid="{4FA69CD1-8D3C-4F41-B69E-D64790738288}"/>
  <tableColumns count="1">
    <tableColumn id="1" xr3:uid="{D13D17B3-EA36-4C56-8ACF-1D8D66FF87C6}" name="Frecuencia de uso" dataDxfId="550"/>
  </tableColumns>
  <tableStyleInfo name="TableStyleMedium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7AE36720-4D20-4D75-8997-DC239F91CB39}" name="Herramientas_eléctricas1862106149192" displayName="Herramientas_eléctricas1862106149192" ref="AB1:AB21" totalsRowShown="0" headerRowDxfId="549" headerRowBorderDxfId="548" tableBorderDxfId="547">
  <autoFilter ref="AB1:AB21" xr:uid="{9A901B8B-4001-4C56-97C1-F800FB168E81}"/>
  <tableColumns count="1">
    <tableColumn id="1" xr3:uid="{D2E21A61-8632-439A-AD07-35106CC7CA9E}" name="Herramientas_eléctricas"/>
  </tableColumns>
  <tableStyleInfo name="TableStyleMedium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5324EC9-8AFF-4D97-9568-124F2910DABD}" name="Herramientas_neumáticas1963107150193" displayName="Herramientas_neumáticas1963107150193" ref="AC1:AC6" totalsRowShown="0" headerRowDxfId="546" headerRowBorderDxfId="545" tableBorderDxfId="544">
  <autoFilter ref="AC1:AC6" xr:uid="{DDFD7ABB-9233-49B8-8E7D-0C4E4E73668B}"/>
  <tableColumns count="1">
    <tableColumn id="1" xr3:uid="{5D121130-9F9D-449B-93B3-9B8010470D1B}" name="Herramientas_neumáticas"/>
  </tableColumns>
  <tableStyleInfo name="TableStyleMedium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85217E3E-0AE3-4FBC-B352-46B030DDF483}" name="Herramientas_de_medición2064108151194" displayName="Herramientas_de_medición2064108151194" ref="AD1:AD16" totalsRowShown="0" headerRowDxfId="543" headerRowBorderDxfId="542" tableBorderDxfId="541">
  <autoFilter ref="AD1:AD16" xr:uid="{A1A99238-FF6A-4B46-95FE-F6F59C0A59FF}"/>
  <tableColumns count="1">
    <tableColumn id="1" xr3:uid="{3D1D1920-FC90-49DD-818C-23EDB0EF0C69}" name="Herramientas_de_medición" dataDxfId="540"/>
  </tableColumns>
  <tableStyleInfo name="TableStyleMedium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37AE2386-44E6-4E91-AB6F-68C530E09820}" name="Herrramientas_mecánicas2165109152195" displayName="Herrramientas_mecánicas2165109152195" ref="AE1:AE21" totalsRowShown="0" headerRowDxfId="539" headerRowBorderDxfId="538" tableBorderDxfId="537">
  <autoFilter ref="AE1:AE21" xr:uid="{82699701-A4C7-4A41-A40B-8F87727B2FCD}"/>
  <tableColumns count="1">
    <tableColumn id="1" xr3:uid="{B1633D36-33EF-4823-A189-7CDF002FCF70}" name="Herramientas_mecánicas"/>
  </tableColumns>
  <tableStyleInfo name="TableStyleMedium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A67C2161-E3D5-459C-99AA-107CDA95A27C}" name="Herramientas_hidráulicas2266110153196" displayName="Herramientas_hidráulicas2266110153196" ref="AF1:AF9" totalsRowShown="0" headerRowDxfId="536" dataDxfId="534" headerRowBorderDxfId="535" tableBorderDxfId="533">
  <autoFilter ref="AF1:AF9" xr:uid="{5C7C5014-0DFD-4140-8DC3-6AF6EDF169E4}"/>
  <tableColumns count="1">
    <tableColumn id="1" xr3:uid="{A5316E18-8141-4509-A2A1-1615B742744E}" name="Herramientas_hidráulicas" dataDxfId="532"/>
  </tableColumns>
  <tableStyleInfo name="TableStyleMedium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1587FF14-39E1-4B88-AFF6-31E06AD7D66E}" name="EPP_2367111154197" displayName="EPP_2367111154197" ref="AG1:AG6" totalsRowShown="0" headerRowDxfId="531" headerRowBorderDxfId="530" tableBorderDxfId="529">
  <autoFilter ref="AG1:AG6" xr:uid="{6ED4F867-D028-4151-85A1-2598FAD98928}"/>
  <tableColumns count="1">
    <tableColumn id="1" xr3:uid="{731E96FF-AF59-4D22-9D27-01D24ECC7365}" name="SPCC"/>
  </tableColumns>
  <tableStyleInfo name="TableStyleMedium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F07EC0D6-5C4C-4C75-8EA2-4C2254393277}" name="Herramientas_de_izaje2468112155198" displayName="Herramientas_de_izaje2468112155198" ref="AH1:AH6" totalsRowShown="0" headerRowDxfId="528" headerRowBorderDxfId="527" tableBorderDxfId="526">
  <autoFilter ref="AH1:AH6" xr:uid="{0DE75960-5B93-46A7-AAE6-BC581FFF1354}"/>
  <tableColumns count="1">
    <tableColumn id="1" xr3:uid="{337AD63D-9472-4E4D-9D9B-3FAABABB9922}" name="Herramientas_de_izaje"/>
  </tableColumns>
  <tableStyleInfo name="TableStyleMedium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9504BF53-7B15-49BF-83A9-33537C74BEB5}" name="Tabla152569113156199" displayName="Tabla152569113156199" ref="AI1:AI2" totalsRowShown="0" headerRowDxfId="525" dataDxfId="523" headerRowBorderDxfId="524" tableBorderDxfId="522">
  <autoFilter ref="AI1:AI2" xr:uid="{7CDF3488-ADF8-42BB-8EFE-46E3A509430E}"/>
  <tableColumns count="1">
    <tableColumn id="1" xr3:uid="{6FB6006D-7E85-414F-BD2D-184A2F14A077}" name="Otros" dataDxfId="521"/>
  </tableColumns>
  <tableStyleInfo name="TableStyleMedium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7B0F322B-E49B-4649-9150-2B166752ED99}" name="Tabla162670114157200" displayName="Tabla162670114157200" ref="AJ1:AJ6" totalsRowShown="0">
  <autoFilter ref="AJ1:AJ6" xr:uid="{BA84FDFB-CFCF-49B5-A4A0-7E55EE0C8343}"/>
  <tableColumns count="1">
    <tableColumn id="1" xr3:uid="{261F98FC-DDBA-44EE-B02B-DA740F4F88CB}" name="Equipos"/>
  </tableColumns>
  <tableStyleInfo name="TableStyleMedium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3A2C68D5-1D96-47D2-BC09-942F851A110E}" name="Tabla571115158201" displayName="Tabla571115158201" ref="AB33:AC35" totalsRowShown="0" tableBorderDxfId="520">
  <autoFilter ref="AB33:AC35" xr:uid="{CF2FEFF5-0ED4-40EF-A2CA-B8658D653CBB}"/>
  <tableColumns count="2">
    <tableColumn id="1" xr3:uid="{1D9E92AD-9370-42F9-8915-AA93E658A9B0}" name="Calentador"/>
    <tableColumn id="2" xr3:uid="{7849B8E8-A462-48CF-8995-A6D688BD8DEA}" name="Bomba"/>
  </tableColumns>
  <tableStyleInfo name="TableStyleMedium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71BA5E3E-0BE0-45B5-BF72-99EA4AED1112}" name="Tabla1772116159202" displayName="Tabla1772116159202" ref="AB38:AB40" totalsRowShown="0" headerRowDxfId="519" headerRowBorderDxfId="518" tableBorderDxfId="517">
  <autoFilter ref="AB38:AB40" xr:uid="{830EF362-0156-4A25-9CC5-538DDBFCF308}"/>
  <tableColumns count="1">
    <tableColumn id="1" xr3:uid="{236D2849-0DCA-4A16-8641-A6D9FE3DBF52}" name="Martillo "/>
  </tableColumns>
  <tableStyleInfo name="TableStyleMedium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298EC68A-8195-4C85-8CA0-339E0E6B3930}" name="Tabla1873117160203" displayName="Tabla1873117160203" ref="AD29:AD31" totalsRowShown="0" dataDxfId="516">
  <autoFilter ref="AD29:AD31" xr:uid="{D9204BB2-CBF2-43D1-8CAA-9AC826A37056}"/>
  <tableColumns count="1">
    <tableColumn id="1" xr3:uid="{3507FAFA-E224-4F00-A581-4E1D46DD077E}" name="Nivel" dataDxfId="515"/>
  </tableColumns>
  <tableStyleInfo name="TableStyleMedium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D8643201-75E8-4FAB-9FCF-187D1FAD357E}" name="Tabla1974118161204" displayName="Tabla1974118161204" ref="AB42:AB45" totalsRowShown="0" headerRowDxfId="514" headerRowBorderDxfId="513" tableBorderDxfId="512" totalsRowBorderDxfId="511">
  <autoFilter ref="AB42:AB45" xr:uid="{751CC4DE-0F10-45F1-BAA4-31688AE830B1}"/>
  <tableColumns count="1">
    <tableColumn id="1" xr3:uid="{49A0A6C1-198F-4145-A82A-06FFAD684CC6}" name="Impactor"/>
  </tableColumns>
  <tableStyleInfo name="TableStyleMedium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DD2215CA-0FE0-4A0E-94F7-E4E593E5542D}" name="Tabla2075119162205" displayName="Tabla2075119162205" ref="AB47:AB50" totalsRowShown="0">
  <autoFilter ref="AB47:AB50" xr:uid="{A14E2475-26A8-4E9D-8E77-6DD3075B12E9}"/>
  <tableColumns count="1">
    <tableColumn id="1" xr3:uid="{3D7F224C-15C5-4514-BAFC-5D29E736E9BF}" name="Extractor"/>
  </tableColumns>
  <tableStyleInfo name="TableStyleMedium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86348383-1309-4D9F-BF51-325BE5EA021C}" name="Tabla2176120163206" displayName="Tabla2176120163206" ref="AB52:AB53" totalsRowShown="0" dataDxfId="510" tableBorderDxfId="509">
  <autoFilter ref="AB52:AB53" xr:uid="{FB135CB6-85B5-46C8-99B8-45176F814696}"/>
  <tableColumns count="1">
    <tableColumn id="1" xr3:uid="{7C09FA8F-CEDB-4D45-A918-0EFC498328C2}" name="Esmeril" dataDxfId="508"/>
  </tableColumns>
  <tableStyleInfo name="TableStyleMedium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A4E6B82C-AE08-4D7C-A2F0-541F8399C3A3}" name="Tabla2277121164207" displayName="Tabla2277121164207" ref="AD56:AD58" totalsRowShown="0">
  <autoFilter ref="AD56:AD58" xr:uid="{3AB821FA-FFC5-4307-AC30-B52EA5139269}"/>
  <tableColumns count="1">
    <tableColumn id="1" xr3:uid="{952B5EC9-F40B-4072-8F04-8E7065785A71}" name="Manometro"/>
  </tableColumns>
  <tableStyleInfo name="TableStyleMedium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EE1A09C6-01AC-4AFF-A586-1DD0691A37F5}" name="Tabla2378122165208" displayName="Tabla2378122165208" ref="AD33:AD36" totalsRowShown="0" headerRowDxfId="507" tableBorderDxfId="506">
  <autoFilter ref="AD33:AD36" xr:uid="{16F850A9-F3B2-41CD-A0AE-53D6CE1A75ED}"/>
  <tableColumns count="1">
    <tableColumn id="1" xr3:uid="{2A05523F-4C44-44A0-A3B8-4ED04DD74599}" name="Medidor"/>
  </tableColumns>
  <tableStyleInfo name="TableStyleMedium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EFDF2396-C5B4-4D9C-8BB0-1823208C37DD}" name="Tabla2479123166209" displayName="Tabla2479123166209" ref="AD38:AD39" totalsRowShown="0" dataDxfId="505" tableBorderDxfId="504">
  <autoFilter ref="AD38:AD39" xr:uid="{1889A6F9-230B-4AFF-867D-3DF6472821F5}"/>
  <tableColumns count="1">
    <tableColumn id="1" xr3:uid="{9CF45B09-52E6-4AB3-BAE4-6B1EEDEF9596}" name="Camara termografica" dataDxfId="503"/>
  </tableColumns>
  <tableStyleInfo name="TableStyleMedium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ECFD2E22-D87E-4CB4-8F3D-FDEF150981F7}" name="Tabla2580124167210" displayName="Tabla2580124167210" ref="AE33:AE40" totalsRowShown="0">
  <autoFilter ref="AE33:AE40" xr:uid="{A0DED689-2510-4BE0-B85F-FD1D7D88DFA4}"/>
  <tableColumns count="1">
    <tableColumn id="1" xr3:uid="{EDA2AD42-F880-41D2-922D-E5E3AA148B5B}" name="Llaves"/>
  </tableColumns>
  <tableStyleInfo name="TableStyleMedium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F68EF03D-1748-432A-8F5B-DED013934386}" name="Tabla2681125168211" displayName="Tabla2681125168211" ref="AD41:AD45" totalsRowShown="0" tableBorderDxfId="502">
  <autoFilter ref="AD41:AD45" xr:uid="{8ED6E545-64E7-44D4-B8A8-CB23D42265C0}"/>
  <tableColumns count="1">
    <tableColumn id="1" xr3:uid="{2CFE1CA5-6779-4C7D-A3EB-671A50429A68}" name="Calibrador"/>
  </tableColumns>
  <tableStyleInfo name="TableStyleMedium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40144D6A-23A5-4BC7-A7AE-EF60FDCDF706}" name="Tabla2882126169212" displayName="Tabla2882126169212" ref="AD48:AD51" totalsRowShown="0">
  <autoFilter ref="AD48:AD51" xr:uid="{9EF16892-84A3-4412-9559-E3ECBCBE8FAD}"/>
  <tableColumns count="1">
    <tableColumn id="1" xr3:uid="{F9B3E097-8289-4487-81CA-03E565CF7CD4}" name="Micrómetro"/>
  </tableColumns>
  <tableStyleInfo name="TableStyleMedium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2" xr:uid="{F67E88E5-C210-45F1-B9FF-0B3C33286A73}" name="Tabla2983127170213" displayName="Tabla2983127170213" ref="AE67:AE69" totalsRowShown="0" tableBorderDxfId="501">
  <autoFilter ref="AE67:AE69" xr:uid="{2312EFE8-ED6F-40CE-936E-92708A2A3E11}"/>
  <tableColumns count="1">
    <tableColumn id="1" xr3:uid="{7F64A275-57B9-4E62-A479-C19A1B83673D}" name="Alicates"/>
  </tableColumns>
  <tableStyleInfo name="TableStyleMedium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3730BDE8-016C-432C-8748-BF6E49C8DEC0}" name="Tabla3084128171214" displayName="Tabla3084128171214" ref="AE50:AE59" totalsRowShown="0" dataDxfId="500" tableBorderDxfId="499">
  <autoFilter ref="AE50:AE59" xr:uid="{3B268A63-E4A5-4D1B-B445-E13631B6E887}"/>
  <tableColumns count="1">
    <tableColumn id="1" xr3:uid="{119818B3-EC98-4ACB-BFB8-3060E8823F36}" name="Dados" dataDxfId="498"/>
  </tableColumns>
  <tableStyleInfo name="TableStyleMedium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D422D0AA-68DB-47BA-871C-291EE12E1F4B}" name="Tabla3285129172215" displayName="Tabla3285129172215" ref="AE43:AE44" totalsRowShown="0" dataDxfId="497" tableBorderDxfId="496">
  <autoFilter ref="AE43:AE44" xr:uid="{005ABD67-F7E0-47FD-8970-322FEA5BBC4C}"/>
  <tableColumns count="1">
    <tableColumn id="1" xr3:uid="{9BE85BC9-89DE-40A9-8174-34740F6FF804}" name="Tijera" dataDxfId="495"/>
  </tableColumns>
  <tableStyleInfo name="TableStyleMedium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632C5BC-169C-4A52-BBE4-2EA8D5426353}" name="Tabla3386130173216" displayName="Tabla3386130173216" ref="AD63:AD64" totalsRowShown="0" dataDxfId="494" tableBorderDxfId="493">
  <autoFilter ref="AD63:AD64" xr:uid="{7D457BB0-C389-4126-BC6E-CB6D91AFE2A6}"/>
  <tableColumns count="1">
    <tableColumn id="1" xr3:uid="{D6B1C773-84F5-4DDE-9D2D-B387A1E22532}" name="Estetoscopio" dataDxfId="492"/>
  </tableColumns>
  <tableStyleInfo name="TableStyleMedium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9153DCCD-78BA-4287-9570-6A63EDC19906}" name="Tabla3487131174217" displayName="Tabla3487131174217" ref="AE47:AE48" totalsRowShown="0" dataDxfId="491" tableBorderDxfId="490">
  <autoFilter ref="AE47:AE48" xr:uid="{EC300733-E688-43CB-A693-F1E2F80F6495}"/>
  <tableColumns count="1">
    <tableColumn id="1" xr3:uid="{B84DB5F4-E1C3-440D-A47F-37CBA4E55475}" name="Alargador" dataDxfId="489"/>
  </tableColumns>
  <tableStyleInfo name="TableStyleMedium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2747EE61-33AA-4C60-AD78-64AB7A1B5310}" name="Tabla3588132175218" displayName="Tabla3588132175218" ref="AD60:AD61" totalsRowShown="0" dataDxfId="488" tableBorderDxfId="487">
  <autoFilter ref="AD60:AD61" xr:uid="{B42C8F8F-E6AD-4FF3-9580-F9F4B996FF6F}"/>
  <tableColumns count="1">
    <tableColumn id="1" xr3:uid="{4C5B7512-F174-4964-AC17-02BD68B9715D}" name="Torquimetro" dataDxfId="486"/>
  </tableColumns>
  <tableStyleInfo name="TableStyleMedium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75AD2100-991F-40D5-BB66-B3F832F852DD}" name="Tabla3789133176219" displayName="Tabla3789133176219" ref="AF29:AF30" totalsRowShown="0" headerRowDxfId="485" dataDxfId="483" headerRowBorderDxfId="484" tableBorderDxfId="482" totalsRowBorderDxfId="481">
  <autoFilter ref="AF29:AF30" xr:uid="{2886962D-17B4-4D37-AB1E-9FE27B267D99}"/>
  <tableColumns count="1">
    <tableColumn id="1" xr3:uid="{C3AA3BB9-66AC-4A2B-AA8F-A884EB784E91}" name="Llave " dataDxfId="480"/>
  </tableColumns>
  <tableStyleInfo name="TableStyleMedium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646EFEAA-AD0A-4F50-AF72-6A0E2B89CB6C}" name="Tabla3890134177220" displayName="Tabla3890134177220" ref="B1:P611" totalsRowShown="0" headerRowDxfId="479">
  <autoFilter ref="B1:P611" xr:uid="{58127080-A22D-466C-8BA0-CCF2E2227FD2}"/>
  <tableColumns count="15">
    <tableColumn id="1" xr3:uid="{D857AB6C-B623-48A3-A36A-A058ACC5BB93}" name="Item">
      <calculatedColumnFormula>ROW()-1</calculatedColumnFormula>
    </tableColumn>
    <tableColumn id="2" xr3:uid="{E90194AC-E8C5-4979-8F41-578326364B46}" name="Area" dataDxfId="478"/>
    <tableColumn id="3" xr3:uid="{E23B2EFA-6C53-481E-BCA7-AF538160121F}" name="Cantidad"/>
    <tableColumn id="4" xr3:uid="{54E6BF08-02ED-43B3-AE5E-50B0FA10AB08}" name="Clasificacion" dataDxfId="477"/>
    <tableColumn id="5" xr3:uid="{7BFB8ADF-931D-444F-9F15-BD113A52C82A}" name="Descripción del equipo"/>
    <tableColumn id="6" xr3:uid="{B0B958A9-0116-4643-BF03-A8971DB07F13}" name="Marca" dataDxfId="476"/>
    <tableColumn id="7" xr3:uid="{4BBA0867-A6B6-40D6-932B-2D6979BB917F}" name="Modelo" dataDxfId="475"/>
    <tableColumn id="8" xr3:uid="{62885207-5909-4192-8AE3-1C99E4CD7EE4}" name="Cod. Antiguo"/>
    <tableColumn id="9" xr3:uid="{EE3F7521-5FB1-44BB-902E-3A932FAAF3AE}" name="Número de Serie"/>
    <tableColumn id="10" xr3:uid="{D5B90D44-7331-4D0C-8E73-3FBA0785B20E}" name="Cód. Nuevo Asig" dataDxfId="474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AAB27323-4503-4854-9DCD-142EA0CC4F33}" name="Codigo de parte"/>
    <tableColumn id="12" xr3:uid="{BB1829B9-6C1B-48C2-AFC2-83D8C6AF4EA5}" name="Ubicación"/>
    <tableColumn id="13" xr3:uid="{4D2705FE-46DF-47B7-9A59-908936CBA4EC}" name="Frecuencia de uso"/>
    <tableColumn id="14" xr3:uid="{B15B00AB-E361-40FC-9A52-A4AAC8054209}" name="Estado"/>
    <tableColumn id="15" xr3:uid="{E8C0370A-24CD-4EA8-BFBE-450C76697E42}" name="Observaciones"/>
  </tableColumns>
  <tableStyleInfo name="TableStyleMedium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30EF6FE8-4356-469B-9E68-B305251CB7CC}" name="Tabla3991135178221" displayName="Tabla3991135178221" ref="AE29:AE30" totalsRowShown="0">
  <autoFilter ref="AE29:AE30" xr:uid="{1C0F20AA-1469-4335-A289-55F2E420509F}"/>
  <tableColumns count="1">
    <tableColumn id="1" xr3:uid="{F58E952A-2F7F-4F46-BDF6-F2F080CEDFC1}" name="Multiplicador"/>
  </tableColumns>
  <tableStyleInfo name="TableStyleMedium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E9A514E2-72B2-49CA-BADD-72C953B8E2E9}" name="Tabla4092136179222" displayName="Tabla4092136179222" ref="AB29:AC31" totalsRowShown="0" tableBorderDxfId="473">
  <autoFilter ref="AB29:AC31" xr:uid="{2E7F26C8-B310-438B-BD08-8C0BC82B7627}"/>
  <tableColumns count="2">
    <tableColumn id="1" xr3:uid="{4367C219-59B8-41F9-AA37-2391937B5A7F}" name="Soldadoras"/>
    <tableColumn id="2" xr3:uid="{49862476-C343-46F6-B988-D7756F05213E}" name="Martillo"/>
  </tableColumns>
  <tableStyleInfo name="TableStyleMedium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F8AB891E-333B-4BFE-9844-B21E26AC1D9D}" name="Tabla4293137180223" displayName="Tabla4293137180223" ref="AB58:AB59" totalsRowShown="0">
  <autoFilter ref="AB58:AB59" xr:uid="{BDB2A400-1F11-4F53-807B-27202876BE6C}"/>
  <tableColumns count="1">
    <tableColumn id="1" xr3:uid="{936FB188-6CF6-41EA-BAF0-3E8A5AF81E4E}" name="Amoladora"/>
  </tableColumns>
  <tableStyleInfo name="TableStyleMedium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0C87A52-3EFD-4234-8F4D-96F645F4A679}" name="Tabla4394138181224" displayName="Tabla4394138181224" ref="AB62:AB64" totalsRowShown="0" dataDxfId="472" tableBorderDxfId="471">
  <autoFilter ref="AB62:AB64" xr:uid="{931F2BE3-67FF-44D5-B415-148F761F93A6}"/>
  <tableColumns count="1">
    <tableColumn id="1" xr3:uid="{CFEEDB38-F430-4139-BE9D-6D626CB894C5}" name="Iluminación" dataDxfId="470"/>
  </tableColumns>
  <tableStyleInfo name="TableStyleMedium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D331F841-FF9C-4942-A0A2-0809D2351F4F}" name="Tabla4495139182225" displayName="Tabla4495139182225" ref="AH29:AH30" totalsRowShown="0">
  <autoFilter ref="AH29:AH30" xr:uid="{9781A61A-AC29-41AE-98F6-916225D99E1D}"/>
  <tableColumns count="1">
    <tableColumn id="1" xr3:uid="{C558457B-FECA-4948-B20F-D5B9B37B10E8}" name="Tecle"/>
  </tableColumns>
  <tableStyleInfo name="TableStyleMedium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BD8F77B7-9B8F-4CDB-BE73-918A97BE5FCC}" name="Tabla4596140183226" displayName="Tabla4596140183226" ref="AB66:AB68" totalsRowShown="0">
  <autoFilter ref="AB66:AB68" xr:uid="{883961C8-D276-4BAE-B81D-192750F3D2CC}"/>
  <tableColumns count="1">
    <tableColumn id="1" xr3:uid="{5F4DBF91-F3F9-4D31-A012-35D2A279E0C8}" name="Lubricador"/>
  </tableColumns>
  <tableStyleInfo name="TableStyleMedium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9C8E328C-9083-4BCA-8839-5BFF0D864115}" name="Tabla4697141184227" displayName="Tabla4697141184227" ref="AE61:AE62" totalsRowShown="0">
  <autoFilter ref="AE61:AE62" xr:uid="{F9F816C6-2BEF-46FF-915F-BE5B9C6045E2}"/>
  <tableColumns count="1">
    <tableColumn id="1" xr3:uid="{BE690325-9C48-4750-8A76-502C6EB9EF2F}" name="Combos"/>
  </tableColumns>
  <tableStyleInfo name="TableStyleMedium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02E7309A-2E1D-4DAD-ABD7-1C5E322CD422}" name="Tabla4798142185228" displayName="Tabla4798142185228" ref="AE64:AE65" totalsRowShown="0">
  <autoFilter ref="AE64:AE65" xr:uid="{D0087047-FAAD-47F1-8107-9751D313CB07}"/>
  <tableColumns count="1">
    <tableColumn id="1" xr3:uid="{28697811-13B9-4BA1-A09F-317612B26185}" name="Mesa"/>
  </tableColumns>
  <tableStyleInfo name="TableStyleMedium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1D41C48-35F2-4179-9439-971DE0C561DE}" name="Tabla4899143186229" displayName="Tabla4899143186229" ref="AK29:AK31" totalsRowShown="0" tableBorderDxfId="469">
  <autoFilter ref="AK29:AK31" xr:uid="{98D206C1-A450-4754-81B2-030642ED939D}"/>
  <tableColumns count="1">
    <tableColumn id="1" xr3:uid="{A1F58828-74EF-4EA5-BB51-41FF56458A30}" name="Pinza"/>
  </tableColumns>
  <tableStyleInfo name="TableStyleMedium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EF9F225C-5F3C-46FA-BF6E-DA65EA032701}" name="Tabla4956100144187230" displayName="Tabla4956100144187230" ref="AK1:AK20" totalsRowShown="0" tableBorderDxfId="468">
  <autoFilter ref="AK1:AK20" xr:uid="{682A1042-040F-4BDC-814E-19EDB04144BA}"/>
  <tableColumns count="1">
    <tableColumn id="1" xr3:uid="{B170CC05-0222-413F-AA55-0F2A70B570C7}" name="Accesorios"/>
  </tableColumns>
  <tableStyleInfo name="TableStyleMedium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1F0469D4-1FFF-488D-BA98-8BA53AA21938}" name="Tabla758102145" displayName="Tabla758102145" ref="T1:U12" totalsRowShown="0" dataDxfId="467" tableBorderDxfId="466">
  <autoFilter ref="T1:U12" xr:uid="{9C601E76-6EC7-4996-8C5A-4EC2650D4D49}"/>
  <tableColumns count="2">
    <tableColumn id="1" xr3:uid="{8F546A24-7D11-4A24-B533-6534DF11609C}" name="ID" dataDxfId="465"/>
    <tableColumn id="2" xr3:uid="{2920414E-7CE7-4515-B796-55950159FE94}" name="Area" dataDxfId="464"/>
  </tableColumns>
  <tableStyleInfo name="TableStyleMedium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A7344EB1-5BD0-442D-ADDF-0D8E1AE1F473}" name="Tabla259103146" displayName="Tabla259103146" ref="W1:X4" totalsRowShown="0" headerRowDxfId="463" headerRowBorderDxfId="462" tableBorderDxfId="461" totalsRowBorderDxfId="460">
  <autoFilter ref="W1:X4" xr:uid="{8EA5E146-546E-4301-8341-E9A2182AF11B}"/>
  <tableColumns count="2">
    <tableColumn id="1" xr3:uid="{8ED55C9A-8CB7-4D3B-9992-565209C8A4CE}" name="ID" dataDxfId="459"/>
    <tableColumn id="2" xr3:uid="{CE54DD2F-6748-4247-9765-55330939E478}" name="Estado" dataDxfId="458"/>
  </tableColumns>
  <tableStyleInfo name="TableStyleMedium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9B5FFCCA-73DC-4FAF-B1CC-51E4917024F6}" name="Tabla360104147" displayName="Tabla360104147" ref="Z1:AA7" totalsRowShown="0" headerRowDxfId="457" headerRowBorderDxfId="456" tableBorderDxfId="455" totalsRowBorderDxfId="454">
  <autoFilter ref="Z1:AA7" xr:uid="{4313A204-2187-4F5D-B195-E9D8244B0B6A}"/>
  <tableColumns count="2">
    <tableColumn id="1" xr3:uid="{6048CAB8-3F1E-4C8F-B8FF-4740D2925EDF}" name="ID" dataDxfId="453"/>
    <tableColumn id="2" xr3:uid="{5395F834-94A4-4F60-BC40-D297A50E65B5}" name="Clasificación" dataDxfId="452"/>
  </tableColumns>
  <tableStyleInfo name="TableStyleMedium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88726E5-5CA9-41A2-98C0-D912906A92C2}" name="Tabla461105148" displayName="Tabla461105148" ref="Z9:Z12" totalsRowShown="0" headerRowDxfId="451" headerRowBorderDxfId="450" tableBorderDxfId="449" totalsRowBorderDxfId="448">
  <autoFilter ref="Z9:Z12" xr:uid="{4FA69CD1-8D3C-4F41-B69E-D64790738288}"/>
  <tableColumns count="1">
    <tableColumn id="1" xr3:uid="{C564DE1F-BB88-4760-A65F-08662D506833}" name="Frecuencia de uso" dataDxfId="447"/>
  </tableColumns>
  <tableStyleInfo name="TableStyleMedium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6CB478DD-78ED-47AD-AD14-63B68DCC5843}" name="Herramientas_eléctricas1862106149" displayName="Herramientas_eléctricas1862106149" ref="AD1:AD21" totalsRowShown="0" headerRowDxfId="446" headerRowBorderDxfId="445" tableBorderDxfId="444">
  <autoFilter ref="AD1:AD21" xr:uid="{9A901B8B-4001-4C56-97C1-F800FB168E81}"/>
  <tableColumns count="1">
    <tableColumn id="1" xr3:uid="{EE61F660-2F5E-4F59-85B0-855135DF8635}" name="Herramientas_eléctricas"/>
  </tableColumns>
  <tableStyleInfo name="TableStyleMedium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B3FB1553-CD9C-4670-A452-40540A39C7E5}" name="Herramientas_neumáticas1963107150" displayName="Herramientas_neumáticas1963107150" ref="AE1:AE6" totalsRowShown="0" headerRowDxfId="443" headerRowBorderDxfId="442" tableBorderDxfId="441">
  <autoFilter ref="AE1:AE6" xr:uid="{DDFD7ABB-9233-49B8-8E7D-0C4E4E73668B}"/>
  <tableColumns count="1">
    <tableColumn id="1" xr3:uid="{A7E1C17B-9F6A-4434-80BC-87BF2F25B86D}" name="Herramientas_neumáticas"/>
  </tableColumns>
  <tableStyleInfo name="TableStyleMedium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13E9891-9220-43FB-B185-64E443A17C97}" name="Herramientas_de_medición2064108151" displayName="Herramientas_de_medición2064108151" ref="AF1:AF16" totalsRowShown="0" headerRowDxfId="440" headerRowBorderDxfId="439" tableBorderDxfId="438">
  <autoFilter ref="AF1:AF16" xr:uid="{A1A99238-FF6A-4B46-95FE-F6F59C0A59FF}"/>
  <tableColumns count="1">
    <tableColumn id="1" xr3:uid="{97369E52-B2C7-4C62-B15D-0B4910F9FF10}" name="Herramientas_de_medición" dataDxfId="437"/>
  </tableColumns>
  <tableStyleInfo name="TableStyleMedium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D1DDA0E3-1609-4104-9CF7-C971A2184A8F}" name="Herrramientas_mecánicas2165109152" displayName="Herrramientas_mecánicas2165109152" ref="AG1:AG21" totalsRowShown="0" headerRowDxfId="436" headerRowBorderDxfId="435" tableBorderDxfId="434">
  <autoFilter ref="AG1:AG21" xr:uid="{82699701-A4C7-4A41-A40B-8F87727B2FCD}"/>
  <tableColumns count="1">
    <tableColumn id="1" xr3:uid="{1BF25B7F-4F17-4180-9134-AA4396D3E055}" name="Herramientas_mecánicas"/>
  </tableColumns>
  <tableStyleInfo name="TableStyleMedium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E43022C2-9E10-4391-B627-93D762E03D4D}" name="Herramientas_hidráulicas2266110153" displayName="Herramientas_hidráulicas2266110153" ref="AH1:AH9" totalsRowShown="0" headerRowDxfId="433" dataDxfId="431" headerRowBorderDxfId="432" tableBorderDxfId="430">
  <autoFilter ref="AH1:AH9" xr:uid="{5C7C5014-0DFD-4140-8DC3-6AF6EDF169E4}"/>
  <tableColumns count="1">
    <tableColumn id="1" xr3:uid="{1350D54C-025D-4AD9-A5B3-7BA5387281B7}" name="Herramientas_hidráulicas" dataDxfId="429"/>
  </tableColumns>
  <tableStyleInfo name="TableStyleMedium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E5320C6-E6B1-411A-8E53-1736C1E417BB}" name="EPP_2367111154" displayName="EPP_2367111154" ref="AI1:AI6" totalsRowShown="0" headerRowDxfId="428" headerRowBorderDxfId="427" tableBorderDxfId="426">
  <autoFilter ref="AI1:AI6" xr:uid="{6ED4F867-D028-4151-85A1-2598FAD98928}"/>
  <tableColumns count="1">
    <tableColumn id="1" xr3:uid="{A23FE6F1-F762-488D-9D61-3A5865986189}" name="SPCC"/>
  </tableColumns>
  <tableStyleInfo name="TableStyleMedium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D5654804-C5AD-4255-B282-C0541F085E18}" name="Herramientas_de_izaje2468112155" displayName="Herramientas_de_izaje2468112155" ref="AJ1:AJ6" totalsRowShown="0" headerRowDxfId="425" headerRowBorderDxfId="424" tableBorderDxfId="423">
  <autoFilter ref="AJ1:AJ6" xr:uid="{0DE75960-5B93-46A7-AAE6-BC581FFF1354}"/>
  <tableColumns count="1">
    <tableColumn id="1" xr3:uid="{B62F2DA2-EA80-4938-9F1A-C7AA628C41A2}" name="Herramientas_de_izaje"/>
  </tableColumns>
  <tableStyleInfo name="TableStyleMedium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27CF2C5B-CD0B-472F-B3C9-BA3B8338FD76}" name="Tabla152569113156" displayName="Tabla152569113156" ref="AK1:AK2" totalsRowShown="0" headerRowDxfId="422" dataDxfId="420" headerRowBorderDxfId="421" tableBorderDxfId="419">
  <autoFilter ref="AK1:AK2" xr:uid="{7CDF3488-ADF8-42BB-8EFE-46E3A509430E}"/>
  <tableColumns count="1">
    <tableColumn id="1" xr3:uid="{5D2AE8D5-E9EC-4EF3-95C9-BFB20F96A012}" name="Otros" dataDxfId="418"/>
  </tableColumns>
  <tableStyleInfo name="TableStyleMedium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D6E0D420-0617-4789-863A-36CBFF7BAA9B}" name="Tabla162670114157" displayName="Tabla162670114157" ref="AL1:AL6" totalsRowShown="0">
  <autoFilter ref="AL1:AL6" xr:uid="{BA84FDFB-CFCF-49B5-A4A0-7E55EE0C8343}"/>
  <tableColumns count="1">
    <tableColumn id="1" xr3:uid="{A55F3984-2C4E-44C3-B8FE-8FC424EA901F}" name="Equipos"/>
  </tableColumns>
  <tableStyleInfo name="TableStyleMedium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9CFCAAF-8856-49FF-AAE9-D568E61C0D14}" name="Tabla571115158" displayName="Tabla571115158" ref="AD33:AE35" totalsRowShown="0" tableBorderDxfId="417">
  <autoFilter ref="AD33:AE35" xr:uid="{CF2FEFF5-0ED4-40EF-A2CA-B8658D653CBB}"/>
  <tableColumns count="2">
    <tableColumn id="1" xr3:uid="{4862B531-BAF6-4EA2-8542-746DEAF8AC59}" name="Calentador"/>
    <tableColumn id="2" xr3:uid="{691B4E51-2D35-4563-9910-C71C1D9FA6EB}" name="Bomba"/>
  </tableColumns>
  <tableStyleInfo name="TableStyleMedium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CA2B0667-F927-4325-B3B5-A3D30B34826A}" name="Tabla1772116159" displayName="Tabla1772116159" ref="AD38:AD40" totalsRowShown="0" headerRowDxfId="416" headerRowBorderDxfId="415" tableBorderDxfId="414">
  <autoFilter ref="AD38:AD40" xr:uid="{830EF362-0156-4A25-9CC5-538DDBFCF308}"/>
  <tableColumns count="1">
    <tableColumn id="1" xr3:uid="{3A750B9C-02D7-4F07-8621-97870EBD3BA4}" name="Martillo "/>
  </tableColumns>
  <tableStyleInfo name="TableStyleMedium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811C116-82D6-4E16-97E4-76A84D1DCE5B}" name="Tabla1873117160" displayName="Tabla1873117160" ref="AF29:AF31" totalsRowShown="0" dataDxfId="413">
  <autoFilter ref="AF29:AF31" xr:uid="{D9204BB2-CBF2-43D1-8CAA-9AC826A37056}"/>
  <tableColumns count="1">
    <tableColumn id="1" xr3:uid="{3D6DFEF4-4DCF-46B4-B5C9-2B12541A131B}" name="Nivel" dataDxfId="412"/>
  </tableColumns>
  <tableStyleInfo name="TableStyleMedium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558860B-8867-411F-9D28-577224FAC3BB}" name="Tabla1974118161" displayName="Tabla1974118161" ref="AD42:AD45" totalsRowShown="0" headerRowDxfId="411" headerRowBorderDxfId="410" tableBorderDxfId="409" totalsRowBorderDxfId="408">
  <autoFilter ref="AD42:AD45" xr:uid="{751CC4DE-0F10-45F1-BAA4-31688AE830B1}"/>
  <tableColumns count="1">
    <tableColumn id="1" xr3:uid="{84AB9B5D-2D2F-4CE7-AC53-127314476CA1}" name="Impactor"/>
  </tableColumns>
  <tableStyleInfo name="TableStyleMedium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4FB3F774-5743-430D-8350-7BA8302C82AB}" name="Tabla2075119162" displayName="Tabla2075119162" ref="AD47:AD50" totalsRowShown="0">
  <autoFilter ref="AD47:AD50" xr:uid="{A14E2475-26A8-4E9D-8E77-6DD3075B12E9}"/>
  <tableColumns count="1">
    <tableColumn id="1" xr3:uid="{BFCF3243-D315-464A-8C22-2EAC8F582B27}" name="Extractor"/>
  </tableColumns>
  <tableStyleInfo name="TableStyleMedium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58DC511-3C7F-48F9-ACA4-24DB8ABC0DA3}" name="Tabla2176120163" displayName="Tabla2176120163" ref="AD52:AD53" totalsRowShown="0" dataDxfId="407" tableBorderDxfId="406">
  <autoFilter ref="AD52:AD53" xr:uid="{FB135CB6-85B5-46C8-99B8-45176F814696}"/>
  <tableColumns count="1">
    <tableColumn id="1" xr3:uid="{3F96E4F2-238D-42B3-B285-857E70EBB9C3}" name="Esmeril" dataDxfId="405"/>
  </tableColumns>
  <tableStyleInfo name="TableStyleMedium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DA9CBD81-0110-40D8-B821-078A5BCDC878}" name="Tabla2277121164" displayName="Tabla2277121164" ref="AF56:AF58" totalsRowShown="0">
  <autoFilter ref="AF56:AF58" xr:uid="{3AB821FA-FFC5-4307-AC30-B52EA5139269}"/>
  <tableColumns count="1">
    <tableColumn id="1" xr3:uid="{4D975094-4B51-4626-9A06-98D5AB955639}" name="Manometro"/>
  </tableColumns>
  <tableStyleInfo name="TableStyleMedium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9EB53DA9-CE6F-4A04-9FB3-0E92A763E12A}" name="Tabla2378122165" displayName="Tabla2378122165" ref="AF33:AF36" totalsRowShown="0" headerRowDxfId="404" tableBorderDxfId="403">
  <autoFilter ref="AF33:AF36" xr:uid="{16F850A9-F3B2-41CD-A0AE-53D6CE1A75ED}"/>
  <tableColumns count="1">
    <tableColumn id="1" xr3:uid="{07D1FA05-6F82-4F73-B3CE-30F4CF806442}" name="Medidor"/>
  </tableColumns>
  <tableStyleInfo name="TableStyleMedium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2231ADB2-E167-4E7B-B0D2-C9F727114AB2}" name="Tabla2479123166" displayName="Tabla2479123166" ref="AF38:AF39" totalsRowShown="0" dataDxfId="402" tableBorderDxfId="401">
  <autoFilter ref="AF38:AF39" xr:uid="{1889A6F9-230B-4AFF-867D-3DF6472821F5}"/>
  <tableColumns count="1">
    <tableColumn id="1" xr3:uid="{633C4F30-F857-4CA4-B0BD-50B5D8720765}" name="Camara termografica" dataDxfId="400"/>
  </tableColumns>
  <tableStyleInfo name="TableStyleMedium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F8E4E7D6-0FE0-4972-8D9B-2F288AA90B3D}" name="Tabla2580124167" displayName="Tabla2580124167" ref="AG33:AG40" totalsRowShown="0">
  <autoFilter ref="AG33:AG40" xr:uid="{A0DED689-2510-4BE0-B85F-FD1D7D88DFA4}"/>
  <tableColumns count="1">
    <tableColumn id="1" xr3:uid="{064CB8D3-4EC8-4B72-94C3-05E73CA2F426}" name="Llaves"/>
  </tableColumns>
  <tableStyleInfo name="TableStyleMedium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9FED7334-3496-45FD-9790-D2AAF61FFB71}" name="Tabla2681125168" displayName="Tabla2681125168" ref="AF41:AF45" totalsRowShown="0" tableBorderDxfId="399">
  <autoFilter ref="AF41:AF45" xr:uid="{8ED6E545-64E7-44D4-B8A8-CB23D42265C0}"/>
  <tableColumns count="1">
    <tableColumn id="1" xr3:uid="{B3DA95C1-91E8-4434-B6BA-2E2FE2A71414}" name="Calibrador"/>
  </tableColumns>
  <tableStyleInfo name="TableStyleMedium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18F27B2-98F0-4F62-B98D-E6E9A8F3114A}" name="Tabla2882126169" displayName="Tabla2882126169" ref="AF48:AF51" totalsRowShown="0">
  <autoFilter ref="AF48:AF51" xr:uid="{9EF16892-84A3-4412-9559-E3ECBCBE8FAD}"/>
  <tableColumns count="1">
    <tableColumn id="1" xr3:uid="{D66455EC-C783-4B2A-967D-4D5CC3E2FF8D}" name="Micrómetro"/>
  </tableColumns>
  <tableStyleInfo name="TableStyleMedium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1866E1B1-DAE8-4CC6-B347-F9A7E25FA35B}" name="Tabla2983127170" displayName="Tabla2983127170" ref="AG67:AG69" totalsRowShown="0" tableBorderDxfId="398">
  <autoFilter ref="AG67:AG69" xr:uid="{2312EFE8-ED6F-40CE-936E-92708A2A3E11}"/>
  <tableColumns count="1">
    <tableColumn id="1" xr3:uid="{DFEFCC29-8620-415A-AF1B-14F14B268189}" name="Alicates"/>
  </tableColumns>
  <tableStyleInfo name="TableStyleMedium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5465464A-B07D-41D1-9D44-2FE9B37AA0BF}" name="Tabla3084128171" displayName="Tabla3084128171" ref="AG50:AG59" totalsRowShown="0" dataDxfId="397" tableBorderDxfId="396">
  <autoFilter ref="AG50:AG59" xr:uid="{3B268A63-E4A5-4D1B-B445-E13631B6E887}"/>
  <tableColumns count="1">
    <tableColumn id="1" xr3:uid="{FFF7AE3B-7B97-4588-8809-AD9ED7C0BA4C}" name="Dados" dataDxfId="395"/>
  </tableColumns>
  <tableStyleInfo name="TableStyleMedium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790EE0AE-4962-4A43-8B2A-E673FCECB743}" name="Tabla3285129172" displayName="Tabla3285129172" ref="AG43:AG44" totalsRowShown="0" dataDxfId="394" tableBorderDxfId="393">
  <autoFilter ref="AG43:AG44" xr:uid="{005ABD67-F7E0-47FD-8970-322FEA5BBC4C}"/>
  <tableColumns count="1">
    <tableColumn id="1" xr3:uid="{04741C44-D565-4BC9-9108-B616ED24FA4F}" name="Tijera" dataDxfId="392"/>
  </tableColumns>
  <tableStyleInfo name="TableStyleMedium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3A62B173-8BF2-41F0-B576-CB61CE8A87FC}" name="Tabla3386130173" displayName="Tabla3386130173" ref="AF63:AF64" totalsRowShown="0" dataDxfId="391" tableBorderDxfId="390">
  <autoFilter ref="AF63:AF64" xr:uid="{7D457BB0-C389-4126-BC6E-CB6D91AFE2A6}"/>
  <tableColumns count="1">
    <tableColumn id="1" xr3:uid="{FF900327-3706-4D81-9E0A-EB2A6CB09558}" name="Estetoscopio" dataDxfId="389"/>
  </tableColumns>
  <tableStyleInfo name="TableStyleMedium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E241C39B-9354-4881-B1D1-137028840DC3}" name="Tabla3487131174" displayName="Tabla3487131174" ref="AG47:AG48" totalsRowShown="0" dataDxfId="388" tableBorderDxfId="387">
  <autoFilter ref="AG47:AG48" xr:uid="{EC300733-E688-43CB-A693-F1E2F80F6495}"/>
  <tableColumns count="1">
    <tableColumn id="1" xr3:uid="{3D8A19C1-B73D-4381-A892-00B9C4131BE7}" name="Alargador" dataDxfId="386"/>
  </tableColumns>
  <tableStyleInfo name="TableStyleMedium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12E99BC-1EC1-4BFE-A7FE-331C2FD452DC}" name="Tabla3588132175" displayName="Tabla3588132175" ref="AF60:AF61" totalsRowShown="0" dataDxfId="385" tableBorderDxfId="384">
  <autoFilter ref="AF60:AF61" xr:uid="{B42C8F8F-E6AD-4FF3-9580-F9F4B996FF6F}"/>
  <tableColumns count="1">
    <tableColumn id="1" xr3:uid="{8E0A97DC-F8B0-42B1-B0B8-B8BD6EB34A90}" name="Torquimetro" dataDxfId="383"/>
  </tableColumns>
  <tableStyleInfo name="TableStyleMedium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936E5D69-8624-44CE-84D2-E8BEE7AA586A}" name="Tabla3789133176" displayName="Tabla3789133176" ref="AH29:AH30" totalsRowShown="0" headerRowDxfId="382" dataDxfId="380" headerRowBorderDxfId="381" tableBorderDxfId="379" totalsRowBorderDxfId="378">
  <autoFilter ref="AH29:AH30" xr:uid="{2886962D-17B4-4D37-AB1E-9FE27B267D99}"/>
  <tableColumns count="1">
    <tableColumn id="1" xr3:uid="{0E9037A5-9FD9-4343-AAF0-954ACFFBF899}" name="Llave " dataDxfId="377"/>
  </tableColumns>
  <tableStyleInfo name="TableStyleMedium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47B90F46-4F84-4EE8-811D-547FC4998DF2}" name="Tabla3890134177" displayName="Tabla3890134177" ref="B1:R611" totalsRowShown="0" headerRowDxfId="376">
  <autoFilter ref="B1:R611" xr:uid="{58127080-A22D-466C-8BA0-CCF2E2227FD2}"/>
  <tableColumns count="17">
    <tableColumn id="1" xr3:uid="{9525532A-BA1C-48D6-A4D0-C4FB59897454}" name="Item">
      <calculatedColumnFormula>ROW()-1</calculatedColumnFormula>
    </tableColumn>
    <tableColumn id="2" xr3:uid="{B5E5F604-BE0A-41ED-97E1-2790E3BEFA85}" name="Area" dataDxfId="375"/>
    <tableColumn id="3" xr3:uid="{DE789792-C2D2-4BE0-81DA-116B8B9E786C}" name="Cantidad"/>
    <tableColumn id="4" xr3:uid="{85936DFB-FE5A-4DDA-9D94-FFB7BAFE5301}" name="Clasificacion" dataDxfId="374"/>
    <tableColumn id="5" xr3:uid="{52E0D03B-0548-491C-BE01-ACF400939EAA}" name="Descripción del equipo"/>
    <tableColumn id="16" xr3:uid="{0FF29518-2F23-467F-A431-45750BE25610}" name="VOLTAJE"/>
    <tableColumn id="17" xr3:uid="{994FCB69-9F9E-4AC0-B555-92A4CBE93D52}" name="AMPERIOS"/>
    <tableColumn id="6" xr3:uid="{76A6FFE6-D492-4C81-89CF-513ED41A9158}" name="Marca" dataDxfId="373"/>
    <tableColumn id="7" xr3:uid="{830FCF74-5890-4AFA-A267-46820B832C45}" name="Modelo" dataDxfId="372"/>
    <tableColumn id="8" xr3:uid="{7889F37E-F888-4714-9E34-8D6323ED7466}" name="Cod. Antiguo"/>
    <tableColumn id="9" xr3:uid="{8BEB2EEC-DA0A-4398-811E-A885A897B881}" name="Número de Serie"/>
    <tableColumn id="10" xr3:uid="{859BDB34-FD81-48EF-994F-8D580F145FA8}" name="Cód. Nuevo Asig" dataDxfId="371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2013B295-8EB9-4102-870A-CC1AB2790E71}" name="Codigo de parte"/>
    <tableColumn id="12" xr3:uid="{9E4DFBF8-3280-405C-8281-C2E942B6DBFC}" name="Ubicación"/>
    <tableColumn id="13" xr3:uid="{76A94FB7-B45D-4FB9-A0EF-16A6C6658E9D}" name="Frecuencia de uso"/>
    <tableColumn id="14" xr3:uid="{81BFC6E2-8B80-4AD4-BDA7-E1A1B2CD1154}" name="Estado"/>
    <tableColumn id="15" xr3:uid="{11DB0881-59E1-4DFB-8A33-ACC58179E6CA}" name="Observaciones"/>
  </tableColumns>
  <tableStyleInfo name="TableStyleMedium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55EF6885-195B-4E51-BC11-2FFD7A36E88C}" name="Tabla3991135178" displayName="Tabla3991135178" ref="AG29:AG30" totalsRowShown="0">
  <autoFilter ref="AG29:AG30" xr:uid="{1C0F20AA-1469-4335-A289-55F2E420509F}"/>
  <tableColumns count="1">
    <tableColumn id="1" xr3:uid="{D6C0DD15-504D-4D6B-B5F0-CC550A09D4F3}" name="Multiplicador"/>
  </tableColumns>
  <tableStyleInfo name="TableStyleMedium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CED7333D-6D3A-4774-8A9F-D65B5E057ACF}" name="Tabla4092136179" displayName="Tabla4092136179" ref="AD29:AE31" totalsRowShown="0" tableBorderDxfId="370">
  <autoFilter ref="AD29:AE31" xr:uid="{2E7F26C8-B310-438B-BD08-8C0BC82B7627}"/>
  <tableColumns count="2">
    <tableColumn id="1" xr3:uid="{E58904F0-DEDB-45BE-BAA1-99B6B39BD816}" name="Soldadoras"/>
    <tableColumn id="2" xr3:uid="{F41DAF0A-B1D1-42AA-9EC7-94F7A3AC9F55}" name="Martillo"/>
  </tableColumns>
  <tableStyleInfo name="TableStyleMedium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C1202E3C-8EB8-476E-AB6A-037D2365AECE}" name="Tabla4293137180" displayName="Tabla4293137180" ref="AD58:AD59" totalsRowShown="0">
  <autoFilter ref="AD58:AD59" xr:uid="{BDB2A400-1F11-4F53-807B-27202876BE6C}"/>
  <tableColumns count="1">
    <tableColumn id="1" xr3:uid="{04A03A73-4DA2-4B24-929D-29BAEFD6C489}" name="Amoladora"/>
  </tableColumns>
  <tableStyleInfo name="TableStyleMedium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AE8C18AC-1878-4DA3-B891-CB571F6F4BC0}" name="Tabla4394138181" displayName="Tabla4394138181" ref="AD62:AD64" totalsRowShown="0" dataDxfId="369" tableBorderDxfId="368">
  <autoFilter ref="AD62:AD64" xr:uid="{931F2BE3-67FF-44D5-B415-148F761F93A6}"/>
  <tableColumns count="1">
    <tableColumn id="1" xr3:uid="{EDA2BA24-839A-447C-B6CB-9FB02213B362}" name="Iluminación" dataDxfId="367"/>
  </tableColumns>
  <tableStyleInfo name="TableStyleMedium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C60DA78F-CE91-4710-AD87-3681BAEE3E2D}" name="Tabla4495139182" displayName="Tabla4495139182" ref="AJ29:AJ30" totalsRowShown="0">
  <autoFilter ref="AJ29:AJ30" xr:uid="{9781A61A-AC29-41AE-98F6-916225D99E1D}"/>
  <tableColumns count="1">
    <tableColumn id="1" xr3:uid="{C65CDC3F-AE56-4085-B482-C5CFE6BE484B}" name="Tecle"/>
  </tableColumns>
  <tableStyleInfo name="TableStyleMedium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692998BA-7308-4939-A3B2-736C216712DB}" name="Tabla4596140183" displayName="Tabla4596140183" ref="AD66:AD68" totalsRowShown="0">
  <autoFilter ref="AD66:AD68" xr:uid="{883961C8-D276-4BAE-B81D-192750F3D2CC}"/>
  <tableColumns count="1">
    <tableColumn id="1" xr3:uid="{00E1FFD1-9204-4527-9ED2-439AA6C1613F}" name="Lubricador"/>
  </tableColumns>
  <tableStyleInfo name="TableStyleMedium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D80E2B77-851C-4307-91B0-8A1CF3540469}" name="Tabla4697141184" displayName="Tabla4697141184" ref="AG61:AG62" totalsRowShown="0">
  <autoFilter ref="AG61:AG62" xr:uid="{F9F816C6-2BEF-46FF-915F-BE5B9C6045E2}"/>
  <tableColumns count="1">
    <tableColumn id="1" xr3:uid="{A7FCECE1-1DFC-4572-AAAF-396B1FFB5CE1}" name="Combos"/>
  </tableColumns>
  <tableStyleInfo name="TableStyleMedium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BDF994AB-F851-42C4-9F50-2A108F9C83D2}" name="Tabla4798142185" displayName="Tabla4798142185" ref="AG64:AG65" totalsRowShown="0">
  <autoFilter ref="AG64:AG65" xr:uid="{D0087047-FAAD-47F1-8107-9751D313CB07}"/>
  <tableColumns count="1">
    <tableColumn id="1" xr3:uid="{E9AB31F3-4030-4EED-B4DE-29A6A8EAB778}" name="Mesa"/>
  </tableColumns>
  <tableStyleInfo name="TableStyleMedium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9D4D1E-D262-496B-8BF5-C7F614B4E23E}" name="Tabla4899143186" displayName="Tabla4899143186" ref="AM29:AM31" totalsRowShown="0" tableBorderDxfId="366">
  <autoFilter ref="AM29:AM31" xr:uid="{98D206C1-A450-4754-81B2-030642ED939D}"/>
  <tableColumns count="1">
    <tableColumn id="1" xr3:uid="{1818EEC0-F18B-44F2-9C4F-34FE01A40613}" name="Pinza"/>
  </tableColumns>
  <tableStyleInfo name="TableStyleMedium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D5C5758F-54F2-44A5-BE7E-A3BD406834D0}" name="Tabla4956100144187" displayName="Tabla4956100144187" ref="AM1:AM20" totalsRowShown="0" tableBorderDxfId="365">
  <autoFilter ref="AM1:AM20" xr:uid="{682A1042-040F-4BDC-814E-19EDB04144BA}"/>
  <tableColumns count="1">
    <tableColumn id="1" xr3:uid="{50C0831A-9218-444B-99EE-56D3593B655B}" name="Accesorios"/>
  </tableColumns>
  <tableStyleInfo name="TableStyleMedium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769E4A2E-EFD8-440B-A3E6-476B1BC45006}" name="Tabla758102" displayName="Tabla758102" ref="R1:S12" totalsRowShown="0" dataDxfId="364" tableBorderDxfId="363">
  <autoFilter ref="R1:S12" xr:uid="{9C601E76-6EC7-4996-8C5A-4EC2650D4D49}"/>
  <tableColumns count="2">
    <tableColumn id="1" xr3:uid="{12F028F5-3EA1-488C-BBB7-596292727F81}" name="ID" dataDxfId="362"/>
    <tableColumn id="2" xr3:uid="{BE49DDBA-AC0C-4945-AD1D-CFF76D24A81B}" name="Area" dataDxfId="361"/>
  </tableColumns>
  <tableStyleInfo name="TableStyleMedium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D375994-3643-42D2-BCDC-EF33A39666FC}" name="Tabla259103" displayName="Tabla259103" ref="U1:V4" totalsRowShown="0" headerRowDxfId="360" headerRowBorderDxfId="359" tableBorderDxfId="358" totalsRowBorderDxfId="357">
  <autoFilter ref="U1:V4" xr:uid="{8EA5E146-546E-4301-8341-E9A2182AF11B}"/>
  <tableColumns count="2">
    <tableColumn id="1" xr3:uid="{96731C59-D5E7-4D79-AB2C-D0030CFDEC05}" name="ID" dataDxfId="356"/>
    <tableColumn id="2" xr3:uid="{12620159-EA42-4F37-8509-32B54C7E44AA}" name="Estado" dataDxfId="355"/>
  </tableColumns>
  <tableStyleInfo name="TableStyleMedium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63AE104-4273-4DA6-86DB-721E396FC805}" name="Tabla360104" displayName="Tabla360104" ref="X1:Y7" totalsRowShown="0" headerRowDxfId="354" headerRowBorderDxfId="353" tableBorderDxfId="352" totalsRowBorderDxfId="351">
  <autoFilter ref="X1:Y7" xr:uid="{4313A204-2187-4F5D-B195-E9D8244B0B6A}"/>
  <tableColumns count="2">
    <tableColumn id="1" xr3:uid="{C15929D5-1972-46CF-A622-21C59E9778D9}" name="ID" dataDxfId="350"/>
    <tableColumn id="2" xr3:uid="{F7CE712C-A3A8-4B84-80A4-F3B889F1352B}" name="Clasificación" dataDxfId="349"/>
  </tableColumns>
  <tableStyleInfo name="TableStyleMedium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EAB77D01-723E-45C5-B349-29EB6E2A6FF0}" name="Tabla461105" displayName="Tabla461105" ref="X9:X12" totalsRowShown="0" headerRowDxfId="348" headerRowBorderDxfId="347" tableBorderDxfId="346" totalsRowBorderDxfId="345">
  <autoFilter ref="X9:X12" xr:uid="{4FA69CD1-8D3C-4F41-B69E-D64790738288}"/>
  <tableColumns count="1">
    <tableColumn id="1" xr3:uid="{1ACE24B5-384E-4932-9A36-A43D7A0E4C23}" name="Frecuencia de uso" dataDxfId="344"/>
  </tableColumns>
  <tableStyleInfo name="TableStyleMedium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F573ACA0-A664-4DB6-AFAC-21BAF2739469}" name="Herramientas_eléctricas1862106" displayName="Herramientas_eléctricas1862106" ref="AB1:AB21" totalsRowShown="0" headerRowDxfId="343" headerRowBorderDxfId="342" tableBorderDxfId="341">
  <autoFilter ref="AB1:AB21" xr:uid="{9A901B8B-4001-4C56-97C1-F800FB168E81}"/>
  <tableColumns count="1">
    <tableColumn id="1" xr3:uid="{69631A90-35D3-4B2B-BA7A-D408A813CC4C}" name="Herramientas_eléctricas"/>
  </tableColumns>
  <tableStyleInfo name="TableStyleMedium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A264DE6-961B-451A-85F6-0D66FDD165FF}" name="Herramientas_neumáticas1963107" displayName="Herramientas_neumáticas1963107" ref="AC1:AC6" totalsRowShown="0" headerRowDxfId="340" headerRowBorderDxfId="339" tableBorderDxfId="338">
  <autoFilter ref="AC1:AC6" xr:uid="{DDFD7ABB-9233-49B8-8E7D-0C4E4E73668B}"/>
  <tableColumns count="1">
    <tableColumn id="1" xr3:uid="{14C99801-F26C-4DCE-96F4-EFE00BA2470E}" name="Herramientas_neumáticas"/>
  </tableColumns>
  <tableStyleInfo name="TableStyleMedium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F24082EB-B811-4370-9A5B-CF90FFC0C9D6}" name="Herramientas_de_medición2064108" displayName="Herramientas_de_medición2064108" ref="AD1:AD16" totalsRowShown="0" headerRowDxfId="337" headerRowBorderDxfId="336" tableBorderDxfId="335">
  <autoFilter ref="AD1:AD16" xr:uid="{A1A99238-FF6A-4B46-95FE-F6F59C0A59FF}"/>
  <tableColumns count="1">
    <tableColumn id="1" xr3:uid="{CB1EAF8E-ABBF-48BE-B643-82F78A4B7CC9}" name="Herramientas_de_medición" dataDxfId="334"/>
  </tableColumns>
  <tableStyleInfo name="TableStyleMedium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91483EBE-DF11-45F2-B62F-9796B2634BE8}" name="Herrramientas_mecánicas2165109" displayName="Herrramientas_mecánicas2165109" ref="AE1:AE21" totalsRowShown="0" headerRowDxfId="333" headerRowBorderDxfId="332" tableBorderDxfId="331">
  <autoFilter ref="AE1:AE21" xr:uid="{82699701-A4C7-4A41-A40B-8F87727B2FCD}"/>
  <tableColumns count="1">
    <tableColumn id="1" xr3:uid="{93408B12-FFEF-48D7-B533-1CD5707BD99E}" name="Herramientas_mecánicas"/>
  </tableColumns>
  <tableStyleInfo name="TableStyleMedium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69D71BE9-5AE5-42B4-ACA5-BBAFAEA33EC5}" name="Herramientas_hidráulicas2266110" displayName="Herramientas_hidráulicas2266110" ref="AF1:AF9" totalsRowShown="0" headerRowDxfId="330" dataDxfId="328" headerRowBorderDxfId="329" tableBorderDxfId="327">
  <autoFilter ref="AF1:AF9" xr:uid="{5C7C5014-0DFD-4140-8DC3-6AF6EDF169E4}"/>
  <tableColumns count="1">
    <tableColumn id="1" xr3:uid="{110DB470-8A90-40F5-9195-E7FDD4B61FDD}" name="Herramientas_hidráulicas" dataDxfId="326"/>
  </tableColumns>
  <tableStyleInfo name="TableStyleMedium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4D5333DB-8442-4BDB-B209-A9DAC7FA4D0A}" name="EPP_2367111" displayName="EPP_2367111" ref="AG1:AG6" totalsRowShown="0" headerRowDxfId="325" headerRowBorderDxfId="324" tableBorderDxfId="323">
  <autoFilter ref="AG1:AG6" xr:uid="{6ED4F867-D028-4151-85A1-2598FAD98928}"/>
  <tableColumns count="1">
    <tableColumn id="1" xr3:uid="{614E4AC1-F160-4E2B-967D-663A5F4380D2}" name="SPCC"/>
  </tableColumns>
  <tableStyleInfo name="TableStyleMedium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3E1B6FA5-728C-44ED-9065-79384CC30E26}" name="Herramientas_de_izaje2468112" displayName="Herramientas_de_izaje2468112" ref="AH1:AH6" totalsRowShown="0" headerRowDxfId="322" headerRowBorderDxfId="321" tableBorderDxfId="320">
  <autoFilter ref="AH1:AH6" xr:uid="{0DE75960-5B93-46A7-AAE6-BC581FFF1354}"/>
  <tableColumns count="1">
    <tableColumn id="1" xr3:uid="{B083457E-E51D-4057-B79B-DD369986B6E5}" name="Herramientas_de_izaje"/>
  </tableColumns>
  <tableStyleInfo name="TableStyleMedium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DE5D1016-EC85-445F-AD9D-48A8A0685027}" name="Tabla152569113" displayName="Tabla152569113" ref="AI1:AI2" totalsRowShown="0" headerRowDxfId="319" dataDxfId="317" headerRowBorderDxfId="318" tableBorderDxfId="316">
  <autoFilter ref="AI1:AI2" xr:uid="{7CDF3488-ADF8-42BB-8EFE-46E3A509430E}"/>
  <tableColumns count="1">
    <tableColumn id="1" xr3:uid="{CF29FE3D-79F4-4015-8979-D6A2909F6101}" name="Otros" dataDxfId="315"/>
  </tableColumns>
  <tableStyleInfo name="TableStyleMedium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B28640E2-0B88-41C2-9AB3-5E8E418AB160}" name="Tabla162670114" displayName="Tabla162670114" ref="AJ1:AJ6" totalsRowShown="0">
  <autoFilter ref="AJ1:AJ6" xr:uid="{BA84FDFB-CFCF-49B5-A4A0-7E55EE0C8343}"/>
  <tableColumns count="1">
    <tableColumn id="1" xr3:uid="{8FD54B87-80BE-4754-8B17-D7940B39143B}" name="Equipos"/>
  </tableColumns>
  <tableStyleInfo name="TableStyleMedium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916B2460-2476-43C5-A957-D1CDE2B10AF3}" name="Tabla571115" displayName="Tabla571115" ref="AB33:AC35" totalsRowShown="0" tableBorderDxfId="314">
  <autoFilter ref="AB33:AC35" xr:uid="{CF2FEFF5-0ED4-40EF-A2CA-B8658D653CBB}"/>
  <tableColumns count="2">
    <tableColumn id="1" xr3:uid="{30EBCD76-79E6-4A12-9330-AE9BA88BC3FC}" name="Calentador"/>
    <tableColumn id="2" xr3:uid="{2681CE61-5F9B-4F1A-99CC-B370CA6446AA}" name="Bomba"/>
  </tableColumns>
  <tableStyleInfo name="TableStyleMedium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D64E589F-385D-4050-917B-6E70597492A4}" name="Tabla1772116" displayName="Tabla1772116" ref="AB38:AB40" totalsRowShown="0" headerRowDxfId="313" headerRowBorderDxfId="312" tableBorderDxfId="311">
  <autoFilter ref="AB38:AB40" xr:uid="{830EF362-0156-4A25-9CC5-538DDBFCF308}"/>
  <tableColumns count="1">
    <tableColumn id="1" xr3:uid="{9E03253A-6D1F-44C0-9FA2-697F336E5DF3}" name="Martillo "/>
  </tableColumns>
  <tableStyleInfo name="TableStyleMedium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5F457B9E-C41E-43AC-96DC-ADA6F84FD904}" name="Tabla1873117" displayName="Tabla1873117" ref="AD29:AD31" totalsRowShown="0" dataDxfId="310">
  <autoFilter ref="AD29:AD31" xr:uid="{D9204BB2-CBF2-43D1-8CAA-9AC826A37056}"/>
  <tableColumns count="1">
    <tableColumn id="1" xr3:uid="{27B3ED3A-788A-4485-B72B-6871722C39DD}" name="Nivel" dataDxfId="309"/>
  </tableColumns>
  <tableStyleInfo name="TableStyleMedium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52F02D58-3BC9-47A1-A132-C900A97F56EA}" name="Tabla1974118" displayName="Tabla1974118" ref="AB42:AB45" totalsRowShown="0" headerRowDxfId="308" headerRowBorderDxfId="307" tableBorderDxfId="306" totalsRowBorderDxfId="305">
  <autoFilter ref="AB42:AB45" xr:uid="{751CC4DE-0F10-45F1-BAA4-31688AE830B1}"/>
  <tableColumns count="1">
    <tableColumn id="1" xr3:uid="{B9179ECF-C653-4987-BA1D-A79CE4625FD1}" name="Impactor"/>
  </tableColumns>
  <tableStyleInfo name="TableStyleMedium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16D81850-E880-4680-B297-5C06737DA48B}" name="Tabla2075119" displayName="Tabla2075119" ref="AB47:AB50" totalsRowShown="0">
  <autoFilter ref="AB47:AB50" xr:uid="{A14E2475-26A8-4E9D-8E77-6DD3075B12E9}"/>
  <tableColumns count="1">
    <tableColumn id="1" xr3:uid="{AB63DC03-9252-424E-8A12-1B0E51C56B93}" name="Extractor"/>
  </tableColumns>
  <tableStyleInfo name="TableStyleMedium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81375098-F38C-48EF-B6B8-FACDB6B98E63}" name="Tabla2176120" displayName="Tabla2176120" ref="AB52:AB53" totalsRowShown="0" dataDxfId="304" tableBorderDxfId="303">
  <autoFilter ref="AB52:AB53" xr:uid="{FB135CB6-85B5-46C8-99B8-45176F814696}"/>
  <tableColumns count="1">
    <tableColumn id="1" xr3:uid="{774BF5C9-4363-4C30-BABF-250199B7F680}" name="Esmeril" dataDxfId="302"/>
  </tableColumns>
  <tableStyleInfo name="TableStyleMedium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00A4CD0-61A7-47DB-A228-018474F0768D}" name="Tabla2277121" displayName="Tabla2277121" ref="AD56:AD58" totalsRowShown="0">
  <autoFilter ref="AD56:AD58" xr:uid="{3AB821FA-FFC5-4307-AC30-B52EA5139269}"/>
  <tableColumns count="1">
    <tableColumn id="1" xr3:uid="{901188D3-9D75-4DD2-B678-7C983243EA4D}" name="Manometro"/>
  </tableColumns>
  <tableStyleInfo name="TableStyleMedium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3F90973-4A9C-4AA3-8B41-317A76E8DE42}" name="Tabla2378122" displayName="Tabla2378122" ref="AD33:AD36" totalsRowShown="0" headerRowDxfId="301" tableBorderDxfId="300">
  <autoFilter ref="AD33:AD36" xr:uid="{16F850A9-F3B2-41CD-A0AE-53D6CE1A75ED}"/>
  <tableColumns count="1">
    <tableColumn id="1" xr3:uid="{4460039C-64A1-462C-8FEE-D3BDFDE06BA8}" name="Medidor"/>
  </tableColumns>
  <tableStyleInfo name="TableStyleMedium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8C37329-F364-4F2E-B0DC-13C005B9B92C}" name="Tabla2479123" displayName="Tabla2479123" ref="AD38:AD39" totalsRowShown="0" dataDxfId="299" tableBorderDxfId="298">
  <autoFilter ref="AD38:AD39" xr:uid="{1889A6F9-230B-4AFF-867D-3DF6472821F5}"/>
  <tableColumns count="1">
    <tableColumn id="1" xr3:uid="{C68325D1-CA64-4CE3-9BB3-475DDE42046F}" name="Camara termografica" dataDxfId="297"/>
  </tableColumns>
  <tableStyleInfo name="TableStyleMedium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4D569736-8D6C-4350-8255-D17509A01066}" name="Tabla2580124" displayName="Tabla2580124" ref="AE33:AE40" totalsRowShown="0">
  <autoFilter ref="AE33:AE40" xr:uid="{A0DED689-2510-4BE0-B85F-FD1D7D88DFA4}"/>
  <tableColumns count="1">
    <tableColumn id="1" xr3:uid="{E7286EAD-31C8-4D59-8644-A727E166E204}" name="Llaves"/>
  </tableColumns>
  <tableStyleInfo name="TableStyleMedium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CBF25423-A587-4F40-A1D0-5F6C9EECF3DB}" name="Tabla2681125" displayName="Tabla2681125" ref="AD41:AD45" totalsRowShown="0" tableBorderDxfId="296">
  <autoFilter ref="AD41:AD45" xr:uid="{8ED6E545-64E7-44D4-B8A8-CB23D42265C0}"/>
  <tableColumns count="1">
    <tableColumn id="1" xr3:uid="{0AE41433-2BE6-4B36-AF74-8CE627B04D15}" name="Calibrador"/>
  </tableColumns>
  <tableStyleInfo name="TableStyleMedium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2F3587C-6D54-4771-B6D6-EA68898A0412}" name="Tabla2882126" displayName="Tabla2882126" ref="AD48:AD51" totalsRowShown="0">
  <autoFilter ref="AD48:AD51" xr:uid="{9EF16892-84A3-4412-9559-E3ECBCBE8FAD}"/>
  <tableColumns count="1">
    <tableColumn id="1" xr3:uid="{E499B316-677B-452F-B213-6A00EAA00AD3}" name="Micrómetro"/>
  </tableColumns>
  <tableStyleInfo name="TableStyleMedium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B0218185-5F64-4C63-B938-F6A74CB32AD0}" name="Tabla2983127" displayName="Tabla2983127" ref="AE67:AE69" totalsRowShown="0" tableBorderDxfId="295">
  <autoFilter ref="AE67:AE69" xr:uid="{2312EFE8-ED6F-40CE-936E-92708A2A3E11}"/>
  <tableColumns count="1">
    <tableColumn id="1" xr3:uid="{32B5F988-5389-4A0B-8A9C-7B4AADAED3F5}" name="Alicates"/>
  </tableColumns>
  <tableStyleInfo name="TableStyleMedium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ED8FB68-8F1F-40A5-ABD1-39F9D6447307}" name="Tabla3084128" displayName="Tabla3084128" ref="AE50:AE59" totalsRowShown="0" dataDxfId="294" tableBorderDxfId="293">
  <autoFilter ref="AE50:AE59" xr:uid="{3B268A63-E4A5-4D1B-B445-E13631B6E887}"/>
  <tableColumns count="1">
    <tableColumn id="1" xr3:uid="{80D85EF9-440D-41AB-8BB4-993422A69549}" name="Dados" dataDxfId="292"/>
  </tableColumns>
  <tableStyleInfo name="TableStyleMedium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9575DB7E-D2B8-42F3-863E-FEDB31D36D2F}" name="Tabla3285129" displayName="Tabla3285129" ref="AE43:AE44" totalsRowShown="0" dataDxfId="291" tableBorderDxfId="290">
  <autoFilter ref="AE43:AE44" xr:uid="{005ABD67-F7E0-47FD-8970-322FEA5BBC4C}"/>
  <tableColumns count="1">
    <tableColumn id="1" xr3:uid="{EF7CE797-3F15-4156-8648-C41C6C12F08A}" name="Tijera" dataDxfId="289"/>
  </tableColumns>
  <tableStyleInfo name="TableStyleMedium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F8A4E5C-2BBB-443E-91D6-D200E8131ABA}" name="Tabla3386130" displayName="Tabla3386130" ref="AD63:AD64" totalsRowShown="0" dataDxfId="288" tableBorderDxfId="287">
  <autoFilter ref="AD63:AD64" xr:uid="{7D457BB0-C389-4126-BC6E-CB6D91AFE2A6}"/>
  <tableColumns count="1">
    <tableColumn id="1" xr3:uid="{09BC1AB8-67AC-4567-9FB6-BBAFE2AE0272}" name="Estetoscopio" dataDxfId="286"/>
  </tableColumns>
  <tableStyleInfo name="TableStyleMedium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8BEFD85D-8B69-4D71-B6EF-58A9FAF81D89}" name="Tabla3487131" displayName="Tabla3487131" ref="AE47:AE48" totalsRowShown="0" dataDxfId="285" tableBorderDxfId="284">
  <autoFilter ref="AE47:AE48" xr:uid="{EC300733-E688-43CB-A693-F1E2F80F6495}"/>
  <tableColumns count="1">
    <tableColumn id="1" xr3:uid="{1238D0A5-CBB0-40E7-BEE4-ECF58B454BD3}" name="Alargador" dataDxfId="283"/>
  </tableColumns>
  <tableStyleInfo name="TableStyleMedium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7A825D65-7B05-475D-8B42-56CD904FD750}" name="Tabla3588132" displayName="Tabla3588132" ref="AD60:AD61" totalsRowShown="0" dataDxfId="282" tableBorderDxfId="281">
  <autoFilter ref="AD60:AD61" xr:uid="{B42C8F8F-E6AD-4FF3-9580-F9F4B996FF6F}"/>
  <tableColumns count="1">
    <tableColumn id="1" xr3:uid="{28AA030F-0F94-4887-8B44-2C22D85FEF5B}" name="Torquimetro" dataDxfId="280"/>
  </tableColumns>
  <tableStyleInfo name="TableStyleMedium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0A3E71E-C64E-466B-8D85-319D71D9694E}" name="Tabla3789133" displayName="Tabla3789133" ref="AF29:AF30" totalsRowShown="0" headerRowDxfId="279" dataDxfId="277" headerRowBorderDxfId="278" tableBorderDxfId="276" totalsRowBorderDxfId="275">
  <autoFilter ref="AF29:AF30" xr:uid="{2886962D-17B4-4D37-AB1E-9FE27B267D99}"/>
  <tableColumns count="1">
    <tableColumn id="1" xr3:uid="{77F54FCF-394B-4013-BDEA-477A3A016506}" name="Llave " dataDxfId="274"/>
  </tableColumns>
  <tableStyleInfo name="TableStyleMedium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C61C7125-1688-4D5D-89AE-D04D0C55720F}" name="Tabla3890134" displayName="Tabla3890134" ref="B1:P611" totalsRowShown="0" headerRowDxfId="273">
  <autoFilter ref="B1:P611" xr:uid="{58127080-A22D-466C-8BA0-CCF2E2227FD2}"/>
  <tableColumns count="15">
    <tableColumn id="1" xr3:uid="{9A4F6BEF-16A1-4F4F-9553-11F4F148D5F3}" name="Item">
      <calculatedColumnFormula>ROW()-1</calculatedColumnFormula>
    </tableColumn>
    <tableColumn id="2" xr3:uid="{3D3D893D-C7B0-41FB-8390-56890C8DA99C}" name="Area" dataDxfId="272"/>
    <tableColumn id="3" xr3:uid="{2CC409CD-DCB1-4AF1-868A-0724B92F7C55}" name="Cantidad"/>
    <tableColumn id="4" xr3:uid="{BF67B668-6039-4671-B5A1-1501FF459779}" name="Clasificacion" dataDxfId="271"/>
    <tableColumn id="5" xr3:uid="{CE9C5298-9DDF-4CB1-9664-50C0A421FD55}" name="Descripción del equipo"/>
    <tableColumn id="6" xr3:uid="{0BDF3B17-C889-4870-8294-02265DD1B6EF}" name="Marca" dataDxfId="270"/>
    <tableColumn id="7" xr3:uid="{B709A628-5859-47DF-B3BA-8E9A9F787DE3}" name="Modelo" dataDxfId="269"/>
    <tableColumn id="8" xr3:uid="{325CEEBF-EC4D-47B5-907A-1DD751900A24}" name="Cod. Antiguo"/>
    <tableColumn id="9" xr3:uid="{BF8BEAD0-C02A-45BC-BB07-CB579875B91E}" name="Número de Serie"/>
    <tableColumn id="10" xr3:uid="{6DE242B7-E3C2-46A9-8476-BBCA9E652760}" name="Cód. Nuevo Asig" dataDxfId="268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710B7E00-9CCB-4AC5-8446-D0ABBD8D5C06}" name="Codigo de parte"/>
    <tableColumn id="12" xr3:uid="{D21F20EC-64B6-41C5-9A3B-F69EDEBFCD28}" name="Ubicación"/>
    <tableColumn id="13" xr3:uid="{80FA807A-1D4D-4AC8-AF3F-E3121F826D72}" name="Frecuencia de uso"/>
    <tableColumn id="14" xr3:uid="{88B1D920-A1A5-4835-9EE9-22DEEE816C4C}" name="Estado"/>
    <tableColumn id="15" xr3:uid="{66733C9F-A25A-47AE-9372-81906319A660}" name="Observaciones"/>
  </tableColumns>
  <tableStyleInfo name="TableStyleMedium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E6E2CAE0-51D5-4F09-9ADF-4BF1BA039E62}" name="Tabla3991135" displayName="Tabla3991135" ref="AE29:AE30" totalsRowShown="0">
  <autoFilter ref="AE29:AE30" xr:uid="{1C0F20AA-1469-4335-A289-55F2E420509F}"/>
  <tableColumns count="1">
    <tableColumn id="1" xr3:uid="{2E4E37C5-ABD7-473B-AD36-B30B934D94EF}" name="Multiplicador"/>
  </tableColumns>
  <tableStyleInfo name="TableStyleMedium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370C92D-CEFD-471B-AA0B-9B40FE993474}" name="Tabla4092136" displayName="Tabla4092136" ref="AB29:AC31" totalsRowShown="0" tableBorderDxfId="267">
  <autoFilter ref="AB29:AC31" xr:uid="{2E7F26C8-B310-438B-BD08-8C0BC82B7627}"/>
  <tableColumns count="2">
    <tableColumn id="1" xr3:uid="{43FD39B1-4289-433C-A683-7309AC0C038A}" name="Soldadoras"/>
    <tableColumn id="2" xr3:uid="{7BA551A2-5D22-421A-B7BE-5D3A7F5BCB95}" name="Martillo"/>
  </tableColumns>
  <tableStyleInfo name="TableStyleMedium2" showFirstColumn="0" showLastColumn="0" showRowStripes="1" showColumnStripes="0"/>
</table>
</file>

<file path=xl/tables/table2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A0AEEC5A-8128-45F0-AC6A-FE2289B74061}" name="Tabla4293137" displayName="Tabla4293137" ref="AB58:AB59" totalsRowShown="0">
  <autoFilter ref="AB58:AB59" xr:uid="{BDB2A400-1F11-4F53-807B-27202876BE6C}"/>
  <tableColumns count="1">
    <tableColumn id="1" xr3:uid="{8D8D1902-BF77-471D-846B-9DB30D245DC2}" name="Amoladora"/>
  </tableColumns>
  <tableStyleInfo name="TableStyleMedium2" showFirstColumn="0" showLastColumn="0" showRowStripes="1" showColumnStripes="0"/>
</table>
</file>

<file path=xl/tables/table2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64779EB-1B8B-4488-BB8E-CD4D7BB492E6}" name="Tabla4394138" displayName="Tabla4394138" ref="AB62:AB64" totalsRowShown="0" dataDxfId="266" tableBorderDxfId="265">
  <autoFilter ref="AB62:AB64" xr:uid="{931F2BE3-67FF-44D5-B415-148F761F93A6}"/>
  <tableColumns count="1">
    <tableColumn id="1" xr3:uid="{38B72FF7-55B9-4140-A29B-C075A3356549}" name="Iluminación" dataDxfId="264"/>
  </tableColumns>
  <tableStyleInfo name="TableStyleMedium2" showFirstColumn="0" showLastColumn="0" showRowStripes="1" showColumnStripes="0"/>
</table>
</file>

<file path=xl/tables/table2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970A0288-CA02-4BD3-A61C-D23C4812DE6F}" name="Tabla4495139" displayName="Tabla4495139" ref="AH29:AH30" totalsRowShown="0">
  <autoFilter ref="AH29:AH30" xr:uid="{9781A61A-AC29-41AE-98F6-916225D99E1D}"/>
  <tableColumns count="1">
    <tableColumn id="1" xr3:uid="{C807A56E-46AE-4FCE-A688-F7CE517D43E8}" name="Tecle"/>
  </tableColumns>
  <tableStyleInfo name="TableStyleMedium2" showFirstColumn="0" showLastColumn="0" showRowStripes="1" showColumnStripes="0"/>
</table>
</file>

<file path=xl/tables/table2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46AED786-0E74-4852-83A1-57EF11AD092E}" name="Tabla4596140" displayName="Tabla4596140" ref="AB66:AB68" totalsRowShown="0">
  <autoFilter ref="AB66:AB68" xr:uid="{883961C8-D276-4BAE-B81D-192750F3D2CC}"/>
  <tableColumns count="1">
    <tableColumn id="1" xr3:uid="{15D71575-49F5-4D37-85FE-3504E3E09E8C}" name="Lubricador"/>
  </tableColumns>
  <tableStyleInfo name="TableStyleMedium2" showFirstColumn="0" showLastColumn="0" showRowStripes="1" showColumnStripes="0"/>
</table>
</file>

<file path=xl/tables/table2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B55E93E1-0C85-44EE-BF5E-579F3E9B258A}" name="Tabla4697141" displayName="Tabla4697141" ref="AE61:AE62" totalsRowShown="0">
  <autoFilter ref="AE61:AE62" xr:uid="{F9F816C6-2BEF-46FF-915F-BE5B9C6045E2}"/>
  <tableColumns count="1">
    <tableColumn id="1" xr3:uid="{F7A03EED-4FCC-4B24-8461-5396E68BFDC4}" name="Combos"/>
  </tableColumns>
  <tableStyleInfo name="TableStyleMedium2" showFirstColumn="0" showLastColumn="0" showRowStripes="1" showColumnStripes="0"/>
</table>
</file>

<file path=xl/tables/table2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F48C0CCC-524F-47F0-8229-9D51FCC4031C}" name="Tabla4798142" displayName="Tabla4798142" ref="AE64:AE65" totalsRowShown="0">
  <autoFilter ref="AE64:AE65" xr:uid="{D0087047-FAAD-47F1-8107-9751D313CB07}"/>
  <tableColumns count="1">
    <tableColumn id="1" xr3:uid="{386D90D0-A211-49FC-9EE9-251D2F8204CA}" name="Mesa"/>
  </tableColumns>
  <tableStyleInfo name="TableStyleMedium2" showFirstColumn="0" showLastColumn="0" showRowStripes="1" showColumnStripes="0"/>
</table>
</file>

<file path=xl/tables/table2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67D4A09F-8DF6-4AFF-A4C1-916189F97866}" name="Tabla4899143" displayName="Tabla4899143" ref="AK29:AK31" totalsRowShown="0" tableBorderDxfId="263">
  <autoFilter ref="AK29:AK31" xr:uid="{98D206C1-A450-4754-81B2-030642ED939D}"/>
  <tableColumns count="1">
    <tableColumn id="1" xr3:uid="{FFE5DD36-21E0-433B-BF35-C6730788F620}" name="Pinza"/>
  </tableColumns>
  <tableStyleInfo name="TableStyleMedium2" showFirstColumn="0" showLastColumn="0" showRowStripes="1" showColumnStripes="0"/>
</table>
</file>

<file path=xl/tables/table2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102517A8-BE62-43C7-B852-1C906031CB5C}" name="Tabla4956100144" displayName="Tabla4956100144" ref="AK1:AK20" totalsRowShown="0" tableBorderDxfId="262">
  <autoFilter ref="AK1:AK20" xr:uid="{682A1042-040F-4BDC-814E-19EDB04144BA}"/>
  <tableColumns count="1">
    <tableColumn id="1" xr3:uid="{F160EA7D-698E-4CF6-A74F-190AE40237E4}" name="Accesorios"/>
  </tableColumns>
  <tableStyleInfo name="TableStyleMedium2" showFirstColumn="0" showLastColumn="0" showRowStripes="1" showColumnStripes="0"/>
</table>
</file>

<file path=xl/tables/table2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8F6D70F4-FBA5-4A88-A083-4BC19CB60078}" name="Tabla758" displayName="Tabla758" ref="W1:X13" totalsRowShown="0" dataDxfId="261" tableBorderDxfId="260">
  <autoFilter ref="W1:X13" xr:uid="{9C601E76-6EC7-4996-8C5A-4EC2650D4D49}"/>
  <tableColumns count="2">
    <tableColumn id="1" xr3:uid="{8788D6B4-0EF7-4B68-BDE3-572FE36E1C42}" name="ID" dataDxfId="259"/>
    <tableColumn id="2" xr3:uid="{C2BC89DD-0365-45B9-A5D5-5AADD8572CC2}" name="Area" dataDxfId="258"/>
  </tableColumns>
  <tableStyleInfo name="TableStyleMedium2" showFirstColumn="0" showLastColumn="0" showRowStripes="1" showColumnStripes="0"/>
</table>
</file>

<file path=xl/tables/table2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3AA0728C-D59D-4A9B-BABE-3CE9D6E9E931}" name="Tabla259" displayName="Tabla259" ref="Z1:AA4" totalsRowShown="0" headerRowDxfId="257" headerRowBorderDxfId="256" tableBorderDxfId="255" totalsRowBorderDxfId="254">
  <autoFilter ref="Z1:AA4" xr:uid="{8EA5E146-546E-4301-8341-E9A2182AF11B}"/>
  <tableColumns count="2">
    <tableColumn id="1" xr3:uid="{15167D67-A025-40B2-9CE3-A792A0099E3C}" name="ID" dataDxfId="253"/>
    <tableColumn id="2" xr3:uid="{0349A727-9CC4-4481-8F47-5A7DFBB48BEF}" name="Estado" dataDxfId="252"/>
  </tableColumns>
  <tableStyleInfo name="TableStyleMedium2" showFirstColumn="0" showLastColumn="0" showRowStripes="1" showColumnStripes="0"/>
</table>
</file>

<file path=xl/tables/table2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11F65EC-032F-46C5-87E0-891A3C61375D}" name="Tabla360" displayName="Tabla360" ref="AC1:AD7" totalsRowShown="0" headerRowDxfId="251" headerRowBorderDxfId="250" tableBorderDxfId="249" totalsRowBorderDxfId="248">
  <autoFilter ref="AC1:AD7" xr:uid="{4313A204-2187-4F5D-B195-E9D8244B0B6A}"/>
  <tableColumns count="2">
    <tableColumn id="1" xr3:uid="{3F21EBBC-C30B-493E-A174-0E7E8EF5D2B4}" name="ID" dataDxfId="247"/>
    <tableColumn id="2" xr3:uid="{0BB06623-455B-40E6-9B74-0E1523FC1940}" name="Clasificación" dataDxfId="246"/>
  </tableColumns>
  <tableStyleInfo name="TableStyleMedium2" showFirstColumn="0" showLastColumn="0" showRowStripes="1" showColumnStripes="0"/>
</table>
</file>

<file path=xl/tables/table2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DC1D7174-C54B-4DC9-879F-CBD8D89AC010}" name="Tabla461" displayName="Tabla461" ref="AC9:AC12" totalsRowShown="0" headerRowDxfId="245" headerRowBorderDxfId="244" tableBorderDxfId="243" totalsRowBorderDxfId="242">
  <autoFilter ref="AC9:AC12" xr:uid="{4FA69CD1-8D3C-4F41-B69E-D64790738288}"/>
  <tableColumns count="1">
    <tableColumn id="1" xr3:uid="{C8814BEA-78CC-4152-8660-3105F12535C3}" name="Frecuencia de uso" dataDxfId="241"/>
  </tableColumns>
  <tableStyleInfo name="TableStyleMedium2" showFirstColumn="0" showLastColumn="0" showRowStripes="1" showColumnStripes="0"/>
</table>
</file>

<file path=xl/tables/table2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576E2A2-EC21-43C9-BFD6-9551F5187870}" name="Herramientas_eléctricas1862" displayName="Herramientas_eléctricas1862" ref="AG1:AG21" totalsRowShown="0" headerRowDxfId="240" headerRowBorderDxfId="239" tableBorderDxfId="238">
  <autoFilter ref="AG1:AG21" xr:uid="{9A901B8B-4001-4C56-97C1-F800FB168E81}"/>
  <tableColumns count="1">
    <tableColumn id="1" xr3:uid="{F2EB56F7-E925-4C01-B6F8-9E452210380D}" name="Herramientas_eléctricas"/>
  </tableColumns>
  <tableStyleInfo name="TableStyleMedium2" showFirstColumn="0" showLastColumn="0" showRowStripes="1" showColumnStripes="0"/>
</table>
</file>

<file path=xl/tables/table2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109433CA-26A3-4122-BF64-328E63A3E482}" name="Herramientas_neumáticas1963" displayName="Herramientas_neumáticas1963" ref="AH1:AH6" totalsRowShown="0" headerRowDxfId="237" headerRowBorderDxfId="236" tableBorderDxfId="235">
  <autoFilter ref="AH1:AH6" xr:uid="{DDFD7ABB-9233-49B8-8E7D-0C4E4E73668B}"/>
  <tableColumns count="1">
    <tableColumn id="1" xr3:uid="{B904F643-78CB-439C-90FE-293E3FD425EB}" name="Herramientas_neumáticas"/>
  </tableColumns>
  <tableStyleInfo name="TableStyleMedium2" showFirstColumn="0" showLastColumn="0" showRowStripes="1" showColumnStripes="0"/>
</table>
</file>

<file path=xl/tables/table2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9E2DB0ED-75D8-4119-B09D-F15589578922}" name="Herramientas_de_medición2064" displayName="Herramientas_de_medición2064" ref="AI1:AI16" totalsRowShown="0" headerRowDxfId="234" headerRowBorderDxfId="233" tableBorderDxfId="232">
  <autoFilter ref="AI1:AI16" xr:uid="{A1A99238-FF6A-4B46-95FE-F6F59C0A59FF}"/>
  <tableColumns count="1">
    <tableColumn id="1" xr3:uid="{56A20403-EB94-460B-B9CF-3AAB32D9756F}" name="Herramientas_de_medición" dataDxfId="231"/>
  </tableColumns>
  <tableStyleInfo name="TableStyleMedium2" showFirstColumn="0" showLastColumn="0" showRowStripes="1" showColumnStripes="0"/>
</table>
</file>

<file path=xl/tables/table2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80AF80DC-D1E5-44D0-AC82-FD0FD59E5654}" name="Herrramientas_mecánicas2165" displayName="Herrramientas_mecánicas2165" ref="AJ1:AJ21" totalsRowShown="0" headerRowDxfId="230" headerRowBorderDxfId="229" tableBorderDxfId="228">
  <autoFilter ref="AJ1:AJ21" xr:uid="{82699701-A4C7-4A41-A40B-8F87727B2FCD}"/>
  <tableColumns count="1">
    <tableColumn id="1" xr3:uid="{DD3C8C92-D4F8-4F88-BC6F-B25671A4D4E3}" name="Herramientas_mecánicas"/>
  </tableColumns>
  <tableStyleInfo name="TableStyleMedium2" showFirstColumn="0" showLastColumn="0" showRowStripes="1" showColumnStripes="0"/>
</table>
</file>

<file path=xl/tables/table2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6294E24B-C135-4918-ACD3-F44E1514DFF4}" name="Herramientas_hidráulicas2266" displayName="Herramientas_hidráulicas2266" ref="AK1:AK9" totalsRowShown="0" headerRowDxfId="227" dataDxfId="225" headerRowBorderDxfId="226" tableBorderDxfId="224">
  <autoFilter ref="AK1:AK9" xr:uid="{5C7C5014-0DFD-4140-8DC3-6AF6EDF169E4}"/>
  <tableColumns count="1">
    <tableColumn id="1" xr3:uid="{0D557DC3-F3D0-4097-9CE8-D9EEFDC40B06}" name="Herramientas_hidráulicas" dataDxfId="223"/>
  </tableColumns>
  <tableStyleInfo name="TableStyleMedium2" showFirstColumn="0" showLastColumn="0" showRowStripes="1" showColumnStripes="0"/>
</table>
</file>

<file path=xl/tables/table2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4412AA0-90D7-475A-844A-7D0DDC87A62E}" name="EPP_2367" displayName="EPP_2367" ref="AL1:AL6" totalsRowShown="0" headerRowDxfId="222" headerRowBorderDxfId="221" tableBorderDxfId="220">
  <autoFilter ref="AL1:AL6" xr:uid="{6ED4F867-D028-4151-85A1-2598FAD98928}"/>
  <tableColumns count="1">
    <tableColumn id="1" xr3:uid="{9B9CAF19-78A0-4BEC-824C-4BB324FB5F95}" name="SPCC"/>
  </tableColumns>
  <tableStyleInfo name="TableStyleMedium2" showFirstColumn="0" showLastColumn="0" showRowStripes="1" showColumnStripes="0"/>
</table>
</file>

<file path=xl/tables/table2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4C2C834C-6EB6-48D8-8381-27CA5B0D6B1F}" name="Herramientas_de_izaje2468" displayName="Herramientas_de_izaje2468" ref="AM1:AM6" totalsRowShown="0" headerRowDxfId="219" headerRowBorderDxfId="218" tableBorderDxfId="217">
  <autoFilter ref="AM1:AM6" xr:uid="{0DE75960-5B93-46A7-AAE6-BC581FFF1354}"/>
  <tableColumns count="1">
    <tableColumn id="1" xr3:uid="{EE83FFEB-8EDB-4EF1-8604-23530ABC2C73}" name="Herramientas_de_izaje"/>
  </tableColumns>
  <tableStyleInfo name="TableStyleMedium2" showFirstColumn="0" showLastColumn="0" showRowStripes="1" showColumnStripes="0"/>
</table>
</file>

<file path=xl/tables/table2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9DE7431E-7358-45A9-BA05-F969D525E2CD}" name="Tabla152569" displayName="Tabla152569" ref="AN1:AN2" totalsRowShown="0" headerRowDxfId="216" dataDxfId="214" headerRowBorderDxfId="215" tableBorderDxfId="213">
  <autoFilter ref="AN1:AN2" xr:uid="{7CDF3488-ADF8-42BB-8EFE-46E3A509430E}"/>
  <tableColumns count="1">
    <tableColumn id="1" xr3:uid="{9BA568BE-EE7B-4988-A85C-EF8F8DECA937}" name="Otros" dataDxfId="212"/>
  </tableColumns>
  <tableStyleInfo name="TableStyleMedium2" showFirstColumn="0" showLastColumn="0" showRowStripes="1" showColumnStripes="0"/>
</table>
</file>

<file path=xl/tables/table2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EDD39826-6E58-41FA-B94C-A39033608E57}" name="Tabla162670" displayName="Tabla162670" ref="AO1:AO6" totalsRowShown="0">
  <autoFilter ref="AO1:AO6" xr:uid="{BA84FDFB-CFCF-49B5-A4A0-7E55EE0C8343}"/>
  <tableColumns count="1">
    <tableColumn id="1" xr3:uid="{6F6A621A-2D54-41A9-8AFD-C4460535AD91}" name="Equipos"/>
  </tableColumns>
  <tableStyleInfo name="TableStyleMedium2" showFirstColumn="0" showLastColumn="0" showRowStripes="1" showColumnStripes="0"/>
</table>
</file>

<file path=xl/tables/table2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976D1BE-4FA4-4D96-AD99-BA379DCEC2C3}" name="Tabla571" displayName="Tabla571" ref="AG33:AH35" totalsRowShown="0" tableBorderDxfId="211">
  <autoFilter ref="AG33:AH35" xr:uid="{CF2FEFF5-0ED4-40EF-A2CA-B8658D653CBB}"/>
  <tableColumns count="2">
    <tableColumn id="1" xr3:uid="{D027E6D7-D498-477C-929E-CD25C0F25AA5}" name="Calentador"/>
    <tableColumn id="2" xr3:uid="{B15E686E-3231-4416-BCF2-46F257CD8C28}" name="Bomba"/>
  </tableColumns>
  <tableStyleInfo name="TableStyleMedium2" showFirstColumn="0" showLastColumn="0" showRowStripes="1" showColumnStripes="0"/>
</table>
</file>

<file path=xl/tables/table2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BE3BB531-2A44-4349-A7AF-574DFF201D15}" name="Tabla1772" displayName="Tabla1772" ref="AG38:AG40" totalsRowShown="0" headerRowDxfId="210" headerRowBorderDxfId="209" tableBorderDxfId="208">
  <autoFilter ref="AG38:AG40" xr:uid="{830EF362-0156-4A25-9CC5-538DDBFCF308}"/>
  <tableColumns count="1">
    <tableColumn id="1" xr3:uid="{8A4EFC25-D5D2-4E32-A2CE-9330DED0076A}" name="Martillo "/>
  </tableColumns>
  <tableStyleInfo name="TableStyleMedium2" showFirstColumn="0" showLastColumn="0" showRowStripes="1" showColumnStripes="0"/>
</table>
</file>

<file path=xl/tables/table2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4ADCEA5C-52A3-4E52-9411-6359720CC60B}" name="Tabla1873" displayName="Tabla1873" ref="AI29:AI31" totalsRowShown="0" dataDxfId="207">
  <autoFilter ref="AI29:AI31" xr:uid="{D9204BB2-CBF2-43D1-8CAA-9AC826A37056}"/>
  <tableColumns count="1">
    <tableColumn id="1" xr3:uid="{64754FD7-173A-4F0A-AE19-F9174CE4BF65}" name="Nivel" dataDxfId="206"/>
  </tableColumns>
  <tableStyleInfo name="TableStyleMedium2" showFirstColumn="0" showLastColumn="0" showRowStripes="1" showColumnStripes="0"/>
</table>
</file>

<file path=xl/tables/table2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5E5357AB-9B0F-4D13-AF7A-840E99CBFD91}" name="Tabla1974" displayName="Tabla1974" ref="AG42:AG45" totalsRowShown="0" headerRowDxfId="205" headerRowBorderDxfId="204" tableBorderDxfId="203" totalsRowBorderDxfId="202">
  <autoFilter ref="AG42:AG45" xr:uid="{751CC4DE-0F10-45F1-BAA4-31688AE830B1}"/>
  <tableColumns count="1">
    <tableColumn id="1" xr3:uid="{AD11BA9D-C3A0-4368-9B25-21F4537EC57D}" name="Impactor"/>
  </tableColumns>
  <tableStyleInfo name="TableStyleMedium2" showFirstColumn="0" showLastColumn="0" showRowStripes="1" showColumnStripes="0"/>
</table>
</file>

<file path=xl/tables/table2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2363A82-BA7C-4BC5-98C3-8D0BEFB667A5}" name="Tabla2075" displayName="Tabla2075" ref="AG47:AG50" totalsRowShown="0">
  <autoFilter ref="AG47:AG50" xr:uid="{A14E2475-26A8-4E9D-8E77-6DD3075B12E9}"/>
  <tableColumns count="1">
    <tableColumn id="1" xr3:uid="{5F7AEF7A-A80A-4F17-AA1A-C4D298D40699}" name="Extractor"/>
  </tableColumns>
  <tableStyleInfo name="TableStyleMedium2" showFirstColumn="0" showLastColumn="0" showRowStripes="1" showColumnStripes="0"/>
</table>
</file>

<file path=xl/tables/table2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389C88D-220A-42A4-B8B3-70BC6AE9D34E}" name="Tabla2176" displayName="Tabla2176" ref="AG52:AG53" totalsRowShown="0" dataDxfId="201" tableBorderDxfId="200">
  <autoFilter ref="AG52:AG53" xr:uid="{FB135CB6-85B5-46C8-99B8-45176F814696}"/>
  <tableColumns count="1">
    <tableColumn id="1" xr3:uid="{FCCD73D3-0A5E-4278-8861-C1D41B068021}" name="Esmeril" dataDxfId="199"/>
  </tableColumns>
  <tableStyleInfo name="TableStyleMedium2" showFirstColumn="0" showLastColumn="0" showRowStripes="1" showColumnStripes="0"/>
</table>
</file>

<file path=xl/tables/table2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48908D2D-6AC2-4C0F-B364-F24FB66C01D1}" name="Tabla2277" displayName="Tabla2277" ref="AI56:AI58" totalsRowShown="0">
  <autoFilter ref="AI56:AI58" xr:uid="{3AB821FA-FFC5-4307-AC30-B52EA5139269}"/>
  <tableColumns count="1">
    <tableColumn id="1" xr3:uid="{F243103B-DAEC-4CFD-8394-5F67F6858ABD}" name="Manometro"/>
  </tableColumns>
  <tableStyleInfo name="TableStyleMedium2" showFirstColumn="0" showLastColumn="0" showRowStripes="1" showColumnStripes="0"/>
</table>
</file>

<file path=xl/tables/table2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2AFA6350-BB43-4AE6-BDF8-4FD66BDE958C}" name="Tabla2378" displayName="Tabla2378" ref="AI33:AI36" totalsRowShown="0" headerRowDxfId="198" tableBorderDxfId="197">
  <autoFilter ref="AI33:AI36" xr:uid="{16F850A9-F3B2-41CD-A0AE-53D6CE1A75ED}"/>
  <tableColumns count="1">
    <tableColumn id="1" xr3:uid="{DBAAA9F3-1D6F-430F-956D-47F8F1DB1A5D}" name="Medidor"/>
  </tableColumns>
  <tableStyleInfo name="TableStyleMedium2" showFirstColumn="0" showLastColumn="0" showRowStripes="1" showColumnStripes="0"/>
</table>
</file>

<file path=xl/tables/table2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CFEF15BF-6720-4A4E-8EFB-A58000658947}" name="Tabla2479" displayName="Tabla2479" ref="AI38:AI39" totalsRowShown="0" dataDxfId="196" tableBorderDxfId="195">
  <autoFilter ref="AI38:AI39" xr:uid="{1889A6F9-230B-4AFF-867D-3DF6472821F5}"/>
  <tableColumns count="1">
    <tableColumn id="1" xr3:uid="{568A4B89-8923-43B8-83E0-B2F616F42AC9}" name="Camara termografica" dataDxfId="194"/>
  </tableColumns>
  <tableStyleInfo name="TableStyleMedium2" showFirstColumn="0" showLastColumn="0" showRowStripes="1" showColumnStripes="0"/>
</table>
</file>

<file path=xl/tables/table2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2732B16C-CEA0-4FE2-B7ED-A8DB240ED900}" name="Tabla2580" displayName="Tabla2580" ref="AJ33:AJ40" totalsRowShown="0">
  <autoFilter ref="AJ33:AJ40" xr:uid="{A0DED689-2510-4BE0-B85F-FD1D7D88DFA4}"/>
  <tableColumns count="1">
    <tableColumn id="1" xr3:uid="{F04E45AB-258C-4A9C-B1B1-5E16DEEF12BD}" name="Llaves"/>
  </tableColumns>
  <tableStyleInfo name="TableStyleMedium2" showFirstColumn="0" showLastColumn="0" showRowStripes="1" showColumnStripes="0"/>
</table>
</file>

<file path=xl/tables/table2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9464F0E3-F213-48AE-99C9-0B4B5524DF7B}" name="Tabla2681" displayName="Tabla2681" ref="AI41:AI45" totalsRowShown="0" tableBorderDxfId="193">
  <autoFilter ref="AI41:AI45" xr:uid="{8ED6E545-64E7-44D4-B8A8-CB23D42265C0}"/>
  <tableColumns count="1">
    <tableColumn id="1" xr3:uid="{AD11F3DD-96D2-4151-92EB-C3CE1FC37C0F}" name="Calibrador"/>
  </tableColumns>
  <tableStyleInfo name="TableStyleMedium2" showFirstColumn="0" showLastColumn="0" showRowStripes="1" showColumnStripes="0"/>
</table>
</file>

<file path=xl/tables/table2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F3A3D7CC-70D6-4562-83FC-83784AA1B361}" name="Tabla2882" displayName="Tabla2882" ref="AI48:AI51" totalsRowShown="0">
  <autoFilter ref="AI48:AI51" xr:uid="{9EF16892-84A3-4412-9559-E3ECBCBE8FAD}"/>
  <tableColumns count="1">
    <tableColumn id="1" xr3:uid="{04B5254B-10B7-4898-8C27-58FA707E422A}" name="Micrómetro"/>
  </tableColumns>
  <tableStyleInfo name="TableStyleMedium2" showFirstColumn="0" showLastColumn="0" showRowStripes="1" showColumnStripes="0"/>
</table>
</file>

<file path=xl/tables/table2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5283A706-3C05-446D-894C-4F156D1CABAF}" name="Tabla2983" displayName="Tabla2983" ref="AJ67:AJ69" totalsRowShown="0" tableBorderDxfId="192">
  <autoFilter ref="AJ67:AJ69" xr:uid="{2312EFE8-ED6F-40CE-936E-92708A2A3E11}"/>
  <tableColumns count="1">
    <tableColumn id="1" xr3:uid="{EDD87B72-53DF-4D1F-96B5-5FF96522E4BD}" name="Alicates"/>
  </tableColumns>
  <tableStyleInfo name="TableStyleMedium2" showFirstColumn="0" showLastColumn="0" showRowStripes="1" showColumnStripes="0"/>
</table>
</file>

<file path=xl/tables/table2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ECA0A34A-D289-4F3D-B84B-A8D3E268C248}" name="Tabla3084" displayName="Tabla3084" ref="AJ50:AJ59" totalsRowShown="0" dataDxfId="191" tableBorderDxfId="190">
  <autoFilter ref="AJ50:AJ59" xr:uid="{3B268A63-E4A5-4D1B-B445-E13631B6E887}"/>
  <tableColumns count="1">
    <tableColumn id="1" xr3:uid="{9092BAAD-8E39-4CA0-A834-2189BB7BBCBD}" name="Dados" dataDxfId="189"/>
  </tableColumns>
  <tableStyleInfo name="TableStyleMedium2" showFirstColumn="0" showLastColumn="0" showRowStripes="1" showColumnStripes="0"/>
</table>
</file>

<file path=xl/tables/table2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A363CB1-D105-4211-B509-449FC596896B}" name="Tabla3285" displayName="Tabla3285" ref="AJ43:AJ44" totalsRowShown="0" dataDxfId="188" tableBorderDxfId="187">
  <autoFilter ref="AJ43:AJ44" xr:uid="{005ABD67-F7E0-47FD-8970-322FEA5BBC4C}"/>
  <tableColumns count="1">
    <tableColumn id="1" xr3:uid="{582DAF61-0715-4EAE-91AC-AD6833F49634}" name="Tijera" dataDxfId="186"/>
  </tableColumns>
  <tableStyleInfo name="TableStyleMedium2" showFirstColumn="0" showLastColumn="0" showRowStripes="1" showColumnStripes="0"/>
</table>
</file>

<file path=xl/tables/table2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ADCD47A9-ED88-4D0E-AEFD-2DBFCED5B7EB}" name="Tabla3386" displayName="Tabla3386" ref="AI63:AI64" totalsRowShown="0" dataDxfId="185" tableBorderDxfId="184">
  <autoFilter ref="AI63:AI64" xr:uid="{7D457BB0-C389-4126-BC6E-CB6D91AFE2A6}"/>
  <tableColumns count="1">
    <tableColumn id="1" xr3:uid="{FBC0B04A-7C86-443C-A4EF-F169F981AFA4}" name="Estetoscopio" dataDxfId="183"/>
  </tableColumns>
  <tableStyleInfo name="TableStyleMedium2" showFirstColumn="0" showLastColumn="0" showRowStripes="1" showColumnStripes="0"/>
</table>
</file>

<file path=xl/tables/table2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891BC7A6-56AD-4D04-87CA-43E1ABCB79A7}" name="Tabla3487" displayName="Tabla3487" ref="AJ47:AJ48" totalsRowShown="0" dataDxfId="182" tableBorderDxfId="181">
  <autoFilter ref="AJ47:AJ48" xr:uid="{EC300733-E688-43CB-A693-F1E2F80F6495}"/>
  <tableColumns count="1">
    <tableColumn id="1" xr3:uid="{FD5250A6-7B4A-4AC2-B4E8-E3BB6A8475CB}" name="Alargador" dataDxfId="180"/>
  </tableColumns>
  <tableStyleInfo name="TableStyleMedium2" showFirstColumn="0" showLastColumn="0" showRowStripes="1" showColumnStripes="0"/>
</table>
</file>

<file path=xl/tables/table2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63C95ADE-CE12-41A0-B158-82D5F25EF2D3}" name="Tabla3588" displayName="Tabla3588" ref="AI60:AI61" totalsRowShown="0" dataDxfId="179" tableBorderDxfId="178">
  <autoFilter ref="AI60:AI61" xr:uid="{B42C8F8F-E6AD-4FF3-9580-F9F4B996FF6F}"/>
  <tableColumns count="1">
    <tableColumn id="1" xr3:uid="{80D76175-D9F0-4C23-95D1-0B44FF12E788}" name="Torquimetro" dataDxfId="177"/>
  </tableColumns>
  <tableStyleInfo name="TableStyleMedium2" showFirstColumn="0" showLastColumn="0" showRowStripes="1" showColumnStripes="0"/>
</table>
</file>

<file path=xl/tables/table2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9CA39D2D-8A9B-4185-B78B-609197663A85}" name="Tabla3789" displayName="Tabla3789" ref="AK29:AK30" totalsRowShown="0" headerRowDxfId="176" dataDxfId="174" headerRowBorderDxfId="175" tableBorderDxfId="173" totalsRowBorderDxfId="172">
  <autoFilter ref="AK29:AK30" xr:uid="{2886962D-17B4-4D37-AB1E-9FE27B267D99}"/>
  <tableColumns count="1">
    <tableColumn id="1" xr3:uid="{20AFE752-21B3-4D14-8FE1-6B6AA6B30A0C}" name="Llave " dataDxfId="171"/>
  </tableColumns>
  <tableStyleInfo name="TableStyleMedium2" showFirstColumn="0" showLastColumn="0" showRowStripes="1" showColumnStripes="0"/>
</table>
</file>

<file path=xl/tables/table2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E382CC04-73A5-42D2-8C23-9CA6F261812B}" name="Tabla3890" displayName="Tabla3890" ref="B1:U611" totalsRowShown="0" headerRowDxfId="170">
  <autoFilter ref="B1:U611" xr:uid="{E382CC04-73A5-42D2-8C23-9CA6F261812B}"/>
  <tableColumns count="20">
    <tableColumn id="1" xr3:uid="{0C69CB68-1E81-4F6D-8A30-218C8CC7383C}" name="Item">
      <calculatedColumnFormula>ROW()-1</calculatedColumnFormula>
    </tableColumn>
    <tableColumn id="2" xr3:uid="{A3B8EB51-728E-4334-B4E2-944B16303689}" name="Area" dataDxfId="169"/>
    <tableColumn id="3" xr3:uid="{A3BFCC82-BFDA-4438-8FC6-1DA43E773241}" name="Cantidad"/>
    <tableColumn id="4" xr3:uid="{9E122A94-86F6-46C1-A4C5-751BB97B7E31}" name="Clasificacion" dataDxfId="168"/>
    <tableColumn id="5" xr3:uid="{9063ABDA-11AB-45A3-B53E-9D38CB40DE9A}" name="Descripción del equipo"/>
    <tableColumn id="6" xr3:uid="{3B20B15E-4A40-4118-BB29-0A4EBB41DAA9}" name="Marca" dataDxfId="167"/>
    <tableColumn id="7" xr3:uid="{C17F846D-8E58-4767-9AAF-97F82F882705}" name="Modelo" dataDxfId="166"/>
    <tableColumn id="20" xr3:uid="{97AC4C4B-7854-42AE-B063-5A29356964F6}" name="AMPERAJE" dataDxfId="165"/>
    <tableColumn id="17" xr3:uid="{FB558056-6303-4F6D-BD7F-DED076F85604}" name="Diametro de disco" dataDxfId="164"/>
    <tableColumn id="19" xr3:uid="{026555C9-BB00-4B0E-9989-C0E1FC04853F}" name="Potencia" dataDxfId="163"/>
    <tableColumn id="16" xr3:uid="{658AD337-5715-4B20-9B76-312F252B64B1}" name="voltaje" dataDxfId="162"/>
    <tableColumn id="18" xr3:uid="{8E5A37E7-2103-4186-BE40-36ABBEC10830}" name="RPMs" dataDxfId="161"/>
    <tableColumn id="8" xr3:uid="{505CDD2B-08F3-428C-8A9F-70E3A7AA12E2}" name="Cod. Antiguo"/>
    <tableColumn id="9" xr3:uid="{DA8D6ABE-61FE-4CC3-B23C-1FAB94FBB995}" name="Número de Serie"/>
    <tableColumn id="10" xr3:uid="{9BBBF7AE-DE1B-4CC9-BAD1-340FE66440F9}" name="Cód. Nuevo Asig" dataDxfId="160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582DBCBD-CF6C-494E-84DF-087DEF31EA94}" name="Codigo de parte"/>
    <tableColumn id="12" xr3:uid="{6D2A407A-CFA3-4136-BBDD-C4C49E62DB14}" name="Ubicación"/>
    <tableColumn id="13" xr3:uid="{BC877CC9-36A8-49D4-AB55-EF39C6B04A42}" name="Frecuencia de uso"/>
    <tableColumn id="14" xr3:uid="{51EDF04A-1B23-423A-9088-D5EBAA302233}" name="Estado"/>
    <tableColumn id="15" xr3:uid="{4F13C8D8-9A0E-4420-A11E-2DAA2DF27E52}" name="Observaciones"/>
  </tableColumns>
  <tableStyleInfo name="TableStyleMedium2" showFirstColumn="0" showLastColumn="0" showRowStripes="1" showColumnStripes="0"/>
</table>
</file>

<file path=xl/tables/table2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B29F2B28-C132-4EB6-AEFC-2BC8F835FF19}" name="Tabla3991" displayName="Tabla3991" ref="AJ29:AJ30" totalsRowShown="0">
  <autoFilter ref="AJ29:AJ30" xr:uid="{1C0F20AA-1469-4335-A289-55F2E420509F}"/>
  <tableColumns count="1">
    <tableColumn id="1" xr3:uid="{E199CA43-7A65-4C13-945A-A133442EC195}" name="Multiplicador"/>
  </tableColumns>
  <tableStyleInfo name="TableStyleMedium2" showFirstColumn="0" showLastColumn="0" showRowStripes="1" showColumnStripes="0"/>
</table>
</file>

<file path=xl/tables/table2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A13B8778-51C4-4C10-BD31-1FAC1074B56E}" name="Tabla4092" displayName="Tabla4092" ref="AG29:AH31" totalsRowShown="0" tableBorderDxfId="159">
  <autoFilter ref="AG29:AH31" xr:uid="{2E7F26C8-B310-438B-BD08-8C0BC82B7627}"/>
  <tableColumns count="2">
    <tableColumn id="1" xr3:uid="{2B528F3D-BB07-4FC3-8756-D88F831D064F}" name="Soldadoras"/>
    <tableColumn id="2" xr3:uid="{D2CD2767-8AD4-415F-AC38-4E76EA7A7C01}" name="Martillo"/>
  </tableColumns>
  <tableStyleInfo name="TableStyleMedium2" showFirstColumn="0" showLastColumn="0" showRowStripes="1" showColumnStripes="0"/>
</table>
</file>

<file path=xl/tables/table2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B96F8F2-4208-4F2A-8313-18289214C89D}" name="Tabla4293" displayName="Tabla4293" ref="AG58:AG59" totalsRowShown="0">
  <autoFilter ref="AG58:AG59" xr:uid="{BDB2A400-1F11-4F53-807B-27202876BE6C}"/>
  <tableColumns count="1">
    <tableColumn id="1" xr3:uid="{571E246E-2DD7-4723-9B4F-AFD8315BD649}" name="Amoladora"/>
  </tableColumns>
  <tableStyleInfo name="TableStyleMedium2" showFirstColumn="0" showLastColumn="0" showRowStripes="1" showColumnStripes="0"/>
</table>
</file>

<file path=xl/tables/table2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438732EF-E267-4B00-8613-18C734500BC9}" name="Tabla4394" displayName="Tabla4394" ref="AG62:AG64" totalsRowShown="0" dataDxfId="158" tableBorderDxfId="157">
  <autoFilter ref="AG62:AG64" xr:uid="{931F2BE3-67FF-44D5-B415-148F761F93A6}"/>
  <tableColumns count="1">
    <tableColumn id="1" xr3:uid="{29061269-F5F7-4559-A828-28C26D3B87EB}" name="Iluminación" dataDxfId="156"/>
  </tableColumns>
  <tableStyleInfo name="TableStyleMedium2" showFirstColumn="0" showLastColumn="0" showRowStripes="1" showColumnStripes="0"/>
</table>
</file>

<file path=xl/tables/table2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28B03040-03D1-4517-9B57-4C776670C6D7}" name="Tabla4495" displayName="Tabla4495" ref="AM29:AM30" totalsRowShown="0">
  <autoFilter ref="AM29:AM30" xr:uid="{9781A61A-AC29-41AE-98F6-916225D99E1D}"/>
  <tableColumns count="1">
    <tableColumn id="1" xr3:uid="{22B06C15-E904-4C98-A533-B590EC7BC77F}" name="Tecle"/>
  </tableColumns>
  <tableStyleInfo name="TableStyleMedium2" showFirstColumn="0" showLastColumn="0" showRowStripes="1" showColumnStripes="0"/>
</table>
</file>

<file path=xl/tables/table2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E2A175E-4FEC-4E10-90AB-A711FFC0FC7F}" name="Tabla4596" displayName="Tabla4596" ref="AG66:AG68" totalsRowShown="0">
  <autoFilter ref="AG66:AG68" xr:uid="{883961C8-D276-4BAE-B81D-192750F3D2CC}"/>
  <tableColumns count="1">
    <tableColumn id="1" xr3:uid="{F7E40B2C-3176-4D95-A70C-DBF7FFE88117}" name="Lubricador"/>
  </tableColumns>
  <tableStyleInfo name="TableStyleMedium2" showFirstColumn="0" showLastColumn="0" showRowStripes="1" showColumnStripes="0"/>
</table>
</file>

<file path=xl/tables/table2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C090F55A-6539-4C4F-A6EB-4D75B8A850F3}" name="Tabla4697" displayName="Tabla4697" ref="AJ61:AJ62" totalsRowShown="0">
  <autoFilter ref="AJ61:AJ62" xr:uid="{F9F816C6-2BEF-46FF-915F-BE5B9C6045E2}"/>
  <tableColumns count="1">
    <tableColumn id="1" xr3:uid="{5130E97B-6A95-476F-82AA-74A293101D1F}" name="Combos"/>
  </tableColumns>
  <tableStyleInfo name="TableStyleMedium2" showFirstColumn="0" showLastColumn="0" showRowStripes="1" showColumnStripes="0"/>
</table>
</file>

<file path=xl/tables/table2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72E3AB3A-3667-4BF4-A63C-E205A304708D}" name="Tabla4798" displayName="Tabla4798" ref="AJ64:AJ65" totalsRowShown="0">
  <autoFilter ref="AJ64:AJ65" xr:uid="{D0087047-FAAD-47F1-8107-9751D313CB07}"/>
  <tableColumns count="1">
    <tableColumn id="1" xr3:uid="{B5CC6FDB-2479-4C3D-B26D-D7991FBB68A5}" name="Mesa"/>
  </tableColumns>
  <tableStyleInfo name="TableStyleMedium2" showFirstColumn="0" showLastColumn="0" showRowStripes="1" showColumnStripes="0"/>
</table>
</file>

<file path=xl/tables/table3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CC84A3DF-E206-4E7D-BBE8-7513CFE82CC0}" name="Tabla4899" displayName="Tabla4899" ref="AP29:AP31" totalsRowShown="0" tableBorderDxfId="155">
  <autoFilter ref="AP29:AP31" xr:uid="{98D206C1-A450-4754-81B2-030642ED939D}"/>
  <tableColumns count="1">
    <tableColumn id="1" xr3:uid="{117E36E4-9F59-4F71-8554-C3B1C4069D72}" name="Pinza"/>
  </tableColumns>
  <tableStyleInfo name="TableStyleMedium2" showFirstColumn="0" showLastColumn="0" showRowStripes="1" showColumnStripes="0"/>
</table>
</file>

<file path=xl/tables/table3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F29A118C-F985-4F25-8136-34E012AFDCDF}" name="Tabla4956100" displayName="Tabla4956100" ref="AP1:AP20" totalsRowShown="0" tableBorderDxfId="154">
  <autoFilter ref="AP1:AP20" xr:uid="{682A1042-040F-4BDC-814E-19EDB04144BA}"/>
  <tableColumns count="1">
    <tableColumn id="1" xr3:uid="{C33D55FC-830C-41B9-9A32-543561A29ED2}" name="Accesorios"/>
  </tableColumns>
  <tableStyleInfo name="TableStyleMedium2" showFirstColumn="0" showLastColumn="0" showRowStripes="1" showColumnStripes="0"/>
</table>
</file>

<file path=xl/tables/table3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34BDE1-CDD7-4791-A0EA-E0AA310F030C}" name="Tabla7" displayName="Tabla7" ref="U1:V13" totalsRowShown="0" dataDxfId="153" tableBorderDxfId="152">
  <autoFilter ref="U1:V13" xr:uid="{9C601E76-6EC7-4996-8C5A-4EC2650D4D49}"/>
  <tableColumns count="2">
    <tableColumn id="1" xr3:uid="{F6F987C9-13B8-4B32-A1E8-4620D4795377}" name="ID" dataDxfId="151"/>
    <tableColumn id="2" xr3:uid="{43914F79-9F69-457D-96F6-305289487FF2}" name="Area" dataDxfId="150"/>
  </tableColumns>
  <tableStyleInfo name="TableStyleMedium2" showFirstColumn="0" showLastColumn="0" showRowStripes="1" showColumnStripes="0"/>
</table>
</file>

<file path=xl/tables/table3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44695E9-AA16-45FA-92E5-9C06D5B14F32}" name="Tabla2" displayName="Tabla2" ref="X1:Y4" totalsRowShown="0" headerRowDxfId="149" headerRowBorderDxfId="148" tableBorderDxfId="147" totalsRowBorderDxfId="146">
  <autoFilter ref="X1:Y4" xr:uid="{8EA5E146-546E-4301-8341-E9A2182AF11B}"/>
  <tableColumns count="2">
    <tableColumn id="1" xr3:uid="{B8F82E14-E508-4F3A-A4CF-3223A3FD32B3}" name="ID" dataDxfId="145"/>
    <tableColumn id="2" xr3:uid="{A385DAE2-7D05-4AAF-808F-13232488AC6B}" name="Estado" dataDxfId="144"/>
  </tableColumns>
  <tableStyleInfo name="TableStyleMedium2" showFirstColumn="0" showLastColumn="0" showRowStripes="1" showColumnStripes="0"/>
</table>
</file>

<file path=xl/tables/table3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F49398B-AD06-4F1D-B5B4-C546F864616E}" name="Tabla3" displayName="Tabla3" ref="AA1:AB7" totalsRowShown="0" headerRowDxfId="143" headerRowBorderDxfId="142" tableBorderDxfId="141" totalsRowBorderDxfId="140">
  <autoFilter ref="AA1:AB7" xr:uid="{4313A204-2187-4F5D-B195-E9D8244B0B6A}"/>
  <tableColumns count="2">
    <tableColumn id="1" xr3:uid="{BCCB251B-BF33-4C2C-9FBA-B03B6C9D7E03}" name="ID" dataDxfId="139"/>
    <tableColumn id="2" xr3:uid="{B926B646-E520-4772-B5E7-7B9BDA6F3F64}" name="Clasificación" dataDxfId="138"/>
  </tableColumns>
  <tableStyleInfo name="TableStyleMedium2" showFirstColumn="0" showLastColumn="0" showRowStripes="1" showColumnStripes="0"/>
</table>
</file>

<file path=xl/tables/table3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C373DBA-50C2-438E-B557-682939406092}" name="Tabla4" displayName="Tabla4" ref="AA9:AA12" totalsRowShown="0" headerRowDxfId="137" headerRowBorderDxfId="136" tableBorderDxfId="135" totalsRowBorderDxfId="134">
  <autoFilter ref="AA9:AA12" xr:uid="{4FA69CD1-8D3C-4F41-B69E-D64790738288}"/>
  <tableColumns count="1">
    <tableColumn id="1" xr3:uid="{36FBCD71-1297-413D-A9F9-1692C65C891F}" name="Frecuencia de uso" dataDxfId="133"/>
  </tableColumns>
  <tableStyleInfo name="TableStyleMedium2" showFirstColumn="0" showLastColumn="0" showRowStripes="1" showColumnStripes="0"/>
</table>
</file>

<file path=xl/tables/table3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171BBE6-6405-42D7-BF9D-0AF500074AB7}" name="Herramientas_eléctricas18" displayName="Herramientas_eléctricas18" ref="AE1:AE21" totalsRowShown="0" headerRowDxfId="132" headerRowBorderDxfId="131" tableBorderDxfId="130">
  <autoFilter ref="AE1:AE21" xr:uid="{9A901B8B-4001-4C56-97C1-F800FB168E81}"/>
  <tableColumns count="1">
    <tableColumn id="1" xr3:uid="{F9BC4061-ABF1-435E-9CEF-EE6B9C51D95B}" name="Herramientas_eléctricas"/>
  </tableColumns>
  <tableStyleInfo name="TableStyleMedium2" showFirstColumn="0" showLastColumn="0" showRowStripes="1" showColumnStripes="0"/>
</table>
</file>

<file path=xl/tables/table3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C2CBFBF-3B35-42A4-B23A-FE5D9C5AF4E6}" name="Herramientas_neumáticas19" displayName="Herramientas_neumáticas19" ref="AF1:AF6" totalsRowShown="0" headerRowDxfId="129" headerRowBorderDxfId="128" tableBorderDxfId="127">
  <autoFilter ref="AF1:AF6" xr:uid="{DDFD7ABB-9233-49B8-8E7D-0C4E4E73668B}"/>
  <tableColumns count="1">
    <tableColumn id="1" xr3:uid="{896C75BA-41C2-4F04-B525-C79F5940F15D}" name="Herramientas_neumáticas"/>
  </tableColumns>
  <tableStyleInfo name="TableStyleMedium2" showFirstColumn="0" showLastColumn="0" showRowStripes="1" showColumnStripes="0"/>
</table>
</file>

<file path=xl/tables/table3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9C3F6B2-0093-4A11-982A-383FCBA58A9C}" name="Herramientas_de_medición20" displayName="Herramientas_de_medición20" ref="AG1:AG16" totalsRowShown="0" headerRowDxfId="126" headerRowBorderDxfId="125" tableBorderDxfId="124">
  <autoFilter ref="AG1:AG16" xr:uid="{A1A99238-FF6A-4B46-95FE-F6F59C0A59FF}"/>
  <tableColumns count="1">
    <tableColumn id="1" xr3:uid="{B84E1A93-DE15-4512-97EE-D0A69670BB5E}" name="Herramientas_de_medición" dataDxfId="123"/>
  </tableColumns>
  <tableStyleInfo name="TableStyleMedium2" showFirstColumn="0" showLastColumn="0" showRowStripes="1" showColumnStripes="0"/>
</table>
</file>

<file path=xl/tables/table3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BC65BBD-B5DA-4F1E-90B5-48134AC8881D}" name="Herrramientas_mecánicas21" displayName="Herrramientas_mecánicas21" ref="AH1:AH21" totalsRowShown="0" headerRowDxfId="122" headerRowBorderDxfId="121" tableBorderDxfId="120">
  <autoFilter ref="AH1:AH21" xr:uid="{82699701-A4C7-4A41-A40B-8F87727B2FCD}"/>
  <tableColumns count="1">
    <tableColumn id="1" xr3:uid="{8694183B-C98F-42A7-885C-2B7AF7F1B066}" name="Herramientas_mecánicas"/>
  </tableColumns>
  <tableStyleInfo name="TableStyleMedium2" showFirstColumn="0" showLastColumn="0" showRowStripes="1" showColumnStripes="0"/>
</table>
</file>

<file path=xl/tables/table3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378C9E-7827-44D4-A483-0AA91CB9F8BA}" name="Herramientas_hidráulicas22" displayName="Herramientas_hidráulicas22" ref="AI1:AI9" totalsRowShown="0" headerRowDxfId="119" dataDxfId="117" headerRowBorderDxfId="118" tableBorderDxfId="116">
  <autoFilter ref="AI1:AI9" xr:uid="{5C7C5014-0DFD-4140-8DC3-6AF6EDF169E4}"/>
  <tableColumns count="1">
    <tableColumn id="1" xr3:uid="{8EAE4DDF-FAF1-4DB7-815F-0268E8ECF1B0}" name="Herramientas_hidráulicas" dataDxfId="115"/>
  </tableColumns>
  <tableStyleInfo name="TableStyleMedium2" showFirstColumn="0" showLastColumn="0" showRowStripes="1" showColumnStripes="0"/>
</table>
</file>

<file path=xl/tables/table3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2CAF278-506C-448C-AE51-5F81288FAED0}" name="EPP_23" displayName="EPP_23" ref="AJ1:AJ6" totalsRowShown="0" headerRowDxfId="114" headerRowBorderDxfId="113" tableBorderDxfId="112">
  <autoFilter ref="AJ1:AJ6" xr:uid="{6ED4F867-D028-4151-85A1-2598FAD98928}"/>
  <tableColumns count="1">
    <tableColumn id="1" xr3:uid="{30F4630C-F9A9-4CF8-8CF3-78338031A548}" name="SPCC"/>
  </tableColumns>
  <tableStyleInfo name="TableStyleMedium2" showFirstColumn="0" showLastColumn="0" showRowStripes="1" showColumnStripes="0"/>
</table>
</file>

<file path=xl/tables/table3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83B34D0-9B7B-4977-A911-46DF15555A70}" name="Herramientas_de_izaje24" displayName="Herramientas_de_izaje24" ref="AK1:AK6" totalsRowShown="0" headerRowDxfId="111" headerRowBorderDxfId="110" tableBorderDxfId="109">
  <autoFilter ref="AK1:AK6" xr:uid="{0DE75960-5B93-46A7-AAE6-BC581FFF1354}"/>
  <tableColumns count="1">
    <tableColumn id="1" xr3:uid="{E4A192F8-D339-4225-9BEA-A7C26A377588}" name="Herramientas_de_izaje"/>
  </tableColumns>
  <tableStyleInfo name="TableStyleMedium2" showFirstColumn="0" showLastColumn="0" showRowStripes="1" showColumnStripes="0"/>
</table>
</file>

<file path=xl/tables/table3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D338E1C-EEAB-4FD7-A9B2-D5867C251F4F}" name="Tabla1525" displayName="Tabla1525" ref="AL1:AL2" totalsRowShown="0" headerRowDxfId="108" dataDxfId="106" headerRowBorderDxfId="107" tableBorderDxfId="105">
  <autoFilter ref="AL1:AL2" xr:uid="{7CDF3488-ADF8-42BB-8EFE-46E3A509430E}"/>
  <tableColumns count="1">
    <tableColumn id="1" xr3:uid="{EEF8D83E-B317-4B84-951C-A4A5825B91FC}" name="Otros" dataDxfId="104"/>
  </tableColumns>
  <tableStyleInfo name="TableStyleMedium2" showFirstColumn="0" showLastColumn="0" showRowStripes="1" showColumnStripes="0"/>
</table>
</file>

<file path=xl/tables/table3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0F3AC60-68EB-4FD1-A8F5-112958D50CAB}" name="Tabla1626" displayName="Tabla1626" ref="AM1:AM6" totalsRowShown="0">
  <autoFilter ref="AM1:AM6" xr:uid="{BA84FDFB-CFCF-49B5-A4A0-7E55EE0C8343}"/>
  <tableColumns count="1">
    <tableColumn id="1" xr3:uid="{3188F88F-638B-4D4B-BF90-BCCD0C339633}" name="Equipos"/>
  </tableColumns>
  <tableStyleInfo name="TableStyleMedium2" showFirstColumn="0" showLastColumn="0" showRowStripes="1" showColumnStripes="0"/>
</table>
</file>

<file path=xl/tables/table3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A6CB497-6E60-4A94-812A-0870F684B832}" name="Tabla5" displayName="Tabla5" ref="AE33:AF35" totalsRowShown="0" tableBorderDxfId="103">
  <autoFilter ref="AE33:AF35" xr:uid="{CF2FEFF5-0ED4-40EF-A2CA-B8658D653CBB}"/>
  <tableColumns count="2">
    <tableColumn id="1" xr3:uid="{614D0A75-D668-4F6A-AA69-F8EA0746E9FB}" name="Calentador"/>
    <tableColumn id="2" xr3:uid="{8D19BA2A-8B87-437F-AEB0-063029A25B9E}" name="Bomba"/>
  </tableColumns>
  <tableStyleInfo name="TableStyleMedium2" showFirstColumn="0" showLastColumn="0" showRowStripes="1" showColumnStripes="0"/>
</table>
</file>

<file path=xl/tables/table3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C80E20F-4AD9-40CA-84EE-4FA7D4514C06}" name="Tabla17" displayName="Tabla17" ref="AE38:AE40" totalsRowShown="0" headerRowDxfId="102" headerRowBorderDxfId="101" tableBorderDxfId="100">
  <autoFilter ref="AE38:AE40" xr:uid="{830EF362-0156-4A25-9CC5-538DDBFCF308}"/>
  <tableColumns count="1">
    <tableColumn id="1" xr3:uid="{1513EC6D-D346-45B5-8A12-C3D2BD47FD7F}" name="Martillo "/>
  </tableColumns>
  <tableStyleInfo name="TableStyleMedium2" showFirstColumn="0" showLastColumn="0" showRowStripes="1" showColumnStripes="0"/>
</table>
</file>

<file path=xl/tables/table3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78A76492-00F9-49E6-9A12-E2EB2D5EDF76}" name="Tabla18" displayName="Tabla18" ref="AG29:AG31" totalsRowShown="0" dataDxfId="99">
  <autoFilter ref="AG29:AG31" xr:uid="{D9204BB2-CBF2-43D1-8CAA-9AC826A37056}"/>
  <tableColumns count="1">
    <tableColumn id="1" xr3:uid="{5BFC6752-B5B9-4580-8DED-256795D7FAFC}" name="Nivel" dataDxfId="98"/>
  </tableColumns>
  <tableStyleInfo name="TableStyleMedium2" showFirstColumn="0" showLastColumn="0" showRowStripes="1" showColumnStripes="0"/>
</table>
</file>

<file path=xl/tables/table3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948E2F9-3366-4BD4-9986-573532B1DD40}" name="Tabla19" displayName="Tabla19" ref="AE42:AE45" totalsRowShown="0" headerRowDxfId="97" headerRowBorderDxfId="96" tableBorderDxfId="95" totalsRowBorderDxfId="94">
  <autoFilter ref="AE42:AE45" xr:uid="{751CC4DE-0F10-45F1-BAA4-31688AE830B1}"/>
  <tableColumns count="1">
    <tableColumn id="1" xr3:uid="{3453A47C-E11D-42E4-84C0-16B36F892B8E}" name="Impactor"/>
  </tableColumns>
  <tableStyleInfo name="TableStyleMedium2" showFirstColumn="0" showLastColumn="0" showRowStripes="1" showColumnStripes="0"/>
</table>
</file>

<file path=xl/tables/table3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67D23-C0BD-4A8C-8457-96A43DD5DF12}" name="Tabla20" displayName="Tabla20" ref="AE47:AE50" totalsRowShown="0">
  <autoFilter ref="AE47:AE50" xr:uid="{A14E2475-26A8-4E9D-8E77-6DD3075B12E9}"/>
  <tableColumns count="1">
    <tableColumn id="1" xr3:uid="{B18198E3-0E70-4AB1-BE91-C796996161CD}" name="Extractor"/>
  </tableColumns>
  <tableStyleInfo name="TableStyleMedium2" showFirstColumn="0" showLastColumn="0" showRowStripes="1" showColumnStripes="0"/>
</table>
</file>

<file path=xl/tables/table3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5D91DE1-0DF1-41AB-9FA5-C75A658B2FB6}" name="Tabla21" displayName="Tabla21" ref="AE52:AE53" totalsRowShown="0" dataDxfId="93" tableBorderDxfId="92">
  <autoFilter ref="AE52:AE53" xr:uid="{FB135CB6-85B5-46C8-99B8-45176F814696}"/>
  <tableColumns count="1">
    <tableColumn id="1" xr3:uid="{FE36A56B-58A3-4C35-94F3-4B26E6057E8E}" name="Esmeril" dataDxfId="91"/>
  </tableColumns>
  <tableStyleInfo name="TableStyleMedium2" showFirstColumn="0" showLastColumn="0" showRowStripes="1" showColumnStripes="0"/>
</table>
</file>

<file path=xl/tables/table3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120F62F-CF3F-44AD-A8AE-E60A8AFBE4BC}" name="Tabla22" displayName="Tabla22" ref="AG56:AG58" totalsRowShown="0">
  <autoFilter ref="AG56:AG58" xr:uid="{3AB821FA-FFC5-4307-AC30-B52EA5139269}"/>
  <tableColumns count="1">
    <tableColumn id="1" xr3:uid="{B28F7A5A-391E-48CB-9FED-8C078DCA53B1}" name="Manometro"/>
  </tableColumns>
  <tableStyleInfo name="TableStyleMedium2" showFirstColumn="0" showLastColumn="0" showRowStripes="1" showColumnStripes="0"/>
</table>
</file>

<file path=xl/tables/table3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BF3E156-A8DA-4597-9D93-CC974497737E}" name="Tabla23" displayName="Tabla23" ref="AG33:AG36" totalsRowShown="0" headerRowDxfId="90" tableBorderDxfId="89">
  <autoFilter ref="AG33:AG36" xr:uid="{16F850A9-F3B2-41CD-A0AE-53D6CE1A75ED}"/>
  <tableColumns count="1">
    <tableColumn id="1" xr3:uid="{7AF85DD0-8D07-4247-A4C7-42F98BA58742}" name="Medidor"/>
  </tableColumns>
  <tableStyleInfo name="TableStyleMedium2" showFirstColumn="0" showLastColumn="0" showRowStripes="1" showColumnStripes="0"/>
</table>
</file>

<file path=xl/tables/table3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82D3D2E-7C1A-446C-A016-D542D40020DC}" name="Tabla24" displayName="Tabla24" ref="AG38:AG39" totalsRowShown="0" dataDxfId="88" tableBorderDxfId="87">
  <autoFilter ref="AG38:AG39" xr:uid="{1889A6F9-230B-4AFF-867D-3DF6472821F5}"/>
  <tableColumns count="1">
    <tableColumn id="1" xr3:uid="{25393FFE-1E09-4787-A989-D799481229A5}" name="Camara termografica" dataDxfId="86"/>
  </tableColumns>
  <tableStyleInfo name="TableStyleMedium2" showFirstColumn="0" showLastColumn="0" showRowStripes="1" showColumnStripes="0"/>
</table>
</file>

<file path=xl/tables/table3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751F13D7-F814-47A1-A3F2-ABDBA96B9A17}" name="Tabla25" displayName="Tabla25" ref="AH33:AH40" totalsRowShown="0">
  <autoFilter ref="AH33:AH40" xr:uid="{A0DED689-2510-4BE0-B85F-FD1D7D88DFA4}"/>
  <tableColumns count="1">
    <tableColumn id="1" xr3:uid="{41034796-1ED0-46CE-99B2-CC2B442FFCB6}" name="Llaves"/>
  </tableColumns>
  <tableStyleInfo name="TableStyleMedium2" showFirstColumn="0" showLastColumn="0" showRowStripes="1" showColumnStripes="0"/>
</table>
</file>

<file path=xl/tables/table3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AC9028D0-EEA8-45A5-9CC9-43AC57A0EBA6}" name="Tabla26" displayName="Tabla26" ref="AG41:AG45" totalsRowShown="0" tableBorderDxfId="85">
  <autoFilter ref="AG41:AG45" xr:uid="{8ED6E545-64E7-44D4-B8A8-CB23D42265C0}"/>
  <tableColumns count="1">
    <tableColumn id="1" xr3:uid="{8387B595-C738-4693-8855-8D560B8B8BF5}" name="Calibrador"/>
  </tableColumns>
  <tableStyleInfo name="TableStyleMedium2" showFirstColumn="0" showLastColumn="0" showRowStripes="1" showColumnStripes="0"/>
</table>
</file>

<file path=xl/tables/table3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DE36C62-B158-48B3-BE21-4F5B01BA55C5}" name="Tabla28" displayName="Tabla28" ref="AG48:AG51" totalsRowShown="0">
  <autoFilter ref="AG48:AG51" xr:uid="{9EF16892-84A3-4412-9559-E3ECBCBE8FAD}"/>
  <tableColumns count="1">
    <tableColumn id="1" xr3:uid="{80756DF8-C677-46D1-AB7D-12495643FF00}" name="Micrómetro"/>
  </tableColumns>
  <tableStyleInfo name="TableStyleMedium2" showFirstColumn="0" showLastColumn="0" showRowStripes="1" showColumnStripes="0"/>
</table>
</file>

<file path=xl/tables/table3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59E573C-DFD6-47FC-AE0D-CC2C7161BCC0}" name="Tabla29" displayName="Tabla29" ref="AH67:AH69" totalsRowShown="0" tableBorderDxfId="84">
  <autoFilter ref="AH67:AH69" xr:uid="{2312EFE8-ED6F-40CE-936E-92708A2A3E11}"/>
  <tableColumns count="1">
    <tableColumn id="1" xr3:uid="{8297C468-C424-4B09-A880-3DE34588CD98}" name="Alicates"/>
  </tableColumns>
  <tableStyleInfo name="TableStyleMedium2" showFirstColumn="0" showLastColumn="0" showRowStripes="1" showColumnStripes="0"/>
</table>
</file>

<file path=xl/tables/table3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200A96A0-771A-4D4E-AE48-25C221FBBE1A}" name="Tabla30" displayName="Tabla30" ref="AH50:AH59" totalsRowShown="0" dataDxfId="83" tableBorderDxfId="82">
  <autoFilter ref="AH50:AH59" xr:uid="{3B268A63-E4A5-4D1B-B445-E13631B6E887}"/>
  <tableColumns count="1">
    <tableColumn id="1" xr3:uid="{53BE00AB-798E-48FE-AE30-4D55D2EC1573}" name="Dados" dataDxfId="81"/>
  </tableColumns>
  <tableStyleInfo name="TableStyleMedium2" showFirstColumn="0" showLastColumn="0" showRowStripes="1" showColumnStripes="0"/>
</table>
</file>

<file path=xl/tables/table3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1EE6163E-2811-4DD5-A227-6BEE6D10C3E6}" name="Tabla32" displayName="Tabla32" ref="AH43:AH44" totalsRowShown="0" dataDxfId="80" tableBorderDxfId="79">
  <autoFilter ref="AH43:AH44" xr:uid="{005ABD67-F7E0-47FD-8970-322FEA5BBC4C}"/>
  <tableColumns count="1">
    <tableColumn id="1" xr3:uid="{010B905A-5FEE-4747-8141-CF5936CCAA6D}" name="Tijera" dataDxfId="78"/>
  </tableColumns>
  <tableStyleInfo name="TableStyleMedium2" showFirstColumn="0" showLastColumn="0" showRowStripes="1" showColumnStripes="0"/>
</table>
</file>

<file path=xl/tables/table3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77522C24-E5F1-42C6-9E5D-563A17EBB8FB}" name="Tabla33" displayName="Tabla33" ref="AG63:AG64" totalsRowShown="0" dataDxfId="77" tableBorderDxfId="76">
  <autoFilter ref="AG63:AG64" xr:uid="{7D457BB0-C389-4126-BC6E-CB6D91AFE2A6}"/>
  <tableColumns count="1">
    <tableColumn id="1" xr3:uid="{545AF14F-79EF-4B52-AC51-19C997A1B0EC}" name="Estetoscopio" dataDxfId="75"/>
  </tableColumns>
  <tableStyleInfo name="TableStyleMedium2" showFirstColumn="0" showLastColumn="0" showRowStripes="1" showColumnStripes="0"/>
</table>
</file>

<file path=xl/tables/table3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CB866E20-E602-4195-A6DA-50B29BF8C72A}" name="Tabla34" displayName="Tabla34" ref="AH47:AH48" totalsRowShown="0" dataDxfId="74" tableBorderDxfId="73">
  <autoFilter ref="AH47:AH48" xr:uid="{EC300733-E688-43CB-A693-F1E2F80F6495}"/>
  <tableColumns count="1">
    <tableColumn id="1" xr3:uid="{F79D3616-1EDE-4BA5-BAC9-CD2264162A69}" name="Alargador" dataDxfId="72"/>
  </tableColumns>
  <tableStyleInfo name="TableStyleMedium2" showFirstColumn="0" showLastColumn="0" showRowStripes="1" showColumnStripes="0"/>
</table>
</file>

<file path=xl/tables/table3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A623BCE-B998-4814-9025-F9204BC93F99}" name="Tabla35" displayName="Tabla35" ref="AG60:AG61" totalsRowShown="0" dataDxfId="71" tableBorderDxfId="70">
  <autoFilter ref="AG60:AG61" xr:uid="{B42C8F8F-E6AD-4FF3-9580-F9F4B996FF6F}"/>
  <tableColumns count="1">
    <tableColumn id="1" xr3:uid="{5E3F56B8-59BC-4318-ACEF-3771248E0A6F}" name="Torquimetro" dataDxfId="69"/>
  </tableColumns>
  <tableStyleInfo name="TableStyleMedium2" showFirstColumn="0" showLastColumn="0" showRowStripes="1" showColumnStripes="0"/>
</table>
</file>

<file path=xl/tables/table3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54B854AD-C203-418D-BA5C-27C7CD80D06A}" name="Tabla37" displayName="Tabla37" ref="AI29:AI30" totalsRowShown="0" headerRowDxfId="68" dataDxfId="66" headerRowBorderDxfId="67" tableBorderDxfId="65" totalsRowBorderDxfId="64">
  <autoFilter ref="AI29:AI30" xr:uid="{2886962D-17B4-4D37-AB1E-9FE27B267D99}"/>
  <tableColumns count="1">
    <tableColumn id="1" xr3:uid="{CE2D782E-2B5C-47D9-B110-D4640EDA3B86}" name="Llave " dataDxfId="63"/>
  </tableColumns>
  <tableStyleInfo name="TableStyleMedium2" showFirstColumn="0" showLastColumn="0" showRowStripes="1" showColumnStripes="0"/>
</table>
</file>

<file path=xl/tables/table3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8D7EB9BE-465B-4564-B5B3-460C6F90CAFA}" name="Tabla38" displayName="Tabla38" ref="B1:S611" totalsRowShown="0" headerRowDxfId="62">
  <autoFilter ref="B1:S611" xr:uid="{58127080-A22D-466C-8BA0-CCF2E2227FD2}"/>
  <tableColumns count="18">
    <tableColumn id="1" xr3:uid="{1A0227B3-4C5B-4EE0-B4C7-9E41278C5519}" name="Item">
      <calculatedColumnFormula>ROW()-1</calculatedColumnFormula>
    </tableColumn>
    <tableColumn id="2" xr3:uid="{60C2D67B-D099-4B20-9682-759C937FAF8E}" name="Area" dataDxfId="61"/>
    <tableColumn id="3" xr3:uid="{B9899F01-3836-468F-A209-2F1F7693D4AB}" name="Cantidad"/>
    <tableColumn id="4" xr3:uid="{CBA7F054-BB18-4D14-85F9-03A8E0EF3F23}" name="Clasificacion" dataDxfId="60"/>
    <tableColumn id="5" xr3:uid="{C2E44F72-891D-4126-8337-2308F32E7801}" name="Descripción del equipo" dataDxfId="59">
      <calculatedColumnFormula>_xlfn.TEXTJOIN(", ",TRUE, Tabla38[[#This Row],[Tipo de escalera]],Tabla38[[#This Row],[Longitud]],Tabla38[[#This Row],[Carga Maxima]])</calculatedColumnFormula>
    </tableColumn>
    <tableColumn id="17" xr3:uid="{499F86BA-6A23-4AC7-B7B5-D0CA53C64B95}" name="Tipo de escalera"/>
    <tableColumn id="19" xr3:uid="{80E584D2-7D25-4E06-9176-19D678E4992C}" name="Longitud"/>
    <tableColumn id="18" xr3:uid="{13ED80D5-DB2A-4D75-92DD-BE0C79D28A1B}" name="Carga Maxima"/>
    <tableColumn id="6" xr3:uid="{40617F15-4EC0-4604-81CD-EE5CB29E7280}" name="Marca" dataDxfId="58"/>
    <tableColumn id="7" xr3:uid="{DB4454FB-D0F0-4F79-8488-7452A322E81B}" name="Modelo" dataDxfId="57"/>
    <tableColumn id="8" xr3:uid="{9F10D61F-2FC3-41E5-8F69-4E195364C0B7}" name="Cod. Antiguo"/>
    <tableColumn id="9" xr3:uid="{7A0270A4-ED81-4DF3-B407-21E55050FDD3}" name="Número de Serie"/>
    <tableColumn id="10" xr3:uid="{A6FC1A65-C76A-4C56-9421-8289B8DA42DB}" name="Cód. Nuevo Asig" dataDxfId="56">
      <calculatedColumnFormula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calculatedColumnFormula>
    </tableColumn>
    <tableColumn id="11" xr3:uid="{A6C68B5F-1B4A-4BC8-B6FA-FFD3E3AD471B}" name="Codigo de parte"/>
    <tableColumn id="12" xr3:uid="{8282A737-480A-43A6-A7F0-48990BAAA174}" name="Ubicación"/>
    <tableColumn id="13" xr3:uid="{B66C2F82-A090-4993-A875-C8D02574F574}" name="Frecuencia de uso"/>
    <tableColumn id="14" xr3:uid="{20A6D373-C3CD-4604-9C61-2C869C718D78}" name="Estado"/>
    <tableColumn id="15" xr3:uid="{EBFE5BD6-9443-4BE6-8B19-19610F53B6C6}" name="Observaciones"/>
  </tableColumns>
  <tableStyleInfo name="TableStyleMedium2" showFirstColumn="0" showLastColumn="0" showRowStripes="1" showColumnStripes="0"/>
</table>
</file>

<file path=xl/tables/table3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5D16DD49-EA14-438B-B7A3-7E2327AEB2B0}" name="Tabla39" displayName="Tabla39" ref="AH29:AH30" totalsRowShown="0">
  <autoFilter ref="AH29:AH30" xr:uid="{1C0F20AA-1469-4335-A289-55F2E420509F}"/>
  <tableColumns count="1">
    <tableColumn id="1" xr3:uid="{4335808F-348A-4357-B031-0E12891640A1}" name="Multiplicador"/>
  </tableColumns>
  <tableStyleInfo name="TableStyleMedium2" showFirstColumn="0" showLastColumn="0" showRowStripes="1" showColumnStripes="0"/>
</table>
</file>

<file path=xl/tables/table3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CD5FCCE5-638B-4B65-BB42-4F598BCEF4E7}" name="Tabla40" displayName="Tabla40" ref="AE29:AF31" totalsRowShown="0" tableBorderDxfId="55">
  <autoFilter ref="AE29:AF31" xr:uid="{2E7F26C8-B310-438B-BD08-8C0BC82B7627}"/>
  <tableColumns count="2">
    <tableColumn id="1" xr3:uid="{1CDE17C7-EEF1-456F-9E43-06E592FD6F25}" name="Soldadoras"/>
    <tableColumn id="2" xr3:uid="{F0FDCDB8-AB9B-4873-BD60-3904EDFAB630}" name="Martillo"/>
  </tableColumns>
  <tableStyleInfo name="TableStyleMedium2" showFirstColumn="0" showLastColumn="0" showRowStripes="1" showColumnStripes="0"/>
</table>
</file>

<file path=xl/tables/table3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2A09CA21-8F50-44E5-9B1A-4970D1A49F22}" name="Tabla42" displayName="Tabla42" ref="AE58:AE59" totalsRowShown="0">
  <autoFilter ref="AE58:AE59" xr:uid="{BDB2A400-1F11-4F53-807B-27202876BE6C}"/>
  <tableColumns count="1">
    <tableColumn id="1" xr3:uid="{13E8A362-BB46-489E-9F88-8CD6618B04AB}" name="Amoladora"/>
  </tableColumns>
  <tableStyleInfo name="TableStyleMedium2" showFirstColumn="0" showLastColumn="0" showRowStripes="1" showColumnStripes="0"/>
</table>
</file>

<file path=xl/tables/table3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2D9F270D-8823-4EA6-B259-4CE194D4C9D6}" name="Tabla43" displayName="Tabla43" ref="AE62:AE64" totalsRowShown="0" dataDxfId="54" tableBorderDxfId="53">
  <autoFilter ref="AE62:AE64" xr:uid="{931F2BE3-67FF-44D5-B415-148F761F93A6}"/>
  <tableColumns count="1">
    <tableColumn id="1" xr3:uid="{605F5B12-7B1D-4504-902F-4B0DAAD970CD}" name="Iluminación" dataDxfId="52"/>
  </tableColumns>
  <tableStyleInfo name="TableStyleMedium2" showFirstColumn="0" showLastColumn="0" showRowStripes="1" showColumnStripes="0"/>
</table>
</file>

<file path=xl/tables/table3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FAD44E2C-D49A-4B5E-8025-CC14C8CB2504}" name="Tabla44" displayName="Tabla44" ref="AK29:AK30" totalsRowShown="0">
  <autoFilter ref="AK29:AK30" xr:uid="{9781A61A-AC29-41AE-98F6-916225D99E1D}"/>
  <tableColumns count="1">
    <tableColumn id="1" xr3:uid="{0593FB8C-C3CA-4458-9E24-A22B81D3BBF8}" name="Tecle"/>
  </tableColumns>
  <tableStyleInfo name="TableStyleMedium2" showFirstColumn="0" showLastColumn="0" showRowStripes="1" showColumnStripes="0"/>
</table>
</file>

<file path=xl/tables/table3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991D604-248C-4988-BD03-1DF6B49C0F98}" name="Tabla45" displayName="Tabla45" ref="AE66:AE68" totalsRowShown="0">
  <autoFilter ref="AE66:AE68" xr:uid="{883961C8-D276-4BAE-B81D-192750F3D2CC}"/>
  <tableColumns count="1">
    <tableColumn id="1" xr3:uid="{DC3C225E-2B0F-48C0-82F6-E9047E0C1750}" name="Lubricador"/>
  </tableColumns>
  <tableStyleInfo name="TableStyleMedium2" showFirstColumn="0" showLastColumn="0" showRowStripes="1" showColumnStripes="0"/>
</table>
</file>

<file path=xl/tables/table3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8E51C6BE-D900-4DFF-A075-A86CE62ED7A3}" name="Tabla46" displayName="Tabla46" ref="AH61:AH62" totalsRowShown="0">
  <autoFilter ref="AH61:AH62" xr:uid="{F9F816C6-2BEF-46FF-915F-BE5B9C6045E2}"/>
  <tableColumns count="1">
    <tableColumn id="1" xr3:uid="{8859444E-5019-4BB0-BC77-0366885CA88E}" name="Combos"/>
  </tableColumns>
  <tableStyleInfo name="TableStyleMedium2" showFirstColumn="0" showLastColumn="0" showRowStripes="1" showColumnStripes="0"/>
</table>
</file>

<file path=xl/tables/table3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86DD5D1-604D-410A-A292-EFB17F6742DC}" name="Tabla47" displayName="Tabla47" ref="AH64:AH65" totalsRowShown="0">
  <autoFilter ref="AH64:AH65" xr:uid="{D0087047-FAAD-47F1-8107-9751D313CB07}"/>
  <tableColumns count="1">
    <tableColumn id="1" xr3:uid="{969CA5DD-4153-42EF-8C5D-A704BD45489F}" name="Mesa"/>
  </tableColumns>
  <tableStyleInfo name="TableStyleMedium2" showFirstColumn="0" showLastColumn="0" showRowStripes="1" showColumnStripes="0"/>
</table>
</file>

<file path=xl/tables/table3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DA937E71-F21F-45DB-94B9-C8C8D877BD19}" name="Tabla48" displayName="Tabla48" ref="AN29:AN31" totalsRowShown="0" tableBorderDxfId="51">
  <autoFilter ref="AN29:AN31" xr:uid="{98D206C1-A450-4754-81B2-030642ED939D}"/>
  <tableColumns count="1">
    <tableColumn id="1" xr3:uid="{14812275-5C0F-4E11-BE19-705C5449EE29}" name="Pinza"/>
  </tableColumns>
  <tableStyleInfo name="TableStyleMedium2" showFirstColumn="0" showLastColumn="0" showRowStripes="1" showColumnStripes="0"/>
</table>
</file>

<file path=xl/tables/table3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B2F897DC-C9D8-4843-A58A-91AFDB0B0E8D}" name="Tabla4956" displayName="Tabla4956" ref="AN1:AN20" totalsRowShown="0" tableBorderDxfId="50">
  <autoFilter ref="AN1:AN20" xr:uid="{682A1042-040F-4BDC-814E-19EDB04144BA}"/>
  <tableColumns count="1">
    <tableColumn id="1" xr3:uid="{56A51C6C-D47A-4861-9770-142A85CC572B}" name="Accesorios"/>
  </tableColumns>
  <tableStyleInfo name="TableStyleMedium2" showFirstColumn="0" showLastColumn="0" showRowStripes="1" showColumnStripes="0"/>
</table>
</file>

<file path=xl/tables/table3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5EFF3C5E-C80C-462B-BF2C-F6D434B6D9FD}" name="Tabla100" displayName="Tabla100" ref="V15:V19" totalsRowShown="0" headerRowDxfId="49" dataDxfId="48">
  <autoFilter ref="V15:V19" xr:uid="{5EFF3C5E-C80C-462B-BF2C-F6D434B6D9FD}"/>
  <tableColumns count="1">
    <tableColumn id="1" xr3:uid="{1CA32F87-5274-4467-85A0-1919E9017FCB}" name="Tipo de Escalera" dataDxfId="47"/>
  </tableColumns>
  <tableStyleInfo name="TableStyleMedium2" showFirstColumn="0" showLastColumn="0" showRowStripes="1" showColumnStripes="0"/>
</table>
</file>

<file path=xl/tables/table3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7BACAF-576A-47D0-8496-F0150F318119}" name="Herramientas_eléctricas" displayName="Herramientas_eléctricas" ref="K2:K21" totalsRowShown="0" headerRowDxfId="46" headerRowBorderDxfId="45" tableBorderDxfId="44">
  <autoFilter ref="K2:K21" xr:uid="{8A7BACAF-576A-47D0-8496-F0150F318119}"/>
  <tableColumns count="1">
    <tableColumn id="1" xr3:uid="{02BEFAEE-7797-4C72-A0B3-038B57A58D24}" name="Herramientas_eléctricas"/>
  </tableColumns>
  <tableStyleInfo name="TableStyleMedium2" showFirstColumn="0" showLastColumn="0" showRowStripes="1" showColumnStripes="0"/>
</table>
</file>

<file path=xl/tables/table3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BAE-DCA1-4B40-A251-B8666EA6ABAE}" name="Herramientas_neumáticas" displayName="Herramientas_neumáticas" ref="L2:L7" totalsRowShown="0" headerRowDxfId="43" headerRowBorderDxfId="42" tableBorderDxfId="41">
  <autoFilter ref="L2:L7" xr:uid="{2E779BAE-DCA1-4B40-A251-B8666EA6ABAE}"/>
  <tableColumns count="1">
    <tableColumn id="1" xr3:uid="{28AB2F13-5D1A-4F0B-92A3-0FD55BE17D61}" name="Herramientas_neumáticas"/>
  </tableColumns>
  <tableStyleInfo name="TableStyleMedium2" showFirstColumn="0" showLastColumn="0" showRowStripes="1" showColumnStripes="0"/>
</table>
</file>

<file path=xl/tables/table3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91F486-BA6F-4BAF-ADCE-DC5F101EB6E0}" name="Herramientas_de_medición" displayName="Herramientas_de_medición" ref="M2:M17" totalsRowShown="0" headerRowDxfId="40" headerRowBorderDxfId="39" tableBorderDxfId="38">
  <autoFilter ref="M2:M17" xr:uid="{CE91F486-BA6F-4BAF-ADCE-DC5F101EB6E0}"/>
  <tableColumns count="1">
    <tableColumn id="1" xr3:uid="{50A2C439-43AE-44D9-82BD-C393AB4A5AB9}" name="Herramientas_de_medición" dataDxfId="37"/>
  </tableColumns>
  <tableStyleInfo name="TableStyleMedium2" showFirstColumn="0" showLastColumn="0" showRowStripes="1" showColumnStripes="0"/>
</table>
</file>

<file path=xl/tables/table3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951F61-CD0B-4EF7-969D-061C15BF97E2}" name="Herrramientas_mecánicas" displayName="Herrramientas_mecánicas" ref="N2:N21" totalsRowShown="0" headerRowDxfId="36" headerRowBorderDxfId="35" tableBorderDxfId="34">
  <autoFilter ref="N2:N21" xr:uid="{EB951F61-CD0B-4EF7-969D-061C15BF97E2}"/>
  <tableColumns count="1">
    <tableColumn id="1" xr3:uid="{E23D1D80-863B-49DD-95DF-0A35826C3822}" name="Herramientas_mecánicas"/>
  </tableColumns>
  <tableStyleInfo name="TableStyleMedium2" showFirstColumn="0" showLastColumn="0" showRowStripes="1" showColumnStripes="0"/>
</table>
</file>

<file path=xl/tables/table3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2E7F09-95A9-4DE5-8911-ADBC6853579B}" name="Herramientas_hidráulicas" displayName="Herramientas_hidráulicas" ref="O2:O10" totalsRowShown="0" headerRowDxfId="33" dataDxfId="31" headerRowBorderDxfId="32" tableBorderDxfId="30">
  <autoFilter ref="O2:O10" xr:uid="{602E7F09-95A9-4DE5-8911-ADBC6853579B}"/>
  <tableColumns count="1">
    <tableColumn id="1" xr3:uid="{05D44E49-116E-4F1B-9102-774524321F27}" name="Herramientas_hidráulicas" dataDxfId="29"/>
  </tableColumns>
  <tableStyleInfo name="TableStyleMedium2" showFirstColumn="0" showLastColumn="0" showRowStripes="1" showColumnStripes="0"/>
</table>
</file>

<file path=xl/tables/table3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7616C67-91FD-4413-9B0B-661B52710D6D}" name="EPP" displayName="EPP" ref="P2:P9" totalsRowShown="0" headerRowDxfId="28" headerRowBorderDxfId="27" tableBorderDxfId="26">
  <autoFilter ref="P2:P9" xr:uid="{D7616C67-91FD-4413-9B0B-661B52710D6D}"/>
  <tableColumns count="1">
    <tableColumn id="1" xr3:uid="{89286F96-2D60-41E2-96A1-AABFA90F0D80}" name="SPCC"/>
  </tableColumns>
  <tableStyleInfo name="TableStyleMedium2" showFirstColumn="0" showLastColumn="0" showRowStripes="1" showColumnStripes="0"/>
</table>
</file>

<file path=xl/tables/table3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5A3266-13AF-4EBD-9F82-39FD6B04DB8D}" name="Herramientas_de_izaje" displayName="Herramientas_de_izaje" ref="Q2:Q7" totalsRowShown="0" headerRowDxfId="25" headerRowBorderDxfId="24" tableBorderDxfId="23">
  <autoFilter ref="Q2:Q7" xr:uid="{705A3266-13AF-4EBD-9F82-39FD6B04DB8D}"/>
  <tableColumns count="1">
    <tableColumn id="1" xr3:uid="{FB3FDBBF-B4BE-4650-AB8B-925CE362724A}" name="Herramientas_de_izaje"/>
  </tableColumns>
  <tableStyleInfo name="TableStyleMedium2" showFirstColumn="0" showLastColumn="0" showRowStripes="1" showColumnStripes="0"/>
</table>
</file>

<file path=xl/tables/table3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98BB96-9228-4DC0-B3E4-B4AA37CA1E3B}" name="Tabla15" displayName="Tabla15" ref="R2:R3" totalsRowShown="0" headerRowDxfId="22" dataDxfId="20" headerRowBorderDxfId="21" tableBorderDxfId="19">
  <autoFilter ref="R2:R3" xr:uid="{D798BB96-9228-4DC0-B3E4-B4AA37CA1E3B}"/>
  <tableColumns count="1">
    <tableColumn id="1" xr3:uid="{9047A70D-B56D-4DBF-853B-42FEAC2393F1}" name="Otros" dataDxfId="18"/>
  </tableColumns>
  <tableStyleInfo name="TableStyleMedium2" showFirstColumn="0" showLastColumn="0" showRowStripes="1" showColumnStripes="0"/>
</table>
</file>

<file path=xl/tables/table3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187794-2E6D-42E1-84A4-943C095CA68C}" name="Tabla16" displayName="Tabla16" ref="S2:S7" totalsRowShown="0">
  <autoFilter ref="S2:S7" xr:uid="{DF187794-2E6D-42E1-84A4-943C095CA68C}"/>
  <tableColumns count="1">
    <tableColumn id="1" xr3:uid="{6D0CE159-4640-4B9C-A8D6-2A2B89E51B36}" name="Equipos"/>
  </tableColumns>
  <tableStyleInfo name="TableStyleMedium2" showFirstColumn="0" showLastColumn="0" showRowStripes="1" showColumnStripes="0"/>
</table>
</file>

<file path=xl/tables/table3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96CE042-FDE3-4CDD-987F-2E43574B46A6}" name="Tabla49" displayName="Tabla49" ref="T2:T21" totalsRowShown="0" tableBorderDxfId="17">
  <autoFilter ref="T2:T21" xr:uid="{A96CE042-FDE3-4CDD-987F-2E43574B46A6}"/>
  <tableColumns count="1">
    <tableColumn id="1" xr3:uid="{84506A6E-5536-4263-9821-2BDBD2CAC9B7}" name="Accesorios"/>
  </tableColumns>
  <tableStyleInfo name="TableStyleMedium2" showFirstColumn="0" showLastColumn="0" showRowStripes="1" showColumnStripes="0"/>
</table>
</file>

<file path=xl/tables/table3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EB19105-6ECD-4DFD-AFB0-469F6F9C5208}" name="Tabla11" displayName="Tabla11" ref="V2:W14" totalsRowShown="0" dataDxfId="16" tableBorderDxfId="15">
  <autoFilter ref="V2:W14" xr:uid="{5EB19105-6ECD-4DFD-AFB0-469F6F9C5208}"/>
  <tableColumns count="2">
    <tableColumn id="1" xr3:uid="{41698132-D3CF-4A2C-A1AA-E8604BB43123}" name="Areas" dataDxfId="14"/>
    <tableColumn id="2" xr3:uid="{B7CF44F3-F395-4F54-8199-97AB55CE78AB}" name="Codigo" dataDxfId="13"/>
  </tableColumns>
  <tableStyleInfo name="TableStyleMedium2" showFirstColumn="0" showLastColumn="0" showRowStripes="1" showColumnStripes="0"/>
</table>
</file>

<file path=xl/tables/table3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65CB7D9-D0F2-430E-AD63-46650D7C6DC3}" name="Tabla12" displayName="Tabla12" ref="B3:I24" totalsRowShown="0" headerRowDxfId="12" dataDxfId="11">
  <autoFilter ref="B3:I24" xr:uid="{565CB7D9-D0F2-430E-AD63-46650D7C6DC3}"/>
  <tableColumns count="8">
    <tableColumn id="1" xr3:uid="{14400A34-CE19-45E1-A394-2C7337D9FA74}" name="ZM ( MISC MECHANICALS ITEMS )" dataDxfId="10"/>
    <tableColumn id="5" xr3:uid="{9844EFF1-3309-4F67-8371-49AB22E531EC}" name="Columna1" dataDxfId="9"/>
    <tableColumn id="2" xr3:uid="{3CBEFC2C-D3D0-437C-9930-0849730F2FD9}" name="ZE (MISC ELECTRICAL ITEMS)" dataDxfId="8"/>
    <tableColumn id="6" xr3:uid="{77E1D763-9131-4F23-B78B-322D77B38FE6}" name="Columna2" dataDxfId="7"/>
    <tableColumn id="3" xr3:uid="{774FDD88-5DE0-413F-9D95-C844F6412CED}" name="ZI (MISC INSTRUMENTATIONS ITEMS)" dataDxfId="6"/>
    <tableColumn id="7" xr3:uid="{7819B846-0D66-42CD-8622-6DA076E211DE}" name="Columna3" dataDxfId="5"/>
    <tableColumn id="4" xr3:uid="{7073A6D4-6427-4AD9-B250-1728D3BD8D79}" name="ZZ (MISCELANEOUS ITEMS)" dataDxfId="4"/>
    <tableColumn id="8" xr3:uid="{25131E48-CE39-4CAC-891D-3311CE9E481B}" name="Columna4" dataDxfId="3"/>
  </tableColumns>
  <tableStyleInfo name="TableStyleMedium2" showFirstColumn="0" showLastColumn="0" showRowStripes="1" showColumnStripes="0"/>
</table>
</file>

<file path=xl/tables/table3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71DD72EC-20C9-41B5-8501-A6C97EB0C711}" name="Tabla56" displayName="Tabla56" ref="B2:B81" totalsRowShown="0" dataDxfId="2" tableBorderDxfId="1">
  <autoFilter ref="B2:B81" xr:uid="{71DD72EC-20C9-41B5-8501-A6C97EB0C711}"/>
  <tableColumns count="1">
    <tableColumn id="1" xr3:uid="{74956C98-9908-44D6-98AE-6ED9DFB9DFD9}" name="Dato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" Type="http://schemas.openxmlformats.org/officeDocument/2006/relationships/vmlDrawing" Target="../drawings/vmlDrawing1.v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comments" Target="../comments1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55.xml"/><Relationship Id="rId18" Type="http://schemas.openxmlformats.org/officeDocument/2006/relationships/table" Target="../tables/table60.xml"/><Relationship Id="rId26" Type="http://schemas.openxmlformats.org/officeDocument/2006/relationships/table" Target="../tables/table68.xml"/><Relationship Id="rId39" Type="http://schemas.openxmlformats.org/officeDocument/2006/relationships/table" Target="../tables/table81.xml"/><Relationship Id="rId21" Type="http://schemas.openxmlformats.org/officeDocument/2006/relationships/table" Target="../tables/table63.xml"/><Relationship Id="rId34" Type="http://schemas.openxmlformats.org/officeDocument/2006/relationships/table" Target="../tables/table76.xml"/><Relationship Id="rId42" Type="http://schemas.openxmlformats.org/officeDocument/2006/relationships/table" Target="../tables/table84.xml"/><Relationship Id="rId7" Type="http://schemas.openxmlformats.org/officeDocument/2006/relationships/table" Target="../tables/table49.xml"/><Relationship Id="rId2" Type="http://schemas.openxmlformats.org/officeDocument/2006/relationships/table" Target="../tables/table44.xml"/><Relationship Id="rId16" Type="http://schemas.openxmlformats.org/officeDocument/2006/relationships/table" Target="../tables/table58.xml"/><Relationship Id="rId29" Type="http://schemas.openxmlformats.org/officeDocument/2006/relationships/table" Target="../tables/table7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48.xml"/><Relationship Id="rId11" Type="http://schemas.openxmlformats.org/officeDocument/2006/relationships/table" Target="../tables/table53.xml"/><Relationship Id="rId24" Type="http://schemas.openxmlformats.org/officeDocument/2006/relationships/table" Target="../tables/table66.xml"/><Relationship Id="rId32" Type="http://schemas.openxmlformats.org/officeDocument/2006/relationships/table" Target="../tables/table74.xml"/><Relationship Id="rId37" Type="http://schemas.openxmlformats.org/officeDocument/2006/relationships/table" Target="../tables/table79.xml"/><Relationship Id="rId40" Type="http://schemas.openxmlformats.org/officeDocument/2006/relationships/table" Target="../tables/table82.xml"/><Relationship Id="rId45" Type="http://schemas.openxmlformats.org/officeDocument/2006/relationships/comments" Target="../comments2.xml"/><Relationship Id="rId5" Type="http://schemas.openxmlformats.org/officeDocument/2006/relationships/table" Target="../tables/table47.xml"/><Relationship Id="rId15" Type="http://schemas.openxmlformats.org/officeDocument/2006/relationships/table" Target="../tables/table57.xml"/><Relationship Id="rId23" Type="http://schemas.openxmlformats.org/officeDocument/2006/relationships/table" Target="../tables/table65.xml"/><Relationship Id="rId28" Type="http://schemas.openxmlformats.org/officeDocument/2006/relationships/table" Target="../tables/table70.xml"/><Relationship Id="rId36" Type="http://schemas.openxmlformats.org/officeDocument/2006/relationships/table" Target="../tables/table78.xml"/><Relationship Id="rId10" Type="http://schemas.openxmlformats.org/officeDocument/2006/relationships/table" Target="../tables/table52.xml"/><Relationship Id="rId19" Type="http://schemas.openxmlformats.org/officeDocument/2006/relationships/table" Target="../tables/table61.xml"/><Relationship Id="rId31" Type="http://schemas.openxmlformats.org/officeDocument/2006/relationships/table" Target="../tables/table73.xml"/><Relationship Id="rId44" Type="http://schemas.openxmlformats.org/officeDocument/2006/relationships/table" Target="../tables/table86.xml"/><Relationship Id="rId4" Type="http://schemas.openxmlformats.org/officeDocument/2006/relationships/table" Target="../tables/table46.xml"/><Relationship Id="rId9" Type="http://schemas.openxmlformats.org/officeDocument/2006/relationships/table" Target="../tables/table51.xml"/><Relationship Id="rId14" Type="http://schemas.openxmlformats.org/officeDocument/2006/relationships/table" Target="../tables/table56.xml"/><Relationship Id="rId22" Type="http://schemas.openxmlformats.org/officeDocument/2006/relationships/table" Target="../tables/table64.xml"/><Relationship Id="rId27" Type="http://schemas.openxmlformats.org/officeDocument/2006/relationships/table" Target="../tables/table69.xml"/><Relationship Id="rId30" Type="http://schemas.openxmlformats.org/officeDocument/2006/relationships/table" Target="../tables/table72.xml"/><Relationship Id="rId35" Type="http://schemas.openxmlformats.org/officeDocument/2006/relationships/table" Target="../tables/table77.xml"/><Relationship Id="rId43" Type="http://schemas.openxmlformats.org/officeDocument/2006/relationships/table" Target="../tables/table85.xml"/><Relationship Id="rId8" Type="http://schemas.openxmlformats.org/officeDocument/2006/relationships/table" Target="../tables/table50.xml"/><Relationship Id="rId3" Type="http://schemas.openxmlformats.org/officeDocument/2006/relationships/table" Target="../tables/table45.xml"/><Relationship Id="rId12" Type="http://schemas.openxmlformats.org/officeDocument/2006/relationships/table" Target="../tables/table54.xml"/><Relationship Id="rId17" Type="http://schemas.openxmlformats.org/officeDocument/2006/relationships/table" Target="../tables/table59.xml"/><Relationship Id="rId25" Type="http://schemas.openxmlformats.org/officeDocument/2006/relationships/table" Target="../tables/table67.xml"/><Relationship Id="rId33" Type="http://schemas.openxmlformats.org/officeDocument/2006/relationships/table" Target="../tables/table75.xml"/><Relationship Id="rId38" Type="http://schemas.openxmlformats.org/officeDocument/2006/relationships/table" Target="../tables/table80.xml"/><Relationship Id="rId20" Type="http://schemas.openxmlformats.org/officeDocument/2006/relationships/table" Target="../tables/table62.xml"/><Relationship Id="rId41" Type="http://schemas.openxmlformats.org/officeDocument/2006/relationships/table" Target="../tables/table83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98.xml"/><Relationship Id="rId18" Type="http://schemas.openxmlformats.org/officeDocument/2006/relationships/table" Target="../tables/table103.xml"/><Relationship Id="rId26" Type="http://schemas.openxmlformats.org/officeDocument/2006/relationships/table" Target="../tables/table111.xml"/><Relationship Id="rId39" Type="http://schemas.openxmlformats.org/officeDocument/2006/relationships/table" Target="../tables/table124.xml"/><Relationship Id="rId21" Type="http://schemas.openxmlformats.org/officeDocument/2006/relationships/table" Target="../tables/table106.xml"/><Relationship Id="rId34" Type="http://schemas.openxmlformats.org/officeDocument/2006/relationships/table" Target="../tables/table119.xml"/><Relationship Id="rId42" Type="http://schemas.openxmlformats.org/officeDocument/2006/relationships/table" Target="../tables/table127.xml"/><Relationship Id="rId7" Type="http://schemas.openxmlformats.org/officeDocument/2006/relationships/table" Target="../tables/table92.xml"/><Relationship Id="rId2" Type="http://schemas.openxmlformats.org/officeDocument/2006/relationships/table" Target="../tables/table87.xml"/><Relationship Id="rId16" Type="http://schemas.openxmlformats.org/officeDocument/2006/relationships/table" Target="../tables/table101.xml"/><Relationship Id="rId29" Type="http://schemas.openxmlformats.org/officeDocument/2006/relationships/table" Target="../tables/table114.xml"/><Relationship Id="rId1" Type="http://schemas.openxmlformats.org/officeDocument/2006/relationships/vmlDrawing" Target="../drawings/vmlDrawing3.vml"/><Relationship Id="rId6" Type="http://schemas.openxmlformats.org/officeDocument/2006/relationships/table" Target="../tables/table91.xml"/><Relationship Id="rId11" Type="http://schemas.openxmlformats.org/officeDocument/2006/relationships/table" Target="../tables/table96.xml"/><Relationship Id="rId24" Type="http://schemas.openxmlformats.org/officeDocument/2006/relationships/table" Target="../tables/table109.xml"/><Relationship Id="rId32" Type="http://schemas.openxmlformats.org/officeDocument/2006/relationships/table" Target="../tables/table117.xml"/><Relationship Id="rId37" Type="http://schemas.openxmlformats.org/officeDocument/2006/relationships/table" Target="../tables/table122.xml"/><Relationship Id="rId40" Type="http://schemas.openxmlformats.org/officeDocument/2006/relationships/table" Target="../tables/table125.xml"/><Relationship Id="rId45" Type="http://schemas.openxmlformats.org/officeDocument/2006/relationships/comments" Target="../comments3.xml"/><Relationship Id="rId5" Type="http://schemas.openxmlformats.org/officeDocument/2006/relationships/table" Target="../tables/table90.xml"/><Relationship Id="rId15" Type="http://schemas.openxmlformats.org/officeDocument/2006/relationships/table" Target="../tables/table100.xml"/><Relationship Id="rId23" Type="http://schemas.openxmlformats.org/officeDocument/2006/relationships/table" Target="../tables/table108.xml"/><Relationship Id="rId28" Type="http://schemas.openxmlformats.org/officeDocument/2006/relationships/table" Target="../tables/table113.xml"/><Relationship Id="rId36" Type="http://schemas.openxmlformats.org/officeDocument/2006/relationships/table" Target="../tables/table121.xml"/><Relationship Id="rId10" Type="http://schemas.openxmlformats.org/officeDocument/2006/relationships/table" Target="../tables/table95.xml"/><Relationship Id="rId19" Type="http://schemas.openxmlformats.org/officeDocument/2006/relationships/table" Target="../tables/table104.xml"/><Relationship Id="rId31" Type="http://schemas.openxmlformats.org/officeDocument/2006/relationships/table" Target="../tables/table116.xml"/><Relationship Id="rId44" Type="http://schemas.openxmlformats.org/officeDocument/2006/relationships/table" Target="../tables/table129.xml"/><Relationship Id="rId4" Type="http://schemas.openxmlformats.org/officeDocument/2006/relationships/table" Target="../tables/table89.xml"/><Relationship Id="rId9" Type="http://schemas.openxmlformats.org/officeDocument/2006/relationships/table" Target="../tables/table94.xml"/><Relationship Id="rId14" Type="http://schemas.openxmlformats.org/officeDocument/2006/relationships/table" Target="../tables/table99.xml"/><Relationship Id="rId22" Type="http://schemas.openxmlformats.org/officeDocument/2006/relationships/table" Target="../tables/table107.xml"/><Relationship Id="rId27" Type="http://schemas.openxmlformats.org/officeDocument/2006/relationships/table" Target="../tables/table112.xml"/><Relationship Id="rId30" Type="http://schemas.openxmlformats.org/officeDocument/2006/relationships/table" Target="../tables/table115.xml"/><Relationship Id="rId35" Type="http://schemas.openxmlformats.org/officeDocument/2006/relationships/table" Target="../tables/table120.xml"/><Relationship Id="rId43" Type="http://schemas.openxmlformats.org/officeDocument/2006/relationships/table" Target="../tables/table128.xml"/><Relationship Id="rId8" Type="http://schemas.openxmlformats.org/officeDocument/2006/relationships/table" Target="../tables/table93.xml"/><Relationship Id="rId3" Type="http://schemas.openxmlformats.org/officeDocument/2006/relationships/table" Target="../tables/table88.xml"/><Relationship Id="rId12" Type="http://schemas.openxmlformats.org/officeDocument/2006/relationships/table" Target="../tables/table97.xml"/><Relationship Id="rId17" Type="http://schemas.openxmlformats.org/officeDocument/2006/relationships/table" Target="../tables/table102.xml"/><Relationship Id="rId25" Type="http://schemas.openxmlformats.org/officeDocument/2006/relationships/table" Target="../tables/table110.xml"/><Relationship Id="rId33" Type="http://schemas.openxmlformats.org/officeDocument/2006/relationships/table" Target="../tables/table118.xml"/><Relationship Id="rId38" Type="http://schemas.openxmlformats.org/officeDocument/2006/relationships/table" Target="../tables/table123.xml"/><Relationship Id="rId20" Type="http://schemas.openxmlformats.org/officeDocument/2006/relationships/table" Target="../tables/table105.xml"/><Relationship Id="rId41" Type="http://schemas.openxmlformats.org/officeDocument/2006/relationships/table" Target="../tables/table126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41.xml"/><Relationship Id="rId18" Type="http://schemas.openxmlformats.org/officeDocument/2006/relationships/table" Target="../tables/table146.xml"/><Relationship Id="rId26" Type="http://schemas.openxmlformats.org/officeDocument/2006/relationships/table" Target="../tables/table154.xml"/><Relationship Id="rId39" Type="http://schemas.openxmlformats.org/officeDocument/2006/relationships/table" Target="../tables/table167.xml"/><Relationship Id="rId21" Type="http://schemas.openxmlformats.org/officeDocument/2006/relationships/table" Target="../tables/table149.xml"/><Relationship Id="rId34" Type="http://schemas.openxmlformats.org/officeDocument/2006/relationships/table" Target="../tables/table162.xml"/><Relationship Id="rId42" Type="http://schemas.openxmlformats.org/officeDocument/2006/relationships/table" Target="../tables/table170.xml"/><Relationship Id="rId7" Type="http://schemas.openxmlformats.org/officeDocument/2006/relationships/table" Target="../tables/table135.xml"/><Relationship Id="rId2" Type="http://schemas.openxmlformats.org/officeDocument/2006/relationships/table" Target="../tables/table130.xml"/><Relationship Id="rId16" Type="http://schemas.openxmlformats.org/officeDocument/2006/relationships/table" Target="../tables/table144.xml"/><Relationship Id="rId29" Type="http://schemas.openxmlformats.org/officeDocument/2006/relationships/table" Target="../tables/table157.xml"/><Relationship Id="rId1" Type="http://schemas.openxmlformats.org/officeDocument/2006/relationships/vmlDrawing" Target="../drawings/vmlDrawing4.vml"/><Relationship Id="rId6" Type="http://schemas.openxmlformats.org/officeDocument/2006/relationships/table" Target="../tables/table134.xml"/><Relationship Id="rId11" Type="http://schemas.openxmlformats.org/officeDocument/2006/relationships/table" Target="../tables/table139.xml"/><Relationship Id="rId24" Type="http://schemas.openxmlformats.org/officeDocument/2006/relationships/table" Target="../tables/table152.xml"/><Relationship Id="rId32" Type="http://schemas.openxmlformats.org/officeDocument/2006/relationships/table" Target="../tables/table160.xml"/><Relationship Id="rId37" Type="http://schemas.openxmlformats.org/officeDocument/2006/relationships/table" Target="../tables/table165.xml"/><Relationship Id="rId40" Type="http://schemas.openxmlformats.org/officeDocument/2006/relationships/table" Target="../tables/table168.xml"/><Relationship Id="rId45" Type="http://schemas.openxmlformats.org/officeDocument/2006/relationships/comments" Target="../comments4.xml"/><Relationship Id="rId5" Type="http://schemas.openxmlformats.org/officeDocument/2006/relationships/table" Target="../tables/table133.xml"/><Relationship Id="rId15" Type="http://schemas.openxmlformats.org/officeDocument/2006/relationships/table" Target="../tables/table143.xml"/><Relationship Id="rId23" Type="http://schemas.openxmlformats.org/officeDocument/2006/relationships/table" Target="../tables/table151.xml"/><Relationship Id="rId28" Type="http://schemas.openxmlformats.org/officeDocument/2006/relationships/table" Target="../tables/table156.xml"/><Relationship Id="rId36" Type="http://schemas.openxmlformats.org/officeDocument/2006/relationships/table" Target="../tables/table164.xml"/><Relationship Id="rId10" Type="http://schemas.openxmlformats.org/officeDocument/2006/relationships/table" Target="../tables/table138.xml"/><Relationship Id="rId19" Type="http://schemas.openxmlformats.org/officeDocument/2006/relationships/table" Target="../tables/table147.xml"/><Relationship Id="rId31" Type="http://schemas.openxmlformats.org/officeDocument/2006/relationships/table" Target="../tables/table159.xml"/><Relationship Id="rId44" Type="http://schemas.openxmlformats.org/officeDocument/2006/relationships/table" Target="../tables/table172.xml"/><Relationship Id="rId4" Type="http://schemas.openxmlformats.org/officeDocument/2006/relationships/table" Target="../tables/table132.xml"/><Relationship Id="rId9" Type="http://schemas.openxmlformats.org/officeDocument/2006/relationships/table" Target="../tables/table137.xml"/><Relationship Id="rId14" Type="http://schemas.openxmlformats.org/officeDocument/2006/relationships/table" Target="../tables/table142.xml"/><Relationship Id="rId22" Type="http://schemas.openxmlformats.org/officeDocument/2006/relationships/table" Target="../tables/table150.xml"/><Relationship Id="rId27" Type="http://schemas.openxmlformats.org/officeDocument/2006/relationships/table" Target="../tables/table155.xml"/><Relationship Id="rId30" Type="http://schemas.openxmlformats.org/officeDocument/2006/relationships/table" Target="../tables/table158.xml"/><Relationship Id="rId35" Type="http://schemas.openxmlformats.org/officeDocument/2006/relationships/table" Target="../tables/table163.xml"/><Relationship Id="rId43" Type="http://schemas.openxmlformats.org/officeDocument/2006/relationships/table" Target="../tables/table171.xml"/><Relationship Id="rId8" Type="http://schemas.openxmlformats.org/officeDocument/2006/relationships/table" Target="../tables/table136.xml"/><Relationship Id="rId3" Type="http://schemas.openxmlformats.org/officeDocument/2006/relationships/table" Target="../tables/table131.xml"/><Relationship Id="rId12" Type="http://schemas.openxmlformats.org/officeDocument/2006/relationships/table" Target="../tables/table140.xml"/><Relationship Id="rId17" Type="http://schemas.openxmlformats.org/officeDocument/2006/relationships/table" Target="../tables/table145.xml"/><Relationship Id="rId25" Type="http://schemas.openxmlformats.org/officeDocument/2006/relationships/table" Target="../tables/table153.xml"/><Relationship Id="rId33" Type="http://schemas.openxmlformats.org/officeDocument/2006/relationships/table" Target="../tables/table161.xml"/><Relationship Id="rId38" Type="http://schemas.openxmlformats.org/officeDocument/2006/relationships/table" Target="../tables/table166.xml"/><Relationship Id="rId20" Type="http://schemas.openxmlformats.org/officeDocument/2006/relationships/table" Target="../tables/table148.xml"/><Relationship Id="rId41" Type="http://schemas.openxmlformats.org/officeDocument/2006/relationships/table" Target="../tables/table169.xm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84.xml"/><Relationship Id="rId18" Type="http://schemas.openxmlformats.org/officeDocument/2006/relationships/table" Target="../tables/table189.xml"/><Relationship Id="rId26" Type="http://schemas.openxmlformats.org/officeDocument/2006/relationships/table" Target="../tables/table197.xml"/><Relationship Id="rId39" Type="http://schemas.openxmlformats.org/officeDocument/2006/relationships/table" Target="../tables/table210.xml"/><Relationship Id="rId21" Type="http://schemas.openxmlformats.org/officeDocument/2006/relationships/table" Target="../tables/table192.xml"/><Relationship Id="rId34" Type="http://schemas.openxmlformats.org/officeDocument/2006/relationships/table" Target="../tables/table205.xml"/><Relationship Id="rId42" Type="http://schemas.openxmlformats.org/officeDocument/2006/relationships/table" Target="../tables/table213.xml"/><Relationship Id="rId7" Type="http://schemas.openxmlformats.org/officeDocument/2006/relationships/table" Target="../tables/table178.xml"/><Relationship Id="rId2" Type="http://schemas.openxmlformats.org/officeDocument/2006/relationships/table" Target="../tables/table173.xml"/><Relationship Id="rId16" Type="http://schemas.openxmlformats.org/officeDocument/2006/relationships/table" Target="../tables/table187.xml"/><Relationship Id="rId29" Type="http://schemas.openxmlformats.org/officeDocument/2006/relationships/table" Target="../tables/table200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77.xml"/><Relationship Id="rId11" Type="http://schemas.openxmlformats.org/officeDocument/2006/relationships/table" Target="../tables/table182.xml"/><Relationship Id="rId24" Type="http://schemas.openxmlformats.org/officeDocument/2006/relationships/table" Target="../tables/table195.xml"/><Relationship Id="rId32" Type="http://schemas.openxmlformats.org/officeDocument/2006/relationships/table" Target="../tables/table203.xml"/><Relationship Id="rId37" Type="http://schemas.openxmlformats.org/officeDocument/2006/relationships/table" Target="../tables/table208.xml"/><Relationship Id="rId40" Type="http://schemas.openxmlformats.org/officeDocument/2006/relationships/table" Target="../tables/table211.xml"/><Relationship Id="rId45" Type="http://schemas.openxmlformats.org/officeDocument/2006/relationships/comments" Target="../comments5.xml"/><Relationship Id="rId5" Type="http://schemas.openxmlformats.org/officeDocument/2006/relationships/table" Target="../tables/table176.xml"/><Relationship Id="rId15" Type="http://schemas.openxmlformats.org/officeDocument/2006/relationships/table" Target="../tables/table186.xml"/><Relationship Id="rId23" Type="http://schemas.openxmlformats.org/officeDocument/2006/relationships/table" Target="../tables/table194.xml"/><Relationship Id="rId28" Type="http://schemas.openxmlformats.org/officeDocument/2006/relationships/table" Target="../tables/table199.xml"/><Relationship Id="rId36" Type="http://schemas.openxmlformats.org/officeDocument/2006/relationships/table" Target="../tables/table207.xml"/><Relationship Id="rId10" Type="http://schemas.openxmlformats.org/officeDocument/2006/relationships/table" Target="../tables/table181.xml"/><Relationship Id="rId19" Type="http://schemas.openxmlformats.org/officeDocument/2006/relationships/table" Target="../tables/table190.xml"/><Relationship Id="rId31" Type="http://schemas.openxmlformats.org/officeDocument/2006/relationships/table" Target="../tables/table202.xml"/><Relationship Id="rId44" Type="http://schemas.openxmlformats.org/officeDocument/2006/relationships/table" Target="../tables/table215.xml"/><Relationship Id="rId4" Type="http://schemas.openxmlformats.org/officeDocument/2006/relationships/table" Target="../tables/table175.xml"/><Relationship Id="rId9" Type="http://schemas.openxmlformats.org/officeDocument/2006/relationships/table" Target="../tables/table180.xml"/><Relationship Id="rId14" Type="http://schemas.openxmlformats.org/officeDocument/2006/relationships/table" Target="../tables/table185.xml"/><Relationship Id="rId22" Type="http://schemas.openxmlformats.org/officeDocument/2006/relationships/table" Target="../tables/table193.xml"/><Relationship Id="rId27" Type="http://schemas.openxmlformats.org/officeDocument/2006/relationships/table" Target="../tables/table198.xml"/><Relationship Id="rId30" Type="http://schemas.openxmlformats.org/officeDocument/2006/relationships/table" Target="../tables/table201.xml"/><Relationship Id="rId35" Type="http://schemas.openxmlformats.org/officeDocument/2006/relationships/table" Target="../tables/table206.xml"/><Relationship Id="rId43" Type="http://schemas.openxmlformats.org/officeDocument/2006/relationships/table" Target="../tables/table214.xml"/><Relationship Id="rId8" Type="http://schemas.openxmlformats.org/officeDocument/2006/relationships/table" Target="../tables/table179.xml"/><Relationship Id="rId3" Type="http://schemas.openxmlformats.org/officeDocument/2006/relationships/table" Target="../tables/table174.xml"/><Relationship Id="rId12" Type="http://schemas.openxmlformats.org/officeDocument/2006/relationships/table" Target="../tables/table183.xml"/><Relationship Id="rId17" Type="http://schemas.openxmlformats.org/officeDocument/2006/relationships/table" Target="../tables/table188.xml"/><Relationship Id="rId25" Type="http://schemas.openxmlformats.org/officeDocument/2006/relationships/table" Target="../tables/table196.xml"/><Relationship Id="rId33" Type="http://schemas.openxmlformats.org/officeDocument/2006/relationships/table" Target="../tables/table204.xml"/><Relationship Id="rId38" Type="http://schemas.openxmlformats.org/officeDocument/2006/relationships/table" Target="../tables/table209.xml"/><Relationship Id="rId20" Type="http://schemas.openxmlformats.org/officeDocument/2006/relationships/table" Target="../tables/table191.xml"/><Relationship Id="rId41" Type="http://schemas.openxmlformats.org/officeDocument/2006/relationships/table" Target="../tables/table212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27.xml"/><Relationship Id="rId18" Type="http://schemas.openxmlformats.org/officeDocument/2006/relationships/table" Target="../tables/table232.xml"/><Relationship Id="rId26" Type="http://schemas.openxmlformats.org/officeDocument/2006/relationships/table" Target="../tables/table240.xml"/><Relationship Id="rId39" Type="http://schemas.openxmlformats.org/officeDocument/2006/relationships/table" Target="../tables/table253.xml"/><Relationship Id="rId21" Type="http://schemas.openxmlformats.org/officeDocument/2006/relationships/table" Target="../tables/table235.xml"/><Relationship Id="rId34" Type="http://schemas.openxmlformats.org/officeDocument/2006/relationships/table" Target="../tables/table248.xml"/><Relationship Id="rId42" Type="http://schemas.openxmlformats.org/officeDocument/2006/relationships/table" Target="../tables/table256.xml"/><Relationship Id="rId7" Type="http://schemas.openxmlformats.org/officeDocument/2006/relationships/table" Target="../tables/table221.xml"/><Relationship Id="rId2" Type="http://schemas.openxmlformats.org/officeDocument/2006/relationships/table" Target="../tables/table216.xml"/><Relationship Id="rId16" Type="http://schemas.openxmlformats.org/officeDocument/2006/relationships/table" Target="../tables/table230.xml"/><Relationship Id="rId29" Type="http://schemas.openxmlformats.org/officeDocument/2006/relationships/table" Target="../tables/table243.xml"/><Relationship Id="rId1" Type="http://schemas.openxmlformats.org/officeDocument/2006/relationships/vmlDrawing" Target="../drawings/vmlDrawing6.vml"/><Relationship Id="rId6" Type="http://schemas.openxmlformats.org/officeDocument/2006/relationships/table" Target="../tables/table220.xml"/><Relationship Id="rId11" Type="http://schemas.openxmlformats.org/officeDocument/2006/relationships/table" Target="../tables/table225.xml"/><Relationship Id="rId24" Type="http://schemas.openxmlformats.org/officeDocument/2006/relationships/table" Target="../tables/table238.xml"/><Relationship Id="rId32" Type="http://schemas.openxmlformats.org/officeDocument/2006/relationships/table" Target="../tables/table246.xml"/><Relationship Id="rId37" Type="http://schemas.openxmlformats.org/officeDocument/2006/relationships/table" Target="../tables/table251.xml"/><Relationship Id="rId40" Type="http://schemas.openxmlformats.org/officeDocument/2006/relationships/table" Target="../tables/table254.xml"/><Relationship Id="rId45" Type="http://schemas.openxmlformats.org/officeDocument/2006/relationships/comments" Target="../comments6.xml"/><Relationship Id="rId5" Type="http://schemas.openxmlformats.org/officeDocument/2006/relationships/table" Target="../tables/table219.xml"/><Relationship Id="rId15" Type="http://schemas.openxmlformats.org/officeDocument/2006/relationships/table" Target="../tables/table229.xml"/><Relationship Id="rId23" Type="http://schemas.openxmlformats.org/officeDocument/2006/relationships/table" Target="../tables/table237.xml"/><Relationship Id="rId28" Type="http://schemas.openxmlformats.org/officeDocument/2006/relationships/table" Target="../tables/table242.xml"/><Relationship Id="rId36" Type="http://schemas.openxmlformats.org/officeDocument/2006/relationships/table" Target="../tables/table250.xml"/><Relationship Id="rId10" Type="http://schemas.openxmlformats.org/officeDocument/2006/relationships/table" Target="../tables/table224.xml"/><Relationship Id="rId19" Type="http://schemas.openxmlformats.org/officeDocument/2006/relationships/table" Target="../tables/table233.xml"/><Relationship Id="rId31" Type="http://schemas.openxmlformats.org/officeDocument/2006/relationships/table" Target="../tables/table245.xml"/><Relationship Id="rId44" Type="http://schemas.openxmlformats.org/officeDocument/2006/relationships/table" Target="../tables/table258.xml"/><Relationship Id="rId4" Type="http://schemas.openxmlformats.org/officeDocument/2006/relationships/table" Target="../tables/table218.xml"/><Relationship Id="rId9" Type="http://schemas.openxmlformats.org/officeDocument/2006/relationships/table" Target="../tables/table223.xml"/><Relationship Id="rId14" Type="http://schemas.openxmlformats.org/officeDocument/2006/relationships/table" Target="../tables/table228.xml"/><Relationship Id="rId22" Type="http://schemas.openxmlformats.org/officeDocument/2006/relationships/table" Target="../tables/table236.xml"/><Relationship Id="rId27" Type="http://schemas.openxmlformats.org/officeDocument/2006/relationships/table" Target="../tables/table241.xml"/><Relationship Id="rId30" Type="http://schemas.openxmlformats.org/officeDocument/2006/relationships/table" Target="../tables/table244.xml"/><Relationship Id="rId35" Type="http://schemas.openxmlformats.org/officeDocument/2006/relationships/table" Target="../tables/table249.xml"/><Relationship Id="rId43" Type="http://schemas.openxmlformats.org/officeDocument/2006/relationships/table" Target="../tables/table257.xml"/><Relationship Id="rId8" Type="http://schemas.openxmlformats.org/officeDocument/2006/relationships/table" Target="../tables/table222.xml"/><Relationship Id="rId3" Type="http://schemas.openxmlformats.org/officeDocument/2006/relationships/table" Target="../tables/table217.xml"/><Relationship Id="rId12" Type="http://schemas.openxmlformats.org/officeDocument/2006/relationships/table" Target="../tables/table226.xml"/><Relationship Id="rId17" Type="http://schemas.openxmlformats.org/officeDocument/2006/relationships/table" Target="../tables/table231.xml"/><Relationship Id="rId25" Type="http://schemas.openxmlformats.org/officeDocument/2006/relationships/table" Target="../tables/table239.xml"/><Relationship Id="rId33" Type="http://schemas.openxmlformats.org/officeDocument/2006/relationships/table" Target="../tables/table247.xml"/><Relationship Id="rId38" Type="http://schemas.openxmlformats.org/officeDocument/2006/relationships/table" Target="../tables/table252.xml"/><Relationship Id="rId20" Type="http://schemas.openxmlformats.org/officeDocument/2006/relationships/table" Target="../tables/table234.xml"/><Relationship Id="rId41" Type="http://schemas.openxmlformats.org/officeDocument/2006/relationships/table" Target="../tables/table255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70.xml"/><Relationship Id="rId18" Type="http://schemas.openxmlformats.org/officeDocument/2006/relationships/table" Target="../tables/table275.xml"/><Relationship Id="rId26" Type="http://schemas.openxmlformats.org/officeDocument/2006/relationships/table" Target="../tables/table283.xml"/><Relationship Id="rId39" Type="http://schemas.openxmlformats.org/officeDocument/2006/relationships/table" Target="../tables/table296.xml"/><Relationship Id="rId21" Type="http://schemas.openxmlformats.org/officeDocument/2006/relationships/table" Target="../tables/table278.xml"/><Relationship Id="rId34" Type="http://schemas.openxmlformats.org/officeDocument/2006/relationships/table" Target="../tables/table291.xml"/><Relationship Id="rId42" Type="http://schemas.openxmlformats.org/officeDocument/2006/relationships/table" Target="../tables/table299.xml"/><Relationship Id="rId7" Type="http://schemas.openxmlformats.org/officeDocument/2006/relationships/table" Target="../tables/table264.xml"/><Relationship Id="rId2" Type="http://schemas.openxmlformats.org/officeDocument/2006/relationships/table" Target="../tables/table259.xml"/><Relationship Id="rId16" Type="http://schemas.openxmlformats.org/officeDocument/2006/relationships/table" Target="../tables/table273.xml"/><Relationship Id="rId29" Type="http://schemas.openxmlformats.org/officeDocument/2006/relationships/table" Target="../tables/table286.xml"/><Relationship Id="rId1" Type="http://schemas.openxmlformats.org/officeDocument/2006/relationships/vmlDrawing" Target="../drawings/vmlDrawing7.vml"/><Relationship Id="rId6" Type="http://schemas.openxmlformats.org/officeDocument/2006/relationships/table" Target="../tables/table263.xml"/><Relationship Id="rId11" Type="http://schemas.openxmlformats.org/officeDocument/2006/relationships/table" Target="../tables/table268.xml"/><Relationship Id="rId24" Type="http://schemas.openxmlformats.org/officeDocument/2006/relationships/table" Target="../tables/table281.xml"/><Relationship Id="rId32" Type="http://schemas.openxmlformats.org/officeDocument/2006/relationships/table" Target="../tables/table289.xml"/><Relationship Id="rId37" Type="http://schemas.openxmlformats.org/officeDocument/2006/relationships/table" Target="../tables/table294.xml"/><Relationship Id="rId40" Type="http://schemas.openxmlformats.org/officeDocument/2006/relationships/table" Target="../tables/table297.xml"/><Relationship Id="rId45" Type="http://schemas.openxmlformats.org/officeDocument/2006/relationships/comments" Target="../comments7.xml"/><Relationship Id="rId5" Type="http://schemas.openxmlformats.org/officeDocument/2006/relationships/table" Target="../tables/table262.xml"/><Relationship Id="rId15" Type="http://schemas.openxmlformats.org/officeDocument/2006/relationships/table" Target="../tables/table272.xml"/><Relationship Id="rId23" Type="http://schemas.openxmlformats.org/officeDocument/2006/relationships/table" Target="../tables/table280.xml"/><Relationship Id="rId28" Type="http://schemas.openxmlformats.org/officeDocument/2006/relationships/table" Target="../tables/table285.xml"/><Relationship Id="rId36" Type="http://schemas.openxmlformats.org/officeDocument/2006/relationships/table" Target="../tables/table293.xml"/><Relationship Id="rId10" Type="http://schemas.openxmlformats.org/officeDocument/2006/relationships/table" Target="../tables/table267.xml"/><Relationship Id="rId19" Type="http://schemas.openxmlformats.org/officeDocument/2006/relationships/table" Target="../tables/table276.xml"/><Relationship Id="rId31" Type="http://schemas.openxmlformats.org/officeDocument/2006/relationships/table" Target="../tables/table288.xml"/><Relationship Id="rId44" Type="http://schemas.openxmlformats.org/officeDocument/2006/relationships/table" Target="../tables/table301.xml"/><Relationship Id="rId4" Type="http://schemas.openxmlformats.org/officeDocument/2006/relationships/table" Target="../tables/table261.xml"/><Relationship Id="rId9" Type="http://schemas.openxmlformats.org/officeDocument/2006/relationships/table" Target="../tables/table266.xml"/><Relationship Id="rId14" Type="http://schemas.openxmlformats.org/officeDocument/2006/relationships/table" Target="../tables/table271.xml"/><Relationship Id="rId22" Type="http://schemas.openxmlformats.org/officeDocument/2006/relationships/table" Target="../tables/table279.xml"/><Relationship Id="rId27" Type="http://schemas.openxmlformats.org/officeDocument/2006/relationships/table" Target="../tables/table284.xml"/><Relationship Id="rId30" Type="http://schemas.openxmlformats.org/officeDocument/2006/relationships/table" Target="../tables/table287.xml"/><Relationship Id="rId35" Type="http://schemas.openxmlformats.org/officeDocument/2006/relationships/table" Target="../tables/table292.xml"/><Relationship Id="rId43" Type="http://schemas.openxmlformats.org/officeDocument/2006/relationships/table" Target="../tables/table300.xml"/><Relationship Id="rId8" Type="http://schemas.openxmlformats.org/officeDocument/2006/relationships/table" Target="../tables/table265.xml"/><Relationship Id="rId3" Type="http://schemas.openxmlformats.org/officeDocument/2006/relationships/table" Target="../tables/table260.xml"/><Relationship Id="rId12" Type="http://schemas.openxmlformats.org/officeDocument/2006/relationships/table" Target="../tables/table269.xml"/><Relationship Id="rId17" Type="http://schemas.openxmlformats.org/officeDocument/2006/relationships/table" Target="../tables/table274.xml"/><Relationship Id="rId25" Type="http://schemas.openxmlformats.org/officeDocument/2006/relationships/table" Target="../tables/table282.xml"/><Relationship Id="rId33" Type="http://schemas.openxmlformats.org/officeDocument/2006/relationships/table" Target="../tables/table290.xml"/><Relationship Id="rId38" Type="http://schemas.openxmlformats.org/officeDocument/2006/relationships/table" Target="../tables/table295.xml"/><Relationship Id="rId20" Type="http://schemas.openxmlformats.org/officeDocument/2006/relationships/table" Target="../tables/table277.xml"/><Relationship Id="rId41" Type="http://schemas.openxmlformats.org/officeDocument/2006/relationships/table" Target="../tables/table298.xm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313.xml"/><Relationship Id="rId18" Type="http://schemas.openxmlformats.org/officeDocument/2006/relationships/table" Target="../tables/table318.xml"/><Relationship Id="rId26" Type="http://schemas.openxmlformats.org/officeDocument/2006/relationships/table" Target="../tables/table326.xml"/><Relationship Id="rId39" Type="http://schemas.openxmlformats.org/officeDocument/2006/relationships/table" Target="../tables/table339.xml"/><Relationship Id="rId21" Type="http://schemas.openxmlformats.org/officeDocument/2006/relationships/table" Target="../tables/table321.xml"/><Relationship Id="rId34" Type="http://schemas.openxmlformats.org/officeDocument/2006/relationships/table" Target="../tables/table334.xml"/><Relationship Id="rId42" Type="http://schemas.openxmlformats.org/officeDocument/2006/relationships/table" Target="../tables/table342.xml"/><Relationship Id="rId7" Type="http://schemas.openxmlformats.org/officeDocument/2006/relationships/table" Target="../tables/table307.xml"/><Relationship Id="rId2" Type="http://schemas.openxmlformats.org/officeDocument/2006/relationships/table" Target="../tables/table302.xml"/><Relationship Id="rId16" Type="http://schemas.openxmlformats.org/officeDocument/2006/relationships/table" Target="../tables/table316.xml"/><Relationship Id="rId29" Type="http://schemas.openxmlformats.org/officeDocument/2006/relationships/table" Target="../tables/table329.xml"/><Relationship Id="rId1" Type="http://schemas.openxmlformats.org/officeDocument/2006/relationships/vmlDrawing" Target="../drawings/vmlDrawing8.vml"/><Relationship Id="rId6" Type="http://schemas.openxmlformats.org/officeDocument/2006/relationships/table" Target="../tables/table306.xml"/><Relationship Id="rId11" Type="http://schemas.openxmlformats.org/officeDocument/2006/relationships/table" Target="../tables/table311.xml"/><Relationship Id="rId24" Type="http://schemas.openxmlformats.org/officeDocument/2006/relationships/table" Target="../tables/table324.xml"/><Relationship Id="rId32" Type="http://schemas.openxmlformats.org/officeDocument/2006/relationships/table" Target="../tables/table332.xml"/><Relationship Id="rId37" Type="http://schemas.openxmlformats.org/officeDocument/2006/relationships/table" Target="../tables/table337.xml"/><Relationship Id="rId40" Type="http://schemas.openxmlformats.org/officeDocument/2006/relationships/table" Target="../tables/table340.xml"/><Relationship Id="rId45" Type="http://schemas.openxmlformats.org/officeDocument/2006/relationships/table" Target="../tables/table345.xml"/><Relationship Id="rId5" Type="http://schemas.openxmlformats.org/officeDocument/2006/relationships/table" Target="../tables/table305.xml"/><Relationship Id="rId15" Type="http://schemas.openxmlformats.org/officeDocument/2006/relationships/table" Target="../tables/table315.xml"/><Relationship Id="rId23" Type="http://schemas.openxmlformats.org/officeDocument/2006/relationships/table" Target="../tables/table323.xml"/><Relationship Id="rId28" Type="http://schemas.openxmlformats.org/officeDocument/2006/relationships/table" Target="../tables/table328.xml"/><Relationship Id="rId36" Type="http://schemas.openxmlformats.org/officeDocument/2006/relationships/table" Target="../tables/table336.xml"/><Relationship Id="rId10" Type="http://schemas.openxmlformats.org/officeDocument/2006/relationships/table" Target="../tables/table310.xml"/><Relationship Id="rId19" Type="http://schemas.openxmlformats.org/officeDocument/2006/relationships/table" Target="../tables/table319.xml"/><Relationship Id="rId31" Type="http://schemas.openxmlformats.org/officeDocument/2006/relationships/table" Target="../tables/table331.xml"/><Relationship Id="rId44" Type="http://schemas.openxmlformats.org/officeDocument/2006/relationships/table" Target="../tables/table344.xml"/><Relationship Id="rId4" Type="http://schemas.openxmlformats.org/officeDocument/2006/relationships/table" Target="../tables/table304.xml"/><Relationship Id="rId9" Type="http://schemas.openxmlformats.org/officeDocument/2006/relationships/table" Target="../tables/table309.xml"/><Relationship Id="rId14" Type="http://schemas.openxmlformats.org/officeDocument/2006/relationships/table" Target="../tables/table314.xml"/><Relationship Id="rId22" Type="http://schemas.openxmlformats.org/officeDocument/2006/relationships/table" Target="../tables/table322.xml"/><Relationship Id="rId27" Type="http://schemas.openxmlformats.org/officeDocument/2006/relationships/table" Target="../tables/table327.xml"/><Relationship Id="rId30" Type="http://schemas.openxmlformats.org/officeDocument/2006/relationships/table" Target="../tables/table330.xml"/><Relationship Id="rId35" Type="http://schemas.openxmlformats.org/officeDocument/2006/relationships/table" Target="../tables/table335.xml"/><Relationship Id="rId43" Type="http://schemas.openxmlformats.org/officeDocument/2006/relationships/table" Target="../tables/table343.xml"/><Relationship Id="rId8" Type="http://schemas.openxmlformats.org/officeDocument/2006/relationships/table" Target="../tables/table308.xml"/><Relationship Id="rId3" Type="http://schemas.openxmlformats.org/officeDocument/2006/relationships/table" Target="../tables/table303.xml"/><Relationship Id="rId12" Type="http://schemas.openxmlformats.org/officeDocument/2006/relationships/table" Target="../tables/table312.xml"/><Relationship Id="rId17" Type="http://schemas.openxmlformats.org/officeDocument/2006/relationships/table" Target="../tables/table317.xml"/><Relationship Id="rId25" Type="http://schemas.openxmlformats.org/officeDocument/2006/relationships/table" Target="../tables/table325.xml"/><Relationship Id="rId33" Type="http://schemas.openxmlformats.org/officeDocument/2006/relationships/table" Target="../tables/table333.xml"/><Relationship Id="rId38" Type="http://schemas.openxmlformats.org/officeDocument/2006/relationships/table" Target="../tables/table338.xml"/><Relationship Id="rId46" Type="http://schemas.openxmlformats.org/officeDocument/2006/relationships/comments" Target="../comments8.xml"/><Relationship Id="rId20" Type="http://schemas.openxmlformats.org/officeDocument/2006/relationships/table" Target="../tables/table320.xml"/><Relationship Id="rId41" Type="http://schemas.openxmlformats.org/officeDocument/2006/relationships/table" Target="../tables/table34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13" Type="http://schemas.openxmlformats.org/officeDocument/2006/relationships/table" Target="../tables/table357.xml"/><Relationship Id="rId3" Type="http://schemas.openxmlformats.org/officeDocument/2006/relationships/table" Target="../tables/table347.xml"/><Relationship Id="rId7" Type="http://schemas.openxmlformats.org/officeDocument/2006/relationships/table" Target="../tables/table351.xml"/><Relationship Id="rId12" Type="http://schemas.openxmlformats.org/officeDocument/2006/relationships/table" Target="../tables/table356.xml"/><Relationship Id="rId2" Type="http://schemas.openxmlformats.org/officeDocument/2006/relationships/table" Target="../tables/table346.xml"/><Relationship Id="rId1" Type="http://schemas.openxmlformats.org/officeDocument/2006/relationships/vmlDrawing" Target="../drawings/vmlDrawing9.vml"/><Relationship Id="rId6" Type="http://schemas.openxmlformats.org/officeDocument/2006/relationships/table" Target="../tables/table350.xml"/><Relationship Id="rId11" Type="http://schemas.openxmlformats.org/officeDocument/2006/relationships/table" Target="../tables/table355.xml"/><Relationship Id="rId5" Type="http://schemas.openxmlformats.org/officeDocument/2006/relationships/table" Target="../tables/table349.xml"/><Relationship Id="rId10" Type="http://schemas.openxmlformats.org/officeDocument/2006/relationships/table" Target="../tables/table354.xml"/><Relationship Id="rId4" Type="http://schemas.openxmlformats.org/officeDocument/2006/relationships/table" Target="../tables/table348.xml"/><Relationship Id="rId9" Type="http://schemas.openxmlformats.org/officeDocument/2006/relationships/table" Target="../tables/table353.xml"/><Relationship Id="rId1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358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74FEF-7725-4BE6-B6CA-E3C46E774E74}">
  <dimension ref="B1:BQ618"/>
  <sheetViews>
    <sheetView zoomScale="85" zoomScaleNormal="85" workbookViewId="0">
      <pane xSplit="3" topLeftCell="J1" activePane="topRight" state="frozen"/>
      <selection pane="topRight" activeCell="Q10" sqref="Q10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10" width="36.33203125" customWidth="1"/>
    <col min="11" max="11" width="18.88671875" customWidth="1"/>
    <col min="12" max="12" width="13.88671875" customWidth="1"/>
    <col min="13" max="13" width="15.109375" customWidth="1"/>
    <col min="14" max="14" width="22.6640625" customWidth="1"/>
    <col min="15" max="15" width="21.33203125" customWidth="1"/>
    <col min="16" max="16" width="23.109375" customWidth="1"/>
    <col min="17" max="17" width="17.44140625" customWidth="1"/>
    <col min="18" max="18" width="24.109375" customWidth="1"/>
    <col min="19" max="19" width="18.6640625" customWidth="1"/>
    <col min="20" max="20" width="43.6640625" customWidth="1"/>
    <col min="21" max="21" width="15.6640625" customWidth="1"/>
    <col min="22" max="22" width="11.6640625" customWidth="1"/>
    <col min="23" max="23" width="18.6640625" customWidth="1"/>
    <col min="26" max="26" width="11.33203125" customWidth="1"/>
    <col min="28" max="28" width="19.5546875" customWidth="1"/>
    <col min="29" max="29" width="23.44140625" bestFit="1" customWidth="1"/>
    <col min="30" max="30" width="21.33203125" customWidth="1"/>
    <col min="31" max="31" width="22.33203125" customWidth="1"/>
    <col min="32" max="32" width="24" customWidth="1"/>
    <col min="33" max="33" width="24.44140625" customWidth="1"/>
    <col min="34" max="34" width="26.109375" customWidth="1"/>
    <col min="35" max="35" width="23.6640625" customWidth="1"/>
    <col min="36" max="36" width="24" customWidth="1"/>
    <col min="37" max="37" width="21.33203125" customWidth="1"/>
    <col min="38" max="38" width="21.109375" customWidth="1"/>
    <col min="39" max="39" width="19.44140625" bestFit="1" customWidth="1"/>
    <col min="40" max="40" width="22.5546875" customWidth="1"/>
    <col min="41" max="41" width="29.6640625" customWidth="1"/>
    <col min="42" max="42" width="25" customWidth="1"/>
    <col min="43" max="43" width="26.6640625" customWidth="1"/>
    <col min="44" max="44" width="28.33203125" customWidth="1"/>
    <col min="45" max="45" width="27.109375" customWidth="1"/>
    <col min="46" max="48" width="33.6640625" customWidth="1"/>
    <col min="49" max="49" width="22.5546875" customWidth="1"/>
    <col min="50" max="50" width="26.109375" customWidth="1"/>
    <col min="51" max="51" width="25.33203125" customWidth="1"/>
    <col min="52" max="52" width="21.109375" customWidth="1"/>
    <col min="53" max="53" width="19" customWidth="1"/>
    <col min="54" max="54" width="15.5546875" customWidth="1"/>
    <col min="55" max="55" width="18.33203125" customWidth="1"/>
    <col min="56" max="56" width="18.109375" customWidth="1"/>
  </cols>
  <sheetData>
    <row r="1" spans="2:69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7" t="s">
        <v>566</v>
      </c>
      <c r="H1" s="37" t="s">
        <v>571</v>
      </c>
      <c r="I1" s="37" t="s">
        <v>390</v>
      </c>
      <c r="J1" s="37" t="s">
        <v>569</v>
      </c>
      <c r="K1" s="36" t="s">
        <v>205</v>
      </c>
      <c r="L1" s="36" t="s">
        <v>206</v>
      </c>
      <c r="M1" s="36" t="s">
        <v>342</v>
      </c>
      <c r="N1" s="37" t="s">
        <v>207</v>
      </c>
      <c r="O1" s="37" t="s">
        <v>343</v>
      </c>
      <c r="P1" s="37" t="s">
        <v>208</v>
      </c>
      <c r="Q1" s="37" t="s">
        <v>209</v>
      </c>
      <c r="R1" s="37" t="s">
        <v>210</v>
      </c>
      <c r="S1" s="38" t="s">
        <v>211</v>
      </c>
      <c r="T1" s="37" t="s">
        <v>212</v>
      </c>
      <c r="U1" s="39"/>
      <c r="V1" s="40" t="s">
        <v>213</v>
      </c>
      <c r="W1" s="41" t="s">
        <v>201</v>
      </c>
      <c r="Y1" s="42" t="s">
        <v>213</v>
      </c>
      <c r="Z1" s="43" t="s">
        <v>211</v>
      </c>
      <c r="AB1" s="44" t="s">
        <v>213</v>
      </c>
      <c r="AC1" s="45" t="s">
        <v>214</v>
      </c>
      <c r="AE1" s="46"/>
      <c r="AF1" s="1" t="s">
        <v>4</v>
      </c>
      <c r="AG1" s="2" t="s">
        <v>5</v>
      </c>
      <c r="AH1" s="3" t="s">
        <v>6</v>
      </c>
      <c r="AI1" s="2" t="s">
        <v>7</v>
      </c>
      <c r="AJ1" s="3" t="s">
        <v>8</v>
      </c>
      <c r="AK1" s="3" t="s">
        <v>160</v>
      </c>
      <c r="AL1" s="2" t="s">
        <v>9</v>
      </c>
      <c r="AM1" s="4" t="s">
        <v>10</v>
      </c>
      <c r="AN1" t="s">
        <v>11</v>
      </c>
      <c r="AO1" t="s">
        <v>12</v>
      </c>
      <c r="AR1" t="s">
        <v>215</v>
      </c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</row>
    <row r="2" spans="2:69" ht="26.4" customHeight="1" x14ac:dyDescent="0.3">
      <c r="B2" t="s">
        <v>60</v>
      </c>
      <c r="C2" s="11" t="s">
        <v>176</v>
      </c>
      <c r="D2">
        <v>1</v>
      </c>
      <c r="E2" s="11" t="str" cm="1">
        <f t="array" ref="E2">_xlfn.IFS(
    COUNTIF(Herramientas_eléctricas1862106149192278[Herramientas_eléctricas], B2) &gt; 0, Herramientas_eléctricas1862106149192278[[#Headers],[Herramientas_eléctricas]],
    COUNTIF(Herramientas_neumáticas1963107150193279[Herramientas_neumáticas], B2) &gt; 0, Herramientas_neumáticas1963107150193279[[#Headers],[Herramientas_neumáticas]],
    COUNTIF(Herramientas_de_medición2064108151194280[Herramientas_de_medición], B2) &gt; 0, Herramientas_de_medición2064108151194280[[#Headers],[Herramientas_de_medición]],
    COUNTIF(Herrramientas_mecánicas2165109152195281[Herramientas_mecánicas], B2) &gt; 0, Herrramientas_mecánicas2165109152195281[[#Headers],[Herramientas_mecánicas]],
    COUNTIF(AJ2:AJ8, B2) &gt; 0, Herramientas_hidráulicas2266110153196282[[#Headers],[Herramientas_hidráulicas]],
    COUNTIF(EPP_2367111154197283[SPCC], B2) &gt; 0, EPP_2367111154197283[[#Headers],[SPCC]],
   COUNTIF(Herramientas_de_izaje2468112155198284[Herramientas_de_izaje], B2) &gt; 0, Herramientas_de_izaje2468112155198284[[#Headers],[Herramientas_de_izaje]],
COUNTIF(Tabla162670114157200286[Equipos], B2) &gt; 0, Tabla162670114157200286[[#Headers],[Equipos]],
    TRUE, "Sin clasificación"
)</f>
        <v>Herramientas_eléctricas</v>
      </c>
      <c r="F2" s="15"/>
      <c r="G2" s="15" t="s">
        <v>682</v>
      </c>
      <c r="H2" s="15">
        <v>3.5</v>
      </c>
      <c r="I2" s="15">
        <v>3450</v>
      </c>
      <c r="J2" s="15" t="s">
        <v>680</v>
      </c>
      <c r="K2" s="15" t="s">
        <v>677</v>
      </c>
      <c r="L2" s="47" t="s">
        <v>678</v>
      </c>
      <c r="M2" t="s">
        <v>679</v>
      </c>
      <c r="N2" s="47">
        <v>180264</v>
      </c>
      <c r="O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ZE-ES-ELT-0001</v>
      </c>
      <c r="Q2" s="15" t="s">
        <v>681</v>
      </c>
      <c r="S2" s="48"/>
      <c r="V2" s="49">
        <v>1</v>
      </c>
      <c r="W2" s="50" t="s">
        <v>171</v>
      </c>
      <c r="Y2" s="51">
        <v>1</v>
      </c>
      <c r="Z2" s="52" t="s">
        <v>216</v>
      </c>
      <c r="AB2" s="51">
        <v>1</v>
      </c>
      <c r="AC2" s="52" t="s">
        <v>4</v>
      </c>
      <c r="AF2" s="5" t="s">
        <v>13</v>
      </c>
      <c r="AG2" t="s">
        <v>14</v>
      </c>
      <c r="AH2" t="s">
        <v>15</v>
      </c>
      <c r="AI2" t="s">
        <v>16</v>
      </c>
      <c r="AJ2" s="6" t="s">
        <v>17</v>
      </c>
      <c r="AK2" t="s">
        <v>18</v>
      </c>
      <c r="AL2" t="s">
        <v>19</v>
      </c>
      <c r="AM2" s="6" t="s">
        <v>20</v>
      </c>
      <c r="AN2" t="s">
        <v>21</v>
      </c>
      <c r="AO2" s="7" t="s">
        <v>22</v>
      </c>
      <c r="AR2" s="25" t="s">
        <v>217</v>
      </c>
      <c r="AS2" t="s">
        <v>218</v>
      </c>
      <c r="AT2" t="s">
        <v>219</v>
      </c>
      <c r="AU2" s="25" t="s">
        <v>220</v>
      </c>
      <c r="AV2" t="s">
        <v>221</v>
      </c>
      <c r="BB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</row>
    <row r="3" spans="2:69" ht="29.25" customHeight="1" x14ac:dyDescent="0.3">
      <c r="B3" t="s">
        <v>60</v>
      </c>
      <c r="C3" s="11" t="s">
        <v>173</v>
      </c>
      <c r="D3">
        <v>1</v>
      </c>
      <c r="E3" s="11" t="str" cm="1">
        <f t="array" ref="E3">_xlfn.IFS(
    COUNTIF(Herramientas_eléctricas1862106149192278[Herramientas_eléctricas], B3) &gt; 0, Herramientas_eléctricas1862106149192278[[#Headers],[Herramientas_eléctricas]],
    COUNTIF(Herramientas_neumáticas1963107150193279[Herramientas_neumáticas], B3) &gt; 0, Herramientas_neumáticas1963107150193279[[#Headers],[Herramientas_neumáticas]],
    COUNTIF(Herramientas_de_medición2064108151194280[Herramientas_de_medición], B3) &gt; 0, Herramientas_de_medición2064108151194280[[#Headers],[Herramientas_de_medición]],
    COUNTIF(Herrramientas_mecánicas2165109152195281[Herramientas_mecánicas], B3) &gt; 0, Herrramientas_mecánicas2165109152195281[[#Headers],[Herramientas_mecánicas]],
    COUNTIF(AJ3:AJ9, B3) &gt; 0, Herramientas_hidráulicas2266110153196282[[#Headers],[Herramientas_hidráulicas]],
    COUNTIF(EPP_2367111154197283[SPCC], B3) &gt; 0, EPP_2367111154197283[[#Headers],[SPCC]],
   COUNTIF(Herramientas_de_izaje2468112155198284[Herramientas_de_izaje], B3) &gt; 0, Herramientas_de_izaje2468112155198284[[#Headers],[Herramientas_de_izaje]],
COUNTIF(Tabla162670114157200286[Equipos], B3) &gt; 0, Tabla162670114157200286[[#Headers],[Equipos]],
    TRUE, "Sin clasificación"
)</f>
        <v>Herramientas_eléctricas</v>
      </c>
      <c r="F3" s="15"/>
      <c r="G3" s="15">
        <v>220</v>
      </c>
      <c r="H3" s="15">
        <v>2</v>
      </c>
      <c r="I3" s="15">
        <v>2980</v>
      </c>
      <c r="J3" s="15"/>
      <c r="K3" s="15" t="s">
        <v>711</v>
      </c>
      <c r="L3" s="47"/>
      <c r="M3" t="s">
        <v>712</v>
      </c>
      <c r="N3" s="47"/>
      <c r="O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ZE-ES-FL-0001</v>
      </c>
      <c r="Q3" s="15"/>
      <c r="S3" s="48"/>
      <c r="V3" s="49">
        <v>2</v>
      </c>
      <c r="W3" s="50" t="s">
        <v>172</v>
      </c>
      <c r="Y3" s="51">
        <v>2</v>
      </c>
      <c r="Z3" s="52" t="s">
        <v>222</v>
      </c>
      <c r="AB3" s="51">
        <v>2</v>
      </c>
      <c r="AC3" s="53" t="s">
        <v>5</v>
      </c>
      <c r="AF3" s="6" t="s">
        <v>23</v>
      </c>
      <c r="AG3" t="s">
        <v>24</v>
      </c>
      <c r="AH3" t="s">
        <v>25</v>
      </c>
      <c r="AI3" t="s">
        <v>26</v>
      </c>
      <c r="AJ3" s="6" t="s">
        <v>27</v>
      </c>
      <c r="AK3" t="s">
        <v>28</v>
      </c>
      <c r="AL3" t="s">
        <v>29</v>
      </c>
      <c r="AN3" s="8" t="s">
        <v>30</v>
      </c>
      <c r="AO3" s="9" t="s">
        <v>31</v>
      </c>
      <c r="AR3" s="25" t="s">
        <v>223</v>
      </c>
      <c r="AS3" t="s">
        <v>70</v>
      </c>
      <c r="BB3" s="11"/>
      <c r="BC3" s="11"/>
      <c r="BD3" s="11"/>
      <c r="BE3" s="11"/>
      <c r="BF3" s="11"/>
      <c r="BG3" s="11"/>
      <c r="BH3" s="11"/>
      <c r="BI3" s="11"/>
      <c r="BJ3" s="54"/>
      <c r="BK3" s="54"/>
      <c r="BL3" s="11"/>
      <c r="BM3" s="11"/>
      <c r="BN3" s="11"/>
      <c r="BO3" s="11"/>
      <c r="BP3" s="11"/>
      <c r="BQ3" s="11"/>
    </row>
    <row r="4" spans="2:69" ht="33" customHeight="1" x14ac:dyDescent="0.3">
      <c r="B4" t="s">
        <v>60</v>
      </c>
      <c r="C4" s="11" t="s">
        <v>171</v>
      </c>
      <c r="D4">
        <v>1</v>
      </c>
      <c r="E4" s="11" t="str" cm="1">
        <f t="array" ref="E4">_xlfn.IFS(
    COUNTIF(Herramientas_eléctricas1862106149192278[Herramientas_eléctricas], B4) &gt; 0, Herramientas_eléctricas1862106149192278[[#Headers],[Herramientas_eléctricas]],
    COUNTIF(Herramientas_neumáticas1963107150193279[Herramientas_neumáticas], B4) &gt; 0, Herramientas_neumáticas1963107150193279[[#Headers],[Herramientas_neumáticas]],
    COUNTIF(Herramientas_de_medición2064108151194280[Herramientas_de_medición], B4) &gt; 0, Herramientas_de_medición2064108151194280[[#Headers],[Herramientas_de_medición]],
    COUNTIF(Herrramientas_mecánicas2165109152195281[Herramientas_mecánicas], B4) &gt; 0, Herrramientas_mecánicas2165109152195281[[#Headers],[Herramientas_mecánicas]],
    COUNTIF(AJ4:AJ10, B4) &gt; 0, Herramientas_hidráulicas2266110153196282[[#Headers],[Herramientas_hidráulicas]],
    COUNTIF(EPP_2367111154197283[SPCC], B4) &gt; 0, EPP_2367111154197283[[#Headers],[SPCC]],
   COUNTIF(Herramientas_de_izaje2468112155198284[Herramientas_de_izaje], B4) &gt; 0, Herramientas_de_izaje2468112155198284[[#Headers],[Herramientas_de_izaje]],
COUNTIF(Tabla162670114157200286[Equipos], B4) &gt; 0, Tabla162670114157200286[[#Headers],[Equipos]],
    TRUE, "Sin clasificación"
)</f>
        <v>Herramientas_eléctricas</v>
      </c>
      <c r="F4" s="15"/>
      <c r="G4" s="15">
        <v>220</v>
      </c>
      <c r="H4" s="15">
        <v>50</v>
      </c>
      <c r="I4" s="15">
        <v>2950</v>
      </c>
      <c r="J4" s="15" t="s">
        <v>785</v>
      </c>
      <c r="K4" s="15" t="s">
        <v>782</v>
      </c>
      <c r="L4" s="47" t="s">
        <v>784</v>
      </c>
      <c r="M4" t="s">
        <v>783</v>
      </c>
      <c r="N4" s="47"/>
      <c r="O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ZE-ES-CH-0001</v>
      </c>
      <c r="Q4" s="15"/>
      <c r="S4" s="48"/>
      <c r="V4" s="49">
        <v>3</v>
      </c>
      <c r="W4" s="50" t="s">
        <v>173</v>
      </c>
      <c r="Y4" s="55">
        <v>3</v>
      </c>
      <c r="Z4" s="56" t="s">
        <v>224</v>
      </c>
      <c r="AB4" s="51">
        <v>3</v>
      </c>
      <c r="AC4" s="53" t="s">
        <v>6</v>
      </c>
      <c r="AF4" s="10" t="s">
        <v>32</v>
      </c>
      <c r="AG4" t="s">
        <v>33</v>
      </c>
      <c r="AH4" t="s">
        <v>34</v>
      </c>
      <c r="AI4" t="s">
        <v>35</v>
      </c>
      <c r="AJ4" s="5" t="s">
        <v>36</v>
      </c>
      <c r="AK4" s="11" t="s">
        <v>37</v>
      </c>
      <c r="AL4" t="s">
        <v>38</v>
      </c>
      <c r="AN4" s="11" t="s">
        <v>39</v>
      </c>
      <c r="AO4" s="7" t="s">
        <v>40</v>
      </c>
      <c r="AR4" s="25" t="s">
        <v>225</v>
      </c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</row>
    <row r="5" spans="2:69" x14ac:dyDescent="0.3">
      <c r="B5" t="s">
        <v>60</v>
      </c>
      <c r="C5" s="11" t="s">
        <v>179</v>
      </c>
      <c r="D5">
        <v>1</v>
      </c>
      <c r="E5" s="11" t="str" cm="1">
        <f t="array" ref="E5">_xlfn.IFS(
    COUNTIF(Herramientas_eléctricas1862106149192278[Herramientas_eléctricas], B5) &gt; 0, Herramientas_eléctricas1862106149192278[[#Headers],[Herramientas_eléctricas]],
    COUNTIF(Herramientas_neumáticas1963107150193279[Herramientas_neumáticas], B5) &gt; 0, Herramientas_neumáticas1963107150193279[[#Headers],[Herramientas_neumáticas]],
    COUNTIF(Herramientas_de_medición2064108151194280[Herramientas_de_medición], B5) &gt; 0, Herramientas_de_medición2064108151194280[[#Headers],[Herramientas_de_medición]],
    COUNTIF(Herrramientas_mecánicas2165109152195281[Herramientas_mecánicas], B5) &gt; 0, Herrramientas_mecánicas2165109152195281[[#Headers],[Herramientas_mecánicas]],
    COUNTIF(AJ5:AJ11, B5) &gt; 0, Herramientas_hidráulicas2266110153196282[[#Headers],[Herramientas_hidráulicas]],
    COUNTIF(EPP_2367111154197283[SPCC], B5) &gt; 0, EPP_2367111154197283[[#Headers],[SPCC]],
   COUNTIF(Herramientas_de_izaje2468112155198284[Herramientas_de_izaje], B5) &gt; 0, Herramientas_de_izaje2468112155198284[[#Headers],[Herramientas_de_izaje]],
COUNTIF(Tabla162670114157200286[Equipos], B5) &gt; 0, Tabla162670114157200286[[#Headers],[Equipos]],
    TRUE, "Sin clasificación"
)</f>
        <v>Herramientas_eléctricas</v>
      </c>
      <c r="F5" s="15"/>
      <c r="G5" s="15">
        <v>380</v>
      </c>
      <c r="H5" s="15">
        <v>1.8</v>
      </c>
      <c r="I5" s="15">
        <v>2980</v>
      </c>
      <c r="J5" s="15"/>
      <c r="K5" s="15" t="s">
        <v>711</v>
      </c>
      <c r="L5" s="47"/>
      <c r="N5" s="47"/>
      <c r="O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ZE-ES-GE-0001</v>
      </c>
      <c r="Q5" s="15"/>
      <c r="S5" s="48" t="s">
        <v>222</v>
      </c>
      <c r="V5" s="49">
        <v>4</v>
      </c>
      <c r="W5" s="50" t="s">
        <v>174</v>
      </c>
      <c r="AB5" s="51">
        <v>4</v>
      </c>
      <c r="AC5" s="53" t="s">
        <v>7</v>
      </c>
      <c r="AF5" t="s">
        <v>41</v>
      </c>
      <c r="AG5" t="s">
        <v>42</v>
      </c>
      <c r="AH5" t="s">
        <v>43</v>
      </c>
      <c r="AI5" t="s">
        <v>44</v>
      </c>
      <c r="AJ5" s="5" t="s">
        <v>45</v>
      </c>
      <c r="AL5" t="s">
        <v>46</v>
      </c>
      <c r="AN5" s="12" t="s">
        <v>47</v>
      </c>
      <c r="AO5" s="9" t="s">
        <v>48</v>
      </c>
      <c r="AR5" s="25" t="s">
        <v>226</v>
      </c>
      <c r="AS5" t="s">
        <v>80</v>
      </c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</row>
    <row r="6" spans="2:69" ht="30" customHeight="1" x14ac:dyDescent="0.3">
      <c r="B6" t="s">
        <v>60</v>
      </c>
      <c r="C6" s="11" t="s">
        <v>174</v>
      </c>
      <c r="D6">
        <v>1</v>
      </c>
      <c r="E6" s="11" t="str" cm="1">
        <f t="array" ref="E6">_xlfn.IFS(
    COUNTIF(Herramientas_eléctricas1862106149192278[Herramientas_eléctricas], B6) &gt; 0, Herramientas_eléctricas1862106149192278[[#Headers],[Herramientas_eléctricas]],
    COUNTIF(Herramientas_neumáticas1963107150193279[Herramientas_neumáticas], B6) &gt; 0, Herramientas_neumáticas1963107150193279[[#Headers],[Herramientas_neumáticas]],
    COUNTIF(Herramientas_de_medición2064108151194280[Herramientas_de_medición], B6) &gt; 0, Herramientas_de_medición2064108151194280[[#Headers],[Herramientas_de_medición]],
    COUNTIF(Herrramientas_mecánicas2165109152195281[Herramientas_mecánicas], B6) &gt; 0, Herrramientas_mecánicas2165109152195281[[#Headers],[Herramientas_mecánicas]],
    COUNTIF(AJ6:AJ12, B6) &gt; 0, Herramientas_hidráulicas2266110153196282[[#Headers],[Herramientas_hidráulicas]],
    COUNTIF(EPP_2367111154197283[SPCC], B6) &gt; 0, EPP_2367111154197283[[#Headers],[SPCC]],
   COUNTIF(Herramientas_de_izaje2468112155198284[Herramientas_de_izaje], B6) &gt; 0, Herramientas_de_izaje2468112155198284[[#Headers],[Herramientas_de_izaje]],
COUNTIF(Tabla162670114157200286[Equipos], B6) &gt; 0, Tabla162670114157200286[[#Headers],[Equipos]],
    TRUE, "Sin clasificación"
)</f>
        <v>Herramientas_eléctricas</v>
      </c>
      <c r="F6" s="15"/>
      <c r="G6" s="15" t="s">
        <v>605</v>
      </c>
      <c r="H6" s="15">
        <v>2.6</v>
      </c>
      <c r="I6" s="15">
        <v>2850</v>
      </c>
      <c r="J6" s="15" t="s">
        <v>872</v>
      </c>
      <c r="K6" s="15" t="s">
        <v>611</v>
      </c>
      <c r="L6" s="47" t="s">
        <v>871</v>
      </c>
      <c r="N6" s="47"/>
      <c r="O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ZE-ES-FI-0001</v>
      </c>
      <c r="Q6" s="15"/>
      <c r="S6" s="48"/>
      <c r="V6" s="49">
        <v>5</v>
      </c>
      <c r="W6" s="50" t="s">
        <v>175</v>
      </c>
      <c r="AB6" s="51">
        <v>5</v>
      </c>
      <c r="AC6" s="53" t="s">
        <v>8</v>
      </c>
      <c r="AF6" t="s">
        <v>49</v>
      </c>
      <c r="AG6" t="s">
        <v>36</v>
      </c>
      <c r="AH6" t="s">
        <v>50</v>
      </c>
      <c r="AI6" t="s">
        <v>51</v>
      </c>
      <c r="AJ6" s="5" t="s">
        <v>52</v>
      </c>
      <c r="AN6" t="s">
        <v>53</v>
      </c>
      <c r="AO6" s="7" t="s">
        <v>54</v>
      </c>
      <c r="AR6" s="25" t="s">
        <v>227</v>
      </c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</row>
    <row r="7" spans="2:69" ht="30" customHeight="1" x14ac:dyDescent="0.3">
      <c r="B7" t="s">
        <v>60</v>
      </c>
      <c r="C7" s="11" t="s">
        <v>181</v>
      </c>
      <c r="D7">
        <v>1</v>
      </c>
      <c r="E7" s="11" t="str" cm="1">
        <f t="array" ref="E7">_xlfn.IFS(
    COUNTIF(Herramientas_eléctricas1862106149192278[Herramientas_eléctricas], B7) &gt; 0, Herramientas_eléctricas1862106149192278[[#Headers],[Herramientas_eléctricas]],
    COUNTIF(Herramientas_neumáticas1963107150193279[Herramientas_neumáticas], B7) &gt; 0, Herramientas_neumáticas1963107150193279[[#Headers],[Herramientas_neumáticas]],
    COUNTIF(Herramientas_de_medición2064108151194280[Herramientas_de_medición], B7) &gt; 0, Herramientas_de_medición2064108151194280[[#Headers],[Herramientas_de_medición]],
    COUNTIF(Herrramientas_mecánicas2165109152195281[Herramientas_mecánicas], B7) &gt; 0, Herrramientas_mecánicas2165109152195281[[#Headers],[Herramientas_mecánicas]],
    COUNTIF(AJ7:AJ13, B7) &gt; 0, Herramientas_hidráulicas2266110153196282[[#Headers],[Herramientas_hidráulicas]],
    COUNTIF(EPP_2367111154197283[SPCC], B7) &gt; 0, EPP_2367111154197283[[#Headers],[SPCC]],
   COUNTIF(Herramientas_de_izaje2468112155198284[Herramientas_de_izaje], B7) &gt; 0, Herramientas_de_izaje2468112155198284[[#Headers],[Herramientas_de_izaje]],
COUNTIF(Tabla162670114157200286[Equipos], B7) &gt; 0, Tabla162670114157200286[[#Headers],[Equipos]],
    TRUE, "Sin clasificación"
)</f>
        <v>Herramientas_eléctricas</v>
      </c>
      <c r="F7" s="15"/>
      <c r="G7" s="15">
        <v>220</v>
      </c>
      <c r="H7" s="15"/>
      <c r="I7" s="15">
        <v>2950</v>
      </c>
      <c r="J7" s="15"/>
      <c r="K7" s="15" t="s">
        <v>713</v>
      </c>
      <c r="L7" s="47" t="s">
        <v>880</v>
      </c>
      <c r="M7" t="s">
        <v>879</v>
      </c>
      <c r="N7" s="47"/>
      <c r="O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ZE-ES-RH-0001</v>
      </c>
      <c r="Q7" s="15"/>
      <c r="S7" s="48"/>
      <c r="V7" s="49">
        <v>6</v>
      </c>
      <c r="W7" s="50" t="s">
        <v>176</v>
      </c>
      <c r="AB7" s="55">
        <v>6</v>
      </c>
      <c r="AC7" s="56" t="s">
        <v>10</v>
      </c>
      <c r="AF7" t="s">
        <v>55</v>
      </c>
      <c r="AH7" s="11" t="s">
        <v>56</v>
      </c>
      <c r="AI7" s="5" t="s">
        <v>57</v>
      </c>
      <c r="AJ7" t="s">
        <v>58</v>
      </c>
      <c r="AO7" s="13" t="s">
        <v>59</v>
      </c>
      <c r="AR7" s="15" t="s">
        <v>228</v>
      </c>
      <c r="AS7" s="15" t="s">
        <v>229</v>
      </c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</row>
    <row r="8" spans="2:69" ht="33.6" customHeight="1" x14ac:dyDescent="0.3">
      <c r="B8" t="s">
        <v>60</v>
      </c>
      <c r="C8" s="11" t="s">
        <v>178</v>
      </c>
      <c r="D8">
        <v>1</v>
      </c>
      <c r="E8" s="11" t="str" cm="1">
        <f t="array" ref="E8">_xlfn.IFS(
    COUNTIF(Herramientas_eléctricas1862106149192278[Herramientas_eléctricas], B8) &gt; 0, Herramientas_eléctricas1862106149192278[[#Headers],[Herramientas_eléctricas]],
    COUNTIF(Herramientas_neumáticas1963107150193279[Herramientas_neumáticas], B8) &gt; 0, Herramientas_neumáticas1963107150193279[[#Headers],[Herramientas_neumáticas]],
    COUNTIF(Herramientas_de_medición2064108151194280[Herramientas_de_medición], B8) &gt; 0, Herramientas_de_medición2064108151194280[[#Headers],[Herramientas_de_medición]],
    COUNTIF(Herrramientas_mecánicas2165109152195281[Herramientas_mecánicas], B8) &gt; 0, Herrramientas_mecánicas2165109152195281[[#Headers],[Herramientas_mecánicas]],
    COUNTIF(AJ8:AJ14, B8) &gt; 0, Herramientas_hidráulicas2266110153196282[[#Headers],[Herramientas_hidráulicas]],
    COUNTIF(EPP_2367111154197283[SPCC], B8) &gt; 0, EPP_2367111154197283[[#Headers],[SPCC]],
   COUNTIF(Herramientas_de_izaje2468112155198284[Herramientas_de_izaje], B8) &gt; 0, Herramientas_de_izaje2468112155198284[[#Headers],[Herramientas_de_izaje]],
COUNTIF(Tabla162670114157200286[Equipos], B8) &gt; 0, Tabla162670114157200286[[#Headers],[Equipos]],
    TRUE, "Sin clasificación"
)</f>
        <v>Herramientas_eléctricas</v>
      </c>
      <c r="F8" s="15"/>
      <c r="G8" s="15" t="s">
        <v>605</v>
      </c>
      <c r="H8" s="15">
        <v>2.6</v>
      </c>
      <c r="I8" s="15">
        <v>2850</v>
      </c>
      <c r="J8" s="15" t="s">
        <v>930</v>
      </c>
      <c r="K8" s="15" t="s">
        <v>611</v>
      </c>
      <c r="L8" s="47" t="s">
        <v>871</v>
      </c>
      <c r="M8" t="s">
        <v>929</v>
      </c>
      <c r="N8" s="47">
        <v>20111200433</v>
      </c>
      <c r="O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ZE-ES-TG-0001</v>
      </c>
      <c r="Q8" s="15" t="s">
        <v>934</v>
      </c>
      <c r="S8" s="48"/>
      <c r="V8" s="49">
        <v>7</v>
      </c>
      <c r="W8" s="50" t="s">
        <v>177</v>
      </c>
      <c r="AF8" t="s">
        <v>60</v>
      </c>
      <c r="AH8" s="11" t="s">
        <v>61</v>
      </c>
      <c r="AI8" t="s">
        <v>62</v>
      </c>
      <c r="AJ8" t="s">
        <v>35</v>
      </c>
      <c r="AO8" s="14" t="s">
        <v>63</v>
      </c>
      <c r="AR8" s="25" t="s">
        <v>230</v>
      </c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</row>
    <row r="9" spans="2:69" ht="30" customHeight="1" x14ac:dyDescent="0.3">
      <c r="B9" t="s">
        <v>60</v>
      </c>
      <c r="C9" s="11" t="s">
        <v>178</v>
      </c>
      <c r="D9">
        <v>1</v>
      </c>
      <c r="E9" s="11" t="str" cm="1">
        <f t="array" ref="E9">_xlfn.IFS(
    COUNTIF(Herramientas_eléctricas1862106149192278[Herramientas_eléctricas], B9) &gt; 0, Herramientas_eléctricas1862106149192278[[#Headers],[Herramientas_eléctricas]],
    COUNTIF(Herramientas_neumáticas1963107150193279[Herramientas_neumáticas], B9) &gt; 0, Herramientas_neumáticas1963107150193279[[#Headers],[Herramientas_neumáticas]],
    COUNTIF(Herramientas_de_medición2064108151194280[Herramientas_de_medición], B9) &gt; 0, Herramientas_de_medición2064108151194280[[#Headers],[Herramientas_de_medición]],
    COUNTIF(Herrramientas_mecánicas2165109152195281[Herramientas_mecánicas], B9) &gt; 0, Herrramientas_mecánicas2165109152195281[[#Headers],[Herramientas_mecánicas]],
    COUNTIF(AJ9:AJ15, B9) &gt; 0, Herramientas_hidráulicas2266110153196282[[#Headers],[Herramientas_hidráulicas]],
    COUNTIF(EPP_2367111154197283[SPCC], B9) &gt; 0, EPP_2367111154197283[[#Headers],[SPCC]],
   COUNTIF(Herramientas_de_izaje2468112155198284[Herramientas_de_izaje], B9) &gt; 0, Herramientas_de_izaje2468112155198284[[#Headers],[Herramientas_de_izaje]],
COUNTIF(Tabla162670114157200286[Equipos], B9) &gt; 0, Tabla162670114157200286[[#Headers],[Equipos]],
    TRUE, "Sin clasificación"
)</f>
        <v>Herramientas_eléctricas</v>
      </c>
      <c r="F9" s="15"/>
      <c r="G9" s="15" t="s">
        <v>952</v>
      </c>
      <c r="H9" s="15">
        <v>2.6</v>
      </c>
      <c r="I9" s="15">
        <v>3450</v>
      </c>
      <c r="J9" s="15" t="s">
        <v>954</v>
      </c>
      <c r="K9" s="15" t="s">
        <v>611</v>
      </c>
      <c r="L9" s="47" t="s">
        <v>871</v>
      </c>
      <c r="M9" t="s">
        <v>951</v>
      </c>
      <c r="N9" s="47">
        <v>20111200181</v>
      </c>
      <c r="O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ZE-ES-TG-0002</v>
      </c>
      <c r="Q9" s="15" t="s">
        <v>953</v>
      </c>
      <c r="S9" s="48"/>
      <c r="V9" s="49">
        <v>8</v>
      </c>
      <c r="W9" s="57" t="s">
        <v>178</v>
      </c>
      <c r="AB9" s="58" t="s">
        <v>210</v>
      </c>
      <c r="AF9" t="s">
        <v>64</v>
      </c>
      <c r="AH9" s="15" t="s">
        <v>65</v>
      </c>
      <c r="AI9" t="s">
        <v>66</v>
      </c>
      <c r="AJ9" s="16"/>
      <c r="AO9" s="9" t="s">
        <v>67</v>
      </c>
      <c r="AR9" s="25" t="s">
        <v>231</v>
      </c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</row>
    <row r="10" spans="2:69" ht="26.4" customHeight="1" x14ac:dyDescent="0.3">
      <c r="B10" t="s">
        <v>60</v>
      </c>
      <c r="C10" s="11" t="s">
        <v>178</v>
      </c>
      <c r="D10">
        <v>1</v>
      </c>
      <c r="E10" s="11" t="str" cm="1">
        <f t="array" ref="E10">_xlfn.IFS(
    COUNTIF(Herramientas_eléctricas1862106149192278[Herramientas_eléctricas], B10) &gt; 0, Herramientas_eléctricas1862106149192278[[#Headers],[Herramientas_eléctricas]],
    COUNTIF(Herramientas_neumáticas1963107150193279[Herramientas_neumáticas], B10) &gt; 0, Herramientas_neumáticas1963107150193279[[#Headers],[Herramientas_neumáticas]],
    COUNTIF(Herramientas_de_medición2064108151194280[Herramientas_de_medición], B10) &gt; 0, Herramientas_de_medición2064108151194280[[#Headers],[Herramientas_de_medición]],
    COUNTIF(Herrramientas_mecánicas2165109152195281[Herramientas_mecánicas], B10) &gt; 0, Herrramientas_mecánicas2165109152195281[[#Headers],[Herramientas_mecánicas]],
    COUNTIF(AJ10:AJ16, B10) &gt; 0, Herramientas_hidráulicas2266110153196282[[#Headers],[Herramientas_hidráulicas]],
    COUNTIF(EPP_2367111154197283[SPCC], B10) &gt; 0, EPP_2367111154197283[[#Headers],[SPCC]],
   COUNTIF(Herramientas_de_izaje2468112155198284[Herramientas_de_izaje], B10) &gt; 0, Herramientas_de_izaje2468112155198284[[#Headers],[Herramientas_de_izaje]],
COUNTIF(Tabla162670114157200286[Equipos], B10) &gt; 0, Tabla162670114157200286[[#Headers],[Equipos]],
    TRUE, "Sin clasificación"
)</f>
        <v>Herramientas_eléctricas</v>
      </c>
      <c r="F10" s="15"/>
      <c r="G10" s="15" t="s">
        <v>605</v>
      </c>
      <c r="H10" s="15">
        <v>2.6</v>
      </c>
      <c r="I10" s="15">
        <v>3450</v>
      </c>
      <c r="J10" s="15" t="s">
        <v>982</v>
      </c>
      <c r="K10" s="15" t="s">
        <v>611</v>
      </c>
      <c r="L10" s="47" t="s">
        <v>871</v>
      </c>
      <c r="M10" t="s">
        <v>981</v>
      </c>
      <c r="N10" s="47">
        <v>2011120048</v>
      </c>
      <c r="O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ZE-ES-TG-0003</v>
      </c>
      <c r="Q10" s="15" t="s">
        <v>953</v>
      </c>
      <c r="S10" s="48"/>
      <c r="V10" s="49">
        <v>9</v>
      </c>
      <c r="W10" s="57" t="s">
        <v>179</v>
      </c>
      <c r="AB10" s="59" t="s">
        <v>232</v>
      </c>
      <c r="AF10" s="17" t="s">
        <v>68</v>
      </c>
      <c r="AH10" s="15" t="s">
        <v>69</v>
      </c>
      <c r="AI10" t="s">
        <v>70</v>
      </c>
      <c r="AO10" s="18" t="s">
        <v>71</v>
      </c>
      <c r="AR10" s="15" t="s">
        <v>95</v>
      </c>
    </row>
    <row r="11" spans="2:69" ht="33.6" customHeight="1" x14ac:dyDescent="0.3">
      <c r="C11" s="11"/>
      <c r="E11" s="11" t="str" cm="1">
        <f t="array" ref="E11">_xlfn.IFS(
    COUNTIF(Herramientas_eléctricas1862106149192278[Herramientas_eléctricas], B11) &gt; 0, Herramientas_eléctricas1862106149192278[[#Headers],[Herramientas_eléctricas]],
    COUNTIF(Herramientas_neumáticas1963107150193279[Herramientas_neumáticas], B11) &gt; 0, Herramientas_neumáticas1963107150193279[[#Headers],[Herramientas_neumáticas]],
    COUNTIF(Herramientas_de_medición2064108151194280[Herramientas_de_medición], B11) &gt; 0, Herramientas_de_medición2064108151194280[[#Headers],[Herramientas_de_medición]],
    COUNTIF(Herrramientas_mecánicas2165109152195281[Herramientas_mecánicas], B11) &gt; 0, Herrramientas_mecánicas2165109152195281[[#Headers],[Herramientas_mecánicas]],
    COUNTIF(AJ11:AJ17, B11) &gt; 0, Herramientas_hidráulicas2266110153196282[[#Headers],[Herramientas_hidráulicas]],
    COUNTIF(EPP_2367111154197283[SPCC], B11) &gt; 0, EPP_2367111154197283[[#Headers],[SPCC]],
   COUNTIF(Herramientas_de_izaje2468112155198284[Herramientas_de_izaje], B11) &gt; 0, Herramientas_de_izaje2468112155198284[[#Headers],[Herramientas_de_izaje]],
COUNTIF(Tabla162670114157200286[Equipos], B11) &gt; 0, Tabla162670114157200286[[#Headers],[Equipos]],
    TRUE, "Sin clasificación"
)</f>
        <v>Sin clasificación</v>
      </c>
      <c r="F11" s="15"/>
      <c r="G11" s="15"/>
      <c r="H11" s="15"/>
      <c r="I11" s="15"/>
      <c r="J11" s="15"/>
      <c r="K11" s="15"/>
      <c r="L11" s="85"/>
      <c r="N11" s="47"/>
      <c r="O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-SinArea-0000</v>
      </c>
      <c r="Q11" s="15"/>
      <c r="S11" s="48"/>
      <c r="V11" s="60">
        <v>10</v>
      </c>
      <c r="W11" s="61" t="s">
        <v>180</v>
      </c>
      <c r="AB11" s="59" t="s">
        <v>233</v>
      </c>
      <c r="AF11" s="8" t="s">
        <v>72</v>
      </c>
      <c r="AH11" s="15" t="s">
        <v>73</v>
      </c>
      <c r="AI11" t="s">
        <v>74</v>
      </c>
      <c r="AO11" s="18" t="s">
        <v>75</v>
      </c>
      <c r="BC11" s="62"/>
    </row>
    <row r="12" spans="2:69" ht="28.8" x14ac:dyDescent="0.3">
      <c r="C12" s="11"/>
      <c r="E12" s="11" t="str" cm="1">
        <f t="array" ref="E12">_xlfn.IFS(
    COUNTIF(Herramientas_eléctricas1862106149192278[Herramientas_eléctricas], B12) &gt; 0, Herramientas_eléctricas1862106149192278[[#Headers],[Herramientas_eléctricas]],
    COUNTIF(Herramientas_neumáticas1963107150193279[Herramientas_neumáticas], B12) &gt; 0, Herramientas_neumáticas1963107150193279[[#Headers],[Herramientas_neumáticas]],
    COUNTIF(Herramientas_de_medición2064108151194280[Herramientas_de_medición], B12) &gt; 0, Herramientas_de_medición2064108151194280[[#Headers],[Herramientas_de_medición]],
    COUNTIF(Herrramientas_mecánicas2165109152195281[Herramientas_mecánicas], B12) &gt; 0, Herrramientas_mecánicas2165109152195281[[#Headers],[Herramientas_mecánicas]],
    COUNTIF(AJ12:AJ18, B12) &gt; 0, Herramientas_hidráulicas2266110153196282[[#Headers],[Herramientas_hidráulicas]],
    COUNTIF(EPP_2367111154197283[SPCC], B12) &gt; 0, EPP_2367111154197283[[#Headers],[SPCC]],
   COUNTIF(Herramientas_de_izaje2468112155198284[Herramientas_de_izaje], B12) &gt; 0, Herramientas_de_izaje2468112155198284[[#Headers],[Herramientas_de_izaje]],
COUNTIF(Tabla162670114157200286[Equipos], B12) &gt; 0, Tabla162670114157200286[[#Headers],[Equipos]],
    TRUE, "Sin clasificación"
)</f>
        <v>Sin clasificación</v>
      </c>
      <c r="F12" s="15"/>
      <c r="G12" s="15"/>
      <c r="H12" s="15"/>
      <c r="I12" s="15"/>
      <c r="J12" s="15"/>
      <c r="K12" s="15"/>
      <c r="L12" s="47"/>
      <c r="N12" s="47"/>
      <c r="O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-SinArea-0000</v>
      </c>
      <c r="Q12" s="15"/>
      <c r="S12" s="48"/>
      <c r="V12" s="60">
        <v>11</v>
      </c>
      <c r="W12" s="61" t="s">
        <v>181</v>
      </c>
      <c r="AB12" s="33" t="s">
        <v>234</v>
      </c>
      <c r="AF12" t="s">
        <v>19</v>
      </c>
      <c r="AG12" t="s">
        <v>76</v>
      </c>
      <c r="AH12" s="15" t="s">
        <v>77</v>
      </c>
      <c r="AI12" t="s">
        <v>78</v>
      </c>
      <c r="AO12" s="19" t="s">
        <v>79</v>
      </c>
      <c r="AR12" s="11"/>
    </row>
    <row r="13" spans="2:69" x14ac:dyDescent="0.3">
      <c r="C13" s="11"/>
      <c r="E13" s="11" t="str" cm="1">
        <f t="array" ref="E13">_xlfn.IFS(
    COUNTIF(Herramientas_eléctricas1862106149192278[Herramientas_eléctricas], B13) &gt; 0, Herramientas_eléctricas1862106149192278[[#Headers],[Herramientas_eléctricas]],
    COUNTIF(Herramientas_neumáticas1963107150193279[Herramientas_neumáticas], B13) &gt; 0, Herramientas_neumáticas1963107150193279[[#Headers],[Herramientas_neumáticas]],
    COUNTIF(Herramientas_de_medición2064108151194280[Herramientas_de_medición], B13) &gt; 0, Herramientas_de_medición2064108151194280[[#Headers],[Herramientas_de_medición]],
    COUNTIF(Herrramientas_mecánicas2165109152195281[Herramientas_mecánicas], B13) &gt; 0, Herrramientas_mecánicas2165109152195281[[#Headers],[Herramientas_mecánicas]],
    COUNTIF(AJ13:AJ19, B13) &gt; 0, Herramientas_hidráulicas2266110153196282[[#Headers],[Herramientas_hidráulicas]],
    COUNTIF(EPP_2367111154197283[SPCC], B13) &gt; 0, EPP_2367111154197283[[#Headers],[SPCC]],
   COUNTIF(Herramientas_de_izaje2468112155198284[Herramientas_de_izaje], B13) &gt; 0, Herramientas_de_izaje2468112155198284[[#Headers],[Herramientas_de_izaje]],
COUNTIF(Tabla162670114157200286[Equipos], B13) &gt; 0, Tabla162670114157200286[[#Headers],[Equipos]],
    TRUE, "Sin clasificación"
)</f>
        <v>Sin clasificación</v>
      </c>
      <c r="F13" s="15"/>
      <c r="G13" s="15"/>
      <c r="H13" s="15"/>
      <c r="I13" s="15"/>
      <c r="J13" s="15"/>
      <c r="K13" s="15"/>
      <c r="L13" s="47"/>
      <c r="N13" s="47"/>
      <c r="O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-SinArea-0000</v>
      </c>
      <c r="Q13" s="15"/>
      <c r="S13" s="48"/>
      <c r="AF13" t="s">
        <v>80</v>
      </c>
      <c r="AH13" s="15" t="s">
        <v>81</v>
      </c>
      <c r="AI13" t="s">
        <v>82</v>
      </c>
      <c r="AO13" s="20" t="s">
        <v>83</v>
      </c>
      <c r="AR13" s="11"/>
      <c r="AW13" s="11"/>
    </row>
    <row r="14" spans="2:69" x14ac:dyDescent="0.3">
      <c r="C14" s="11"/>
      <c r="E14" s="11" t="str" cm="1">
        <f t="array" ref="E14">_xlfn.IFS(
    COUNTIF(Herramientas_eléctricas1862106149192278[Herramientas_eléctricas], B14) &gt; 0, Herramientas_eléctricas1862106149192278[[#Headers],[Herramientas_eléctricas]],
    COUNTIF(Herramientas_neumáticas1963107150193279[Herramientas_neumáticas], B14) &gt; 0, Herramientas_neumáticas1963107150193279[[#Headers],[Herramientas_neumáticas]],
    COUNTIF(Herramientas_de_medición2064108151194280[Herramientas_de_medición], B14) &gt; 0, Herramientas_de_medición2064108151194280[[#Headers],[Herramientas_de_medición]],
    COUNTIF(Herrramientas_mecánicas2165109152195281[Herramientas_mecánicas], B14) &gt; 0, Herrramientas_mecánicas2165109152195281[[#Headers],[Herramientas_mecánicas]],
    COUNTIF(AJ14:AJ20, B14) &gt; 0, Herramientas_hidráulicas2266110153196282[[#Headers],[Herramientas_hidráulicas]],
    COUNTIF(EPP_2367111154197283[SPCC], B14) &gt; 0, EPP_2367111154197283[[#Headers],[SPCC]],
   COUNTIF(Herramientas_de_izaje2468112155198284[Herramientas_de_izaje], B14) &gt; 0, Herramientas_de_izaje2468112155198284[[#Headers],[Herramientas_de_izaje]],
COUNTIF(Tabla162670114157200286[Equipos], B14) &gt; 0, Tabla162670114157200286[[#Headers],[Equipos]],
    TRUE, "Sin clasificación"
)</f>
        <v>Sin clasificación</v>
      </c>
      <c r="F14" s="15"/>
      <c r="G14" s="15"/>
      <c r="H14" s="15"/>
      <c r="I14" s="15"/>
      <c r="J14" s="15"/>
      <c r="K14" s="15"/>
      <c r="L14" s="47"/>
      <c r="N14" s="47"/>
      <c r="O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-SinArea-0000</v>
      </c>
      <c r="Q14" s="15"/>
      <c r="S14" s="48"/>
      <c r="AF14" t="s">
        <v>84</v>
      </c>
      <c r="AH14" s="15" t="s">
        <v>85</v>
      </c>
      <c r="AI14" t="s">
        <v>86</v>
      </c>
      <c r="AO14" s="18" t="s">
        <v>87</v>
      </c>
    </row>
    <row r="15" spans="2:69" ht="43.95" customHeight="1" x14ac:dyDescent="0.3">
      <c r="C15" s="11"/>
      <c r="E15" s="11" t="str" cm="1">
        <f t="array" ref="E15">_xlfn.IFS(
    COUNTIF(Herramientas_eléctricas1862106149192278[Herramientas_eléctricas], B15) &gt; 0, Herramientas_eléctricas1862106149192278[[#Headers],[Herramientas_eléctricas]],
    COUNTIF(Herramientas_neumáticas1963107150193279[Herramientas_neumáticas], B15) &gt; 0, Herramientas_neumáticas1963107150193279[[#Headers],[Herramientas_neumáticas]],
    COUNTIF(Herramientas_de_medición2064108151194280[Herramientas_de_medición], B15) &gt; 0, Herramientas_de_medición2064108151194280[[#Headers],[Herramientas_de_medición]],
    COUNTIF(Herrramientas_mecánicas2165109152195281[Herramientas_mecánicas], B15) &gt; 0, Herrramientas_mecánicas2165109152195281[[#Headers],[Herramientas_mecánicas]],
    COUNTIF(AJ15:AJ21, B15) &gt; 0, Herramientas_hidráulicas2266110153196282[[#Headers],[Herramientas_hidráulicas]],
    COUNTIF(EPP_2367111154197283[SPCC], B15) &gt; 0, EPP_2367111154197283[[#Headers],[SPCC]],
   COUNTIF(Herramientas_de_izaje2468112155198284[Herramientas_de_izaje], B15) &gt; 0, Herramientas_de_izaje2468112155198284[[#Headers],[Herramientas_de_izaje]],
COUNTIF(Tabla162670114157200286[Equipos], B15) &gt; 0, Tabla162670114157200286[[#Headers],[Equipos]],
    TRUE, "Sin clasificación"
)</f>
        <v>Sin clasificación</v>
      </c>
      <c r="F15" s="15"/>
      <c r="G15" s="15"/>
      <c r="H15" s="15"/>
      <c r="I15" s="15"/>
      <c r="J15" s="15"/>
      <c r="K15" s="15"/>
      <c r="L15" s="47"/>
      <c r="N15" s="47"/>
      <c r="O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-SinArea-0000</v>
      </c>
      <c r="Q15" s="15"/>
      <c r="S15" s="48"/>
      <c r="AF15" t="s">
        <v>88</v>
      </c>
      <c r="AH15" t="s">
        <v>89</v>
      </c>
      <c r="AI15" t="s">
        <v>90</v>
      </c>
      <c r="AO15" s="21" t="s">
        <v>91</v>
      </c>
      <c r="AR15" s="11"/>
    </row>
    <row r="16" spans="2:69" x14ac:dyDescent="0.3">
      <c r="C16" s="11"/>
      <c r="E16" s="11" t="str" cm="1">
        <f t="array" ref="E16">_xlfn.IFS(
    COUNTIF(Herramientas_eléctricas1862106149192278[Herramientas_eléctricas], B16) &gt; 0, Herramientas_eléctricas1862106149192278[[#Headers],[Herramientas_eléctricas]],
    COUNTIF(Herramientas_neumáticas1963107150193279[Herramientas_neumáticas], B16) &gt; 0, Herramientas_neumáticas1963107150193279[[#Headers],[Herramientas_neumáticas]],
    COUNTIF(Herramientas_de_medición2064108151194280[Herramientas_de_medición], B16) &gt; 0, Herramientas_de_medición2064108151194280[[#Headers],[Herramientas_de_medición]],
    COUNTIF(Herrramientas_mecánicas2165109152195281[Herramientas_mecánicas], B16) &gt; 0, Herrramientas_mecánicas2165109152195281[[#Headers],[Herramientas_mecánicas]],
    COUNTIF(AJ16:AJ22, B16) &gt; 0, Herramientas_hidráulicas2266110153196282[[#Headers],[Herramientas_hidráulicas]],
    COUNTIF(EPP_2367111154197283[SPCC], B16) &gt; 0, EPP_2367111154197283[[#Headers],[SPCC]],
   COUNTIF(Herramientas_de_izaje2468112155198284[Herramientas_de_izaje], B16) &gt; 0, Herramientas_de_izaje2468112155198284[[#Headers],[Herramientas_de_izaje]],
COUNTIF(Tabla162670114157200286[Equipos], B16) &gt; 0, Tabla162670114157200286[[#Headers],[Equipos]],
    TRUE, "Sin clasificación"
)</f>
        <v>Sin clasificación</v>
      </c>
      <c r="F16" s="15"/>
      <c r="G16" s="15"/>
      <c r="H16" s="15"/>
      <c r="I16" s="15"/>
      <c r="J16" s="15"/>
      <c r="K16" s="15"/>
      <c r="L16" s="47"/>
      <c r="N16" s="47"/>
      <c r="O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-SinArea-0000</v>
      </c>
      <c r="Q16" s="15"/>
      <c r="S16" s="48"/>
      <c r="AF16" t="s">
        <v>41</v>
      </c>
      <c r="AH16" t="s">
        <v>62</v>
      </c>
      <c r="AI16" s="11" t="s">
        <v>92</v>
      </c>
      <c r="AJ16" s="22"/>
      <c r="AO16" s="23" t="s">
        <v>93</v>
      </c>
    </row>
    <row r="17" spans="3:44" x14ac:dyDescent="0.3">
      <c r="C17" s="11"/>
      <c r="E17" s="11" t="str" cm="1">
        <f t="array" ref="E17">_xlfn.IFS(
    COUNTIF(Herramientas_eléctricas1862106149192278[Herramientas_eléctricas], B17) &gt; 0, Herramientas_eléctricas1862106149192278[[#Headers],[Herramientas_eléctricas]],
    COUNTIF(Herramientas_neumáticas1963107150193279[Herramientas_neumáticas], B17) &gt; 0, Herramientas_neumáticas1963107150193279[[#Headers],[Herramientas_neumáticas]],
    COUNTIF(Herramientas_de_medición2064108151194280[Herramientas_de_medición], B17) &gt; 0, Herramientas_de_medición2064108151194280[[#Headers],[Herramientas_de_medición]],
    COUNTIF(Herrramientas_mecánicas2165109152195281[Herramientas_mecánicas], B17) &gt; 0, Herrramientas_mecánicas2165109152195281[[#Headers],[Herramientas_mecánicas]],
    COUNTIF(AJ17:AJ23, B17) &gt; 0, Herramientas_hidráulicas2266110153196282[[#Headers],[Herramientas_hidráulicas]],
    COUNTIF(EPP_2367111154197283[SPCC], B17) &gt; 0, EPP_2367111154197283[[#Headers],[SPCC]],
   COUNTIF(Herramientas_de_izaje2468112155198284[Herramientas_de_izaje], B17) &gt; 0, Herramientas_de_izaje2468112155198284[[#Headers],[Herramientas_de_izaje]],
COUNTIF(Tabla162670114157200286[Equipos], B17) &gt; 0, Tabla162670114157200286[[#Headers],[Equipos]],
    TRUE, "Sin clasificación"
)</f>
        <v>Sin clasificación</v>
      </c>
      <c r="F17" s="15"/>
      <c r="G17" s="15"/>
      <c r="H17" s="15"/>
      <c r="I17" s="15"/>
      <c r="J17" s="15"/>
      <c r="K17" s="15"/>
      <c r="L17" s="47"/>
      <c r="N17" s="47"/>
      <c r="O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-SinArea-0000</v>
      </c>
      <c r="Q17" s="15"/>
      <c r="S17" s="48"/>
      <c r="AF17" s="24" t="s">
        <v>94</v>
      </c>
      <c r="AI17" s="15" t="s">
        <v>95</v>
      </c>
      <c r="AJ17" s="14"/>
      <c r="AO17" s="25" t="s">
        <v>96</v>
      </c>
      <c r="AR17" s="11"/>
    </row>
    <row r="18" spans="3:44" x14ac:dyDescent="0.3">
      <c r="C18" s="11"/>
      <c r="E18" s="11" t="str" cm="1">
        <f t="array" ref="E18">_xlfn.IFS(
    COUNTIF(Herramientas_eléctricas1862106149192278[Herramientas_eléctricas], B18) &gt; 0, Herramientas_eléctricas1862106149192278[[#Headers],[Herramientas_eléctricas]],
    COUNTIF(Herramientas_neumáticas1963107150193279[Herramientas_neumáticas], B18) &gt; 0, Herramientas_neumáticas1963107150193279[[#Headers],[Herramientas_neumáticas]],
    COUNTIF(Herramientas_de_medición2064108151194280[Herramientas_de_medición], B18) &gt; 0, Herramientas_de_medición2064108151194280[[#Headers],[Herramientas_de_medición]],
    COUNTIF(Herrramientas_mecánicas2165109152195281[Herramientas_mecánicas], B18) &gt; 0, Herrramientas_mecánicas2165109152195281[[#Headers],[Herramientas_mecánicas]],
    COUNTIF(AJ18:AJ24, B18) &gt; 0, Herramientas_hidráulicas2266110153196282[[#Headers],[Herramientas_hidráulicas]],
    COUNTIF(EPP_2367111154197283[SPCC], B18) &gt; 0, EPP_2367111154197283[[#Headers],[SPCC]],
   COUNTIF(Herramientas_de_izaje2468112155198284[Herramientas_de_izaje], B18) &gt; 0, Herramientas_de_izaje2468112155198284[[#Headers],[Herramientas_de_izaje]],
COUNTIF(Tabla162670114157200286[Equipos], B18) &gt; 0, Tabla162670114157200286[[#Headers],[Equipos]],
    TRUE, "Sin clasificación"
)</f>
        <v>Sin clasificación</v>
      </c>
      <c r="F18" s="15"/>
      <c r="G18" s="15"/>
      <c r="H18" s="15"/>
      <c r="I18" s="15"/>
      <c r="J18" s="15"/>
      <c r="K18" s="15"/>
      <c r="L18" s="47"/>
      <c r="N18" s="47"/>
      <c r="O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-SinArea-0000</v>
      </c>
      <c r="Q18" s="15"/>
      <c r="S18" s="48"/>
      <c r="AF18" t="s">
        <v>97</v>
      </c>
      <c r="AI18" t="s">
        <v>98</v>
      </c>
      <c r="AO18" s="25" t="s">
        <v>99</v>
      </c>
    </row>
    <row r="19" spans="3:44" x14ac:dyDescent="0.3">
      <c r="C19" s="11"/>
      <c r="E19" s="11" t="str" cm="1">
        <f t="array" ref="E19">_xlfn.IFS(
    COUNTIF(Herramientas_eléctricas1862106149192278[Herramientas_eléctricas], B19) &gt; 0, Herramientas_eléctricas1862106149192278[[#Headers],[Herramientas_eléctricas]],
    COUNTIF(Herramientas_neumáticas1963107150193279[Herramientas_neumáticas], B19) &gt; 0, Herramientas_neumáticas1963107150193279[[#Headers],[Herramientas_neumáticas]],
    COUNTIF(Herramientas_de_medición2064108151194280[Herramientas_de_medición], B19) &gt; 0, Herramientas_de_medición2064108151194280[[#Headers],[Herramientas_de_medición]],
    COUNTIF(Herrramientas_mecánicas2165109152195281[Herramientas_mecánicas], B19) &gt; 0, Herrramientas_mecánicas2165109152195281[[#Headers],[Herramientas_mecánicas]],
    COUNTIF(AJ19:AJ25, B19) &gt; 0, Herramientas_hidráulicas2266110153196282[[#Headers],[Herramientas_hidráulicas]],
    COUNTIF(EPP_2367111154197283[SPCC], B19) &gt; 0, EPP_2367111154197283[[#Headers],[SPCC]],
   COUNTIF(Herramientas_de_izaje2468112155198284[Herramientas_de_izaje], B19) &gt; 0, Herramientas_de_izaje2468112155198284[[#Headers],[Herramientas_de_izaje]],
COUNTIF(Tabla162670114157200286[Equipos], B19) &gt; 0, Tabla162670114157200286[[#Headers],[Equipos]],
    TRUE, "Sin clasificación"
)</f>
        <v>Sin clasificación</v>
      </c>
      <c r="F19" s="15"/>
      <c r="G19" s="15"/>
      <c r="H19" s="15"/>
      <c r="I19" s="15"/>
      <c r="J19" s="15"/>
      <c r="K19" s="15"/>
      <c r="L19" s="47"/>
      <c r="N19" s="47"/>
      <c r="O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-SinArea-0000</v>
      </c>
      <c r="Q19" s="15"/>
      <c r="S19" s="48"/>
      <c r="AF19" t="s">
        <v>42</v>
      </c>
      <c r="AI19" s="11" t="s">
        <v>41</v>
      </c>
      <c r="AO19" t="s">
        <v>100</v>
      </c>
    </row>
    <row r="20" spans="3:44" x14ac:dyDescent="0.3">
      <c r="C20" s="11"/>
      <c r="E20" s="11" t="str" cm="1">
        <f t="array" ref="E20">_xlfn.IFS(
    COUNTIF(Herramientas_eléctricas1862106149192278[Herramientas_eléctricas], B20) &gt; 0, Herramientas_eléctricas1862106149192278[[#Headers],[Herramientas_eléctricas]],
    COUNTIF(Herramientas_neumáticas1963107150193279[Herramientas_neumáticas], B20) &gt; 0, Herramientas_neumáticas1963107150193279[[#Headers],[Herramientas_neumáticas]],
    COUNTIF(Herramientas_de_medición2064108151194280[Herramientas_de_medición], B20) &gt; 0, Herramientas_de_medición2064108151194280[[#Headers],[Herramientas_de_medición]],
    COUNTIF(Herrramientas_mecánicas2165109152195281[Herramientas_mecánicas], B20) &gt; 0, Herrramientas_mecánicas2165109152195281[[#Headers],[Herramientas_mecánicas]],
    COUNTIF(AJ20:AJ26, B20) &gt; 0, Herramientas_hidráulicas2266110153196282[[#Headers],[Herramientas_hidráulicas]],
    COUNTIF(EPP_2367111154197283[SPCC], B20) &gt; 0, EPP_2367111154197283[[#Headers],[SPCC]],
   COUNTIF(Herramientas_de_izaje2468112155198284[Herramientas_de_izaje], B20) &gt; 0, Herramientas_de_izaje2468112155198284[[#Headers],[Herramientas_de_izaje]],
COUNTIF(Tabla162670114157200286[Equipos], B20) &gt; 0, Tabla162670114157200286[[#Headers],[Equipos]],
    TRUE, "Sin clasificación"
)</f>
        <v>Sin clasificación</v>
      </c>
      <c r="F20" s="15"/>
      <c r="G20" s="15"/>
      <c r="H20" s="15"/>
      <c r="I20" s="15"/>
      <c r="J20" s="15"/>
      <c r="K20" s="15"/>
      <c r="L20" s="47"/>
      <c r="N20" s="47"/>
      <c r="O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-SinArea-0000</v>
      </c>
      <c r="Q20" s="15"/>
      <c r="S20" s="48" t="s">
        <v>224</v>
      </c>
      <c r="AF20" t="s">
        <v>101</v>
      </c>
      <c r="AI20" t="s">
        <v>102</v>
      </c>
      <c r="AO20" s="26" t="s">
        <v>103</v>
      </c>
    </row>
    <row r="21" spans="3:44" x14ac:dyDescent="0.3">
      <c r="C21" s="11"/>
      <c r="E21" s="11" t="str" cm="1">
        <f t="array" ref="E21">_xlfn.IFS(
    COUNTIF(Herramientas_eléctricas1862106149192278[Herramientas_eléctricas], B21) &gt; 0, Herramientas_eléctricas1862106149192278[[#Headers],[Herramientas_eléctricas]],
    COUNTIF(Herramientas_neumáticas1963107150193279[Herramientas_neumáticas], B21) &gt; 0, Herramientas_neumáticas1963107150193279[[#Headers],[Herramientas_neumáticas]],
    COUNTIF(Herramientas_de_medición2064108151194280[Herramientas_de_medición], B21) &gt; 0, Herramientas_de_medición2064108151194280[[#Headers],[Herramientas_de_medición]],
    COUNTIF(Herrramientas_mecánicas2165109152195281[Herramientas_mecánicas], B21) &gt; 0, Herrramientas_mecánicas2165109152195281[[#Headers],[Herramientas_mecánicas]],
    COUNTIF(AJ21:AJ27, B21) &gt; 0, Herramientas_hidráulicas2266110153196282[[#Headers],[Herramientas_hidráulicas]],
    COUNTIF(EPP_2367111154197283[SPCC], B21) &gt; 0, EPP_2367111154197283[[#Headers],[SPCC]],
   COUNTIF(Herramientas_de_izaje2468112155198284[Herramientas_de_izaje], B21) &gt; 0, Herramientas_de_izaje2468112155198284[[#Headers],[Herramientas_de_izaje]],
COUNTIF(Tabla162670114157200286[Equipos], B21) &gt; 0, Tabla162670114157200286[[#Headers],[Equipos]],
    TRUE, "Sin clasificación"
)</f>
        <v>Sin clasificación</v>
      </c>
      <c r="F21" s="15"/>
      <c r="G21" s="15"/>
      <c r="H21" s="15"/>
      <c r="I21" s="15"/>
      <c r="J21" s="15"/>
      <c r="K21" s="15"/>
      <c r="L21" s="47"/>
      <c r="N21" s="47"/>
      <c r="O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-SinArea-0000</v>
      </c>
      <c r="Q21" s="15"/>
      <c r="S21" s="48"/>
      <c r="AF21" s="6"/>
      <c r="AI21" s="6" t="s">
        <v>20</v>
      </c>
    </row>
    <row r="22" spans="3:44" x14ac:dyDescent="0.3">
      <c r="C22" s="11"/>
      <c r="E22" s="11" t="str" cm="1">
        <f t="array" ref="E22">_xlfn.IFS(
    COUNTIF(Herramientas_eléctricas1862106149192278[Herramientas_eléctricas], B22) &gt; 0, Herramientas_eléctricas1862106149192278[[#Headers],[Herramientas_eléctricas]],
    COUNTIF(Herramientas_neumáticas1963107150193279[Herramientas_neumáticas], B22) &gt; 0, Herramientas_neumáticas1963107150193279[[#Headers],[Herramientas_neumáticas]],
    COUNTIF(Herramientas_de_medición2064108151194280[Herramientas_de_medición], B22) &gt; 0, Herramientas_de_medición2064108151194280[[#Headers],[Herramientas_de_medición]],
    COUNTIF(Herrramientas_mecánicas2165109152195281[Herramientas_mecánicas], B22) &gt; 0, Herrramientas_mecánicas2165109152195281[[#Headers],[Herramientas_mecánicas]],
    COUNTIF(AJ22:AJ28, B22) &gt; 0, Herramientas_hidráulicas2266110153196282[[#Headers],[Herramientas_hidráulicas]],
    COUNTIF(EPP_2367111154197283[SPCC], B22) &gt; 0, EPP_2367111154197283[[#Headers],[SPCC]],
   COUNTIF(Herramientas_de_izaje2468112155198284[Herramientas_de_izaje], B22) &gt; 0, Herramientas_de_izaje2468112155198284[[#Headers],[Herramientas_de_izaje]],
COUNTIF(Tabla162670114157200286[Equipos], B22) &gt; 0, Tabla162670114157200286[[#Headers],[Equipos]],
    TRUE, "Sin clasificación"
)</f>
        <v>Sin clasificación</v>
      </c>
      <c r="F22" s="15"/>
      <c r="G22" s="15"/>
      <c r="H22" s="15"/>
      <c r="I22" s="15"/>
      <c r="J22" s="15"/>
      <c r="K22" s="15"/>
      <c r="L22" s="47"/>
      <c r="N22" s="47"/>
      <c r="O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-SinArea-0000</v>
      </c>
      <c r="Q22" s="15"/>
      <c r="S22" s="48"/>
    </row>
    <row r="23" spans="3:44" x14ac:dyDescent="0.3">
      <c r="C23" s="11"/>
      <c r="E23" s="11" t="str" cm="1">
        <f t="array" ref="E23">_xlfn.IFS(
    COUNTIF(Herramientas_eléctricas1862106149192278[Herramientas_eléctricas], B23) &gt; 0, Herramientas_eléctricas1862106149192278[[#Headers],[Herramientas_eléctricas]],
    COUNTIF(Herramientas_neumáticas1963107150193279[Herramientas_neumáticas], B23) &gt; 0, Herramientas_neumáticas1963107150193279[[#Headers],[Herramientas_neumáticas]],
    COUNTIF(Herramientas_de_medición2064108151194280[Herramientas_de_medición], B23) &gt; 0, Herramientas_de_medición2064108151194280[[#Headers],[Herramientas_de_medición]],
    COUNTIF(Herrramientas_mecánicas2165109152195281[Herramientas_mecánicas], B23) &gt; 0, Herrramientas_mecánicas2165109152195281[[#Headers],[Herramientas_mecánicas]],
    COUNTIF(AJ23:AJ29, B23) &gt; 0, Herramientas_hidráulicas2266110153196282[[#Headers],[Herramientas_hidráulicas]],
    COUNTIF(EPP_2367111154197283[SPCC], B23) &gt; 0, EPP_2367111154197283[[#Headers],[SPCC]],
   COUNTIF(Herramientas_de_izaje2468112155198284[Herramientas_de_izaje], B23) &gt; 0, Herramientas_de_izaje2468112155198284[[#Headers],[Herramientas_de_izaje]],
COUNTIF(Tabla162670114157200286[Equipos], B23) &gt; 0, Tabla162670114157200286[[#Headers],[Equipos]],
    TRUE, "Sin clasificación"
)</f>
        <v>Sin clasificación</v>
      </c>
      <c r="F23" s="15"/>
      <c r="G23" s="15"/>
      <c r="H23" s="15"/>
      <c r="I23" s="15"/>
      <c r="J23" s="15"/>
      <c r="K23" s="15"/>
      <c r="L23" s="47"/>
      <c r="N23" s="47"/>
      <c r="O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-SinArea-0000</v>
      </c>
      <c r="Q23" s="15"/>
      <c r="S23" s="48"/>
    </row>
    <row r="24" spans="3:44" x14ac:dyDescent="0.3">
      <c r="C24" s="11"/>
      <c r="E24" s="11" t="str" cm="1">
        <f t="array" ref="E24">_xlfn.IFS(
    COUNTIF(Herramientas_eléctricas1862106149192278[Herramientas_eléctricas], B24) &gt; 0, Herramientas_eléctricas1862106149192278[[#Headers],[Herramientas_eléctricas]],
    COUNTIF(Herramientas_neumáticas1963107150193279[Herramientas_neumáticas], B24) &gt; 0, Herramientas_neumáticas1963107150193279[[#Headers],[Herramientas_neumáticas]],
    COUNTIF(Herramientas_de_medición2064108151194280[Herramientas_de_medición], B24) &gt; 0, Herramientas_de_medición2064108151194280[[#Headers],[Herramientas_de_medición]],
    COUNTIF(Herrramientas_mecánicas2165109152195281[Herramientas_mecánicas], B24) &gt; 0, Herrramientas_mecánicas2165109152195281[[#Headers],[Herramientas_mecánicas]],
    COUNTIF(AJ24:AJ30, B24) &gt; 0, Herramientas_hidráulicas2266110153196282[[#Headers],[Herramientas_hidráulicas]],
    COUNTIF(EPP_2367111154197283[SPCC], B24) &gt; 0, EPP_2367111154197283[[#Headers],[SPCC]],
   COUNTIF(Herramientas_de_izaje2468112155198284[Herramientas_de_izaje], B24) &gt; 0, Herramientas_de_izaje2468112155198284[[#Headers],[Herramientas_de_izaje]],
COUNTIF(Tabla162670114157200286[Equipos], B24) &gt; 0, Tabla162670114157200286[[#Headers],[Equipos]],
    TRUE, "Sin clasificación"
)</f>
        <v>Sin clasificación</v>
      </c>
      <c r="F24" s="15"/>
      <c r="G24" s="15"/>
      <c r="H24" s="15"/>
      <c r="I24" s="15"/>
      <c r="J24" s="15"/>
      <c r="K24" s="15"/>
      <c r="L24" s="47"/>
      <c r="N24" s="47"/>
      <c r="O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-SinArea-0000</v>
      </c>
      <c r="Q24" s="15"/>
      <c r="S24" s="48" t="s">
        <v>224</v>
      </c>
      <c r="AP24" s="18"/>
    </row>
    <row r="25" spans="3:44" x14ac:dyDescent="0.3">
      <c r="C25" s="11"/>
      <c r="E25" s="11" t="str" cm="1">
        <f t="array" ref="E25">_xlfn.IFS(
    COUNTIF(Herramientas_eléctricas1862106149192278[Herramientas_eléctricas], B25) &gt; 0, Herramientas_eléctricas1862106149192278[[#Headers],[Herramientas_eléctricas]],
    COUNTIF(Herramientas_neumáticas1963107150193279[Herramientas_neumáticas], B25) &gt; 0, Herramientas_neumáticas1963107150193279[[#Headers],[Herramientas_neumáticas]],
    COUNTIF(Herramientas_de_medición2064108151194280[Herramientas_de_medición], B25) &gt; 0, Herramientas_de_medición2064108151194280[[#Headers],[Herramientas_de_medición]],
    COUNTIF(Herrramientas_mecánicas2165109152195281[Herramientas_mecánicas], B25) &gt; 0, Herrramientas_mecánicas2165109152195281[[#Headers],[Herramientas_mecánicas]],
    COUNTIF(AJ25:AJ31, B25) &gt; 0, Herramientas_hidráulicas2266110153196282[[#Headers],[Herramientas_hidráulicas]],
    COUNTIF(EPP_2367111154197283[SPCC], B25) &gt; 0, EPP_2367111154197283[[#Headers],[SPCC]],
   COUNTIF(Herramientas_de_izaje2468112155198284[Herramientas_de_izaje], B25) &gt; 0, Herramientas_de_izaje2468112155198284[[#Headers],[Herramientas_de_izaje]],
COUNTIF(Tabla162670114157200286[Equipos], B25) &gt; 0, Tabla162670114157200286[[#Headers],[Equipos]],
    TRUE, "Sin clasificación"
)</f>
        <v>Sin clasificación</v>
      </c>
      <c r="F25" s="15"/>
      <c r="G25" s="15"/>
      <c r="H25" s="15"/>
      <c r="I25" s="15"/>
      <c r="J25" s="15"/>
      <c r="K25" s="15"/>
      <c r="L25" s="47"/>
      <c r="N25" s="47"/>
      <c r="O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-SinArea-0000</v>
      </c>
      <c r="Q25" s="15"/>
      <c r="S25" s="48"/>
      <c r="AP25" s="22"/>
    </row>
    <row r="26" spans="3:44" x14ac:dyDescent="0.3">
      <c r="C26" s="11"/>
      <c r="E26" s="11" t="str" cm="1">
        <f t="array" ref="E26">_xlfn.IFS(
    COUNTIF(Herramientas_eléctricas1862106149192278[Herramientas_eléctricas], B26) &gt; 0, Herramientas_eléctricas1862106149192278[[#Headers],[Herramientas_eléctricas]],
    COUNTIF(Herramientas_neumáticas1963107150193279[Herramientas_neumáticas], B26) &gt; 0, Herramientas_neumáticas1963107150193279[[#Headers],[Herramientas_neumáticas]],
    COUNTIF(Herramientas_de_medición2064108151194280[Herramientas_de_medición], B26) &gt; 0, Herramientas_de_medición2064108151194280[[#Headers],[Herramientas_de_medición]],
    COUNTIF(Herrramientas_mecánicas2165109152195281[Herramientas_mecánicas], B26) &gt; 0, Herrramientas_mecánicas2165109152195281[[#Headers],[Herramientas_mecánicas]],
    COUNTIF(AJ26:AJ32, B26) &gt; 0, Herramientas_hidráulicas2266110153196282[[#Headers],[Herramientas_hidráulicas]],
    COUNTIF(EPP_2367111154197283[SPCC], B26) &gt; 0, EPP_2367111154197283[[#Headers],[SPCC]],
   COUNTIF(Herramientas_de_izaje2468112155198284[Herramientas_de_izaje], B26) &gt; 0, Herramientas_de_izaje2468112155198284[[#Headers],[Herramientas_de_izaje]],
COUNTIF(Tabla162670114157200286[Equipos], B26) &gt; 0, Tabla162670114157200286[[#Headers],[Equipos]],
    TRUE, "Sin clasificación"
)</f>
        <v>Sin clasificación</v>
      </c>
      <c r="F26" s="15"/>
      <c r="G26" s="15"/>
      <c r="H26" s="15"/>
      <c r="I26" s="15"/>
      <c r="J26" s="15"/>
      <c r="K26" s="15"/>
      <c r="L26" s="47"/>
      <c r="N26" s="47"/>
      <c r="O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-SinArea-0000</v>
      </c>
      <c r="Q26" s="15"/>
      <c r="S26" s="48" t="s">
        <v>224</v>
      </c>
      <c r="AG26" s="18"/>
      <c r="AQ26" t="s">
        <v>235</v>
      </c>
    </row>
    <row r="27" spans="3:44" ht="28.8" x14ac:dyDescent="0.3">
      <c r="C27" s="11"/>
      <c r="E27" s="11" t="str" cm="1">
        <f t="array" ref="E27">_xlfn.IFS(
    COUNTIF(Herramientas_eléctricas1862106149192278[Herramientas_eléctricas], B27) &gt; 0, Herramientas_eléctricas1862106149192278[[#Headers],[Herramientas_eléctricas]],
    COUNTIF(Herramientas_neumáticas1963107150193279[Herramientas_neumáticas], B27) &gt; 0, Herramientas_neumáticas1963107150193279[[#Headers],[Herramientas_neumáticas]],
    COUNTIF(Herramientas_de_medición2064108151194280[Herramientas_de_medición], B27) &gt; 0, Herramientas_de_medición2064108151194280[[#Headers],[Herramientas_de_medición]],
    COUNTIF(Herrramientas_mecánicas2165109152195281[Herramientas_mecánicas], B27) &gt; 0, Herrramientas_mecánicas2165109152195281[[#Headers],[Herramientas_mecánicas]],
    COUNTIF(AJ27:AJ33, B27) &gt; 0, Herramientas_hidráulicas2266110153196282[[#Headers],[Herramientas_hidráulicas]],
    COUNTIF(EPP_2367111154197283[SPCC], B27) &gt; 0, EPP_2367111154197283[[#Headers],[SPCC]],
   COUNTIF(Herramientas_de_izaje2468112155198284[Herramientas_de_izaje], B27) &gt; 0, Herramientas_de_izaje2468112155198284[[#Headers],[Herramientas_de_izaje]],
COUNTIF(Tabla162670114157200286[Equipos], B27) &gt; 0, Tabla162670114157200286[[#Headers],[Equipos]],
    TRUE, "Sin clasificación"
)</f>
        <v>Sin clasificación</v>
      </c>
      <c r="F27" s="15"/>
      <c r="G27" s="15"/>
      <c r="H27" s="15"/>
      <c r="I27" s="15"/>
      <c r="J27" s="15"/>
      <c r="K27" s="15"/>
      <c r="L27" s="47"/>
      <c r="N27" s="47"/>
      <c r="O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-SinArea-0000</v>
      </c>
      <c r="Q27" s="15"/>
      <c r="S27" s="48"/>
      <c r="AF27" s="11" t="s">
        <v>236</v>
      </c>
      <c r="AG27" s="11" t="s">
        <v>237</v>
      </c>
      <c r="AH27" s="11" t="s">
        <v>238</v>
      </c>
      <c r="AI27" s="11" t="s">
        <v>239</v>
      </c>
      <c r="AJ27" s="11" t="s">
        <v>240</v>
      </c>
      <c r="AK27" s="11" t="s">
        <v>241</v>
      </c>
      <c r="AL27" s="11" t="s">
        <v>242</v>
      </c>
      <c r="AM27" s="11" t="s">
        <v>243</v>
      </c>
      <c r="AN27" s="11" t="s">
        <v>244</v>
      </c>
      <c r="AO27" s="11" t="s">
        <v>245</v>
      </c>
    </row>
    <row r="28" spans="3:44" x14ac:dyDescent="0.3">
      <c r="C28" s="11"/>
      <c r="E28" s="11" t="str" cm="1">
        <f t="array" ref="E28">_xlfn.IFS(
    COUNTIF(Herramientas_eléctricas1862106149192278[Herramientas_eléctricas], B28) &gt; 0, Herramientas_eléctricas1862106149192278[[#Headers],[Herramientas_eléctricas]],
    COUNTIF(Herramientas_neumáticas1963107150193279[Herramientas_neumáticas], B28) &gt; 0, Herramientas_neumáticas1963107150193279[[#Headers],[Herramientas_neumáticas]],
    COUNTIF(Herramientas_de_medición2064108151194280[Herramientas_de_medición], B28) &gt; 0, Herramientas_de_medición2064108151194280[[#Headers],[Herramientas_de_medición]],
    COUNTIF(Herrramientas_mecánicas2165109152195281[Herramientas_mecánicas], B28) &gt; 0, Herrramientas_mecánicas2165109152195281[[#Headers],[Herramientas_mecánicas]],
    COUNTIF(AJ28:AJ34, B28) &gt; 0, Herramientas_hidráulicas2266110153196282[[#Headers],[Herramientas_hidráulicas]],
    COUNTIF(EPP_2367111154197283[SPCC], B28) &gt; 0, EPP_2367111154197283[[#Headers],[SPCC]],
   COUNTIF(Herramientas_de_izaje2468112155198284[Herramientas_de_izaje], B28) &gt; 0, Herramientas_de_izaje2468112155198284[[#Headers],[Herramientas_de_izaje]],
COUNTIF(Tabla162670114157200286[Equipos], B28) &gt; 0, Tabla162670114157200286[[#Headers],[Equipos]],
    TRUE, "Sin clasificación"
)</f>
        <v>Sin clasificación</v>
      </c>
      <c r="F28" s="15"/>
      <c r="G28" s="15"/>
      <c r="H28" s="15"/>
      <c r="I28" s="15"/>
      <c r="J28" s="15"/>
      <c r="K28" s="15"/>
      <c r="L28" s="47"/>
      <c r="N28" s="47"/>
      <c r="O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-SinArea-0000</v>
      </c>
      <c r="Q28" s="15"/>
      <c r="S28" s="48"/>
    </row>
    <row r="29" spans="3:44" x14ac:dyDescent="0.3">
      <c r="C29" s="11"/>
      <c r="E29" s="11" t="str" cm="1">
        <f t="array" ref="E29">_xlfn.IFS(
    COUNTIF(Herramientas_eléctricas1862106149192278[Herramientas_eléctricas], B29) &gt; 0, Herramientas_eléctricas1862106149192278[[#Headers],[Herramientas_eléctricas]],
    COUNTIF(Herramientas_neumáticas1963107150193279[Herramientas_neumáticas], B29) &gt; 0, Herramientas_neumáticas1963107150193279[[#Headers],[Herramientas_neumáticas]],
    COUNTIF(Herramientas_de_medición2064108151194280[Herramientas_de_medición], B29) &gt; 0, Herramientas_de_medición2064108151194280[[#Headers],[Herramientas_de_medición]],
    COUNTIF(Herrramientas_mecánicas2165109152195281[Herramientas_mecánicas], B29) &gt; 0, Herrramientas_mecánicas2165109152195281[[#Headers],[Herramientas_mecánicas]],
    COUNTIF(AJ29:AJ35, B29) &gt; 0, Herramientas_hidráulicas2266110153196282[[#Headers],[Herramientas_hidráulicas]],
    COUNTIF(EPP_2367111154197283[SPCC], B29) &gt; 0, EPP_2367111154197283[[#Headers],[SPCC]],
   COUNTIF(Herramientas_de_izaje2468112155198284[Herramientas_de_izaje], B29) &gt; 0, Herramientas_de_izaje2468112155198284[[#Headers],[Herramientas_de_izaje]],
COUNTIF(Tabla162670114157200286[Equipos], B29) &gt; 0, Tabla162670114157200286[[#Headers],[Equipos]],
    TRUE, "Sin clasificación"
)</f>
        <v>Sin clasificación</v>
      </c>
      <c r="F29" s="15"/>
      <c r="G29" s="15"/>
      <c r="H29" s="15"/>
      <c r="I29" s="15"/>
      <c r="J29" s="15"/>
      <c r="K29" s="15"/>
      <c r="L29" s="47"/>
      <c r="N29" s="47"/>
      <c r="O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-SinArea-0000</v>
      </c>
      <c r="Q29" s="15"/>
      <c r="S29" s="48"/>
      <c r="AF29" t="s">
        <v>246</v>
      </c>
      <c r="AG29" t="s">
        <v>97</v>
      </c>
      <c r="AH29" t="s">
        <v>34</v>
      </c>
      <c r="AI29" t="s">
        <v>66</v>
      </c>
      <c r="AJ29" s="63" t="s">
        <v>247</v>
      </c>
      <c r="AL29" t="s">
        <v>19</v>
      </c>
      <c r="AO29" t="s">
        <v>75</v>
      </c>
    </row>
    <row r="30" spans="3:44" ht="28.8" x14ac:dyDescent="0.3">
      <c r="C30" s="11"/>
      <c r="E30" s="11" t="str" cm="1">
        <f t="array" ref="E30">_xlfn.IFS(
    COUNTIF(Herramientas_eléctricas1862106149192278[Herramientas_eléctricas], B30) &gt; 0, Herramientas_eléctricas1862106149192278[[#Headers],[Herramientas_eléctricas]],
    COUNTIF(Herramientas_neumáticas1963107150193279[Herramientas_neumáticas], B30) &gt; 0, Herramientas_neumáticas1963107150193279[[#Headers],[Herramientas_neumáticas]],
    COUNTIF(Herramientas_de_medición2064108151194280[Herramientas_de_medición], B30) &gt; 0, Herramientas_de_medición2064108151194280[[#Headers],[Herramientas_de_medición]],
    COUNTIF(Herrramientas_mecánicas2165109152195281[Herramientas_mecánicas], B30) &gt; 0, Herrramientas_mecánicas2165109152195281[[#Headers],[Herramientas_mecánicas]],
    COUNTIF(AJ30:AJ36, B30) &gt; 0, Herramientas_hidráulicas2266110153196282[[#Headers],[Herramientas_hidráulicas]],
    COUNTIF(EPP_2367111154197283[SPCC], B30) &gt; 0, EPP_2367111154197283[[#Headers],[SPCC]],
   COUNTIF(Herramientas_de_izaje2468112155198284[Herramientas_de_izaje], B30) &gt; 0, Herramientas_de_izaje2468112155198284[[#Headers],[Herramientas_de_izaje]],
COUNTIF(Tabla162670114157200286[Equipos], B30) &gt; 0, Tabla162670114157200286[[#Headers],[Equipos]],
    TRUE, "Sin clasificación"
)</f>
        <v>Sin clasificación</v>
      </c>
      <c r="F30" s="15"/>
      <c r="G30" s="15"/>
      <c r="H30" s="15"/>
      <c r="I30" s="15"/>
      <c r="J30" s="15"/>
      <c r="K30" s="15"/>
      <c r="L30" s="47"/>
      <c r="N30" s="47"/>
      <c r="O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-SinArea-0000</v>
      </c>
      <c r="Q30" s="15"/>
      <c r="S30" s="48" t="s">
        <v>224</v>
      </c>
      <c r="AF30" s="22" t="s">
        <v>248</v>
      </c>
      <c r="AG30" t="s">
        <v>17</v>
      </c>
      <c r="AH30" s="18" t="s">
        <v>249</v>
      </c>
      <c r="AI30" t="s">
        <v>250</v>
      </c>
      <c r="AJ30" s="64" t="s">
        <v>251</v>
      </c>
      <c r="AL30" t="s">
        <v>252</v>
      </c>
      <c r="AO30" s="18" t="s">
        <v>253</v>
      </c>
    </row>
    <row r="31" spans="3:44" x14ac:dyDescent="0.3">
      <c r="C31" s="11"/>
      <c r="E31" s="11" t="str" cm="1">
        <f t="array" ref="E31">_xlfn.IFS(
    COUNTIF(Herramientas_eléctricas1862106149192278[Herramientas_eléctricas], B31) &gt; 0, Herramientas_eléctricas1862106149192278[[#Headers],[Herramientas_eléctricas]],
    COUNTIF(Herramientas_neumáticas1963107150193279[Herramientas_neumáticas], B31) &gt; 0, Herramientas_neumáticas1963107150193279[[#Headers],[Herramientas_neumáticas]],
    COUNTIF(Herramientas_de_medición2064108151194280[Herramientas_de_medición], B31) &gt; 0, Herramientas_de_medición2064108151194280[[#Headers],[Herramientas_de_medición]],
    COUNTIF(Herrramientas_mecánicas2165109152195281[Herramientas_mecánicas], B31) &gt; 0, Herrramientas_mecánicas2165109152195281[[#Headers],[Herramientas_mecánicas]],
    COUNTIF(AJ31:AJ37, B31) &gt; 0, Herramientas_hidráulicas2266110153196282[[#Headers],[Herramientas_hidráulicas]],
    COUNTIF(EPP_2367111154197283[SPCC], B31) &gt; 0, EPP_2367111154197283[[#Headers],[SPCC]],
   COUNTIF(Herramientas_de_izaje2468112155198284[Herramientas_de_izaje], B31) &gt; 0, Herramientas_de_izaje2468112155198284[[#Headers],[Herramientas_de_izaje]],
COUNTIF(Tabla162670114157200286[Equipos], B31) &gt; 0, Tabla162670114157200286[[#Headers],[Equipos]],
    TRUE, "Sin clasificación"
)</f>
        <v>Sin clasificación</v>
      </c>
      <c r="F31" s="15"/>
      <c r="G31" s="15"/>
      <c r="H31" s="15"/>
      <c r="I31" s="15"/>
      <c r="J31" s="15"/>
      <c r="K31" s="15"/>
      <c r="L31" s="47"/>
      <c r="N31" s="47"/>
      <c r="O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-SinArea-0000</v>
      </c>
      <c r="Q31" s="15"/>
      <c r="S31" s="48"/>
      <c r="AF31" s="65" t="s">
        <v>254</v>
      </c>
      <c r="AH31" t="s">
        <v>255</v>
      </c>
      <c r="AO31" s="26" t="s">
        <v>256</v>
      </c>
    </row>
    <row r="32" spans="3:44" ht="28.5" customHeight="1" x14ac:dyDescent="0.3">
      <c r="C32" s="11"/>
      <c r="E32" s="11" t="str" cm="1">
        <f t="array" ref="E32">_xlfn.IFS(
    COUNTIF(Herramientas_eléctricas1862106149192278[Herramientas_eléctricas], B32) &gt; 0, Herramientas_eléctricas1862106149192278[[#Headers],[Herramientas_eléctricas]],
    COUNTIF(Herramientas_neumáticas1963107150193279[Herramientas_neumáticas], B32) &gt; 0, Herramientas_neumáticas1963107150193279[[#Headers],[Herramientas_neumáticas]],
    COUNTIF(Herramientas_de_medición2064108151194280[Herramientas_de_medición], B32) &gt; 0, Herramientas_de_medición2064108151194280[[#Headers],[Herramientas_de_medición]],
    COUNTIF(Herrramientas_mecánicas2165109152195281[Herramientas_mecánicas], B32) &gt; 0, Herrramientas_mecánicas2165109152195281[[#Headers],[Herramientas_mecánicas]],
    COUNTIF(AJ32:AJ38, B32) &gt; 0, Herramientas_hidráulicas2266110153196282[[#Headers],[Herramientas_hidráulicas]],
    COUNTIF(EPP_2367111154197283[SPCC], B32) &gt; 0, EPP_2367111154197283[[#Headers],[SPCC]],
   COUNTIF(Herramientas_de_izaje2468112155198284[Herramientas_de_izaje], B32) &gt; 0, Herramientas_de_izaje2468112155198284[[#Headers],[Herramientas_de_izaje]],
COUNTIF(Tabla162670114157200286[Equipos], B32) &gt; 0, Tabla162670114157200286[[#Headers],[Equipos]],
    TRUE, "Sin clasificación"
)</f>
        <v>Sin clasificación</v>
      </c>
      <c r="F32" s="15"/>
      <c r="G32" s="15"/>
      <c r="H32" s="15"/>
      <c r="I32" s="15"/>
      <c r="J32" s="15"/>
      <c r="K32" s="15"/>
      <c r="L32" s="47"/>
      <c r="N32" s="47"/>
      <c r="O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-SinArea-0000</v>
      </c>
      <c r="Q32" s="15"/>
      <c r="S32" s="48"/>
    </row>
    <row r="33" spans="3:44" x14ac:dyDescent="0.3">
      <c r="C33" s="11"/>
      <c r="E33" s="11" t="str" cm="1">
        <f t="array" ref="E33">_xlfn.IFS(
    COUNTIF(Herramientas_eléctricas1862106149192278[Herramientas_eléctricas], B33) &gt; 0, Herramientas_eléctricas1862106149192278[[#Headers],[Herramientas_eléctricas]],
    COUNTIF(Herramientas_neumáticas1963107150193279[Herramientas_neumáticas], B33) &gt; 0, Herramientas_neumáticas1963107150193279[[#Headers],[Herramientas_neumáticas]],
    COUNTIF(Herramientas_de_medición2064108151194280[Herramientas_de_medición], B33) &gt; 0, Herramientas_de_medición2064108151194280[[#Headers],[Herramientas_de_medición]],
    COUNTIF(Herrramientas_mecánicas2165109152195281[Herramientas_mecánicas], B33) &gt; 0, Herrramientas_mecánicas2165109152195281[[#Headers],[Herramientas_mecánicas]],
    COUNTIF(AJ33:AJ39, B33) &gt; 0, Herramientas_hidráulicas2266110153196282[[#Headers],[Herramientas_hidráulicas]],
    COUNTIF(EPP_2367111154197283[SPCC], B33) &gt; 0, EPP_2367111154197283[[#Headers],[SPCC]],
   COUNTIF(Herramientas_de_izaje2468112155198284[Herramientas_de_izaje], B33) &gt; 0, Herramientas_de_izaje2468112155198284[[#Headers],[Herramientas_de_izaje]],
COUNTIF(Tabla162670114157200286[Equipos], B33) &gt; 0, Tabla162670114157200286[[#Headers],[Equipos]],
    TRUE, "Sin clasificación"
)</f>
        <v>Sin clasificación</v>
      </c>
      <c r="F33" s="15"/>
      <c r="G33" s="15"/>
      <c r="H33" s="15"/>
      <c r="I33" s="15"/>
      <c r="J33" s="15"/>
      <c r="K33" s="15"/>
      <c r="L33" s="47"/>
      <c r="N33" s="47"/>
      <c r="O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-SinArea-0000</v>
      </c>
      <c r="Q33" s="15"/>
      <c r="S33" s="48"/>
      <c r="AF33" t="s">
        <v>68</v>
      </c>
      <c r="AG33" t="s">
        <v>36</v>
      </c>
      <c r="AH33" t="s">
        <v>257</v>
      </c>
      <c r="AI33" t="s">
        <v>258</v>
      </c>
    </row>
    <row r="34" spans="3:44" x14ac:dyDescent="0.3">
      <c r="C34" s="11"/>
      <c r="E34" s="11" t="str" cm="1">
        <f t="array" ref="E34">_xlfn.IFS(
    COUNTIF(Herramientas_eléctricas1862106149192278[Herramientas_eléctricas], B34) &gt; 0, Herramientas_eléctricas1862106149192278[[#Headers],[Herramientas_eléctricas]],
    COUNTIF(Herramientas_neumáticas1963107150193279[Herramientas_neumáticas], B34) &gt; 0, Herramientas_neumáticas1963107150193279[[#Headers],[Herramientas_neumáticas]],
    COUNTIF(Herramientas_de_medición2064108151194280[Herramientas_de_medición], B34) &gt; 0, Herramientas_de_medición2064108151194280[[#Headers],[Herramientas_de_medición]],
    COUNTIF(Herrramientas_mecánicas2165109152195281[Herramientas_mecánicas], B34) &gt; 0, Herrramientas_mecánicas2165109152195281[[#Headers],[Herramientas_mecánicas]],
    COUNTIF(AJ34:AJ40, B34) &gt; 0, Herramientas_hidráulicas2266110153196282[[#Headers],[Herramientas_hidráulicas]],
    COUNTIF(EPP_2367111154197283[SPCC], B34) &gt; 0, EPP_2367111154197283[[#Headers],[SPCC]],
   COUNTIF(Herramientas_de_izaje2468112155198284[Herramientas_de_izaje], B34) &gt; 0, Herramientas_de_izaje2468112155198284[[#Headers],[Herramientas_de_izaje]],
COUNTIF(Tabla162670114157200286[Equipos], B34) &gt; 0, Tabla162670114157200286[[#Headers],[Equipos]],
    TRUE, "Sin clasificación"
)</f>
        <v>Sin clasificación</v>
      </c>
      <c r="F34" s="15"/>
      <c r="G34" s="15"/>
      <c r="H34" s="15"/>
      <c r="I34" s="15"/>
      <c r="J34" s="15"/>
      <c r="K34" s="15"/>
      <c r="L34" s="47"/>
      <c r="N34" s="47"/>
      <c r="O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-SinArea-0000</v>
      </c>
      <c r="Q34" s="15"/>
      <c r="S34" s="48"/>
      <c r="AF34" s="20" t="s">
        <v>259</v>
      </c>
      <c r="AG34" t="s">
        <v>260</v>
      </c>
      <c r="AH34" s="19" t="s">
        <v>261</v>
      </c>
      <c r="AI34" s="22" t="s">
        <v>262</v>
      </c>
    </row>
    <row r="35" spans="3:44" ht="28.8" x14ac:dyDescent="0.3">
      <c r="C35" s="11"/>
      <c r="E35" s="11" t="str" cm="1">
        <f t="array" ref="E35">_xlfn.IFS(
    COUNTIF(Herramientas_eléctricas1862106149192278[Herramientas_eléctricas], B35) &gt; 0, Herramientas_eléctricas1862106149192278[[#Headers],[Herramientas_eléctricas]],
    COUNTIF(Herramientas_neumáticas1963107150193279[Herramientas_neumáticas], B35) &gt; 0, Herramientas_neumáticas1963107150193279[[#Headers],[Herramientas_neumáticas]],
    COUNTIF(Herramientas_de_medición2064108151194280[Herramientas_de_medición], B35) &gt; 0, Herramientas_de_medición2064108151194280[[#Headers],[Herramientas_de_medición]],
    COUNTIF(Herrramientas_mecánicas2165109152195281[Herramientas_mecánicas], B35) &gt; 0, Herrramientas_mecánicas2165109152195281[[#Headers],[Herramientas_mecánicas]],
    COUNTIF(AJ35:AJ41, B35) &gt; 0, Herramientas_hidráulicas2266110153196282[[#Headers],[Herramientas_hidráulicas]],
    COUNTIF(EPP_2367111154197283[SPCC], B35) &gt; 0, EPP_2367111154197283[[#Headers],[SPCC]],
   COUNTIF(Herramientas_de_izaje2468112155198284[Herramientas_de_izaje], B35) &gt; 0, Herramientas_de_izaje2468112155198284[[#Headers],[Herramientas_de_izaje]],
COUNTIF(Tabla162670114157200286[Equipos], B35) &gt; 0, Tabla162670114157200286[[#Headers],[Equipos]],
    TRUE, "Sin clasificación"
)</f>
        <v>Sin clasificación</v>
      </c>
      <c r="F35" s="15"/>
      <c r="G35" s="15"/>
      <c r="H35" s="15"/>
      <c r="I35" s="15"/>
      <c r="J35" s="15"/>
      <c r="K35" s="15"/>
      <c r="L35" s="47"/>
      <c r="N35" s="47"/>
      <c r="O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-SinArea-0000</v>
      </c>
      <c r="Q35" s="15"/>
      <c r="S35" s="48"/>
      <c r="AF35" s="66" t="s">
        <v>263</v>
      </c>
      <c r="AH35" s="13" t="s">
        <v>264</v>
      </c>
      <c r="AI35" s="67" t="s">
        <v>265</v>
      </c>
    </row>
    <row r="36" spans="3:44" x14ac:dyDescent="0.3">
      <c r="C36" s="11"/>
      <c r="E36" s="11"/>
      <c r="F36" s="15"/>
      <c r="G36" s="15"/>
      <c r="H36" s="15"/>
      <c r="I36" s="15"/>
      <c r="J36" s="15"/>
      <c r="K36" s="15"/>
      <c r="L36" s="47"/>
      <c r="N36" s="47"/>
      <c r="O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-SinArea-0000</v>
      </c>
      <c r="Q36" s="15"/>
      <c r="S36" s="48"/>
      <c r="AH36" s="68" t="s">
        <v>266</v>
      </c>
      <c r="AI36" s="22" t="s">
        <v>267</v>
      </c>
    </row>
    <row r="37" spans="3:44" x14ac:dyDescent="0.3">
      <c r="C37" s="11"/>
      <c r="E37" s="11"/>
      <c r="F37" s="15"/>
      <c r="G37" s="15"/>
      <c r="H37" s="15"/>
      <c r="I37" s="15"/>
      <c r="J37" s="15"/>
      <c r="K37" s="15"/>
      <c r="L37" s="47"/>
      <c r="N37" s="47"/>
      <c r="O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-SinArea-0000</v>
      </c>
      <c r="Q37" s="15"/>
      <c r="S37" s="48"/>
      <c r="AI37" s="18" t="s">
        <v>268</v>
      </c>
    </row>
    <row r="38" spans="3:44" x14ac:dyDescent="0.3">
      <c r="C38" s="11"/>
      <c r="E38" s="11"/>
      <c r="F38" s="15"/>
      <c r="G38" s="15"/>
      <c r="H38" s="15"/>
      <c r="I38" s="15"/>
      <c r="J38" s="15"/>
      <c r="K38" s="15"/>
      <c r="L38" s="47"/>
      <c r="N38" s="47"/>
      <c r="O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-SinArea-0000</v>
      </c>
      <c r="Q38" s="15"/>
      <c r="S38" s="48"/>
      <c r="AF38" s="69" t="s">
        <v>24</v>
      </c>
      <c r="AH38" t="s">
        <v>269</v>
      </c>
      <c r="AI38" s="18" t="s">
        <v>270</v>
      </c>
    </row>
    <row r="39" spans="3:44" ht="22.8" x14ac:dyDescent="0.3">
      <c r="C39" s="11"/>
      <c r="E39" s="11"/>
      <c r="F39" s="15"/>
      <c r="G39" s="15"/>
      <c r="H39" s="15"/>
      <c r="I39" s="15"/>
      <c r="J39" s="15"/>
      <c r="K39" s="15"/>
      <c r="L39" s="47"/>
      <c r="N39" s="47"/>
      <c r="O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-SinArea-0000</v>
      </c>
      <c r="Q39" s="15"/>
      <c r="S39" s="48"/>
      <c r="AF39" s="62" t="s">
        <v>271</v>
      </c>
      <c r="AH39" s="68" t="s">
        <v>272</v>
      </c>
      <c r="AI39" s="22" t="s">
        <v>273</v>
      </c>
    </row>
    <row r="40" spans="3:44" x14ac:dyDescent="0.3">
      <c r="C40" s="11"/>
      <c r="E40" s="11"/>
      <c r="F40" s="15"/>
      <c r="G40" s="15"/>
      <c r="H40" s="15"/>
      <c r="I40" s="15"/>
      <c r="J40" s="15"/>
      <c r="K40" s="15"/>
      <c r="L40" s="47"/>
      <c r="N40" s="47"/>
      <c r="O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-SinArea-0000</v>
      </c>
      <c r="Q40" s="15"/>
      <c r="S40" s="48"/>
      <c r="AF40" s="70" t="s">
        <v>17</v>
      </c>
      <c r="AI40" t="s">
        <v>274</v>
      </c>
    </row>
    <row r="41" spans="3:44" x14ac:dyDescent="0.3">
      <c r="C41" s="11"/>
      <c r="E41" s="11"/>
      <c r="F41" s="15"/>
      <c r="G41" s="15"/>
      <c r="H41" s="15"/>
      <c r="I41" s="15"/>
      <c r="J41" s="15"/>
      <c r="K41" s="15"/>
      <c r="L41" s="47"/>
      <c r="N41" s="47"/>
      <c r="O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-SinArea-0000</v>
      </c>
      <c r="Q41" s="15"/>
      <c r="S41" s="48"/>
      <c r="AH41" t="s">
        <v>61</v>
      </c>
    </row>
    <row r="42" spans="3:44" x14ac:dyDescent="0.3">
      <c r="C42" s="11"/>
      <c r="E42" s="11"/>
      <c r="F42" s="15"/>
      <c r="G42" s="15"/>
      <c r="H42" s="15"/>
      <c r="I42" s="15"/>
      <c r="J42" s="15"/>
      <c r="K42" s="15"/>
      <c r="L42" s="47"/>
      <c r="N42" s="47"/>
      <c r="O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-SinArea-0000</v>
      </c>
      <c r="Q42" s="15"/>
      <c r="S42" s="48"/>
      <c r="AF42" s="71" t="s">
        <v>94</v>
      </c>
      <c r="AH42" t="s">
        <v>275</v>
      </c>
    </row>
    <row r="43" spans="3:44" ht="28.8" x14ac:dyDescent="0.3">
      <c r="C43" s="11"/>
      <c r="E43" s="11"/>
      <c r="F43" s="15"/>
      <c r="G43" s="15"/>
      <c r="H43" s="15"/>
      <c r="I43" s="15"/>
      <c r="J43" s="15"/>
      <c r="K43" s="15"/>
      <c r="L43" s="47"/>
      <c r="N43" s="47"/>
      <c r="O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-SinArea-0000</v>
      </c>
      <c r="Q43" s="15"/>
      <c r="S43" s="48"/>
      <c r="AF43" s="72" t="s">
        <v>276</v>
      </c>
      <c r="AH43" s="20" t="s">
        <v>277</v>
      </c>
      <c r="AI43" t="s">
        <v>98</v>
      </c>
    </row>
    <row r="44" spans="3:44" x14ac:dyDescent="0.3">
      <c r="C44" s="11"/>
      <c r="E44" s="11"/>
      <c r="F44" s="15"/>
      <c r="G44" s="15"/>
      <c r="H44" s="15"/>
      <c r="I44" s="15"/>
      <c r="J44" s="15"/>
      <c r="K44" s="15"/>
      <c r="L44" s="47"/>
      <c r="N44" s="47"/>
      <c r="O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-SinArea-0000</v>
      </c>
      <c r="Q44" s="15"/>
      <c r="S44" s="48"/>
      <c r="AF44" s="73" t="s">
        <v>278</v>
      </c>
      <c r="AH44" s="18" t="s">
        <v>279</v>
      </c>
      <c r="AI44" s="26" t="s">
        <v>280</v>
      </c>
    </row>
    <row r="45" spans="3:44" x14ac:dyDescent="0.3">
      <c r="C45" s="11"/>
      <c r="E45" s="11"/>
      <c r="F45" s="15"/>
      <c r="G45" s="15"/>
      <c r="H45" s="15"/>
      <c r="I45" s="15"/>
      <c r="J45" s="15"/>
      <c r="K45" s="15"/>
      <c r="L45" s="47"/>
      <c r="N45" s="47"/>
      <c r="O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-SinArea-0000</v>
      </c>
      <c r="Q45" s="15"/>
      <c r="S45" s="48"/>
      <c r="AF45" t="s">
        <v>42</v>
      </c>
      <c r="AH45" s="26" t="s">
        <v>281</v>
      </c>
    </row>
    <row r="46" spans="3:44" x14ac:dyDescent="0.3">
      <c r="C46" s="11"/>
      <c r="E46" s="11"/>
      <c r="F46" s="15"/>
      <c r="G46" s="15"/>
      <c r="H46" s="15"/>
      <c r="I46" s="15"/>
      <c r="J46" s="15"/>
      <c r="K46" s="15"/>
      <c r="L46" s="47"/>
      <c r="N46" s="47"/>
      <c r="O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-SinArea-0000</v>
      </c>
      <c r="Q46" s="15"/>
      <c r="S46" s="48"/>
    </row>
    <row r="47" spans="3:44" x14ac:dyDescent="0.3">
      <c r="C47" s="11"/>
      <c r="E47" s="11"/>
      <c r="F47" s="15"/>
      <c r="G47" s="15"/>
      <c r="H47" s="15"/>
      <c r="I47" s="15"/>
      <c r="J47" s="15"/>
      <c r="K47" s="15"/>
      <c r="L47" s="47"/>
      <c r="N47" s="47"/>
      <c r="O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-SinArea-0000</v>
      </c>
      <c r="Q47" s="15"/>
      <c r="S47" s="48"/>
      <c r="AF47" t="s">
        <v>41</v>
      </c>
      <c r="AI47" t="s">
        <v>282</v>
      </c>
    </row>
    <row r="48" spans="3:44" ht="28.8" x14ac:dyDescent="0.3">
      <c r="C48" s="11"/>
      <c r="E48" s="11"/>
      <c r="F48" s="15"/>
      <c r="G48" s="15"/>
      <c r="H48" s="15"/>
      <c r="I48" s="15"/>
      <c r="J48" s="15"/>
      <c r="K48" s="15"/>
      <c r="L48" s="47"/>
      <c r="N48" s="47"/>
      <c r="O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-SinArea-0000</v>
      </c>
      <c r="Q48" s="15"/>
      <c r="S48" s="48"/>
      <c r="AF48" t="s">
        <v>41</v>
      </c>
      <c r="AH48" t="s">
        <v>283</v>
      </c>
      <c r="AI48" s="74" t="s">
        <v>284</v>
      </c>
      <c r="AR48" t="s">
        <v>74</v>
      </c>
    </row>
    <row r="49" spans="3:44" x14ac:dyDescent="0.3">
      <c r="C49" s="11"/>
      <c r="E49" s="11"/>
      <c r="F49" s="15"/>
      <c r="G49" s="15"/>
      <c r="H49" s="15"/>
      <c r="I49" s="15"/>
      <c r="J49" s="15"/>
      <c r="K49" s="15"/>
      <c r="L49" s="47"/>
      <c r="N49" s="47"/>
      <c r="O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-SinArea-0000</v>
      </c>
      <c r="Q49" s="15"/>
      <c r="S49" s="48"/>
      <c r="AF49" t="s">
        <v>285</v>
      </c>
      <c r="AH49" t="s">
        <v>286</v>
      </c>
      <c r="AR49" s="22" t="s">
        <v>74</v>
      </c>
    </row>
    <row r="50" spans="3:44" x14ac:dyDescent="0.3">
      <c r="C50" s="11"/>
      <c r="E50" s="11"/>
      <c r="F50" s="15"/>
      <c r="G50" s="15"/>
      <c r="H50" s="15"/>
      <c r="I50" s="15"/>
      <c r="J50" s="15"/>
      <c r="K50" s="15"/>
      <c r="L50" s="47"/>
      <c r="N50" s="47"/>
      <c r="O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-SinArea-0000</v>
      </c>
      <c r="Q50" s="15"/>
      <c r="S50" s="48"/>
      <c r="AF50" t="s">
        <v>287</v>
      </c>
      <c r="AH50" t="s">
        <v>288</v>
      </c>
      <c r="AI50" t="s">
        <v>289</v>
      </c>
      <c r="AR50" s="18" t="s">
        <v>290</v>
      </c>
    </row>
    <row r="51" spans="3:44" x14ac:dyDescent="0.3">
      <c r="C51" s="11"/>
      <c r="E51" s="11"/>
      <c r="F51" s="15"/>
      <c r="G51" s="15"/>
      <c r="H51" s="15"/>
      <c r="I51" s="15"/>
      <c r="J51" s="15"/>
      <c r="K51" s="15"/>
      <c r="L51" s="47"/>
      <c r="N51" s="47"/>
      <c r="O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-SinArea-0000</v>
      </c>
      <c r="Q51" s="15"/>
      <c r="S51" s="48"/>
      <c r="AI51" s="22" t="s">
        <v>291</v>
      </c>
    </row>
    <row r="52" spans="3:44" x14ac:dyDescent="0.3">
      <c r="C52" s="11"/>
      <c r="E52" s="11"/>
      <c r="F52" s="15"/>
      <c r="G52" s="15"/>
      <c r="H52" s="15"/>
      <c r="I52" s="15"/>
      <c r="J52" s="15"/>
      <c r="K52" s="15"/>
      <c r="L52" s="47"/>
      <c r="N52" s="47"/>
      <c r="O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-SinArea-0000</v>
      </c>
      <c r="Q52" s="15"/>
      <c r="S52" s="48"/>
      <c r="AF52" t="s">
        <v>60</v>
      </c>
      <c r="AI52" s="67" t="s">
        <v>292</v>
      </c>
    </row>
    <row r="53" spans="3:44" x14ac:dyDescent="0.3">
      <c r="C53" s="11"/>
      <c r="E53" s="11"/>
      <c r="F53" s="15"/>
      <c r="G53" s="15"/>
      <c r="H53" s="15"/>
      <c r="I53" s="15"/>
      <c r="J53" s="15"/>
      <c r="K53" s="15"/>
      <c r="L53" s="47"/>
      <c r="N53" s="47"/>
      <c r="O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-SinArea-0000</v>
      </c>
      <c r="Q53" s="15"/>
      <c r="S53" s="48"/>
      <c r="AF53" s="70" t="s">
        <v>293</v>
      </c>
      <c r="AI53" s="22" t="s">
        <v>294</v>
      </c>
    </row>
    <row r="54" spans="3:44" x14ac:dyDescent="0.3">
      <c r="C54" s="11"/>
      <c r="E54" s="11"/>
      <c r="F54" s="15"/>
      <c r="G54" s="15"/>
      <c r="H54" s="15"/>
      <c r="I54" s="15"/>
      <c r="J54" s="15"/>
      <c r="K54" s="15"/>
      <c r="L54" s="47"/>
      <c r="N54" s="47"/>
      <c r="O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-SinArea-0000</v>
      </c>
      <c r="Q54" s="15"/>
      <c r="S54" s="48"/>
      <c r="AI54" s="22" t="s">
        <v>295</v>
      </c>
    </row>
    <row r="55" spans="3:44" x14ac:dyDescent="0.3">
      <c r="C55" s="11"/>
      <c r="E55" s="11"/>
      <c r="F55" s="15"/>
      <c r="G55" s="15"/>
      <c r="H55" s="15"/>
      <c r="I55" s="15"/>
      <c r="J55" s="15"/>
      <c r="K55" s="15"/>
      <c r="L55" s="47"/>
      <c r="N55" s="47"/>
      <c r="O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-SinArea-0000</v>
      </c>
      <c r="Q55" s="15"/>
      <c r="S55" s="48"/>
      <c r="AI55" s="22" t="s">
        <v>296</v>
      </c>
    </row>
    <row r="56" spans="3:44" x14ac:dyDescent="0.3">
      <c r="C56" s="11"/>
      <c r="E56" s="11"/>
      <c r="F56" s="15"/>
      <c r="G56" s="15"/>
      <c r="H56" s="15"/>
      <c r="I56" s="15"/>
      <c r="J56" s="15"/>
      <c r="K56" s="15"/>
      <c r="L56" s="47"/>
      <c r="N56" s="47"/>
      <c r="O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-SinArea-0000</v>
      </c>
      <c r="Q56" s="15"/>
      <c r="S56" s="48"/>
      <c r="AH56" t="s">
        <v>297</v>
      </c>
      <c r="AI56" s="18" t="s">
        <v>298</v>
      </c>
    </row>
    <row r="57" spans="3:44" x14ac:dyDescent="0.3">
      <c r="C57" s="11"/>
      <c r="E57" s="11"/>
      <c r="F57" s="15"/>
      <c r="G57" s="15"/>
      <c r="H57" s="15"/>
      <c r="I57" s="15"/>
      <c r="J57" s="15"/>
      <c r="K57" s="15"/>
      <c r="L57" s="47"/>
      <c r="N57" s="47"/>
      <c r="O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-SinArea-0000</v>
      </c>
      <c r="Q57" s="15"/>
      <c r="S57" s="48"/>
      <c r="AH57" t="s">
        <v>299</v>
      </c>
      <c r="AI57" s="22" t="s">
        <v>300</v>
      </c>
    </row>
    <row r="58" spans="3:44" x14ac:dyDescent="0.3">
      <c r="C58" s="11"/>
      <c r="E58" s="11"/>
      <c r="F58" s="15"/>
      <c r="G58" s="15"/>
      <c r="H58" s="15"/>
      <c r="I58" s="15"/>
      <c r="J58" s="15"/>
      <c r="K58" s="15"/>
      <c r="L58" s="47"/>
      <c r="N58" s="47"/>
      <c r="O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-SinArea-0000</v>
      </c>
      <c r="Q58" s="15"/>
      <c r="S58" s="48"/>
      <c r="AF58" t="s">
        <v>23</v>
      </c>
      <c r="AI58" s="18" t="s">
        <v>301</v>
      </c>
    </row>
    <row r="59" spans="3:44" x14ac:dyDescent="0.3">
      <c r="C59" s="11"/>
      <c r="E59" s="11"/>
      <c r="F59" s="15"/>
      <c r="G59" s="15"/>
      <c r="H59" s="15"/>
      <c r="I59" s="15"/>
      <c r="J59" s="15"/>
      <c r="K59" s="15"/>
      <c r="L59" s="47"/>
      <c r="N59" s="47"/>
      <c r="O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-SinArea-0000</v>
      </c>
      <c r="Q59" s="15"/>
      <c r="S59" s="48"/>
      <c r="AF59" t="s">
        <v>302</v>
      </c>
      <c r="AI59" s="70" t="s">
        <v>303</v>
      </c>
    </row>
    <row r="60" spans="3:44" x14ac:dyDescent="0.3">
      <c r="C60" s="11"/>
      <c r="E60" s="11"/>
      <c r="F60" s="15"/>
      <c r="G60" s="15"/>
      <c r="H60" s="15"/>
      <c r="I60" s="15"/>
      <c r="J60" s="15"/>
      <c r="K60" s="15"/>
      <c r="L60" s="47"/>
      <c r="N60" s="47"/>
      <c r="O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-SinArea-0000</v>
      </c>
      <c r="Q60" s="15"/>
      <c r="S60" s="48"/>
      <c r="AH60" t="s">
        <v>62</v>
      </c>
    </row>
    <row r="61" spans="3:44" x14ac:dyDescent="0.3">
      <c r="C61" s="11"/>
      <c r="E61" s="11"/>
      <c r="F61" s="15"/>
      <c r="G61" s="15"/>
      <c r="H61" s="15"/>
      <c r="I61" s="15"/>
      <c r="J61" s="15"/>
      <c r="K61" s="15"/>
      <c r="L61" s="47"/>
      <c r="N61" s="47"/>
      <c r="O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-SinArea-0000</v>
      </c>
      <c r="Q61" s="15"/>
      <c r="S61" s="48"/>
      <c r="AH61" s="70" t="s">
        <v>304</v>
      </c>
      <c r="AI61" t="s">
        <v>305</v>
      </c>
    </row>
    <row r="62" spans="3:44" x14ac:dyDescent="0.3">
      <c r="C62" s="11"/>
      <c r="E62" s="11"/>
      <c r="F62" s="15"/>
      <c r="G62" s="15"/>
      <c r="H62" s="15"/>
      <c r="I62" s="15"/>
      <c r="J62" s="15"/>
      <c r="K62" s="15"/>
      <c r="L62" s="47"/>
      <c r="N62" s="47"/>
      <c r="O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-SinArea-0000</v>
      </c>
      <c r="Q62" s="15"/>
      <c r="S62" s="48"/>
      <c r="AF62" t="s">
        <v>64</v>
      </c>
      <c r="AI62" t="s">
        <v>306</v>
      </c>
    </row>
    <row r="63" spans="3:44" x14ac:dyDescent="0.3">
      <c r="C63" s="11"/>
      <c r="E63" s="11"/>
      <c r="F63" s="15"/>
      <c r="G63" s="15"/>
      <c r="H63" s="15"/>
      <c r="I63" s="15"/>
      <c r="J63" s="15"/>
      <c r="K63" s="15"/>
      <c r="L63" s="47"/>
      <c r="N63" s="47"/>
      <c r="O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-SinArea-0000</v>
      </c>
      <c r="Q63" s="15"/>
      <c r="S63" s="48"/>
      <c r="AF63" s="75" t="s">
        <v>307</v>
      </c>
      <c r="AH63" t="s">
        <v>89</v>
      </c>
    </row>
    <row r="64" spans="3:44" ht="28.8" x14ac:dyDescent="0.3">
      <c r="C64" s="11"/>
      <c r="E64" s="11"/>
      <c r="F64" s="15"/>
      <c r="G64" s="15"/>
      <c r="H64" s="15"/>
      <c r="I64" s="15"/>
      <c r="J64" s="15"/>
      <c r="K64" s="15"/>
      <c r="L64" s="47"/>
      <c r="N64" s="47"/>
      <c r="O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-SinArea-0000</v>
      </c>
      <c r="Q64" s="15"/>
      <c r="S64" s="48"/>
      <c r="AF64" s="70" t="s">
        <v>308</v>
      </c>
      <c r="AH64" s="12" t="s">
        <v>309</v>
      </c>
      <c r="AI64" t="s">
        <v>102</v>
      </c>
    </row>
    <row r="65" spans="3:35" x14ac:dyDescent="0.3">
      <c r="C65" s="11"/>
      <c r="E65" s="11"/>
      <c r="F65" s="15"/>
      <c r="G65" s="15"/>
      <c r="H65" s="15"/>
      <c r="I65" s="15"/>
      <c r="J65" s="15"/>
      <c r="K65" s="15"/>
      <c r="L65" s="47"/>
      <c r="N65" s="47"/>
      <c r="O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-SinArea-0000</v>
      </c>
      <c r="Q65" s="15"/>
      <c r="S65" s="48"/>
      <c r="AI65" t="s">
        <v>310</v>
      </c>
    </row>
    <row r="66" spans="3:35" x14ac:dyDescent="0.3">
      <c r="C66" s="11"/>
      <c r="E66" s="11"/>
      <c r="F66" s="15"/>
      <c r="G66" s="15"/>
      <c r="H66" s="15"/>
      <c r="I66" s="15"/>
      <c r="J66" s="15"/>
      <c r="K66" s="15"/>
      <c r="L66" s="47"/>
      <c r="N66" s="47"/>
      <c r="O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-SinArea-0000</v>
      </c>
      <c r="Q66" s="15"/>
      <c r="S66" s="48"/>
      <c r="AF66" t="s">
        <v>101</v>
      </c>
      <c r="AH66" s="34" t="s">
        <v>73</v>
      </c>
    </row>
    <row r="67" spans="3:35" x14ac:dyDescent="0.3">
      <c r="C67" s="11"/>
      <c r="E67" s="11"/>
      <c r="F67" s="15"/>
      <c r="G67" s="15"/>
      <c r="H67" s="15"/>
      <c r="I67" s="15"/>
      <c r="J67" s="15"/>
      <c r="K67" s="15"/>
      <c r="L67" s="47"/>
      <c r="N67" s="47"/>
      <c r="O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-SinArea-0000</v>
      </c>
      <c r="Q67" s="15"/>
      <c r="S67" s="48"/>
      <c r="AF67" t="s">
        <v>311</v>
      </c>
      <c r="AH67" s="22" t="s">
        <v>312</v>
      </c>
      <c r="AI67" t="s">
        <v>313</v>
      </c>
    </row>
    <row r="68" spans="3:35" x14ac:dyDescent="0.3">
      <c r="C68" s="11"/>
      <c r="E68" s="11"/>
      <c r="F68" s="15"/>
      <c r="G68" s="15"/>
      <c r="H68" s="15"/>
      <c r="I68" s="15"/>
      <c r="J68" s="15"/>
      <c r="K68" s="15"/>
      <c r="L68" s="47"/>
      <c r="N68" s="47"/>
      <c r="O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-SinArea-0000</v>
      </c>
      <c r="Q68" s="15"/>
      <c r="S68" s="48"/>
      <c r="AI68" s="21" t="s">
        <v>314</v>
      </c>
    </row>
    <row r="69" spans="3:35" x14ac:dyDescent="0.3">
      <c r="C69" s="11"/>
      <c r="E69" s="11"/>
      <c r="F69" s="15"/>
      <c r="G69" s="15"/>
      <c r="H69" s="15"/>
      <c r="I69" s="15"/>
      <c r="J69" s="15"/>
      <c r="K69" s="15"/>
      <c r="L69" s="47"/>
      <c r="N69" s="47"/>
      <c r="O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-SinArea-0000</v>
      </c>
      <c r="Q69" s="15"/>
      <c r="S69" s="48"/>
      <c r="AI69" s="70" t="s">
        <v>315</v>
      </c>
    </row>
    <row r="70" spans="3:35" x14ac:dyDescent="0.3">
      <c r="C70" s="11"/>
      <c r="E70" s="11"/>
      <c r="F70" s="15"/>
      <c r="G70" s="15"/>
      <c r="H70" s="15"/>
      <c r="I70" s="15"/>
      <c r="J70" s="15"/>
      <c r="K70" s="15"/>
      <c r="L70" s="47"/>
      <c r="N70" s="47"/>
      <c r="O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-SinArea-0000</v>
      </c>
      <c r="Q70" s="15"/>
      <c r="S70" s="48"/>
    </row>
    <row r="71" spans="3:35" x14ac:dyDescent="0.3">
      <c r="C71" s="11"/>
      <c r="E71" s="11"/>
      <c r="F71" s="15"/>
      <c r="G71" s="15"/>
      <c r="H71" s="15"/>
      <c r="I71" s="15"/>
      <c r="J71" s="15"/>
      <c r="K71" s="15"/>
      <c r="L71" s="47"/>
      <c r="N71" s="47"/>
      <c r="O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-SinArea-0000</v>
      </c>
      <c r="Q71" s="15"/>
      <c r="S71" s="48"/>
    </row>
    <row r="72" spans="3:35" x14ac:dyDescent="0.3">
      <c r="C72" s="11"/>
      <c r="E72" s="11"/>
      <c r="F72" s="15"/>
      <c r="G72" s="15"/>
      <c r="H72" s="15"/>
      <c r="I72" s="15"/>
      <c r="J72" s="15"/>
      <c r="K72" s="15"/>
      <c r="L72" s="47"/>
      <c r="N72" s="47"/>
      <c r="O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-SinArea-0000</v>
      </c>
      <c r="Q72" s="15"/>
      <c r="S72" s="48"/>
    </row>
    <row r="73" spans="3:35" x14ac:dyDescent="0.3">
      <c r="C73" s="11"/>
      <c r="E73" s="11"/>
      <c r="F73" s="15"/>
      <c r="G73" s="15"/>
      <c r="H73" s="15"/>
      <c r="I73" s="15"/>
      <c r="J73" s="15"/>
      <c r="K73" s="15"/>
      <c r="L73" s="47"/>
      <c r="N73" s="47"/>
      <c r="O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-SinArea-0000</v>
      </c>
      <c r="Q73" s="15"/>
      <c r="S73" s="48"/>
    </row>
    <row r="74" spans="3:35" x14ac:dyDescent="0.3">
      <c r="C74" s="11"/>
      <c r="E74" s="11"/>
      <c r="F74" s="15"/>
      <c r="G74" s="15"/>
      <c r="H74" s="15"/>
      <c r="I74" s="15"/>
      <c r="J74" s="15"/>
      <c r="K74" s="15"/>
      <c r="L74" s="47"/>
      <c r="N74" s="47"/>
      <c r="O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-SinArea-0000</v>
      </c>
      <c r="Q74" s="15"/>
      <c r="S74" s="48"/>
    </row>
    <row r="75" spans="3:35" ht="57.6" x14ac:dyDescent="0.3">
      <c r="C75" s="11"/>
      <c r="E75" s="11"/>
      <c r="F75" s="15"/>
      <c r="G75" s="15"/>
      <c r="H75" s="15"/>
      <c r="I75" s="15"/>
      <c r="J75" s="15"/>
      <c r="K75" s="15"/>
      <c r="L75" s="47"/>
      <c r="N75" s="47"/>
      <c r="O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-SinArea-0000</v>
      </c>
      <c r="Q75" s="15"/>
      <c r="S75" s="48"/>
      <c r="AF75" s="11" t="s">
        <v>316</v>
      </c>
    </row>
    <row r="76" spans="3:35" x14ac:dyDescent="0.3">
      <c r="C76" s="11"/>
      <c r="E76" s="11"/>
      <c r="F76" s="15"/>
      <c r="G76" s="15"/>
      <c r="H76" s="15"/>
      <c r="I76" s="15"/>
      <c r="J76" s="15"/>
      <c r="K76" s="15"/>
      <c r="L76" s="47"/>
      <c r="N76" s="47"/>
      <c r="O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-SinArea-0000</v>
      </c>
      <c r="Q76" s="15"/>
      <c r="S76" s="48"/>
    </row>
    <row r="77" spans="3:35" x14ac:dyDescent="0.3">
      <c r="C77" s="11"/>
      <c r="E77" s="11"/>
      <c r="F77" s="15"/>
      <c r="G77" s="15"/>
      <c r="H77" s="15"/>
      <c r="I77" s="15"/>
      <c r="J77" s="15"/>
      <c r="K77" s="15"/>
      <c r="L77" s="47"/>
      <c r="N77" s="47"/>
      <c r="O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-SinArea-0000</v>
      </c>
      <c r="Q77" s="15"/>
      <c r="S77" s="48"/>
    </row>
    <row r="78" spans="3:35" x14ac:dyDescent="0.3">
      <c r="C78" s="11"/>
      <c r="E78" s="11"/>
      <c r="F78" s="15"/>
      <c r="G78" s="15"/>
      <c r="H78" s="15"/>
      <c r="I78" s="15"/>
      <c r="J78" s="15"/>
      <c r="K78" s="15"/>
      <c r="L78" s="47"/>
      <c r="N78" s="47"/>
      <c r="O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-SinArea-0000</v>
      </c>
      <c r="Q78" s="15"/>
      <c r="S78" s="48"/>
    </row>
    <row r="79" spans="3:35" x14ac:dyDescent="0.3">
      <c r="C79" s="11"/>
      <c r="E79" s="11"/>
      <c r="F79" s="15"/>
      <c r="G79" s="15"/>
      <c r="H79" s="15"/>
      <c r="I79" s="15"/>
      <c r="J79" s="15"/>
      <c r="K79" s="15"/>
      <c r="L79" s="47"/>
      <c r="N79" s="47"/>
      <c r="O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-SinArea-0000</v>
      </c>
      <c r="Q79" s="15"/>
      <c r="S79" s="48"/>
    </row>
    <row r="80" spans="3:35" x14ac:dyDescent="0.3">
      <c r="C80" s="11"/>
      <c r="E80" s="11"/>
      <c r="F80" s="15"/>
      <c r="G80" s="15"/>
      <c r="H80" s="15"/>
      <c r="I80" s="15"/>
      <c r="J80" s="15"/>
      <c r="K80" s="15"/>
      <c r="L80" s="47"/>
      <c r="N80" s="47"/>
      <c r="O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-SinArea-0000</v>
      </c>
      <c r="Q80" s="15"/>
      <c r="S80" s="48"/>
    </row>
    <row r="81" spans="3:19" x14ac:dyDescent="0.3">
      <c r="C81" s="11"/>
      <c r="E81" s="11"/>
      <c r="F81" s="15"/>
      <c r="G81" s="15"/>
      <c r="H81" s="15"/>
      <c r="I81" s="15"/>
      <c r="J81" s="15"/>
      <c r="K81" s="15"/>
      <c r="L81" s="47"/>
      <c r="N81" s="47"/>
      <c r="O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-SinArea-0000</v>
      </c>
      <c r="Q81" s="15"/>
      <c r="S81" s="48"/>
    </row>
    <row r="82" spans="3:19" x14ac:dyDescent="0.3">
      <c r="C82" s="11"/>
      <c r="E82" s="11"/>
      <c r="F82" s="15"/>
      <c r="G82" s="15"/>
      <c r="H82" s="15"/>
      <c r="I82" s="15"/>
      <c r="J82" s="15"/>
      <c r="K82" s="15"/>
      <c r="L82" s="47"/>
      <c r="N82" s="47"/>
      <c r="O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-SinArea-0000</v>
      </c>
      <c r="Q82" s="15"/>
      <c r="S82" s="48"/>
    </row>
    <row r="83" spans="3:19" x14ac:dyDescent="0.3">
      <c r="C83" s="11"/>
      <c r="E83" s="11"/>
      <c r="F83" s="15"/>
      <c r="G83" s="15"/>
      <c r="H83" s="15"/>
      <c r="I83" s="15"/>
      <c r="J83" s="15"/>
      <c r="K83" s="15"/>
      <c r="L83" s="47"/>
      <c r="N83" s="47"/>
      <c r="O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-SinArea-0000</v>
      </c>
      <c r="Q83" s="15"/>
      <c r="S83" s="48"/>
    </row>
    <row r="84" spans="3:19" x14ac:dyDescent="0.3">
      <c r="C84" s="11"/>
      <c r="E84" s="11"/>
      <c r="F84" s="15"/>
      <c r="G84" s="15"/>
      <c r="H84" s="15"/>
      <c r="I84" s="15"/>
      <c r="J84" s="15"/>
      <c r="K84" s="15"/>
      <c r="L84" s="47"/>
      <c r="N84" s="47"/>
      <c r="O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-SinArea-0000</v>
      </c>
      <c r="Q84" s="15"/>
      <c r="S84" s="48"/>
    </row>
    <row r="85" spans="3:19" x14ac:dyDescent="0.3">
      <c r="C85" s="11"/>
      <c r="E85" s="11"/>
      <c r="F85" s="15"/>
      <c r="G85" s="15"/>
      <c r="H85" s="15"/>
      <c r="I85" s="15"/>
      <c r="J85" s="15"/>
      <c r="K85" s="15"/>
      <c r="L85" s="47"/>
      <c r="N85" s="47"/>
      <c r="O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-SinArea-0000</v>
      </c>
      <c r="Q85" s="15"/>
      <c r="S85" s="48"/>
    </row>
    <row r="86" spans="3:19" x14ac:dyDescent="0.3">
      <c r="C86" s="11"/>
      <c r="E86" s="11"/>
      <c r="F86" s="15"/>
      <c r="G86" s="15"/>
      <c r="H86" s="15"/>
      <c r="I86" s="15"/>
      <c r="J86" s="15"/>
      <c r="K86" s="15"/>
      <c r="L86" s="47"/>
      <c r="N86" s="47"/>
      <c r="O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-SinArea-0000</v>
      </c>
      <c r="Q86" s="15"/>
      <c r="S86" s="48"/>
    </row>
    <row r="87" spans="3:19" x14ac:dyDescent="0.3">
      <c r="C87" s="11"/>
      <c r="E87" s="11"/>
      <c r="F87" s="15"/>
      <c r="G87" s="15"/>
      <c r="H87" s="15"/>
      <c r="I87" s="15"/>
      <c r="J87" s="15"/>
      <c r="K87" s="15"/>
      <c r="L87" s="47"/>
      <c r="N87" s="47"/>
      <c r="O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-SinArea-0000</v>
      </c>
      <c r="Q87" s="15"/>
      <c r="S87" s="48"/>
    </row>
    <row r="88" spans="3:19" x14ac:dyDescent="0.3">
      <c r="C88" s="11"/>
      <c r="E88" s="11"/>
      <c r="F88" s="15"/>
      <c r="G88" s="15"/>
      <c r="H88" s="15"/>
      <c r="I88" s="15"/>
      <c r="J88" s="15"/>
      <c r="K88" s="15"/>
      <c r="L88" s="47"/>
      <c r="N88" s="47"/>
      <c r="O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-SinArea-0000</v>
      </c>
      <c r="Q88" s="15"/>
      <c r="S88" s="48"/>
    </row>
    <row r="89" spans="3:19" x14ac:dyDescent="0.3">
      <c r="C89" s="11"/>
      <c r="E89" s="11"/>
      <c r="F89" s="15"/>
      <c r="G89" s="15"/>
      <c r="H89" s="15"/>
      <c r="I89" s="15"/>
      <c r="J89" s="15"/>
      <c r="K89" s="15"/>
      <c r="L89" s="47"/>
      <c r="N89" s="47"/>
      <c r="O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-SinArea-0000</v>
      </c>
      <c r="Q89" s="15"/>
      <c r="S89" s="48"/>
    </row>
    <row r="90" spans="3:19" x14ac:dyDescent="0.3">
      <c r="C90" s="11"/>
      <c r="E90" s="11"/>
      <c r="F90" s="15"/>
      <c r="G90" s="15"/>
      <c r="H90" s="15"/>
      <c r="I90" s="15"/>
      <c r="J90" s="15"/>
      <c r="K90" s="15"/>
      <c r="L90" s="47"/>
      <c r="N90" s="47"/>
      <c r="O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-SinArea-0000</v>
      </c>
      <c r="Q90" s="15"/>
      <c r="S90" s="48"/>
    </row>
    <row r="91" spans="3:19" x14ac:dyDescent="0.3">
      <c r="C91" s="11"/>
      <c r="E91" s="11"/>
      <c r="F91" s="15"/>
      <c r="G91" s="15"/>
      <c r="H91" s="15"/>
      <c r="I91" s="15"/>
      <c r="J91" s="15"/>
      <c r="K91" s="15"/>
      <c r="L91" s="47"/>
      <c r="N91" s="47"/>
      <c r="O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-SinArea-0000</v>
      </c>
      <c r="Q91" s="15"/>
      <c r="S91" s="48"/>
    </row>
    <row r="92" spans="3:19" x14ac:dyDescent="0.3">
      <c r="C92" s="11"/>
      <c r="E92" s="11"/>
      <c r="F92" s="15"/>
      <c r="G92" s="15"/>
      <c r="H92" s="15"/>
      <c r="I92" s="15"/>
      <c r="J92" s="15"/>
      <c r="K92" s="15"/>
      <c r="L92" s="47"/>
      <c r="N92" s="47"/>
      <c r="O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-SinArea-0000</v>
      </c>
      <c r="Q92" s="15"/>
      <c r="S92" s="48"/>
    </row>
    <row r="93" spans="3:19" x14ac:dyDescent="0.3">
      <c r="C93" s="11"/>
      <c r="E93" s="11"/>
      <c r="F93" s="15"/>
      <c r="G93" s="15"/>
      <c r="H93" s="15"/>
      <c r="I93" s="15"/>
      <c r="J93" s="15"/>
      <c r="K93" s="15"/>
      <c r="L93" s="47"/>
      <c r="N93" s="47"/>
      <c r="O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-SinArea-0000</v>
      </c>
      <c r="Q93" s="15"/>
      <c r="S93" s="48"/>
    </row>
    <row r="94" spans="3:19" x14ac:dyDescent="0.3">
      <c r="C94" s="11"/>
      <c r="E94" s="11"/>
      <c r="F94" s="15"/>
      <c r="G94" s="15"/>
      <c r="H94" s="15"/>
      <c r="I94" s="15"/>
      <c r="J94" s="15"/>
      <c r="K94" s="15"/>
      <c r="L94" s="47"/>
      <c r="N94" s="47"/>
      <c r="O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-SinArea-0000</v>
      </c>
      <c r="Q94" s="15"/>
      <c r="S94" s="48"/>
    </row>
    <row r="95" spans="3:19" x14ac:dyDescent="0.3">
      <c r="C95" s="11"/>
      <c r="E95" s="11"/>
      <c r="F95" s="15"/>
      <c r="G95" s="15"/>
      <c r="H95" s="15"/>
      <c r="I95" s="15"/>
      <c r="J95" s="15"/>
      <c r="K95" s="15"/>
      <c r="L95" s="47"/>
      <c r="N95" s="47"/>
      <c r="O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-SinArea-0000</v>
      </c>
      <c r="Q95" s="15"/>
      <c r="S95" s="48"/>
    </row>
    <row r="96" spans="3:19" x14ac:dyDescent="0.3">
      <c r="C96" s="11"/>
      <c r="E96" s="11"/>
      <c r="F96" s="15"/>
      <c r="G96" s="15"/>
      <c r="H96" s="15"/>
      <c r="I96" s="15"/>
      <c r="J96" s="15"/>
      <c r="K96" s="15"/>
      <c r="L96" s="47"/>
      <c r="N96" s="47"/>
      <c r="O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-SinArea-0000</v>
      </c>
      <c r="Q96" s="15"/>
      <c r="S96" s="48"/>
    </row>
    <row r="97" spans="3:19" x14ac:dyDescent="0.3">
      <c r="C97" s="11"/>
      <c r="E97" s="11"/>
      <c r="F97" s="15"/>
      <c r="G97" s="15"/>
      <c r="H97" s="15"/>
      <c r="I97" s="15"/>
      <c r="J97" s="15"/>
      <c r="K97" s="15"/>
      <c r="L97" s="47"/>
      <c r="N97" s="47"/>
      <c r="O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-SinArea-0000</v>
      </c>
      <c r="Q97" s="15"/>
      <c r="S97" s="48"/>
    </row>
    <row r="98" spans="3:19" x14ac:dyDescent="0.3">
      <c r="C98" s="11"/>
      <c r="E98" s="11"/>
      <c r="F98" s="15"/>
      <c r="G98" s="15"/>
      <c r="H98" s="15"/>
      <c r="I98" s="15"/>
      <c r="J98" s="15"/>
      <c r="K98" s="15"/>
      <c r="L98" s="47"/>
      <c r="N98" s="47"/>
      <c r="O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-SinArea-0000</v>
      </c>
      <c r="Q98" s="15"/>
      <c r="S98" s="48"/>
    </row>
    <row r="99" spans="3:19" x14ac:dyDescent="0.3">
      <c r="C99" s="11"/>
      <c r="E99" s="11"/>
      <c r="F99" s="15"/>
      <c r="G99" s="15"/>
      <c r="H99" s="15"/>
      <c r="I99" s="15"/>
      <c r="J99" s="15"/>
      <c r="K99" s="15"/>
      <c r="L99" s="47"/>
      <c r="N99" s="47"/>
      <c r="O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-SinArea-0000</v>
      </c>
      <c r="Q99" s="15"/>
      <c r="S99" s="48"/>
    </row>
    <row r="100" spans="3:19" x14ac:dyDescent="0.3">
      <c r="C100" s="11"/>
      <c r="E100" s="11"/>
      <c r="F100" s="15"/>
      <c r="G100" s="15"/>
      <c r="H100" s="15"/>
      <c r="I100" s="15"/>
      <c r="J100" s="15"/>
      <c r="K100" s="15"/>
      <c r="L100" s="47"/>
      <c r="N100" s="47"/>
      <c r="O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-SinArea-0000</v>
      </c>
      <c r="Q100" s="15"/>
      <c r="S100" s="48"/>
    </row>
    <row r="101" spans="3:19" x14ac:dyDescent="0.3">
      <c r="C101" s="11"/>
      <c r="E101" s="11"/>
      <c r="F101" s="15"/>
      <c r="G101" s="15"/>
      <c r="H101" s="15"/>
      <c r="I101" s="15"/>
      <c r="J101" s="15"/>
      <c r="K101" s="15"/>
      <c r="L101" s="47"/>
      <c r="N101" s="47"/>
      <c r="O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-SinArea-0000</v>
      </c>
      <c r="Q101" s="15"/>
      <c r="S101" s="48"/>
    </row>
    <row r="102" spans="3:19" x14ac:dyDescent="0.3">
      <c r="C102" s="11"/>
      <c r="E102" s="11"/>
      <c r="F102" s="15"/>
      <c r="G102" s="15"/>
      <c r="H102" s="15"/>
      <c r="I102" s="15"/>
      <c r="J102" s="15"/>
      <c r="K102" s="15"/>
      <c r="L102" s="47"/>
      <c r="N102" s="47"/>
      <c r="O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-SinArea-0000</v>
      </c>
      <c r="Q102" s="15"/>
      <c r="S102" s="48"/>
    </row>
    <row r="103" spans="3:19" x14ac:dyDescent="0.3">
      <c r="C103" s="11"/>
      <c r="E103" s="11"/>
      <c r="F103" s="15"/>
      <c r="G103" s="15"/>
      <c r="H103" s="15"/>
      <c r="I103" s="15"/>
      <c r="J103" s="15"/>
      <c r="K103" s="15"/>
      <c r="L103" s="47"/>
      <c r="N103" s="47"/>
      <c r="O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-SinArea-0000</v>
      </c>
      <c r="Q103" s="15"/>
      <c r="S103" s="48"/>
    </row>
    <row r="104" spans="3:19" x14ac:dyDescent="0.3">
      <c r="C104" s="11"/>
      <c r="E104" s="11"/>
      <c r="F104" s="15"/>
      <c r="G104" s="15"/>
      <c r="H104" s="15"/>
      <c r="I104" s="15"/>
      <c r="J104" s="15"/>
      <c r="K104" s="15"/>
      <c r="L104" s="47"/>
      <c r="N104" s="47"/>
      <c r="O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-SinArea-0000</v>
      </c>
      <c r="Q104" s="15"/>
      <c r="S104" s="48"/>
    </row>
    <row r="105" spans="3:19" x14ac:dyDescent="0.3">
      <c r="C105" s="11"/>
      <c r="E105" s="11"/>
      <c r="F105" s="15"/>
      <c r="G105" s="15"/>
      <c r="H105" s="15"/>
      <c r="I105" s="15"/>
      <c r="J105" s="15"/>
      <c r="K105" s="15"/>
      <c r="L105" s="47"/>
      <c r="N105" s="47"/>
      <c r="O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-SinArea-0000</v>
      </c>
      <c r="Q105" s="15"/>
      <c r="S105" s="48"/>
    </row>
    <row r="106" spans="3:19" x14ac:dyDescent="0.3">
      <c r="C106" s="11"/>
      <c r="E106" s="11"/>
      <c r="F106" s="15"/>
      <c r="G106" s="15"/>
      <c r="H106" s="15"/>
      <c r="I106" s="15"/>
      <c r="J106" s="15"/>
      <c r="K106" s="15"/>
      <c r="L106" s="47"/>
      <c r="N106" s="47"/>
      <c r="O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-SinArea-0000</v>
      </c>
      <c r="Q106" s="15"/>
      <c r="S106" s="48"/>
    </row>
    <row r="107" spans="3:19" x14ac:dyDescent="0.3">
      <c r="C107" s="11"/>
      <c r="E107" s="11"/>
      <c r="F107" s="15"/>
      <c r="G107" s="15"/>
      <c r="H107" s="15"/>
      <c r="I107" s="15"/>
      <c r="J107" s="15"/>
      <c r="K107" s="15"/>
      <c r="L107" s="47"/>
      <c r="N107" s="47"/>
      <c r="O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-SinArea-0000</v>
      </c>
      <c r="Q107" s="15"/>
      <c r="S107" s="48"/>
    </row>
    <row r="108" spans="3:19" x14ac:dyDescent="0.3">
      <c r="C108" s="11"/>
      <c r="E108" s="11"/>
      <c r="F108" s="15"/>
      <c r="G108" s="15"/>
      <c r="H108" s="15"/>
      <c r="I108" s="15"/>
      <c r="J108" s="15"/>
      <c r="K108" s="15"/>
      <c r="L108" s="47"/>
      <c r="N108" s="47"/>
      <c r="O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-SinArea-0000</v>
      </c>
      <c r="Q108" s="15"/>
      <c r="S108" s="48"/>
    </row>
    <row r="109" spans="3:19" x14ac:dyDescent="0.3">
      <c r="C109" s="11"/>
      <c r="E109" s="11"/>
      <c r="F109" s="15"/>
      <c r="G109" s="15"/>
      <c r="H109" s="15"/>
      <c r="I109" s="15"/>
      <c r="J109" s="15"/>
      <c r="K109" s="15"/>
      <c r="L109" s="47"/>
      <c r="N109" s="47"/>
      <c r="O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-SinArea-0000</v>
      </c>
      <c r="Q109" s="15"/>
      <c r="S109" s="48"/>
    </row>
    <row r="110" spans="3:19" x14ac:dyDescent="0.3">
      <c r="C110" s="11"/>
      <c r="E110" s="11"/>
      <c r="F110" s="15"/>
      <c r="G110" s="15"/>
      <c r="H110" s="15"/>
      <c r="I110" s="15"/>
      <c r="J110" s="15"/>
      <c r="K110" s="15"/>
      <c r="L110" s="47"/>
      <c r="N110" s="47"/>
      <c r="O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-SinArea-0000</v>
      </c>
      <c r="Q110" s="15"/>
      <c r="S110" s="48"/>
    </row>
    <row r="111" spans="3:19" x14ac:dyDescent="0.3">
      <c r="C111" s="11"/>
      <c r="E111" s="11"/>
      <c r="F111" s="15"/>
      <c r="G111" s="15"/>
      <c r="H111" s="15"/>
      <c r="I111" s="15"/>
      <c r="J111" s="15"/>
      <c r="K111" s="15"/>
      <c r="L111" s="47"/>
      <c r="N111" s="47"/>
      <c r="O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-SinArea-0000</v>
      </c>
      <c r="Q111" s="15"/>
      <c r="S111" s="48"/>
    </row>
    <row r="112" spans="3:19" x14ac:dyDescent="0.3">
      <c r="C112" s="11"/>
      <c r="E112" s="11"/>
      <c r="F112" s="15"/>
      <c r="G112" s="15"/>
      <c r="H112" s="15"/>
      <c r="I112" s="15"/>
      <c r="J112" s="15"/>
      <c r="K112" s="15"/>
      <c r="L112" s="47"/>
      <c r="N112" s="47"/>
      <c r="O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-SinArea-0000</v>
      </c>
      <c r="Q112" s="15"/>
      <c r="S112" s="48"/>
    </row>
    <row r="113" spans="3:19" x14ac:dyDescent="0.3">
      <c r="C113" s="11"/>
      <c r="E113" s="11"/>
      <c r="F113" s="15"/>
      <c r="G113" s="15"/>
      <c r="H113" s="15"/>
      <c r="I113" s="15"/>
      <c r="J113" s="15"/>
      <c r="K113" s="15"/>
      <c r="L113" s="47"/>
      <c r="N113" s="47"/>
      <c r="O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-SinArea-0000</v>
      </c>
      <c r="Q113" s="15"/>
      <c r="S113" s="48"/>
    </row>
    <row r="114" spans="3:19" x14ac:dyDescent="0.3">
      <c r="C114" s="11"/>
      <c r="E114" s="11"/>
      <c r="F114" s="15"/>
      <c r="G114" s="15"/>
      <c r="H114" s="15"/>
      <c r="I114" s="15"/>
      <c r="J114" s="15"/>
      <c r="K114" s="15"/>
      <c r="L114" s="47"/>
      <c r="N114" s="47"/>
      <c r="O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-SinArea-0000</v>
      </c>
      <c r="Q114" s="15"/>
      <c r="S114" s="48"/>
    </row>
    <row r="115" spans="3:19" x14ac:dyDescent="0.3">
      <c r="C115" s="11"/>
      <c r="E115" s="11"/>
      <c r="F115" s="15"/>
      <c r="G115" s="15"/>
      <c r="H115" s="15"/>
      <c r="I115" s="15"/>
      <c r="J115" s="15"/>
      <c r="K115" s="15"/>
      <c r="L115" s="47"/>
      <c r="N115" s="47"/>
      <c r="O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-SinArea-0000</v>
      </c>
      <c r="Q115" s="15"/>
      <c r="S115" s="48"/>
    </row>
    <row r="116" spans="3:19" x14ac:dyDescent="0.3">
      <c r="C116" s="11"/>
      <c r="E116" s="11"/>
      <c r="F116" s="15"/>
      <c r="G116" s="15"/>
      <c r="H116" s="15"/>
      <c r="I116" s="15"/>
      <c r="J116" s="15"/>
      <c r="K116" s="15"/>
      <c r="L116" s="47"/>
      <c r="N116" s="47"/>
      <c r="O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-SinArea-0000</v>
      </c>
      <c r="Q116" s="15"/>
      <c r="S116" s="48"/>
    </row>
    <row r="117" spans="3:19" x14ac:dyDescent="0.3">
      <c r="C117" s="11"/>
      <c r="E117" s="11"/>
      <c r="F117" s="15"/>
      <c r="G117" s="15"/>
      <c r="H117" s="15"/>
      <c r="I117" s="15"/>
      <c r="J117" s="15"/>
      <c r="K117" s="15"/>
      <c r="L117" s="47"/>
      <c r="N117" s="47"/>
      <c r="O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-SinArea-0000</v>
      </c>
      <c r="Q117" s="15"/>
      <c r="S117" s="48"/>
    </row>
    <row r="118" spans="3:19" x14ac:dyDescent="0.3">
      <c r="C118" s="11"/>
      <c r="E118" s="11"/>
      <c r="F118" s="15"/>
      <c r="G118" s="15"/>
      <c r="H118" s="15"/>
      <c r="I118" s="15"/>
      <c r="J118" s="15"/>
      <c r="K118" s="15"/>
      <c r="L118" s="47"/>
      <c r="N118" s="47"/>
      <c r="O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-SinArea-0000</v>
      </c>
      <c r="Q118" s="15"/>
      <c r="S118" s="48"/>
    </row>
    <row r="119" spans="3:19" x14ac:dyDescent="0.3">
      <c r="C119" s="11"/>
      <c r="E119" s="11"/>
      <c r="F119" s="15"/>
      <c r="G119" s="15"/>
      <c r="H119" s="15"/>
      <c r="I119" s="15"/>
      <c r="J119" s="15"/>
      <c r="K119" s="15"/>
      <c r="L119" s="47"/>
      <c r="N119" s="47"/>
      <c r="O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-SinArea-0000</v>
      </c>
      <c r="Q119" s="15"/>
      <c r="S119" s="48"/>
    </row>
    <row r="120" spans="3:19" x14ac:dyDescent="0.3">
      <c r="C120" s="11"/>
      <c r="E120" s="11"/>
      <c r="F120" s="15"/>
      <c r="G120" s="15"/>
      <c r="H120" s="15"/>
      <c r="I120" s="15"/>
      <c r="J120" s="15"/>
      <c r="K120" s="15"/>
      <c r="L120" s="47"/>
      <c r="N120" s="47"/>
      <c r="O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-SinArea-0000</v>
      </c>
      <c r="Q120" s="15"/>
      <c r="S120" s="48"/>
    </row>
    <row r="121" spans="3:19" x14ac:dyDescent="0.3">
      <c r="C121" s="11"/>
      <c r="E121" s="11"/>
      <c r="F121" s="15"/>
      <c r="G121" s="15"/>
      <c r="H121" s="15"/>
      <c r="I121" s="15"/>
      <c r="J121" s="15"/>
      <c r="K121" s="15"/>
      <c r="L121" s="47"/>
      <c r="N121" s="47"/>
      <c r="O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-SinArea-0000</v>
      </c>
      <c r="Q121" s="15"/>
      <c r="S121" s="48"/>
    </row>
    <row r="122" spans="3:19" x14ac:dyDescent="0.3">
      <c r="C122" s="11"/>
      <c r="E122" s="11"/>
      <c r="F122" s="15"/>
      <c r="G122" s="15"/>
      <c r="H122" s="15"/>
      <c r="I122" s="15"/>
      <c r="J122" s="15"/>
      <c r="K122" s="15"/>
      <c r="L122" s="47"/>
      <c r="N122" s="47"/>
      <c r="O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-SinArea-0000</v>
      </c>
      <c r="Q122" s="15"/>
      <c r="S122" s="48"/>
    </row>
    <row r="123" spans="3:19" x14ac:dyDescent="0.3">
      <c r="C123" s="11"/>
      <c r="E123" s="11"/>
      <c r="F123" s="15"/>
      <c r="G123" s="15"/>
      <c r="H123" s="15"/>
      <c r="I123" s="15"/>
      <c r="J123" s="15"/>
      <c r="K123" s="15"/>
      <c r="L123" s="47"/>
      <c r="N123" s="47"/>
      <c r="O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-SinArea-0000</v>
      </c>
      <c r="Q123" s="15"/>
      <c r="S123" s="48"/>
    </row>
    <row r="124" spans="3:19" x14ac:dyDescent="0.3">
      <c r="C124" s="11"/>
      <c r="E124" s="11"/>
      <c r="F124" s="15"/>
      <c r="G124" s="15"/>
      <c r="H124" s="15"/>
      <c r="I124" s="15"/>
      <c r="J124" s="15"/>
      <c r="K124" s="15"/>
      <c r="L124" s="47"/>
      <c r="N124" s="47"/>
      <c r="O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-SinArea-0000</v>
      </c>
      <c r="Q124" s="15"/>
      <c r="S124" s="48"/>
    </row>
    <row r="125" spans="3:19" x14ac:dyDescent="0.3">
      <c r="C125" s="11"/>
      <c r="E125" s="11"/>
      <c r="F125" s="15"/>
      <c r="G125" s="15"/>
      <c r="H125" s="15"/>
      <c r="I125" s="15"/>
      <c r="J125" s="15"/>
      <c r="K125" s="15"/>
      <c r="L125" s="47"/>
      <c r="N125" s="47"/>
      <c r="O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-SinArea-0000</v>
      </c>
      <c r="Q125" s="15"/>
      <c r="S125" s="48"/>
    </row>
    <row r="126" spans="3:19" x14ac:dyDescent="0.3">
      <c r="C126" s="11"/>
      <c r="E126" s="11"/>
      <c r="F126" s="15"/>
      <c r="G126" s="15"/>
      <c r="H126" s="15"/>
      <c r="I126" s="15"/>
      <c r="J126" s="15"/>
      <c r="K126" s="15"/>
      <c r="L126" s="47"/>
      <c r="N126" s="47"/>
      <c r="O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-SinArea-0000</v>
      </c>
      <c r="Q126" s="15"/>
      <c r="S126" s="48"/>
    </row>
    <row r="127" spans="3:19" x14ac:dyDescent="0.3">
      <c r="C127" s="11"/>
      <c r="E127" s="11"/>
      <c r="F127" s="15"/>
      <c r="G127" s="15"/>
      <c r="H127" s="15"/>
      <c r="I127" s="15"/>
      <c r="J127" s="15"/>
      <c r="K127" s="15"/>
      <c r="L127" s="47"/>
      <c r="N127" s="47"/>
      <c r="O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-SinArea-0000</v>
      </c>
      <c r="Q127" s="15"/>
      <c r="S127" s="48"/>
    </row>
    <row r="128" spans="3:19" x14ac:dyDescent="0.3">
      <c r="C128" s="11"/>
      <c r="E128" s="11"/>
      <c r="F128" s="15"/>
      <c r="G128" s="15"/>
      <c r="H128" s="15"/>
      <c r="I128" s="15"/>
      <c r="J128" s="15"/>
      <c r="K128" s="15"/>
      <c r="L128" s="47"/>
      <c r="N128" s="47"/>
      <c r="O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-SinArea-0000</v>
      </c>
      <c r="Q128" s="15"/>
      <c r="S128" s="48"/>
    </row>
    <row r="129" spans="3:20" x14ac:dyDescent="0.3">
      <c r="C129" s="11"/>
      <c r="E129" s="11"/>
      <c r="F129" s="15"/>
      <c r="G129" s="15"/>
      <c r="H129" s="15"/>
      <c r="I129" s="15"/>
      <c r="J129" s="15"/>
      <c r="K129" s="15"/>
      <c r="L129" s="47"/>
      <c r="N129" s="47"/>
      <c r="O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-SinArea-0000</v>
      </c>
      <c r="Q129" s="15"/>
      <c r="S129" s="48"/>
    </row>
    <row r="130" spans="3:20" x14ac:dyDescent="0.3">
      <c r="C130" s="11"/>
      <c r="E130" s="11"/>
      <c r="F130" s="15"/>
      <c r="G130" s="15"/>
      <c r="H130" s="15"/>
      <c r="I130" s="15"/>
      <c r="J130" s="15"/>
      <c r="K130" s="15"/>
      <c r="L130" s="47"/>
      <c r="N130" s="47"/>
      <c r="O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-SinArea-0000</v>
      </c>
      <c r="Q130" s="15"/>
      <c r="S130" s="48"/>
    </row>
    <row r="131" spans="3:20" x14ac:dyDescent="0.3">
      <c r="C131" s="11"/>
      <c r="E131" s="11"/>
      <c r="F131" s="15"/>
      <c r="G131" s="15"/>
      <c r="H131" s="15"/>
      <c r="I131" s="15"/>
      <c r="J131" s="15"/>
      <c r="K131" s="15"/>
      <c r="L131" s="47"/>
      <c r="N131" s="47"/>
      <c r="O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-SinArea-0000</v>
      </c>
      <c r="Q131" s="15"/>
      <c r="S131" s="48"/>
    </row>
    <row r="132" spans="3:20" x14ac:dyDescent="0.3">
      <c r="C132" s="11"/>
      <c r="E132" s="11"/>
      <c r="F132" s="15"/>
      <c r="G132" s="15"/>
      <c r="H132" s="15"/>
      <c r="I132" s="15"/>
      <c r="J132" s="15"/>
      <c r="K132" s="15"/>
      <c r="L132" s="47"/>
      <c r="N132" s="47"/>
      <c r="O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-SinArea-0000</v>
      </c>
      <c r="Q132" s="15"/>
      <c r="S132" s="48"/>
    </row>
    <row r="133" spans="3:20" x14ac:dyDescent="0.3">
      <c r="C133" s="11"/>
      <c r="E133" s="11"/>
      <c r="F133" s="15"/>
      <c r="G133" s="15"/>
      <c r="H133" s="15"/>
      <c r="I133" s="15"/>
      <c r="J133" s="15"/>
      <c r="K133" s="15"/>
      <c r="L133" s="47"/>
      <c r="N133" s="47"/>
      <c r="O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-SinArea-0000</v>
      </c>
      <c r="Q133" s="15"/>
      <c r="S133" s="48"/>
    </row>
    <row r="134" spans="3:20" x14ac:dyDescent="0.3">
      <c r="C134" s="11"/>
      <c r="E134" s="11"/>
      <c r="F134" s="15"/>
      <c r="G134" s="15"/>
      <c r="H134" s="15"/>
      <c r="I134" s="15"/>
      <c r="J134" s="15"/>
      <c r="K134" s="15"/>
      <c r="L134" s="47"/>
      <c r="N134" s="47"/>
      <c r="O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-SinArea-0000</v>
      </c>
      <c r="Q134" s="15"/>
      <c r="S134" s="48"/>
    </row>
    <row r="135" spans="3:20" x14ac:dyDescent="0.3">
      <c r="C135" s="11"/>
      <c r="E135" s="11"/>
      <c r="F135" s="15"/>
      <c r="G135" s="15"/>
      <c r="H135" s="15"/>
      <c r="I135" s="15"/>
      <c r="J135" s="15"/>
      <c r="K135" s="15"/>
      <c r="L135" s="47"/>
      <c r="N135" s="47"/>
      <c r="O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-SinArea-0000</v>
      </c>
      <c r="Q135" s="15"/>
      <c r="S135" s="48"/>
    </row>
    <row r="136" spans="3:20" x14ac:dyDescent="0.3">
      <c r="C136" s="11"/>
      <c r="E136" s="11"/>
      <c r="F136" s="15"/>
      <c r="G136" s="15"/>
      <c r="H136" s="15"/>
      <c r="I136" s="15"/>
      <c r="J136" s="15"/>
      <c r="K136" s="15"/>
      <c r="L136" s="47"/>
      <c r="N136" s="47"/>
      <c r="O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-SinArea-0000</v>
      </c>
      <c r="Q136" s="15"/>
      <c r="S136" s="48"/>
    </row>
    <row r="137" spans="3:20" x14ac:dyDescent="0.3">
      <c r="C137" s="11"/>
      <c r="E137" s="11"/>
      <c r="F137" s="15"/>
      <c r="G137" s="15"/>
      <c r="H137" s="15"/>
      <c r="I137" s="15"/>
      <c r="J137" s="15"/>
      <c r="K137" s="15"/>
      <c r="L137" s="47"/>
      <c r="N137" s="47"/>
      <c r="O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-SinArea-0000</v>
      </c>
      <c r="Q137" s="15"/>
      <c r="S137" s="48"/>
    </row>
    <row r="138" spans="3:20" x14ac:dyDescent="0.3">
      <c r="C138" s="11"/>
      <c r="E138" s="11"/>
      <c r="F138" s="15"/>
      <c r="G138" s="15"/>
      <c r="H138" s="15"/>
      <c r="I138" s="15"/>
      <c r="J138" s="15"/>
      <c r="K138" s="15"/>
      <c r="L138" s="47"/>
      <c r="N138" s="47"/>
      <c r="O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-SinArea-0000</v>
      </c>
      <c r="Q138" s="15"/>
      <c r="S138" s="48"/>
    </row>
    <row r="139" spans="3:20" x14ac:dyDescent="0.3">
      <c r="C139" s="11"/>
      <c r="E139" s="11"/>
      <c r="F139" s="15"/>
      <c r="G139" s="15"/>
      <c r="H139" s="15"/>
      <c r="I139" s="15"/>
      <c r="J139" s="15"/>
      <c r="K139" s="15"/>
      <c r="L139" s="47"/>
      <c r="N139" s="47"/>
      <c r="O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-SinArea-0000</v>
      </c>
      <c r="Q139" s="15"/>
      <c r="S139" s="48"/>
    </row>
    <row r="140" spans="3:20" x14ac:dyDescent="0.3">
      <c r="C140" s="11"/>
      <c r="D140" s="32"/>
      <c r="E140" s="11"/>
      <c r="F140" s="15"/>
      <c r="G140" s="15"/>
      <c r="H140" s="15"/>
      <c r="I140" s="15"/>
      <c r="J140" s="15"/>
      <c r="K140" s="15"/>
      <c r="L140" s="47"/>
      <c r="M140" s="76"/>
      <c r="N140" s="47"/>
      <c r="O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-SinArea-0000</v>
      </c>
      <c r="P140" s="77"/>
      <c r="Q140" s="15"/>
      <c r="R140" s="32"/>
      <c r="S140" s="48"/>
    </row>
    <row r="141" spans="3:20" x14ac:dyDescent="0.3">
      <c r="C141" s="11"/>
      <c r="D141" s="32"/>
      <c r="E141" s="11"/>
      <c r="K141" s="15"/>
      <c r="L141" s="47"/>
      <c r="M141" s="76"/>
      <c r="N141" s="76"/>
      <c r="O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-SinArea-0000</v>
      </c>
      <c r="P141" s="77"/>
      <c r="Q141" s="32"/>
      <c r="R141" s="32"/>
      <c r="S141" s="32"/>
      <c r="T141" s="32"/>
    </row>
    <row r="142" spans="3:20" x14ac:dyDescent="0.3">
      <c r="C142" s="11"/>
      <c r="D142" s="32"/>
      <c r="E142" s="11"/>
      <c r="K142" s="15"/>
      <c r="L142" s="47"/>
      <c r="M142" s="76"/>
      <c r="N142" s="76"/>
      <c r="O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-SinArea-0000</v>
      </c>
      <c r="P142" s="77"/>
      <c r="Q142" s="32"/>
      <c r="R142" s="32"/>
      <c r="S142" s="32"/>
      <c r="T142" s="32"/>
    </row>
    <row r="143" spans="3:20" x14ac:dyDescent="0.3">
      <c r="C143" s="11"/>
      <c r="D143" s="32"/>
      <c r="E143" s="11"/>
      <c r="K143" s="15"/>
      <c r="L143" s="47"/>
      <c r="M143" s="76"/>
      <c r="N143" s="76"/>
      <c r="O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-SinArea-0000</v>
      </c>
      <c r="P143" s="77"/>
      <c r="Q143" s="32"/>
      <c r="R143" s="32"/>
      <c r="S143" s="32"/>
      <c r="T143" s="32"/>
    </row>
    <row r="144" spans="3:20" x14ac:dyDescent="0.3">
      <c r="C144" s="11"/>
      <c r="D144" s="32"/>
      <c r="E144" s="11"/>
      <c r="K144" s="15"/>
      <c r="L144" s="47"/>
      <c r="M144" s="76"/>
      <c r="N144" s="76"/>
      <c r="O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-SinArea-0000</v>
      </c>
      <c r="P144" s="77"/>
      <c r="Q144" s="32"/>
      <c r="R144" s="32"/>
      <c r="S144" s="32"/>
      <c r="T144" s="32"/>
    </row>
    <row r="145" spans="3:20" x14ac:dyDescent="0.3">
      <c r="C145" s="11"/>
      <c r="D145" s="32"/>
      <c r="E145" s="11"/>
      <c r="K145" s="15"/>
      <c r="L145" s="47"/>
      <c r="M145" s="76"/>
      <c r="N145" s="76"/>
      <c r="O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-SinArea-0000</v>
      </c>
      <c r="P145" s="77"/>
      <c r="Q145" s="32"/>
      <c r="R145" s="32"/>
      <c r="S145" s="32"/>
      <c r="T145" s="32"/>
    </row>
    <row r="146" spans="3:20" x14ac:dyDescent="0.3">
      <c r="C146" s="11"/>
      <c r="D146" s="32"/>
      <c r="E146" s="11"/>
      <c r="K146" s="15"/>
      <c r="L146" s="47"/>
      <c r="M146" s="76"/>
      <c r="N146" s="76"/>
      <c r="O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-SinArea-0000</v>
      </c>
      <c r="P146" s="77"/>
      <c r="Q146" s="32"/>
      <c r="R146" s="32"/>
      <c r="S146" s="32"/>
      <c r="T146" s="32"/>
    </row>
    <row r="147" spans="3:20" x14ac:dyDescent="0.3">
      <c r="C147" s="11"/>
      <c r="D147" s="32"/>
      <c r="E147" s="11"/>
      <c r="K147" s="15"/>
      <c r="L147" s="47"/>
      <c r="M147" s="76"/>
      <c r="N147" s="76"/>
      <c r="O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-SinArea-0000</v>
      </c>
      <c r="P147" s="77"/>
      <c r="Q147" s="32"/>
      <c r="R147" s="32"/>
      <c r="S147" s="32"/>
      <c r="T147" s="32"/>
    </row>
    <row r="148" spans="3:20" x14ac:dyDescent="0.3">
      <c r="C148" s="11"/>
      <c r="D148" s="32"/>
      <c r="E148" s="11"/>
      <c r="K148" s="15"/>
      <c r="L148" s="47"/>
      <c r="M148" s="76"/>
      <c r="N148" s="76"/>
      <c r="O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-SinArea-0000</v>
      </c>
      <c r="P148" s="77"/>
      <c r="Q148" s="32"/>
      <c r="R148" s="32"/>
      <c r="S148" s="32"/>
      <c r="T148" s="32"/>
    </row>
    <row r="149" spans="3:20" x14ac:dyDescent="0.3">
      <c r="C149" s="11"/>
      <c r="D149" s="32"/>
      <c r="E149" s="11"/>
      <c r="K149" s="15"/>
      <c r="L149" s="47"/>
      <c r="M149" s="76"/>
      <c r="N149" s="76"/>
      <c r="O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-SinArea-0000</v>
      </c>
      <c r="P149" s="77"/>
      <c r="Q149" s="32"/>
      <c r="R149" s="32"/>
      <c r="S149" s="32"/>
      <c r="T149" s="32"/>
    </row>
    <row r="150" spans="3:20" x14ac:dyDescent="0.3">
      <c r="C150" s="11"/>
      <c r="D150" s="32"/>
      <c r="E150" s="11"/>
      <c r="K150" s="15"/>
      <c r="L150" s="47"/>
      <c r="M150" s="76"/>
      <c r="N150" s="76"/>
      <c r="O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-SinArea-0000</v>
      </c>
      <c r="P150" s="77"/>
      <c r="Q150" s="32"/>
      <c r="R150" s="32"/>
      <c r="S150" s="32"/>
      <c r="T150" s="32"/>
    </row>
    <row r="151" spans="3:20" x14ac:dyDescent="0.3">
      <c r="C151" s="11"/>
      <c r="D151" s="32"/>
      <c r="E151" s="11"/>
      <c r="K151" s="15"/>
      <c r="L151" s="47"/>
      <c r="M151" s="76"/>
      <c r="N151" s="76"/>
      <c r="O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-SinArea-0000</v>
      </c>
      <c r="P151" s="77"/>
      <c r="Q151" s="32"/>
      <c r="R151" s="32"/>
      <c r="S151" s="32"/>
      <c r="T151" s="32"/>
    </row>
    <row r="152" spans="3:20" x14ac:dyDescent="0.3">
      <c r="C152" s="11"/>
      <c r="D152" s="32"/>
      <c r="E152" s="11"/>
      <c r="K152" s="15"/>
      <c r="L152" s="47"/>
      <c r="M152" s="76"/>
      <c r="N152" s="76"/>
      <c r="O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-SinArea-0000</v>
      </c>
      <c r="P152" s="77"/>
      <c r="Q152" s="32"/>
      <c r="R152" s="32"/>
      <c r="S152" s="32"/>
      <c r="T152" s="32"/>
    </row>
    <row r="153" spans="3:20" x14ac:dyDescent="0.3">
      <c r="C153" s="11"/>
      <c r="D153" s="32"/>
      <c r="E153" s="11"/>
      <c r="K153" s="15"/>
      <c r="L153" s="47"/>
      <c r="M153" s="76"/>
      <c r="N153" s="76"/>
      <c r="O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-SinArea-0000</v>
      </c>
      <c r="P153" s="77"/>
      <c r="Q153" s="32"/>
      <c r="R153" s="32"/>
      <c r="S153" s="32"/>
      <c r="T153" s="32"/>
    </row>
    <row r="154" spans="3:20" x14ac:dyDescent="0.3">
      <c r="C154" s="11"/>
      <c r="D154" s="32"/>
      <c r="E154" s="11"/>
      <c r="K154" s="15"/>
      <c r="L154" s="47"/>
      <c r="M154" s="76"/>
      <c r="N154" s="76"/>
      <c r="O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-SinArea-0000</v>
      </c>
      <c r="P154" s="77"/>
      <c r="Q154" s="32"/>
      <c r="R154" s="32"/>
      <c r="S154" s="32"/>
      <c r="T154" s="32"/>
    </row>
    <row r="155" spans="3:20" x14ac:dyDescent="0.3">
      <c r="C155" s="11"/>
      <c r="D155" s="32"/>
      <c r="E155" s="11"/>
      <c r="K155" s="15"/>
      <c r="L155" s="47"/>
      <c r="M155" s="76"/>
      <c r="N155" s="76"/>
      <c r="O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-SinArea-0000</v>
      </c>
      <c r="P155" s="77"/>
      <c r="Q155" s="32"/>
      <c r="R155" s="32"/>
      <c r="S155" s="32"/>
      <c r="T155" s="32"/>
    </row>
    <row r="156" spans="3:20" x14ac:dyDescent="0.3">
      <c r="C156" s="11"/>
      <c r="D156" s="32"/>
      <c r="E156" s="11"/>
      <c r="K156" s="15"/>
      <c r="L156" s="47"/>
      <c r="M156" s="76"/>
      <c r="N156" s="76"/>
      <c r="O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-SinArea-0000</v>
      </c>
      <c r="P156" s="77"/>
      <c r="Q156" s="32"/>
      <c r="R156" s="32"/>
      <c r="S156" s="32"/>
      <c r="T156" s="32"/>
    </row>
    <row r="157" spans="3:20" x14ac:dyDescent="0.3">
      <c r="C157" s="11"/>
      <c r="D157" s="32"/>
      <c r="E157" s="11"/>
      <c r="K157" s="15"/>
      <c r="L157" s="47"/>
      <c r="M157" s="76"/>
      <c r="N157" s="76"/>
      <c r="O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P157" s="77"/>
      <c r="Q157" s="32"/>
      <c r="R157" s="32"/>
      <c r="S157" s="32"/>
      <c r="T157" s="32"/>
    </row>
    <row r="158" spans="3:20" x14ac:dyDescent="0.3">
      <c r="C158" s="11"/>
      <c r="D158" s="32"/>
      <c r="E158" s="11"/>
      <c r="K158" s="15"/>
      <c r="L158" s="47"/>
      <c r="M158" s="76"/>
      <c r="N158" s="76"/>
      <c r="O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P158" s="77"/>
      <c r="Q158" s="32"/>
      <c r="R158" s="32"/>
      <c r="S158" s="32"/>
      <c r="T158" s="32"/>
    </row>
    <row r="159" spans="3:20" x14ac:dyDescent="0.3">
      <c r="C159" s="11"/>
      <c r="D159" s="32"/>
      <c r="E159" s="11"/>
      <c r="K159" s="15"/>
      <c r="L159" s="47"/>
      <c r="M159" s="76"/>
      <c r="N159" s="76"/>
      <c r="O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P159" s="77"/>
      <c r="Q159" s="32"/>
      <c r="R159" s="32"/>
      <c r="S159" s="32"/>
      <c r="T159" s="32"/>
    </row>
    <row r="160" spans="3:20" x14ac:dyDescent="0.3">
      <c r="C160" s="11"/>
      <c r="D160" s="32"/>
      <c r="E160" s="11"/>
      <c r="K160" s="15"/>
      <c r="L160" s="47"/>
      <c r="M160" s="76"/>
      <c r="N160" s="76"/>
      <c r="O160" s="78" t="str">
        <f>_xlfn.LET(
    _xlpm.itemBuscado, B160,
    _xlpm.areaBuscada, C160,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TEXT(COUNTIF($C$2:C160, _xlpm.areaBuscada), "0000"),
    _xlpm.codItem &amp; "-" &amp; _xlpm.codArea &amp; "-" &amp; _xlpm.secuencia
)</f>
        <v>-SinArea-0000</v>
      </c>
      <c r="P160" s="77"/>
      <c r="Q160" s="32"/>
      <c r="R160" s="32"/>
      <c r="S160" s="32"/>
      <c r="T160" s="32"/>
    </row>
    <row r="161" spans="3:20" x14ac:dyDescent="0.3">
      <c r="C161" s="11"/>
      <c r="D161" s="32"/>
      <c r="E161" s="11"/>
      <c r="K161" s="15"/>
      <c r="L161" s="47"/>
      <c r="M161" s="76"/>
      <c r="N161" s="76"/>
      <c r="O161" s="78" t="str">
        <f>_xlfn.LET(
    _xlpm.itemBuscado, B161,
    _xlpm.areaBuscada, C161,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TEXT(COUNTIF($C$2:C161, _xlpm.areaBuscada), "0000"),
    _xlpm.codItem &amp; "-" &amp; _xlpm.codArea &amp; "-" &amp; _xlpm.secuencia
)</f>
        <v>-SinArea-0000</v>
      </c>
      <c r="P161" s="77"/>
      <c r="Q161" s="32"/>
      <c r="R161" s="32"/>
      <c r="S161" s="32"/>
      <c r="T161" s="32"/>
    </row>
    <row r="162" spans="3:20" x14ac:dyDescent="0.3">
      <c r="C162" s="11"/>
      <c r="D162" s="32"/>
      <c r="E162" s="11"/>
      <c r="K162" s="15"/>
      <c r="L162" s="47"/>
      <c r="M162" s="76"/>
      <c r="N162" s="76"/>
      <c r="O162" s="78" t="str">
        <f>_xlfn.LET(
    _xlpm.itemBuscado, B162,
    _xlpm.areaBuscada, C162,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TEXT(COUNTIF($C$2:C162, _xlpm.areaBuscada), "0000"),
    _xlpm.codItem &amp; "-" &amp; _xlpm.codArea &amp; "-" &amp; _xlpm.secuencia
)</f>
        <v>-SinArea-0000</v>
      </c>
      <c r="P162" s="77"/>
      <c r="Q162" s="32"/>
      <c r="R162" s="32"/>
      <c r="S162" s="32"/>
      <c r="T162" s="32"/>
    </row>
    <row r="163" spans="3:20" x14ac:dyDescent="0.3">
      <c r="C163" s="11"/>
      <c r="D163" s="32"/>
      <c r="E163" s="11"/>
      <c r="K163" s="15"/>
      <c r="L163" s="47"/>
      <c r="M163" s="76"/>
      <c r="N163" s="76"/>
      <c r="O163" s="78" t="str">
        <f>_xlfn.LET(
    _xlpm.itemBuscado, B163,
    _xlpm.areaBuscada, C163,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TEXT(COUNTIF($C$2:C163, _xlpm.areaBuscada), "0000"),
    _xlpm.codItem &amp; "-" &amp; _xlpm.codArea &amp; "-" &amp; _xlpm.secuencia
)</f>
        <v>-SinArea-0000</v>
      </c>
      <c r="P163" s="77"/>
      <c r="Q163" s="32"/>
      <c r="R163" s="32"/>
      <c r="S163" s="32"/>
      <c r="T163" s="32"/>
    </row>
    <row r="164" spans="3:20" x14ac:dyDescent="0.3">
      <c r="C164" s="11"/>
      <c r="D164" s="32"/>
      <c r="E164" s="11"/>
      <c r="K164" s="15"/>
      <c r="L164" s="47"/>
      <c r="M164" s="76"/>
      <c r="N164" s="76"/>
      <c r="O164" s="78" t="str">
        <f>_xlfn.LET(
    _xlpm.itemBuscado, B164,
    _xlpm.areaBuscada, C164,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TEXT(COUNTIF($C$2:C164, _xlpm.areaBuscada), "0000"),
    _xlpm.codItem &amp; "-" &amp; _xlpm.codArea &amp; "-" &amp; _xlpm.secuencia
)</f>
        <v>-SinArea-0000</v>
      </c>
      <c r="P164" s="77"/>
      <c r="Q164" s="32"/>
      <c r="R164" s="32"/>
      <c r="S164" s="32"/>
      <c r="T164" s="32"/>
    </row>
    <row r="165" spans="3:20" x14ac:dyDescent="0.3">
      <c r="C165" s="11"/>
      <c r="D165" s="32"/>
      <c r="E165" s="11"/>
      <c r="K165" s="15"/>
      <c r="L165" s="47"/>
      <c r="M165" s="76"/>
      <c r="N165" s="76"/>
      <c r="O165" s="78" t="str">
        <f>_xlfn.LET(
    _xlpm.itemBuscado, B165,
    _xlpm.areaBuscada, C165,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TEXT(COUNTIF($C$2:C165, _xlpm.areaBuscada), "0000"),
    _xlpm.codItem &amp; "-" &amp; _xlpm.codArea &amp; "-" &amp; _xlpm.secuencia
)</f>
        <v>-SinArea-0000</v>
      </c>
      <c r="P165" s="77"/>
      <c r="Q165" s="32"/>
      <c r="R165" s="32"/>
      <c r="S165" s="32"/>
      <c r="T165" s="32"/>
    </row>
    <row r="166" spans="3:20" x14ac:dyDescent="0.3">
      <c r="C166" s="11"/>
      <c r="D166" s="32"/>
      <c r="E166" s="11"/>
      <c r="K166" s="15"/>
      <c r="L166" s="47"/>
      <c r="M166" s="76"/>
      <c r="N166" s="76"/>
      <c r="O166" s="78" t="str">
        <f>_xlfn.LET(
    _xlpm.itemBuscado, B166,
    _xlpm.areaBuscada, C166,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TEXT(COUNTIF($C$2:C166, _xlpm.areaBuscada), "0000"),
    _xlpm.codItem &amp; "-" &amp; _xlpm.codArea &amp; "-" &amp; _xlpm.secuencia
)</f>
        <v>-SinArea-0000</v>
      </c>
      <c r="P166" s="77"/>
      <c r="Q166" s="32"/>
      <c r="R166" s="32"/>
      <c r="S166" s="32"/>
      <c r="T166" s="32"/>
    </row>
    <row r="167" spans="3:20" x14ac:dyDescent="0.3">
      <c r="C167" s="11"/>
      <c r="D167" s="32"/>
      <c r="E167" s="11"/>
      <c r="K167" s="15"/>
      <c r="L167" s="47"/>
      <c r="M167" s="76"/>
      <c r="N167" s="76"/>
      <c r="O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P167" s="77"/>
      <c r="Q167" s="32"/>
      <c r="R167" s="32"/>
      <c r="S167" s="32"/>
      <c r="T167" s="32"/>
    </row>
    <row r="168" spans="3:20" x14ac:dyDescent="0.3">
      <c r="C168" s="11"/>
      <c r="D168" s="32"/>
      <c r="E168" s="11"/>
      <c r="K168" s="15"/>
      <c r="L168" s="47"/>
      <c r="M168" s="76"/>
      <c r="N168" s="76"/>
      <c r="O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P168" s="77"/>
      <c r="Q168" s="32"/>
      <c r="R168" s="32"/>
      <c r="S168" s="32"/>
      <c r="T168" s="32"/>
    </row>
    <row r="169" spans="3:20" x14ac:dyDescent="0.3">
      <c r="C169" s="11"/>
      <c r="D169" s="32"/>
      <c r="E169" s="11"/>
      <c r="K169" s="15"/>
      <c r="L169" s="47"/>
      <c r="M169" s="76"/>
      <c r="N169" s="76"/>
      <c r="O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P169" s="77"/>
      <c r="Q169" s="32"/>
      <c r="R169" s="32"/>
      <c r="S169" s="32"/>
      <c r="T169" s="32"/>
    </row>
    <row r="170" spans="3:20" x14ac:dyDescent="0.3">
      <c r="C170" s="11"/>
      <c r="D170" s="32"/>
      <c r="E170" s="11"/>
      <c r="K170" s="15"/>
      <c r="L170" s="47"/>
      <c r="M170" s="76"/>
      <c r="N170" s="76"/>
      <c r="O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P170" s="77"/>
      <c r="Q170" s="32"/>
      <c r="R170" s="32"/>
      <c r="S170" s="32"/>
      <c r="T170" s="32"/>
    </row>
    <row r="171" spans="3:20" x14ac:dyDescent="0.3">
      <c r="C171" s="11"/>
      <c r="D171" s="32"/>
      <c r="E171" s="11"/>
      <c r="K171" s="15"/>
      <c r="L171" s="47"/>
      <c r="M171" s="76"/>
      <c r="N171" s="76"/>
      <c r="O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P171" s="77"/>
      <c r="Q171" s="32"/>
      <c r="R171" s="32"/>
      <c r="S171" s="32"/>
      <c r="T171" s="32"/>
    </row>
    <row r="172" spans="3:20" x14ac:dyDescent="0.3">
      <c r="C172" s="11"/>
      <c r="D172" s="32"/>
      <c r="E172" s="11"/>
      <c r="K172" s="15"/>
      <c r="L172" s="47"/>
      <c r="M172" s="76"/>
      <c r="N172" s="76"/>
      <c r="O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P172" s="77"/>
      <c r="Q172" s="32"/>
      <c r="R172" s="32"/>
      <c r="S172" s="32"/>
      <c r="T172" s="32"/>
    </row>
    <row r="173" spans="3:20" x14ac:dyDescent="0.3">
      <c r="C173" s="11"/>
      <c r="D173" s="32"/>
      <c r="E173" s="11"/>
      <c r="K173" s="15"/>
      <c r="L173" s="47"/>
      <c r="M173" s="76"/>
      <c r="N173" s="76"/>
      <c r="O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P173" s="77"/>
      <c r="Q173" s="32"/>
      <c r="R173" s="32"/>
      <c r="S173" s="32"/>
      <c r="T173" s="32"/>
    </row>
    <row r="174" spans="3:20" x14ac:dyDescent="0.3">
      <c r="C174" s="11"/>
      <c r="D174" s="32"/>
      <c r="E174" s="11"/>
      <c r="K174" s="15"/>
      <c r="L174" s="47"/>
      <c r="M174" s="76"/>
      <c r="N174" s="76"/>
      <c r="O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P174" s="77"/>
      <c r="Q174" s="32"/>
      <c r="R174" s="32"/>
      <c r="S174" s="32"/>
      <c r="T174" s="32"/>
    </row>
    <row r="175" spans="3:20" x14ac:dyDescent="0.3">
      <c r="C175" s="11"/>
      <c r="D175" s="32"/>
      <c r="E175" s="11"/>
      <c r="K175" s="15"/>
      <c r="L175" s="47"/>
      <c r="M175" s="76"/>
      <c r="N175" s="76"/>
      <c r="O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P175" s="77"/>
      <c r="Q175" s="32"/>
      <c r="R175" s="32"/>
      <c r="S175" s="32"/>
      <c r="T175" s="32"/>
    </row>
    <row r="176" spans="3:20" x14ac:dyDescent="0.3">
      <c r="C176" s="11"/>
      <c r="D176" s="32"/>
      <c r="E176" s="11"/>
      <c r="K176" s="15"/>
      <c r="L176" s="47"/>
      <c r="M176" s="76"/>
      <c r="N176" s="76"/>
      <c r="O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P176" s="77"/>
      <c r="Q176" s="32"/>
      <c r="R176" s="32"/>
      <c r="S176" s="32"/>
      <c r="T176" s="32"/>
    </row>
    <row r="177" spans="3:20" x14ac:dyDescent="0.3">
      <c r="C177" s="11"/>
      <c r="D177" s="32"/>
      <c r="E177" s="11"/>
      <c r="K177" s="15"/>
      <c r="L177" s="47"/>
      <c r="M177" s="76"/>
      <c r="N177" s="76"/>
      <c r="O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P177" s="77"/>
      <c r="Q177" s="32"/>
      <c r="R177" s="32"/>
      <c r="S177" s="32"/>
      <c r="T177" s="32"/>
    </row>
    <row r="178" spans="3:20" x14ac:dyDescent="0.3">
      <c r="C178" s="11"/>
      <c r="D178" s="32"/>
      <c r="E178" s="11"/>
      <c r="K178" s="15"/>
      <c r="L178" s="47"/>
      <c r="M178" s="76"/>
      <c r="N178" s="76"/>
      <c r="O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P178" s="77"/>
      <c r="Q178" s="32"/>
      <c r="R178" s="32"/>
      <c r="S178" s="32"/>
      <c r="T178" s="32"/>
    </row>
    <row r="179" spans="3:20" x14ac:dyDescent="0.3">
      <c r="C179" s="11"/>
      <c r="D179" s="32"/>
      <c r="E179" s="11"/>
      <c r="K179" s="15"/>
      <c r="L179" s="47"/>
      <c r="M179" s="76"/>
      <c r="N179" s="76"/>
      <c r="O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P179" s="77"/>
      <c r="Q179" s="32"/>
      <c r="R179" s="32"/>
      <c r="S179" s="32"/>
      <c r="T179" s="32"/>
    </row>
    <row r="180" spans="3:20" x14ac:dyDescent="0.3">
      <c r="C180" s="11"/>
      <c r="D180" s="32"/>
      <c r="E180" s="11"/>
      <c r="K180" s="15"/>
      <c r="L180" s="47"/>
      <c r="M180" s="76"/>
      <c r="N180" s="76"/>
      <c r="O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P180" s="77"/>
      <c r="Q180" s="32"/>
      <c r="R180" s="32"/>
      <c r="S180" s="32"/>
      <c r="T180" s="32"/>
    </row>
    <row r="181" spans="3:20" x14ac:dyDescent="0.3">
      <c r="C181" s="11"/>
      <c r="D181" s="32"/>
      <c r="E181" s="11"/>
      <c r="K181" s="15"/>
      <c r="L181" s="47"/>
      <c r="M181" s="76"/>
      <c r="N181" s="76"/>
      <c r="O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P181" s="77"/>
      <c r="Q181" s="32"/>
      <c r="R181" s="32"/>
      <c r="S181" s="32"/>
      <c r="T181" s="32"/>
    </row>
    <row r="182" spans="3:20" x14ac:dyDescent="0.3">
      <c r="C182" s="11"/>
      <c r="D182" s="32"/>
      <c r="E182" s="11"/>
      <c r="K182" s="15"/>
      <c r="L182" s="47"/>
      <c r="M182" s="76"/>
      <c r="N182" s="76"/>
      <c r="O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P182" s="77"/>
      <c r="Q182" s="32"/>
      <c r="R182" s="32"/>
      <c r="S182" s="32"/>
      <c r="T182" s="32"/>
    </row>
    <row r="183" spans="3:20" x14ac:dyDescent="0.3">
      <c r="C183" s="11"/>
      <c r="D183" s="32"/>
      <c r="E183" s="11"/>
      <c r="K183" s="15"/>
      <c r="L183" s="47"/>
      <c r="M183" s="76"/>
      <c r="N183" s="76"/>
      <c r="O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P183" s="77"/>
      <c r="Q183" s="32"/>
      <c r="R183" s="32"/>
      <c r="S183" s="32"/>
      <c r="T183" s="32"/>
    </row>
    <row r="184" spans="3:20" x14ac:dyDescent="0.3">
      <c r="C184" s="11"/>
      <c r="D184" s="32"/>
      <c r="E184" s="11"/>
      <c r="K184" s="15"/>
      <c r="L184" s="47"/>
      <c r="M184" s="76"/>
      <c r="N184" s="76"/>
      <c r="O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P184" s="77"/>
      <c r="Q184" s="32"/>
      <c r="R184" s="32"/>
      <c r="S184" s="32"/>
      <c r="T184" s="32"/>
    </row>
    <row r="185" spans="3:20" x14ac:dyDescent="0.3">
      <c r="C185" s="11"/>
      <c r="D185" s="32"/>
      <c r="E185" s="11"/>
      <c r="K185" s="15"/>
      <c r="L185" s="47"/>
      <c r="M185" s="76"/>
      <c r="N185" s="76"/>
      <c r="O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P185" s="77"/>
      <c r="Q185" s="32"/>
      <c r="R185" s="32"/>
      <c r="S185" s="32"/>
      <c r="T185" s="32"/>
    </row>
    <row r="186" spans="3:20" x14ac:dyDescent="0.3">
      <c r="C186" s="11"/>
      <c r="D186" s="32"/>
      <c r="E186" s="11"/>
      <c r="K186" s="15"/>
      <c r="L186" s="47"/>
      <c r="M186" s="76"/>
      <c r="N186" s="76"/>
      <c r="O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P186" s="77"/>
      <c r="Q186" s="32"/>
      <c r="R186" s="32"/>
      <c r="S186" s="32"/>
      <c r="T186" s="32"/>
    </row>
    <row r="187" spans="3:20" x14ac:dyDescent="0.3">
      <c r="C187" s="11"/>
      <c r="D187" s="32"/>
      <c r="E187" s="11"/>
      <c r="K187" s="15"/>
      <c r="L187" s="47"/>
      <c r="M187" s="76"/>
      <c r="N187" s="76"/>
      <c r="O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P187" s="77"/>
      <c r="Q187" s="32"/>
      <c r="R187" s="32"/>
      <c r="S187" s="32"/>
      <c r="T187" s="32"/>
    </row>
    <row r="188" spans="3:20" x14ac:dyDescent="0.3">
      <c r="C188" s="11"/>
      <c r="D188" s="32"/>
      <c r="E188" s="11"/>
      <c r="K188" s="15"/>
      <c r="L188" s="47"/>
      <c r="M188" s="76"/>
      <c r="N188" s="76"/>
      <c r="O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P188" s="77"/>
      <c r="Q188" s="32"/>
      <c r="R188" s="32"/>
      <c r="S188" s="32"/>
      <c r="T188" s="32"/>
    </row>
    <row r="189" spans="3:20" x14ac:dyDescent="0.3">
      <c r="C189" s="11"/>
      <c r="D189" s="32"/>
      <c r="E189" s="11"/>
      <c r="K189" s="15"/>
      <c r="L189" s="47"/>
      <c r="M189" s="76"/>
      <c r="N189" s="76"/>
      <c r="O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P189" s="77"/>
      <c r="Q189" s="32"/>
      <c r="R189" s="32"/>
      <c r="S189" s="32"/>
      <c r="T189" s="32"/>
    </row>
    <row r="190" spans="3:20" x14ac:dyDescent="0.3">
      <c r="C190" s="11"/>
      <c r="D190" s="32"/>
      <c r="E190" s="11"/>
      <c r="K190" s="15"/>
      <c r="L190" s="47"/>
      <c r="M190" s="76"/>
      <c r="N190" s="76"/>
      <c r="O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P190" s="77"/>
      <c r="Q190" s="32"/>
      <c r="R190" s="32"/>
      <c r="S190" s="32"/>
      <c r="T190" s="32"/>
    </row>
    <row r="191" spans="3:20" x14ac:dyDescent="0.3">
      <c r="C191" s="11"/>
      <c r="D191" s="32"/>
      <c r="E191" s="11"/>
      <c r="K191" s="15"/>
      <c r="L191" s="47"/>
      <c r="M191" s="76"/>
      <c r="N191" s="76"/>
      <c r="O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P191" s="77"/>
      <c r="Q191" s="32"/>
      <c r="R191" s="32"/>
      <c r="S191" s="32"/>
      <c r="T191" s="32"/>
    </row>
    <row r="192" spans="3:20" x14ac:dyDescent="0.3">
      <c r="C192" s="11"/>
      <c r="D192" s="32"/>
      <c r="E192" s="11"/>
      <c r="K192" s="15"/>
      <c r="L192" s="47"/>
      <c r="M192" s="76"/>
      <c r="N192" s="76"/>
      <c r="O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P192" s="77"/>
      <c r="Q192" s="32"/>
      <c r="R192" s="32"/>
      <c r="S192" s="32"/>
      <c r="T192" s="32"/>
    </row>
    <row r="193" spans="3:20" x14ac:dyDescent="0.3">
      <c r="C193" s="11"/>
      <c r="D193" s="32"/>
      <c r="E193" s="11"/>
      <c r="K193" s="15"/>
      <c r="L193" s="47"/>
      <c r="M193" s="76"/>
      <c r="N193" s="76"/>
      <c r="O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P193" s="77"/>
      <c r="Q193" s="32"/>
      <c r="R193" s="32"/>
      <c r="S193" s="32"/>
      <c r="T193" s="32"/>
    </row>
    <row r="194" spans="3:20" x14ac:dyDescent="0.3">
      <c r="C194" s="11"/>
      <c r="D194" s="32"/>
      <c r="E194" s="11"/>
      <c r="K194" s="15"/>
      <c r="L194" s="47"/>
      <c r="M194" s="76"/>
      <c r="N194" s="76"/>
      <c r="O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P194" s="77"/>
      <c r="Q194" s="32"/>
      <c r="R194" s="32"/>
      <c r="S194" s="32"/>
      <c r="T194" s="32"/>
    </row>
    <row r="195" spans="3:20" x14ac:dyDescent="0.3">
      <c r="C195" s="11"/>
      <c r="D195" s="32"/>
      <c r="E195" s="11"/>
      <c r="K195" s="15"/>
      <c r="L195" s="47"/>
      <c r="M195" s="76"/>
      <c r="N195" s="76"/>
      <c r="O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P195" s="77"/>
      <c r="Q195" s="32"/>
      <c r="R195" s="32"/>
      <c r="S195" s="32"/>
      <c r="T195" s="32"/>
    </row>
    <row r="196" spans="3:20" x14ac:dyDescent="0.3">
      <c r="C196" s="11"/>
      <c r="D196" s="32"/>
      <c r="E196" s="11"/>
      <c r="K196" s="15"/>
      <c r="L196" s="47"/>
      <c r="M196" s="76"/>
      <c r="N196" s="76"/>
      <c r="O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P196" s="77"/>
      <c r="Q196" s="32"/>
      <c r="R196" s="32"/>
      <c r="S196" s="32"/>
      <c r="T196" s="32"/>
    </row>
    <row r="197" spans="3:20" x14ac:dyDescent="0.3">
      <c r="C197" s="11"/>
      <c r="D197" s="32"/>
      <c r="E197" s="11"/>
      <c r="K197" s="15"/>
      <c r="L197" s="47"/>
      <c r="M197" s="76"/>
      <c r="N197" s="76"/>
      <c r="O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P197" s="77"/>
      <c r="Q197" s="32"/>
      <c r="R197" s="32"/>
      <c r="S197" s="32"/>
      <c r="T197" s="32"/>
    </row>
    <row r="198" spans="3:20" x14ac:dyDescent="0.3">
      <c r="C198" s="11"/>
      <c r="D198" s="32"/>
      <c r="E198" s="11"/>
      <c r="K198" s="15"/>
      <c r="L198" s="47"/>
      <c r="M198" s="76"/>
      <c r="N198" s="76"/>
      <c r="O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P198" s="77"/>
      <c r="Q198" s="32"/>
      <c r="R198" s="32"/>
      <c r="S198" s="32"/>
      <c r="T198" s="32"/>
    </row>
    <row r="199" spans="3:20" x14ac:dyDescent="0.3">
      <c r="C199" s="11"/>
      <c r="D199" s="32"/>
      <c r="E199" s="11"/>
      <c r="K199" s="15"/>
      <c r="L199" s="47"/>
      <c r="M199" s="76"/>
      <c r="N199" s="76"/>
      <c r="O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P199" s="77"/>
      <c r="Q199" s="32"/>
      <c r="R199" s="32"/>
      <c r="S199" s="32"/>
      <c r="T199" s="32"/>
    </row>
    <row r="200" spans="3:20" x14ac:dyDescent="0.3">
      <c r="C200" s="11"/>
      <c r="D200" s="32"/>
      <c r="E200" s="11"/>
      <c r="K200" s="15"/>
      <c r="L200" s="47"/>
      <c r="M200" s="76"/>
      <c r="N200" s="76"/>
      <c r="O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P200" s="77"/>
      <c r="Q200" s="32"/>
      <c r="R200" s="32"/>
      <c r="S200" s="32"/>
      <c r="T200" s="32"/>
    </row>
    <row r="201" spans="3:20" x14ac:dyDescent="0.3">
      <c r="C201" s="11"/>
      <c r="D201" s="32"/>
      <c r="E201" s="11"/>
      <c r="K201" s="15"/>
      <c r="L201" s="47"/>
      <c r="M201" s="76"/>
      <c r="N201" s="76"/>
      <c r="O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P201" s="77"/>
      <c r="Q201" s="32"/>
      <c r="R201" s="32"/>
      <c r="S201" s="32"/>
      <c r="T201" s="32"/>
    </row>
    <row r="202" spans="3:20" x14ac:dyDescent="0.3">
      <c r="C202" s="11"/>
      <c r="D202" s="32"/>
      <c r="E202" s="11"/>
      <c r="K202" s="15"/>
      <c r="L202" s="47"/>
      <c r="M202" s="76"/>
      <c r="N202" s="76"/>
      <c r="O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P202" s="77"/>
      <c r="Q202" s="32"/>
      <c r="R202" s="32"/>
      <c r="S202" s="32"/>
      <c r="T202" s="32"/>
    </row>
    <row r="203" spans="3:20" x14ac:dyDescent="0.3">
      <c r="C203" s="11"/>
      <c r="D203" s="32"/>
      <c r="E203" s="11"/>
      <c r="K203" s="15"/>
      <c r="L203" s="47"/>
      <c r="M203" s="76"/>
      <c r="N203" s="76"/>
      <c r="O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P203" s="77"/>
      <c r="Q203" s="32"/>
      <c r="R203" s="32"/>
      <c r="S203" s="32"/>
      <c r="T203" s="32"/>
    </row>
    <row r="204" spans="3:20" x14ac:dyDescent="0.3">
      <c r="C204" s="11"/>
      <c r="D204" s="32"/>
      <c r="E204" s="11"/>
      <c r="K204" s="15"/>
      <c r="L204" s="47"/>
      <c r="M204" s="76"/>
      <c r="N204" s="76"/>
      <c r="O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P204" s="77"/>
      <c r="Q204" s="32"/>
      <c r="R204" s="32"/>
      <c r="S204" s="32"/>
      <c r="T204" s="32"/>
    </row>
    <row r="205" spans="3:20" x14ac:dyDescent="0.3">
      <c r="C205" s="11"/>
      <c r="D205" s="32"/>
      <c r="E205" s="11"/>
      <c r="K205" s="15"/>
      <c r="L205" s="47"/>
      <c r="M205" s="76"/>
      <c r="N205" s="76"/>
      <c r="O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P205" s="77"/>
      <c r="Q205" s="32"/>
      <c r="R205" s="32"/>
      <c r="S205" s="32"/>
      <c r="T205" s="32"/>
    </row>
    <row r="206" spans="3:20" x14ac:dyDescent="0.3">
      <c r="C206" s="11"/>
      <c r="D206" s="32"/>
      <c r="E206" s="11"/>
      <c r="K206" s="15"/>
      <c r="L206" s="47"/>
      <c r="M206" s="76"/>
      <c r="N206" s="76"/>
      <c r="O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P206" s="77"/>
      <c r="Q206" s="32"/>
      <c r="R206" s="32"/>
      <c r="S206" s="32"/>
      <c r="T206" s="32"/>
    </row>
    <row r="207" spans="3:20" x14ac:dyDescent="0.3">
      <c r="C207" s="11"/>
      <c r="D207" s="32"/>
      <c r="E207" s="11"/>
      <c r="K207" s="15"/>
      <c r="L207" s="47"/>
      <c r="M207" s="76"/>
      <c r="N207" s="76"/>
      <c r="O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P207" s="77"/>
      <c r="Q207" s="32"/>
      <c r="R207" s="32"/>
      <c r="S207" s="32"/>
      <c r="T207" s="32"/>
    </row>
    <row r="208" spans="3:20" x14ac:dyDescent="0.3">
      <c r="C208" s="11"/>
      <c r="D208" s="32"/>
      <c r="E208" s="11"/>
      <c r="K208" s="15"/>
      <c r="L208" s="47"/>
      <c r="M208" s="76"/>
      <c r="N208" s="76"/>
      <c r="O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P208" s="77"/>
      <c r="Q208" s="32"/>
      <c r="R208" s="32"/>
      <c r="S208" s="32"/>
      <c r="T208" s="32"/>
    </row>
    <row r="209" spans="3:20" x14ac:dyDescent="0.3">
      <c r="C209" s="11"/>
      <c r="D209" s="32"/>
      <c r="E209" s="11"/>
      <c r="K209" s="15"/>
      <c r="L209" s="47"/>
      <c r="M209" s="76"/>
      <c r="N209" s="76"/>
      <c r="O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P209" s="77"/>
      <c r="Q209" s="32"/>
      <c r="R209" s="32"/>
      <c r="S209" s="32"/>
      <c r="T209" s="32"/>
    </row>
    <row r="210" spans="3:20" x14ac:dyDescent="0.3">
      <c r="C210" s="11"/>
      <c r="D210" s="32"/>
      <c r="E210" s="11"/>
      <c r="K210" s="15"/>
      <c r="L210" s="47"/>
      <c r="M210" s="76"/>
      <c r="N210" s="76"/>
      <c r="O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P210" s="77"/>
      <c r="Q210" s="32"/>
      <c r="R210" s="32"/>
      <c r="S210" s="32"/>
      <c r="T210" s="32"/>
    </row>
    <row r="211" spans="3:20" x14ac:dyDescent="0.3">
      <c r="C211" s="11"/>
      <c r="D211" s="32"/>
      <c r="E211" s="11"/>
      <c r="K211" s="15"/>
      <c r="L211" s="47"/>
      <c r="M211" s="76"/>
      <c r="N211" s="76"/>
      <c r="O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P211" s="77"/>
      <c r="Q211" s="32"/>
      <c r="R211" s="32"/>
      <c r="S211" s="32"/>
      <c r="T211" s="32"/>
    </row>
    <row r="212" spans="3:20" x14ac:dyDescent="0.3">
      <c r="C212" s="11"/>
      <c r="D212" s="32"/>
      <c r="E212" s="11"/>
      <c r="K212" s="15"/>
      <c r="L212" s="47"/>
      <c r="M212" s="76"/>
      <c r="N212" s="76"/>
      <c r="O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P212" s="77"/>
      <c r="Q212" s="32"/>
      <c r="R212" s="32"/>
      <c r="S212" s="32"/>
      <c r="T212" s="32"/>
    </row>
    <row r="213" spans="3:20" x14ac:dyDescent="0.3">
      <c r="C213" s="11"/>
      <c r="D213" s="32"/>
      <c r="E213" s="11"/>
      <c r="K213" s="15"/>
      <c r="L213" s="47"/>
      <c r="M213" s="76"/>
      <c r="N213" s="76"/>
      <c r="O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P213" s="77"/>
      <c r="Q213" s="32"/>
      <c r="R213" s="32"/>
      <c r="S213" s="32"/>
      <c r="T213" s="32"/>
    </row>
    <row r="214" spans="3:20" x14ac:dyDescent="0.3">
      <c r="C214" s="11"/>
      <c r="D214" s="32"/>
      <c r="E214" s="11"/>
      <c r="K214" s="15"/>
      <c r="L214" s="47"/>
      <c r="M214" s="76"/>
      <c r="N214" s="76"/>
      <c r="O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P214" s="77"/>
      <c r="Q214" s="32"/>
      <c r="R214" s="32"/>
      <c r="S214" s="32"/>
      <c r="T214" s="32"/>
    </row>
    <row r="215" spans="3:20" x14ac:dyDescent="0.3">
      <c r="C215" s="11"/>
      <c r="D215" s="32"/>
      <c r="E215" s="11"/>
      <c r="K215" s="15"/>
      <c r="L215" s="47"/>
      <c r="M215" s="76"/>
      <c r="N215" s="76"/>
      <c r="O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P215" s="77"/>
      <c r="Q215" s="32"/>
      <c r="R215" s="32"/>
      <c r="S215" s="32"/>
      <c r="T215" s="32"/>
    </row>
    <row r="216" spans="3:20" x14ac:dyDescent="0.3">
      <c r="C216" s="11"/>
      <c r="D216" s="32"/>
      <c r="E216" s="11"/>
      <c r="K216" s="15"/>
      <c r="L216" s="47"/>
      <c r="M216" s="76"/>
      <c r="N216" s="76"/>
      <c r="O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P216" s="77"/>
      <c r="Q216" s="32"/>
      <c r="R216" s="32"/>
      <c r="S216" s="32"/>
      <c r="T216" s="32"/>
    </row>
    <row r="217" spans="3:20" x14ac:dyDescent="0.3">
      <c r="C217" s="11"/>
      <c r="D217" s="32"/>
      <c r="E217" s="11"/>
      <c r="K217" s="15"/>
      <c r="L217" s="47"/>
      <c r="M217" s="76"/>
      <c r="N217" s="76"/>
      <c r="O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P217" s="77"/>
      <c r="Q217" s="32"/>
      <c r="R217" s="32"/>
      <c r="S217" s="32"/>
      <c r="T217" s="32"/>
    </row>
    <row r="218" spans="3:20" x14ac:dyDescent="0.3">
      <c r="C218" s="11"/>
      <c r="D218" s="32"/>
      <c r="E218" s="11"/>
      <c r="K218" s="15"/>
      <c r="L218" s="47"/>
      <c r="M218" s="76"/>
      <c r="N218" s="76"/>
      <c r="O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P218" s="77"/>
      <c r="Q218" s="32"/>
      <c r="R218" s="32"/>
      <c r="S218" s="32"/>
      <c r="T218" s="32"/>
    </row>
    <row r="219" spans="3:20" x14ac:dyDescent="0.3">
      <c r="C219" s="11"/>
      <c r="D219" s="32"/>
      <c r="E219" s="11"/>
      <c r="K219" s="15"/>
      <c r="L219" s="47"/>
      <c r="M219" s="76"/>
      <c r="N219" s="76"/>
      <c r="O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P219" s="77"/>
      <c r="Q219" s="32"/>
      <c r="R219" s="32"/>
      <c r="S219" s="32"/>
      <c r="T219" s="32"/>
    </row>
    <row r="220" spans="3:20" x14ac:dyDescent="0.3">
      <c r="C220" s="11"/>
      <c r="D220" s="32"/>
      <c r="E220" s="11"/>
      <c r="K220" s="15"/>
      <c r="L220" s="47"/>
      <c r="M220" s="76"/>
      <c r="N220" s="76"/>
      <c r="O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P220" s="77"/>
      <c r="Q220" s="32"/>
      <c r="R220" s="32"/>
      <c r="S220" s="32"/>
      <c r="T220" s="32"/>
    </row>
    <row r="221" spans="3:20" x14ac:dyDescent="0.3">
      <c r="C221" s="11"/>
      <c r="D221" s="32"/>
      <c r="E221" s="11"/>
      <c r="K221" s="15"/>
      <c r="L221" s="47"/>
      <c r="M221" s="76"/>
      <c r="N221" s="76"/>
      <c r="O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P221" s="77"/>
      <c r="Q221" s="32"/>
      <c r="R221" s="32"/>
      <c r="S221" s="32"/>
      <c r="T221" s="32"/>
    </row>
    <row r="222" spans="3:20" x14ac:dyDescent="0.3">
      <c r="C222" s="11"/>
      <c r="D222" s="32"/>
      <c r="E222" s="11"/>
      <c r="K222" s="15"/>
      <c r="L222" s="47"/>
      <c r="M222" s="76"/>
      <c r="N222" s="76"/>
      <c r="O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P222" s="77"/>
      <c r="Q222" s="32"/>
      <c r="R222" s="32"/>
      <c r="S222" s="32"/>
      <c r="T222" s="32"/>
    </row>
    <row r="223" spans="3:20" x14ac:dyDescent="0.3">
      <c r="C223" s="11"/>
      <c r="D223" s="32"/>
      <c r="E223" s="11"/>
      <c r="K223" s="15"/>
      <c r="L223" s="47"/>
      <c r="M223" s="76"/>
      <c r="N223" s="76"/>
      <c r="O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P223" s="77"/>
      <c r="Q223" s="32"/>
      <c r="R223" s="32"/>
      <c r="S223" s="32"/>
      <c r="T223" s="32"/>
    </row>
    <row r="224" spans="3:20" x14ac:dyDescent="0.3">
      <c r="C224" s="11"/>
      <c r="D224" s="32"/>
      <c r="E224" s="11"/>
      <c r="K224" s="15"/>
      <c r="L224" s="47"/>
      <c r="M224" s="76"/>
      <c r="N224" s="76"/>
      <c r="O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P224" s="77"/>
      <c r="Q224" s="32"/>
      <c r="R224" s="32"/>
      <c r="S224" s="32"/>
      <c r="T224" s="32"/>
    </row>
    <row r="225" spans="3:20" x14ac:dyDescent="0.3">
      <c r="C225" s="11"/>
      <c r="D225" s="32"/>
      <c r="E225" s="11"/>
      <c r="K225" s="15"/>
      <c r="L225" s="47"/>
      <c r="M225" s="76"/>
      <c r="N225" s="76"/>
      <c r="O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P225" s="77"/>
      <c r="Q225" s="32"/>
      <c r="R225" s="32"/>
      <c r="S225" s="32"/>
      <c r="T225" s="32"/>
    </row>
    <row r="226" spans="3:20" x14ac:dyDescent="0.3">
      <c r="C226" s="11"/>
      <c r="D226" s="32"/>
      <c r="E226" s="11"/>
      <c r="K226" s="15"/>
      <c r="L226" s="47"/>
      <c r="M226" s="76"/>
      <c r="N226" s="76"/>
      <c r="O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P226" s="77"/>
      <c r="Q226" s="32"/>
      <c r="R226" s="32"/>
      <c r="S226" s="32"/>
      <c r="T226" s="32"/>
    </row>
    <row r="227" spans="3:20" x14ac:dyDescent="0.3">
      <c r="C227" s="11"/>
      <c r="D227" s="32"/>
      <c r="E227" s="11"/>
      <c r="K227" s="15"/>
      <c r="L227" s="47"/>
      <c r="M227" s="76"/>
      <c r="N227" s="76"/>
      <c r="O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P227" s="77"/>
      <c r="Q227" s="32"/>
      <c r="R227" s="32"/>
      <c r="S227" s="32"/>
      <c r="T227" s="32"/>
    </row>
    <row r="228" spans="3:20" x14ac:dyDescent="0.3">
      <c r="C228" s="11"/>
      <c r="D228" s="32"/>
      <c r="E228" s="11"/>
      <c r="K228" s="15"/>
      <c r="L228" s="47"/>
      <c r="M228" s="76"/>
      <c r="N228" s="76"/>
      <c r="O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P228" s="77"/>
      <c r="Q228" s="32"/>
      <c r="R228" s="32"/>
      <c r="S228" s="32"/>
      <c r="T228" s="32"/>
    </row>
    <row r="229" spans="3:20" x14ac:dyDescent="0.3">
      <c r="C229" s="11"/>
      <c r="D229" s="32"/>
      <c r="E229" s="11"/>
      <c r="K229" s="15"/>
      <c r="L229" s="47"/>
      <c r="M229" s="76"/>
      <c r="N229" s="76"/>
      <c r="O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P229" s="77"/>
      <c r="Q229" s="32"/>
      <c r="R229" s="32"/>
      <c r="S229" s="32"/>
      <c r="T229" s="32"/>
    </row>
    <row r="230" spans="3:20" x14ac:dyDescent="0.3">
      <c r="C230" s="11"/>
      <c r="D230" s="32"/>
      <c r="E230" s="11"/>
      <c r="K230" s="15"/>
      <c r="L230" s="47"/>
      <c r="M230" s="76"/>
      <c r="N230" s="76"/>
      <c r="O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P230" s="77"/>
      <c r="Q230" s="32"/>
      <c r="R230" s="32"/>
      <c r="S230" s="32"/>
      <c r="T230" s="32"/>
    </row>
    <row r="231" spans="3:20" x14ac:dyDescent="0.3">
      <c r="C231" s="11"/>
      <c r="D231" s="32"/>
      <c r="E231" s="11"/>
      <c r="K231" s="15"/>
      <c r="L231" s="47"/>
      <c r="M231" s="76"/>
      <c r="N231" s="76"/>
      <c r="O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P231" s="77"/>
      <c r="Q231" s="32"/>
      <c r="R231" s="32"/>
      <c r="S231" s="32"/>
      <c r="T231" s="32"/>
    </row>
    <row r="232" spans="3:20" x14ac:dyDescent="0.3">
      <c r="C232" s="11"/>
      <c r="D232" s="32"/>
      <c r="E232" s="11"/>
      <c r="K232" s="15"/>
      <c r="L232" s="47"/>
      <c r="M232" s="76"/>
      <c r="N232" s="76"/>
      <c r="O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P232" s="77"/>
      <c r="Q232" s="32"/>
      <c r="R232" s="32"/>
      <c r="S232" s="32"/>
      <c r="T232" s="32"/>
    </row>
    <row r="233" spans="3:20" x14ac:dyDescent="0.3">
      <c r="C233" s="11"/>
      <c r="D233" s="32"/>
      <c r="E233" s="11"/>
      <c r="K233" s="15"/>
      <c r="L233" s="47"/>
      <c r="M233" s="76"/>
      <c r="N233" s="76"/>
      <c r="O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P233" s="77"/>
      <c r="Q233" s="32"/>
      <c r="R233" s="32"/>
      <c r="S233" s="32"/>
      <c r="T233" s="32"/>
    </row>
    <row r="234" spans="3:20" x14ac:dyDescent="0.3">
      <c r="C234" s="11"/>
      <c r="D234" s="32"/>
      <c r="E234" s="11"/>
      <c r="K234" s="15"/>
      <c r="L234" s="47"/>
      <c r="M234" s="76"/>
      <c r="N234" s="76"/>
      <c r="O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P234" s="77"/>
      <c r="Q234" s="32"/>
      <c r="R234" s="32"/>
      <c r="S234" s="32"/>
      <c r="T234" s="32"/>
    </row>
    <row r="235" spans="3:20" x14ac:dyDescent="0.3">
      <c r="C235" s="11"/>
      <c r="D235" s="32"/>
      <c r="E235" s="11"/>
      <c r="K235" s="15"/>
      <c r="L235" s="47"/>
      <c r="M235" s="76"/>
      <c r="N235" s="76"/>
      <c r="O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P235" s="77"/>
      <c r="Q235" s="32"/>
      <c r="R235" s="32"/>
      <c r="S235" s="32"/>
      <c r="T235" s="32"/>
    </row>
    <row r="236" spans="3:20" x14ac:dyDescent="0.3">
      <c r="C236" s="11"/>
      <c r="D236" s="32"/>
      <c r="E236" s="11"/>
      <c r="K236" s="15"/>
      <c r="L236" s="47"/>
      <c r="M236" s="76"/>
      <c r="N236" s="76"/>
      <c r="O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P236" s="77"/>
      <c r="Q236" s="32"/>
      <c r="R236" s="32"/>
      <c r="S236" s="32"/>
      <c r="T236" s="32"/>
    </row>
    <row r="237" spans="3:20" x14ac:dyDescent="0.3">
      <c r="C237" s="11"/>
      <c r="D237" s="32"/>
      <c r="E237" s="11"/>
      <c r="K237" s="15"/>
      <c r="L237" s="47"/>
      <c r="M237" s="76"/>
      <c r="N237" s="76"/>
      <c r="O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P237" s="77"/>
      <c r="Q237" s="32"/>
      <c r="R237" s="32"/>
      <c r="S237" s="32"/>
      <c r="T237" s="32"/>
    </row>
    <row r="238" spans="3:20" x14ac:dyDescent="0.3">
      <c r="C238" s="11"/>
      <c r="D238" s="32"/>
      <c r="E238" s="11"/>
      <c r="K238" s="15"/>
      <c r="L238" s="47"/>
      <c r="M238" s="76"/>
      <c r="N238" s="76"/>
      <c r="O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P238" s="77"/>
      <c r="Q238" s="32"/>
      <c r="R238" s="32"/>
      <c r="S238" s="32"/>
      <c r="T238" s="32"/>
    </row>
    <row r="239" spans="3:20" x14ac:dyDescent="0.3">
      <c r="C239" s="11"/>
      <c r="D239" s="32"/>
      <c r="E239" s="11"/>
      <c r="K239" s="15"/>
      <c r="L239" s="47"/>
      <c r="M239" s="76"/>
      <c r="N239" s="76"/>
      <c r="O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P239" s="77"/>
      <c r="Q239" s="32"/>
      <c r="R239" s="32"/>
      <c r="S239" s="32"/>
      <c r="T239" s="32"/>
    </row>
    <row r="240" spans="3:20" x14ac:dyDescent="0.3">
      <c r="C240" s="11"/>
      <c r="D240" s="32"/>
      <c r="E240" s="11"/>
      <c r="K240" s="15"/>
      <c r="L240" s="47"/>
      <c r="M240" s="76"/>
      <c r="N240" s="76"/>
      <c r="O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P240" s="77"/>
      <c r="Q240" s="32"/>
      <c r="R240" s="32"/>
      <c r="S240" s="32"/>
      <c r="T240" s="32"/>
    </row>
    <row r="241" spans="3:20" x14ac:dyDescent="0.3">
      <c r="C241" s="11"/>
      <c r="D241" s="32"/>
      <c r="E241" s="11"/>
      <c r="K241" s="15"/>
      <c r="L241" s="47"/>
      <c r="M241" s="76"/>
      <c r="N241" s="76"/>
      <c r="O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P241" s="77"/>
      <c r="Q241" s="32"/>
      <c r="R241" s="32"/>
      <c r="S241" s="32"/>
      <c r="T241" s="32"/>
    </row>
    <row r="242" spans="3:20" x14ac:dyDescent="0.3">
      <c r="C242" s="11"/>
      <c r="D242" s="32"/>
      <c r="E242" s="11"/>
      <c r="K242" s="15"/>
      <c r="L242" s="47"/>
      <c r="M242" s="76"/>
      <c r="N242" s="76"/>
      <c r="O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P242" s="77"/>
      <c r="Q242" s="32"/>
      <c r="R242" s="32"/>
      <c r="S242" s="32"/>
      <c r="T242" s="32"/>
    </row>
    <row r="243" spans="3:20" x14ac:dyDescent="0.3">
      <c r="C243" s="11"/>
      <c r="D243" s="32"/>
      <c r="E243" s="11"/>
      <c r="K243" s="15"/>
      <c r="L243" s="47"/>
      <c r="M243" s="76"/>
      <c r="N243" s="76"/>
      <c r="O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P243" s="77"/>
      <c r="Q243" s="32"/>
      <c r="R243" s="32"/>
      <c r="S243" s="32"/>
      <c r="T243" s="32"/>
    </row>
    <row r="244" spans="3:20" x14ac:dyDescent="0.3">
      <c r="C244" s="11"/>
      <c r="D244" s="32"/>
      <c r="E244" s="11"/>
      <c r="K244" s="15"/>
      <c r="L244" s="47"/>
      <c r="M244" s="76"/>
      <c r="N244" s="76"/>
      <c r="O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P244" s="77"/>
      <c r="Q244" s="32"/>
      <c r="R244" s="32"/>
      <c r="S244" s="32"/>
      <c r="T244" s="32"/>
    </row>
    <row r="245" spans="3:20" x14ac:dyDescent="0.3">
      <c r="C245" s="11"/>
      <c r="D245" s="32"/>
      <c r="E245" s="11"/>
      <c r="K245" s="15"/>
      <c r="L245" s="47"/>
      <c r="M245" s="76"/>
      <c r="N245" s="76"/>
      <c r="O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P245" s="77"/>
      <c r="Q245" s="32"/>
      <c r="R245" s="32"/>
      <c r="S245" s="32"/>
      <c r="T245" s="32"/>
    </row>
    <row r="246" spans="3:20" x14ac:dyDescent="0.3">
      <c r="C246" s="11"/>
      <c r="D246" s="32"/>
      <c r="E246" s="11"/>
      <c r="K246" s="15"/>
      <c r="L246" s="47"/>
      <c r="M246" s="76"/>
      <c r="N246" s="76"/>
      <c r="O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P246" s="77"/>
      <c r="Q246" s="32"/>
      <c r="R246" s="32"/>
      <c r="S246" s="32"/>
      <c r="T246" s="32"/>
    </row>
    <row r="247" spans="3:20" x14ac:dyDescent="0.3">
      <c r="C247" s="11"/>
      <c r="D247" s="32"/>
      <c r="E247" s="11"/>
      <c r="K247" s="15"/>
      <c r="L247" s="47"/>
      <c r="M247" s="76"/>
      <c r="N247" s="76"/>
      <c r="O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P247" s="77"/>
      <c r="Q247" s="32"/>
      <c r="R247" s="32"/>
      <c r="S247" s="32"/>
      <c r="T247" s="32"/>
    </row>
    <row r="248" spans="3:20" x14ac:dyDescent="0.3">
      <c r="C248" s="11"/>
      <c r="D248" s="32"/>
      <c r="E248" s="11"/>
      <c r="K248" s="15"/>
      <c r="L248" s="47"/>
      <c r="M248" s="76"/>
      <c r="N248" s="76"/>
      <c r="O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P248" s="77"/>
      <c r="Q248" s="32"/>
      <c r="R248" s="32"/>
      <c r="S248" s="32"/>
      <c r="T248" s="32"/>
    </row>
    <row r="249" spans="3:20" x14ac:dyDescent="0.3">
      <c r="C249" s="11"/>
      <c r="D249" s="32"/>
      <c r="E249" s="11"/>
      <c r="K249" s="15"/>
      <c r="L249" s="47"/>
      <c r="M249" s="76"/>
      <c r="N249" s="76"/>
      <c r="O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P249" s="77"/>
      <c r="Q249" s="32"/>
      <c r="R249" s="32"/>
      <c r="S249" s="32"/>
      <c r="T249" s="32"/>
    </row>
    <row r="250" spans="3:20" x14ac:dyDescent="0.3">
      <c r="C250" s="11"/>
      <c r="D250" s="32"/>
      <c r="E250" s="11"/>
      <c r="K250" s="15"/>
      <c r="L250" s="47"/>
      <c r="M250" s="76"/>
      <c r="N250" s="76"/>
      <c r="O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P250" s="77"/>
      <c r="Q250" s="32"/>
      <c r="R250" s="32"/>
      <c r="S250" s="32"/>
      <c r="T250" s="32"/>
    </row>
    <row r="251" spans="3:20" x14ac:dyDescent="0.3">
      <c r="C251" s="11"/>
      <c r="D251" s="32"/>
      <c r="E251" s="11"/>
      <c r="K251" s="15"/>
      <c r="L251" s="47"/>
      <c r="M251" s="76"/>
      <c r="N251" s="76"/>
      <c r="O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P251" s="77"/>
      <c r="Q251" s="32"/>
      <c r="R251" s="32"/>
      <c r="S251" s="32"/>
      <c r="T251" s="32"/>
    </row>
    <row r="252" spans="3:20" x14ac:dyDescent="0.3">
      <c r="C252" s="11"/>
      <c r="D252" s="32"/>
      <c r="E252" s="11"/>
      <c r="K252" s="15"/>
      <c r="L252" s="47"/>
      <c r="M252" s="76"/>
      <c r="N252" s="76"/>
      <c r="O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P252" s="77"/>
      <c r="Q252" s="32"/>
      <c r="R252" s="32"/>
      <c r="S252" s="32"/>
      <c r="T252" s="32"/>
    </row>
    <row r="253" spans="3:20" x14ac:dyDescent="0.3">
      <c r="C253" s="11"/>
      <c r="D253" s="32"/>
      <c r="E253" s="11"/>
      <c r="K253" s="15"/>
      <c r="L253" s="47"/>
      <c r="M253" s="76"/>
      <c r="N253" s="76"/>
      <c r="O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P253" s="77"/>
      <c r="Q253" s="32"/>
      <c r="R253" s="32"/>
      <c r="S253" s="32"/>
      <c r="T253" s="32"/>
    </row>
    <row r="254" spans="3:20" x14ac:dyDescent="0.3">
      <c r="C254" s="11"/>
      <c r="D254" s="32"/>
      <c r="E254" s="11"/>
      <c r="K254" s="15"/>
      <c r="L254" s="47"/>
      <c r="M254" s="76"/>
      <c r="N254" s="76"/>
      <c r="O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P254" s="77"/>
      <c r="Q254" s="32"/>
      <c r="R254" s="32"/>
      <c r="S254" s="32"/>
      <c r="T254" s="32"/>
    </row>
    <row r="255" spans="3:20" x14ac:dyDescent="0.3">
      <c r="C255" s="11"/>
      <c r="D255" s="32"/>
      <c r="E255" s="11"/>
      <c r="K255" s="15"/>
      <c r="L255" s="47"/>
      <c r="M255" s="76"/>
      <c r="N255" s="76"/>
      <c r="O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P255" s="77"/>
      <c r="Q255" s="32"/>
      <c r="R255" s="32"/>
      <c r="S255" s="32"/>
      <c r="T255" s="32"/>
    </row>
    <row r="256" spans="3:20" x14ac:dyDescent="0.3">
      <c r="C256" s="11"/>
      <c r="D256" s="32"/>
      <c r="E256" s="11"/>
      <c r="K256" s="15"/>
      <c r="L256" s="47"/>
      <c r="M256" s="76"/>
      <c r="N256" s="76"/>
      <c r="O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P256" s="77"/>
      <c r="Q256" s="32"/>
      <c r="R256" s="32"/>
      <c r="S256" s="32"/>
      <c r="T256" s="32"/>
    </row>
    <row r="257" spans="3:20" x14ac:dyDescent="0.3">
      <c r="C257" s="11"/>
      <c r="D257" s="32"/>
      <c r="E257" s="11"/>
      <c r="K257" s="15"/>
      <c r="L257" s="47"/>
      <c r="M257" s="76"/>
      <c r="N257" s="76"/>
      <c r="O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P257" s="77"/>
      <c r="Q257" s="32"/>
      <c r="R257" s="32"/>
      <c r="S257" s="32"/>
      <c r="T257" s="32"/>
    </row>
    <row r="258" spans="3:20" x14ac:dyDescent="0.3">
      <c r="C258" s="11"/>
      <c r="D258" s="32"/>
      <c r="E258" s="11"/>
      <c r="K258" s="15"/>
      <c r="L258" s="47"/>
      <c r="M258" s="76"/>
      <c r="N258" s="76"/>
      <c r="O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P258" s="77"/>
      <c r="Q258" s="32"/>
      <c r="R258" s="32"/>
      <c r="S258" s="32"/>
      <c r="T258" s="32"/>
    </row>
    <row r="259" spans="3:20" x14ac:dyDescent="0.3">
      <c r="C259" s="11"/>
      <c r="D259" s="32"/>
      <c r="E259" s="11"/>
      <c r="K259" s="15"/>
      <c r="L259" s="47"/>
      <c r="M259" s="76"/>
      <c r="N259" s="76"/>
      <c r="O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P259" s="77"/>
      <c r="Q259" s="32"/>
      <c r="R259" s="32"/>
      <c r="S259" s="32"/>
      <c r="T259" s="32"/>
    </row>
    <row r="260" spans="3:20" x14ac:dyDescent="0.3">
      <c r="C260" s="11"/>
      <c r="D260" s="32"/>
      <c r="E260" s="11"/>
      <c r="K260" s="15"/>
      <c r="L260" s="47"/>
      <c r="M260" s="76"/>
      <c r="N260" s="76"/>
      <c r="O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P260" s="77"/>
      <c r="Q260" s="32"/>
      <c r="R260" s="32"/>
      <c r="S260" s="32"/>
      <c r="T260" s="32"/>
    </row>
    <row r="261" spans="3:20" x14ac:dyDescent="0.3">
      <c r="C261" s="11"/>
      <c r="D261" s="32"/>
      <c r="E261" s="11"/>
      <c r="K261" s="15"/>
      <c r="L261" s="47"/>
      <c r="M261" s="76"/>
      <c r="N261" s="76"/>
      <c r="O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P261" s="77"/>
      <c r="Q261" s="32"/>
      <c r="R261" s="32"/>
      <c r="S261" s="32"/>
      <c r="T261" s="32"/>
    </row>
    <row r="262" spans="3:20" x14ac:dyDescent="0.3">
      <c r="C262" s="11"/>
      <c r="D262" s="32"/>
      <c r="E262" s="11"/>
      <c r="K262" s="15"/>
      <c r="L262" s="47"/>
      <c r="M262" s="76"/>
      <c r="N262" s="76"/>
      <c r="O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P262" s="77"/>
      <c r="Q262" s="32"/>
      <c r="R262" s="32"/>
      <c r="S262" s="32"/>
      <c r="T262" s="32"/>
    </row>
    <row r="263" spans="3:20" x14ac:dyDescent="0.3">
      <c r="C263" s="11"/>
      <c r="D263" s="32"/>
      <c r="E263" s="11"/>
      <c r="K263" s="15"/>
      <c r="L263" s="47"/>
      <c r="M263" s="76"/>
      <c r="N263" s="76"/>
      <c r="O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P263" s="77"/>
      <c r="Q263" s="32"/>
      <c r="R263" s="32"/>
      <c r="S263" s="32"/>
      <c r="T263" s="32"/>
    </row>
    <row r="264" spans="3:20" x14ac:dyDescent="0.3">
      <c r="C264" s="11"/>
      <c r="D264" s="32"/>
      <c r="E264" s="11"/>
      <c r="K264" s="15"/>
      <c r="L264" s="47"/>
      <c r="M264" s="76"/>
      <c r="N264" s="76"/>
      <c r="O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P264" s="77"/>
      <c r="Q264" s="32"/>
      <c r="R264" s="32"/>
      <c r="S264" s="32"/>
      <c r="T264" s="32"/>
    </row>
    <row r="265" spans="3:20" x14ac:dyDescent="0.3">
      <c r="C265" s="11"/>
      <c r="D265" s="32"/>
      <c r="E265" s="11"/>
      <c r="K265" s="15"/>
      <c r="L265" s="47"/>
      <c r="M265" s="76"/>
      <c r="N265" s="76"/>
      <c r="O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P265" s="77"/>
      <c r="Q265" s="32"/>
      <c r="R265" s="32"/>
      <c r="S265" s="32"/>
      <c r="T265" s="32"/>
    </row>
    <row r="266" spans="3:20" x14ac:dyDescent="0.3">
      <c r="C266" s="11"/>
      <c r="D266" s="32"/>
      <c r="E266" s="11"/>
      <c r="K266" s="15"/>
      <c r="L266" s="47"/>
      <c r="M266" s="76"/>
      <c r="N266" s="76"/>
      <c r="O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P266" s="77"/>
      <c r="Q266" s="32"/>
      <c r="R266" s="32"/>
      <c r="S266" s="32"/>
      <c r="T266" s="32"/>
    </row>
    <row r="267" spans="3:20" x14ac:dyDescent="0.3">
      <c r="C267" s="11"/>
      <c r="D267" s="32"/>
      <c r="E267" s="11"/>
      <c r="K267" s="15"/>
      <c r="L267" s="47"/>
      <c r="M267" s="76"/>
      <c r="N267" s="76"/>
      <c r="O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P267" s="77"/>
      <c r="Q267" s="32"/>
      <c r="R267" s="32"/>
      <c r="S267" s="32"/>
      <c r="T267" s="32"/>
    </row>
    <row r="268" spans="3:20" x14ac:dyDescent="0.3">
      <c r="C268" s="11"/>
      <c r="D268" s="32"/>
      <c r="E268" s="11"/>
      <c r="K268" s="15"/>
      <c r="L268" s="47"/>
      <c r="M268" s="76"/>
      <c r="N268" s="76"/>
      <c r="O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P268" s="77"/>
      <c r="Q268" s="32"/>
      <c r="R268" s="32"/>
      <c r="S268" s="32"/>
      <c r="T268" s="32"/>
    </row>
    <row r="269" spans="3:20" x14ac:dyDescent="0.3">
      <c r="C269" s="11"/>
      <c r="D269" s="32"/>
      <c r="E269" s="11"/>
      <c r="K269" s="15"/>
      <c r="L269" s="47"/>
      <c r="M269" s="76"/>
      <c r="N269" s="76"/>
      <c r="O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P269" s="77"/>
      <c r="Q269" s="32"/>
      <c r="R269" s="32"/>
      <c r="S269" s="32"/>
      <c r="T269" s="32"/>
    </row>
    <row r="270" spans="3:20" x14ac:dyDescent="0.3">
      <c r="C270" s="11"/>
      <c r="D270" s="32"/>
      <c r="E270" s="11"/>
      <c r="K270" s="15"/>
      <c r="L270" s="47"/>
      <c r="M270" s="76"/>
      <c r="N270" s="76"/>
      <c r="O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P270" s="77"/>
      <c r="Q270" s="32"/>
      <c r="R270" s="32"/>
      <c r="S270" s="32"/>
      <c r="T270" s="32"/>
    </row>
    <row r="271" spans="3:20" x14ac:dyDescent="0.3">
      <c r="C271" s="11"/>
      <c r="D271" s="32"/>
      <c r="E271" s="11"/>
      <c r="K271" s="15"/>
      <c r="L271" s="47"/>
      <c r="M271" s="76"/>
      <c r="N271" s="76"/>
      <c r="O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P271" s="77"/>
      <c r="Q271" s="32"/>
      <c r="R271" s="32"/>
      <c r="S271" s="32"/>
      <c r="T271" s="32"/>
    </row>
    <row r="272" spans="3:20" x14ac:dyDescent="0.3">
      <c r="C272" s="11"/>
      <c r="D272" s="32"/>
      <c r="E272" s="11"/>
      <c r="K272" s="15"/>
      <c r="L272" s="47"/>
      <c r="M272" s="76"/>
      <c r="N272" s="76"/>
      <c r="O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P272" s="77"/>
      <c r="Q272" s="32"/>
      <c r="R272" s="32"/>
      <c r="S272" s="32"/>
      <c r="T272" s="32"/>
    </row>
    <row r="273" spans="3:20" x14ac:dyDescent="0.3">
      <c r="C273" s="11"/>
      <c r="D273" s="32"/>
      <c r="E273" s="11"/>
      <c r="K273" s="15"/>
      <c r="L273" s="47"/>
      <c r="M273" s="76"/>
      <c r="N273" s="76"/>
      <c r="O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P273" s="77"/>
      <c r="Q273" s="32"/>
      <c r="R273" s="32"/>
      <c r="S273" s="32"/>
      <c r="T273" s="32"/>
    </row>
    <row r="274" spans="3:20" x14ac:dyDescent="0.3">
      <c r="C274" s="11"/>
      <c r="D274" s="32"/>
      <c r="E274" s="11"/>
      <c r="K274" s="15"/>
      <c r="L274" s="47"/>
      <c r="M274" s="76"/>
      <c r="N274" s="76"/>
      <c r="O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P274" s="77"/>
      <c r="Q274" s="32"/>
      <c r="R274" s="32"/>
      <c r="S274" s="32"/>
      <c r="T274" s="32"/>
    </row>
    <row r="275" spans="3:20" x14ac:dyDescent="0.3">
      <c r="C275" s="11"/>
      <c r="D275" s="32"/>
      <c r="E275" s="11"/>
      <c r="K275" s="15"/>
      <c r="L275" s="47"/>
      <c r="M275" s="76"/>
      <c r="N275" s="76"/>
      <c r="O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P275" s="77"/>
      <c r="Q275" s="32"/>
      <c r="R275" s="32"/>
      <c r="S275" s="32"/>
      <c r="T275" s="32"/>
    </row>
    <row r="276" spans="3:20" x14ac:dyDescent="0.3">
      <c r="C276" s="11"/>
      <c r="D276" s="32"/>
      <c r="E276" s="11"/>
      <c r="K276" s="15"/>
      <c r="L276" s="47"/>
      <c r="M276" s="76"/>
      <c r="N276" s="76"/>
      <c r="O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P276" s="77"/>
      <c r="Q276" s="32"/>
      <c r="R276" s="32"/>
      <c r="S276" s="32"/>
      <c r="T276" s="32"/>
    </row>
    <row r="277" spans="3:20" x14ac:dyDescent="0.3">
      <c r="C277" s="11"/>
      <c r="D277" s="32"/>
      <c r="E277" s="11"/>
      <c r="K277" s="15"/>
      <c r="L277" s="47"/>
      <c r="M277" s="76"/>
      <c r="N277" s="76"/>
      <c r="O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P277" s="77"/>
      <c r="Q277" s="32"/>
      <c r="R277" s="32"/>
      <c r="S277" s="32"/>
      <c r="T277" s="32"/>
    </row>
    <row r="278" spans="3:20" x14ac:dyDescent="0.3">
      <c r="C278" s="11"/>
      <c r="D278" s="32"/>
      <c r="E278" s="11"/>
      <c r="K278" s="15"/>
      <c r="L278" s="47"/>
      <c r="M278" s="76"/>
      <c r="N278" s="76"/>
      <c r="O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P278" s="77"/>
      <c r="Q278" s="32"/>
      <c r="R278" s="32"/>
      <c r="S278" s="32"/>
      <c r="T278" s="32"/>
    </row>
    <row r="279" spans="3:20" x14ac:dyDescent="0.3">
      <c r="C279" s="11"/>
      <c r="D279" s="32"/>
      <c r="E279" s="11"/>
      <c r="K279" s="15"/>
      <c r="L279" s="47"/>
      <c r="M279" s="76"/>
      <c r="N279" s="76"/>
      <c r="O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P279" s="77"/>
      <c r="Q279" s="32"/>
      <c r="R279" s="32"/>
      <c r="S279" s="32"/>
      <c r="T279" s="32"/>
    </row>
    <row r="280" spans="3:20" x14ac:dyDescent="0.3">
      <c r="C280" s="11"/>
      <c r="D280" s="32"/>
      <c r="E280" s="11"/>
      <c r="K280" s="15"/>
      <c r="L280" s="47"/>
      <c r="M280" s="76"/>
      <c r="N280" s="76"/>
      <c r="O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P280" s="77"/>
      <c r="Q280" s="32"/>
      <c r="R280" s="32"/>
      <c r="S280" s="32"/>
      <c r="T280" s="32"/>
    </row>
    <row r="281" spans="3:20" x14ac:dyDescent="0.3">
      <c r="C281" s="11"/>
      <c r="D281" s="32"/>
      <c r="E281" s="11"/>
      <c r="K281" s="15"/>
      <c r="L281" s="47"/>
      <c r="M281" s="76"/>
      <c r="N281" s="76"/>
      <c r="O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P281" s="77"/>
      <c r="Q281" s="32"/>
      <c r="R281" s="32"/>
      <c r="S281" s="32"/>
      <c r="T281" s="32"/>
    </row>
    <row r="282" spans="3:20" x14ac:dyDescent="0.3">
      <c r="C282" s="11"/>
      <c r="D282" s="32"/>
      <c r="E282" s="11"/>
      <c r="K282" s="15"/>
      <c r="L282" s="47"/>
      <c r="M282" s="76"/>
      <c r="N282" s="76"/>
      <c r="O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P282" s="77"/>
      <c r="Q282" s="32"/>
      <c r="R282" s="32"/>
      <c r="S282" s="32"/>
      <c r="T282" s="32"/>
    </row>
    <row r="283" spans="3:20" x14ac:dyDescent="0.3">
      <c r="C283" s="11"/>
      <c r="D283" s="32"/>
      <c r="E283" s="11"/>
      <c r="K283" s="15"/>
      <c r="L283" s="47"/>
      <c r="M283" s="76"/>
      <c r="N283" s="76"/>
      <c r="O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P283" s="77"/>
      <c r="Q283" s="32"/>
      <c r="R283" s="32"/>
      <c r="S283" s="32"/>
      <c r="T283" s="32"/>
    </row>
    <row r="284" spans="3:20" x14ac:dyDescent="0.3">
      <c r="C284" s="11"/>
      <c r="D284" s="32"/>
      <c r="E284" s="11"/>
      <c r="K284" s="15"/>
      <c r="L284" s="47"/>
      <c r="M284" s="76"/>
      <c r="N284" s="76"/>
      <c r="O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P284" s="77"/>
      <c r="Q284" s="32"/>
      <c r="R284" s="32"/>
      <c r="S284" s="32"/>
      <c r="T284" s="32"/>
    </row>
    <row r="285" spans="3:20" x14ac:dyDescent="0.3">
      <c r="C285" s="11"/>
      <c r="D285" s="32"/>
      <c r="E285" s="11"/>
      <c r="K285" s="15"/>
      <c r="L285" s="47"/>
      <c r="M285" s="76"/>
      <c r="N285" s="76"/>
      <c r="O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P285" s="77"/>
      <c r="Q285" s="32"/>
      <c r="R285" s="32"/>
      <c r="S285" s="32"/>
      <c r="T285" s="32"/>
    </row>
    <row r="286" spans="3:20" x14ac:dyDescent="0.3">
      <c r="C286" s="11"/>
      <c r="D286" s="32"/>
      <c r="E286" s="11"/>
      <c r="K286" s="15"/>
      <c r="L286" s="47"/>
      <c r="M286" s="76"/>
      <c r="N286" s="76"/>
      <c r="O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P286" s="77"/>
      <c r="Q286" s="32"/>
      <c r="R286" s="32"/>
      <c r="S286" s="32"/>
      <c r="T286" s="32"/>
    </row>
    <row r="287" spans="3:20" x14ac:dyDescent="0.3">
      <c r="C287" s="11"/>
      <c r="D287" s="32"/>
      <c r="E287" s="11"/>
      <c r="K287" s="15"/>
      <c r="L287" s="47"/>
      <c r="M287" s="76"/>
      <c r="N287" s="76"/>
      <c r="O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P287" s="77"/>
      <c r="Q287" s="32"/>
      <c r="R287" s="32"/>
      <c r="S287" s="32"/>
      <c r="T287" s="32"/>
    </row>
    <row r="288" spans="3:20" x14ac:dyDescent="0.3">
      <c r="C288" s="11"/>
      <c r="D288" s="32"/>
      <c r="E288" s="11"/>
      <c r="K288" s="15"/>
      <c r="L288" s="47"/>
      <c r="M288" s="76"/>
      <c r="N288" s="76"/>
      <c r="O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P288" s="77"/>
      <c r="Q288" s="32"/>
      <c r="R288" s="32"/>
      <c r="S288" s="32"/>
      <c r="T288" s="32"/>
    </row>
    <row r="289" spans="3:20" x14ac:dyDescent="0.3">
      <c r="C289" s="11"/>
      <c r="D289" s="32"/>
      <c r="E289" s="11"/>
      <c r="K289" s="15"/>
      <c r="L289" s="47"/>
      <c r="M289" s="76"/>
      <c r="N289" s="76"/>
      <c r="O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P289" s="77"/>
      <c r="Q289" s="32"/>
      <c r="R289" s="32"/>
      <c r="S289" s="32"/>
      <c r="T289" s="32"/>
    </row>
    <row r="290" spans="3:20" x14ac:dyDescent="0.3">
      <c r="C290" s="11"/>
      <c r="D290" s="32"/>
      <c r="E290" s="11"/>
      <c r="K290" s="15"/>
      <c r="L290" s="47"/>
      <c r="M290" s="76"/>
      <c r="N290" s="76"/>
      <c r="O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P290" s="77"/>
      <c r="Q290" s="32"/>
      <c r="R290" s="32"/>
      <c r="S290" s="32"/>
      <c r="T290" s="32"/>
    </row>
    <row r="291" spans="3:20" x14ac:dyDescent="0.3">
      <c r="C291" s="11"/>
      <c r="D291" s="32"/>
      <c r="E291" s="11"/>
      <c r="K291" s="15"/>
      <c r="L291" s="47"/>
      <c r="M291" s="76"/>
      <c r="N291" s="76"/>
      <c r="O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P291" s="77"/>
      <c r="Q291" s="32"/>
      <c r="R291" s="32"/>
      <c r="S291" s="32"/>
      <c r="T291" s="32"/>
    </row>
    <row r="292" spans="3:20" x14ac:dyDescent="0.3">
      <c r="C292" s="11"/>
      <c r="D292" s="32"/>
      <c r="E292" s="11"/>
      <c r="K292" s="15"/>
      <c r="L292" s="47"/>
      <c r="M292" s="76"/>
      <c r="N292" s="76"/>
      <c r="O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P292" s="77"/>
      <c r="Q292" s="32"/>
      <c r="R292" s="32"/>
      <c r="S292" s="32"/>
      <c r="T292" s="32"/>
    </row>
    <row r="293" spans="3:20" x14ac:dyDescent="0.3">
      <c r="C293" s="11"/>
      <c r="D293" s="32"/>
      <c r="E293" s="11"/>
      <c r="K293" s="15"/>
      <c r="L293" s="47"/>
      <c r="M293" s="76"/>
      <c r="N293" s="76"/>
      <c r="O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P293" s="77"/>
      <c r="Q293" s="32"/>
      <c r="R293" s="32"/>
      <c r="S293" s="32"/>
      <c r="T293" s="32"/>
    </row>
    <row r="294" spans="3:20" x14ac:dyDescent="0.3">
      <c r="C294" s="11"/>
      <c r="D294" s="32"/>
      <c r="E294" s="11"/>
      <c r="K294" s="15"/>
      <c r="L294" s="47"/>
      <c r="M294" s="76"/>
      <c r="N294" s="76"/>
      <c r="O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P294" s="77"/>
      <c r="Q294" s="32"/>
      <c r="R294" s="32"/>
      <c r="S294" s="32"/>
      <c r="T294" s="32"/>
    </row>
    <row r="295" spans="3:20" x14ac:dyDescent="0.3">
      <c r="C295" s="11"/>
      <c r="D295" s="32"/>
      <c r="E295" s="11"/>
      <c r="K295" s="15"/>
      <c r="L295" s="47"/>
      <c r="M295" s="76"/>
      <c r="N295" s="76"/>
      <c r="O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P295" s="77"/>
      <c r="Q295" s="32"/>
      <c r="R295" s="32"/>
      <c r="S295" s="32"/>
      <c r="T295" s="32"/>
    </row>
    <row r="296" spans="3:20" x14ac:dyDescent="0.3">
      <c r="C296" s="11"/>
      <c r="D296" s="32"/>
      <c r="E296" s="11"/>
      <c r="K296" s="15"/>
      <c r="L296" s="47"/>
      <c r="M296" s="76"/>
      <c r="N296" s="76"/>
      <c r="O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P296" s="77"/>
      <c r="Q296" s="32"/>
      <c r="R296" s="32"/>
      <c r="S296" s="32"/>
      <c r="T296" s="32"/>
    </row>
    <row r="297" spans="3:20" x14ac:dyDescent="0.3">
      <c r="C297" s="11"/>
      <c r="D297" s="32"/>
      <c r="E297" s="11"/>
      <c r="K297" s="15"/>
      <c r="L297" s="47"/>
      <c r="M297" s="76"/>
      <c r="N297" s="76"/>
      <c r="O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P297" s="77"/>
      <c r="Q297" s="32"/>
      <c r="R297" s="32"/>
      <c r="S297" s="32"/>
      <c r="T297" s="32"/>
    </row>
    <row r="298" spans="3:20" x14ac:dyDescent="0.3">
      <c r="C298" s="11"/>
      <c r="D298" s="32"/>
      <c r="E298" s="11"/>
      <c r="K298" s="15"/>
      <c r="L298" s="47"/>
      <c r="M298" s="76"/>
      <c r="N298" s="76"/>
      <c r="O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P298" s="77"/>
      <c r="Q298" s="32"/>
      <c r="R298" s="32"/>
      <c r="S298" s="32"/>
      <c r="T298" s="32"/>
    </row>
    <row r="299" spans="3:20" x14ac:dyDescent="0.3">
      <c r="C299" s="11"/>
      <c r="D299" s="32"/>
      <c r="E299" s="11"/>
      <c r="K299" s="15"/>
      <c r="L299" s="47"/>
      <c r="M299" s="76"/>
      <c r="N299" s="76"/>
      <c r="O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P299" s="77"/>
      <c r="Q299" s="32"/>
      <c r="R299" s="32"/>
      <c r="S299" s="32"/>
      <c r="T299" s="32"/>
    </row>
    <row r="300" spans="3:20" x14ac:dyDescent="0.3">
      <c r="C300" s="11"/>
      <c r="D300" s="32"/>
      <c r="E300" s="11"/>
      <c r="K300" s="15"/>
      <c r="L300" s="47"/>
      <c r="M300" s="76"/>
      <c r="N300" s="76"/>
      <c r="O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P300" s="77"/>
      <c r="Q300" s="32"/>
      <c r="R300" s="32"/>
      <c r="S300" s="32"/>
      <c r="T300" s="32"/>
    </row>
    <row r="301" spans="3:20" x14ac:dyDescent="0.3">
      <c r="C301" s="11"/>
      <c r="D301" s="32"/>
      <c r="E301" s="11"/>
      <c r="K301" s="15"/>
      <c r="L301" s="47"/>
      <c r="M301" s="76"/>
      <c r="N301" s="76"/>
      <c r="O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P301" s="77"/>
      <c r="Q301" s="32"/>
      <c r="R301" s="32"/>
      <c r="S301" s="32"/>
      <c r="T301" s="32"/>
    </row>
    <row r="302" spans="3:20" x14ac:dyDescent="0.3">
      <c r="C302" s="11"/>
      <c r="D302" s="32"/>
      <c r="E302" s="11"/>
      <c r="K302" s="15"/>
      <c r="L302" s="47"/>
      <c r="M302" s="76"/>
      <c r="N302" s="76"/>
      <c r="O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P302" s="77"/>
      <c r="Q302" s="32"/>
      <c r="R302" s="32"/>
      <c r="S302" s="32"/>
      <c r="T302" s="32"/>
    </row>
    <row r="303" spans="3:20" x14ac:dyDescent="0.3">
      <c r="C303" s="11"/>
      <c r="D303" s="32"/>
      <c r="E303" s="11"/>
      <c r="K303" s="15"/>
      <c r="L303" s="47"/>
      <c r="M303" s="76"/>
      <c r="N303" s="76"/>
      <c r="O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P303" s="77"/>
      <c r="Q303" s="32"/>
      <c r="R303" s="32"/>
      <c r="S303" s="32"/>
      <c r="T303" s="32"/>
    </row>
    <row r="304" spans="3:20" x14ac:dyDescent="0.3">
      <c r="C304" s="11"/>
      <c r="D304" s="32"/>
      <c r="E304" s="11"/>
      <c r="K304" s="15"/>
      <c r="L304" s="47"/>
      <c r="M304" s="76"/>
      <c r="N304" s="76"/>
      <c r="O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P304" s="77"/>
      <c r="Q304" s="32"/>
      <c r="R304" s="32"/>
      <c r="S304" s="32"/>
      <c r="T304" s="32"/>
    </row>
    <row r="305" spans="3:20" x14ac:dyDescent="0.3">
      <c r="C305" s="11"/>
      <c r="D305" s="32"/>
      <c r="E305" s="11"/>
      <c r="K305" s="15"/>
      <c r="L305" s="47"/>
      <c r="M305" s="76"/>
      <c r="N305" s="76"/>
      <c r="O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P305" s="77"/>
      <c r="Q305" s="32"/>
      <c r="R305" s="32"/>
      <c r="S305" s="32"/>
      <c r="T305" s="32"/>
    </row>
    <row r="306" spans="3:20" x14ac:dyDescent="0.3">
      <c r="C306" s="11"/>
      <c r="D306" s="32"/>
      <c r="E306" s="11"/>
      <c r="K306" s="15"/>
      <c r="L306" s="47"/>
      <c r="M306" s="76"/>
      <c r="N306" s="76"/>
      <c r="O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P306" s="77"/>
      <c r="Q306" s="32"/>
      <c r="R306" s="32"/>
      <c r="S306" s="32"/>
      <c r="T306" s="32"/>
    </row>
    <row r="307" spans="3:20" x14ac:dyDescent="0.3">
      <c r="C307" s="11"/>
      <c r="D307" s="32"/>
      <c r="E307" s="11"/>
      <c r="K307" s="15"/>
      <c r="L307" s="47"/>
      <c r="M307" s="76"/>
      <c r="N307" s="76"/>
      <c r="O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P307" s="77"/>
      <c r="Q307" s="32"/>
      <c r="R307" s="32"/>
      <c r="S307" s="32"/>
      <c r="T307" s="32"/>
    </row>
    <row r="308" spans="3:20" x14ac:dyDescent="0.3">
      <c r="C308" s="11"/>
      <c r="D308" s="32"/>
      <c r="E308" s="11"/>
      <c r="K308" s="15"/>
      <c r="L308" s="47"/>
      <c r="M308" s="76"/>
      <c r="N308" s="76"/>
      <c r="O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P308" s="77"/>
      <c r="Q308" s="32"/>
      <c r="R308" s="32"/>
      <c r="S308" s="32"/>
      <c r="T308" s="32"/>
    </row>
    <row r="309" spans="3:20" x14ac:dyDescent="0.3">
      <c r="C309" s="11"/>
      <c r="D309" s="32"/>
      <c r="E309" s="11"/>
      <c r="K309" s="15"/>
      <c r="L309" s="47"/>
      <c r="M309" s="76"/>
      <c r="N309" s="76"/>
      <c r="O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P309" s="77"/>
      <c r="Q309" s="32"/>
      <c r="R309" s="32"/>
      <c r="S309" s="32"/>
      <c r="T309" s="32"/>
    </row>
    <row r="310" spans="3:20" x14ac:dyDescent="0.3">
      <c r="C310" s="11"/>
      <c r="D310" s="32"/>
      <c r="E310" s="11"/>
      <c r="K310" s="15"/>
      <c r="L310" s="47"/>
      <c r="M310" s="76"/>
      <c r="N310" s="76"/>
      <c r="O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P310" s="77"/>
      <c r="Q310" s="32"/>
      <c r="R310" s="32"/>
      <c r="S310" s="32"/>
      <c r="T310" s="32"/>
    </row>
    <row r="311" spans="3:20" x14ac:dyDescent="0.3">
      <c r="C311" s="11"/>
      <c r="D311" s="32"/>
      <c r="E311" s="11"/>
      <c r="K311" s="15"/>
      <c r="L311" s="47"/>
      <c r="M311" s="76"/>
      <c r="N311" s="76"/>
      <c r="O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P311" s="77"/>
      <c r="Q311" s="32"/>
      <c r="R311" s="32"/>
      <c r="S311" s="32"/>
      <c r="T311" s="32"/>
    </row>
    <row r="312" spans="3:20" x14ac:dyDescent="0.3">
      <c r="C312" s="11"/>
      <c r="D312" s="32"/>
      <c r="E312" s="11"/>
      <c r="K312" s="15"/>
      <c r="L312" s="47"/>
      <c r="M312" s="76"/>
      <c r="N312" s="76"/>
      <c r="O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P312" s="77"/>
      <c r="Q312" s="32"/>
      <c r="R312" s="32"/>
      <c r="S312" s="32"/>
      <c r="T312" s="32"/>
    </row>
    <row r="313" spans="3:20" x14ac:dyDescent="0.3">
      <c r="C313" s="11"/>
      <c r="D313" s="32"/>
      <c r="E313" s="11"/>
      <c r="K313" s="15"/>
      <c r="L313" s="47"/>
      <c r="M313" s="76"/>
      <c r="N313" s="76"/>
      <c r="O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P313" s="77"/>
      <c r="Q313" s="32"/>
      <c r="R313" s="32"/>
      <c r="S313" s="32"/>
      <c r="T313" s="32"/>
    </row>
    <row r="314" spans="3:20" x14ac:dyDescent="0.3">
      <c r="C314" s="11"/>
      <c r="D314" s="32"/>
      <c r="E314" s="11"/>
      <c r="K314" s="15"/>
      <c r="L314" s="47"/>
      <c r="M314" s="76"/>
      <c r="N314" s="76"/>
      <c r="O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P314" s="77"/>
      <c r="Q314" s="32"/>
      <c r="R314" s="32"/>
      <c r="S314" s="32"/>
      <c r="T314" s="32"/>
    </row>
    <row r="315" spans="3:20" x14ac:dyDescent="0.3">
      <c r="C315" s="11"/>
      <c r="D315" s="32"/>
      <c r="E315" s="11"/>
      <c r="K315" s="15"/>
      <c r="L315" s="47"/>
      <c r="M315" s="76"/>
      <c r="N315" s="76"/>
      <c r="O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P315" s="77"/>
      <c r="Q315" s="32"/>
      <c r="R315" s="32"/>
      <c r="S315" s="32"/>
      <c r="T315" s="32"/>
    </row>
    <row r="316" spans="3:20" x14ac:dyDescent="0.3">
      <c r="C316" s="11"/>
      <c r="D316" s="32"/>
      <c r="E316" s="11"/>
      <c r="K316" s="15"/>
      <c r="L316" s="47"/>
      <c r="M316" s="76"/>
      <c r="N316" s="76"/>
      <c r="O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P316" s="77"/>
      <c r="Q316" s="32"/>
      <c r="R316" s="32"/>
      <c r="S316" s="32"/>
      <c r="T316" s="32"/>
    </row>
    <row r="317" spans="3:20" x14ac:dyDescent="0.3">
      <c r="C317" s="11"/>
      <c r="D317" s="32"/>
      <c r="E317" s="11"/>
      <c r="K317" s="15"/>
      <c r="L317" s="47"/>
      <c r="M317" s="76"/>
      <c r="N317" s="76"/>
      <c r="O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P317" s="77"/>
      <c r="Q317" s="32"/>
      <c r="R317" s="32"/>
      <c r="S317" s="32"/>
      <c r="T317" s="32"/>
    </row>
    <row r="318" spans="3:20" x14ac:dyDescent="0.3">
      <c r="C318" s="11"/>
      <c r="D318" s="32"/>
      <c r="E318" s="11"/>
      <c r="K318" s="15"/>
      <c r="L318" s="47"/>
      <c r="M318" s="76"/>
      <c r="N318" s="76"/>
      <c r="O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P318" s="77"/>
      <c r="Q318" s="32"/>
      <c r="R318" s="32"/>
      <c r="S318" s="32"/>
      <c r="T318" s="32"/>
    </row>
    <row r="319" spans="3:20" x14ac:dyDescent="0.3">
      <c r="C319" s="11"/>
      <c r="D319" s="32"/>
      <c r="E319" s="11"/>
      <c r="K319" s="15"/>
      <c r="L319" s="47"/>
      <c r="M319" s="76"/>
      <c r="N319" s="76"/>
      <c r="O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P319" s="77"/>
      <c r="Q319" s="32"/>
      <c r="R319" s="32"/>
      <c r="S319" s="32"/>
      <c r="T319" s="32"/>
    </row>
    <row r="320" spans="3:20" x14ac:dyDescent="0.3">
      <c r="C320" s="11"/>
      <c r="D320" s="32"/>
      <c r="E320" s="11"/>
      <c r="K320" s="15"/>
      <c r="L320" s="47"/>
      <c r="M320" s="76"/>
      <c r="N320" s="76"/>
      <c r="O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P320" s="77"/>
      <c r="Q320" s="32"/>
      <c r="R320" s="32"/>
      <c r="S320" s="32"/>
      <c r="T320" s="32"/>
    </row>
    <row r="321" spans="3:20" x14ac:dyDescent="0.3">
      <c r="C321" s="11"/>
      <c r="D321" s="32"/>
      <c r="E321" s="11"/>
      <c r="K321" s="15"/>
      <c r="L321" s="47"/>
      <c r="M321" s="76"/>
      <c r="N321" s="76"/>
      <c r="O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P321" s="77"/>
      <c r="Q321" s="32"/>
      <c r="R321" s="32"/>
      <c r="S321" s="32"/>
      <c r="T321" s="32"/>
    </row>
    <row r="322" spans="3:20" x14ac:dyDescent="0.3">
      <c r="C322" s="11"/>
      <c r="D322" s="32"/>
      <c r="E322" s="11"/>
      <c r="K322" s="15"/>
      <c r="L322" s="47"/>
      <c r="M322" s="76"/>
      <c r="N322" s="76"/>
      <c r="O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P322" s="77"/>
      <c r="Q322" s="32"/>
      <c r="R322" s="32"/>
      <c r="S322" s="32"/>
      <c r="T322" s="32"/>
    </row>
    <row r="323" spans="3:20" x14ac:dyDescent="0.3">
      <c r="C323" s="11"/>
      <c r="D323" s="32"/>
      <c r="E323" s="11"/>
      <c r="K323" s="15"/>
      <c r="L323" s="47"/>
      <c r="M323" s="76"/>
      <c r="N323" s="76"/>
      <c r="O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P323" s="77"/>
      <c r="Q323" s="32"/>
      <c r="R323" s="32"/>
      <c r="S323" s="32"/>
      <c r="T323" s="32"/>
    </row>
    <row r="324" spans="3:20" x14ac:dyDescent="0.3">
      <c r="C324" s="11"/>
      <c r="D324" s="32"/>
      <c r="E324" s="11"/>
      <c r="K324" s="15"/>
      <c r="L324" s="47"/>
      <c r="M324" s="76"/>
      <c r="N324" s="76"/>
      <c r="O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P324" s="77"/>
      <c r="Q324" s="32"/>
      <c r="R324" s="32"/>
      <c r="S324" s="32"/>
      <c r="T324" s="32"/>
    </row>
    <row r="325" spans="3:20" x14ac:dyDescent="0.3">
      <c r="C325" s="11"/>
      <c r="D325" s="32"/>
      <c r="E325" s="11"/>
      <c r="K325" s="15"/>
      <c r="L325" s="47"/>
      <c r="M325" s="76"/>
      <c r="N325" s="76"/>
      <c r="O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P325" s="77"/>
      <c r="Q325" s="32"/>
      <c r="R325" s="32"/>
      <c r="S325" s="32"/>
      <c r="T325" s="32"/>
    </row>
    <row r="326" spans="3:20" x14ac:dyDescent="0.3">
      <c r="C326" s="11"/>
      <c r="D326" s="32"/>
      <c r="E326" s="11"/>
      <c r="K326" s="15"/>
      <c r="L326" s="47"/>
      <c r="M326" s="76"/>
      <c r="N326" s="76"/>
      <c r="O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P326" s="77"/>
      <c r="Q326" s="32"/>
      <c r="R326" s="32"/>
      <c r="S326" s="32"/>
      <c r="T326" s="32"/>
    </row>
    <row r="327" spans="3:20" x14ac:dyDescent="0.3">
      <c r="C327" s="11"/>
      <c r="D327" s="32"/>
      <c r="E327" s="11"/>
      <c r="K327" s="15"/>
      <c r="L327" s="47"/>
      <c r="M327" s="76"/>
      <c r="N327" s="76"/>
      <c r="O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P327" s="77"/>
      <c r="Q327" s="32"/>
      <c r="R327" s="32"/>
      <c r="S327" s="32"/>
      <c r="T327" s="32"/>
    </row>
    <row r="328" spans="3:20" x14ac:dyDescent="0.3">
      <c r="C328" s="11"/>
      <c r="D328" s="32"/>
      <c r="E328" s="11"/>
      <c r="K328" s="15"/>
      <c r="L328" s="47"/>
      <c r="M328" s="76"/>
      <c r="N328" s="76"/>
      <c r="O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P328" s="77"/>
      <c r="Q328" s="32"/>
      <c r="R328" s="32"/>
      <c r="S328" s="32"/>
      <c r="T328" s="32"/>
    </row>
    <row r="329" spans="3:20" x14ac:dyDescent="0.3">
      <c r="C329" s="11"/>
      <c r="D329" s="32"/>
      <c r="E329" s="11"/>
      <c r="K329" s="15"/>
      <c r="L329" s="47"/>
      <c r="M329" s="76"/>
      <c r="N329" s="76"/>
      <c r="O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P329" s="77"/>
      <c r="Q329" s="32"/>
      <c r="R329" s="32"/>
      <c r="S329" s="32"/>
      <c r="T329" s="32"/>
    </row>
    <row r="330" spans="3:20" x14ac:dyDescent="0.3">
      <c r="C330" s="11"/>
      <c r="D330" s="32"/>
      <c r="E330" s="11"/>
      <c r="K330" s="15"/>
      <c r="L330" s="47"/>
      <c r="M330" s="76"/>
      <c r="N330" s="76"/>
      <c r="O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P330" s="77"/>
      <c r="Q330" s="32"/>
      <c r="R330" s="32"/>
      <c r="S330" s="32"/>
      <c r="T330" s="32"/>
    </row>
    <row r="331" spans="3:20" x14ac:dyDescent="0.3">
      <c r="C331" s="11"/>
      <c r="D331" s="32"/>
      <c r="E331" s="11"/>
      <c r="K331" s="15"/>
      <c r="L331" s="47"/>
      <c r="M331" s="76"/>
      <c r="N331" s="76"/>
      <c r="O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P331" s="77"/>
      <c r="Q331" s="32"/>
      <c r="R331" s="32"/>
      <c r="S331" s="32"/>
      <c r="T331" s="32"/>
    </row>
    <row r="332" spans="3:20" x14ac:dyDescent="0.3">
      <c r="C332" s="11"/>
      <c r="D332" s="32"/>
      <c r="E332" s="11"/>
      <c r="K332" s="15"/>
      <c r="L332" s="47"/>
      <c r="M332" s="76"/>
      <c r="N332" s="76"/>
      <c r="O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P332" s="77"/>
      <c r="Q332" s="32"/>
      <c r="R332" s="32"/>
      <c r="S332" s="32"/>
      <c r="T332" s="32"/>
    </row>
    <row r="333" spans="3:20" x14ac:dyDescent="0.3">
      <c r="C333" s="11"/>
      <c r="D333" s="32"/>
      <c r="E333" s="11"/>
      <c r="K333" s="15"/>
      <c r="L333" s="47"/>
      <c r="M333" s="76"/>
      <c r="N333" s="76"/>
      <c r="O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P333" s="77"/>
      <c r="Q333" s="32"/>
      <c r="R333" s="32"/>
      <c r="S333" s="32"/>
      <c r="T333" s="32"/>
    </row>
    <row r="334" spans="3:20" x14ac:dyDescent="0.3">
      <c r="C334" s="11"/>
      <c r="D334" s="32"/>
      <c r="E334" s="11"/>
      <c r="K334" s="15"/>
      <c r="L334" s="47"/>
      <c r="M334" s="76"/>
      <c r="N334" s="76"/>
      <c r="O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P334" s="77"/>
      <c r="Q334" s="32"/>
      <c r="R334" s="32"/>
      <c r="S334" s="32"/>
      <c r="T334" s="32"/>
    </row>
    <row r="335" spans="3:20" x14ac:dyDescent="0.3">
      <c r="C335" s="11"/>
      <c r="D335" s="32"/>
      <c r="E335" s="11"/>
      <c r="K335" s="15"/>
      <c r="L335" s="47"/>
      <c r="M335" s="76"/>
      <c r="N335" s="76"/>
      <c r="O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P335" s="77"/>
      <c r="Q335" s="32"/>
      <c r="R335" s="32"/>
      <c r="S335" s="32"/>
      <c r="T335" s="32"/>
    </row>
    <row r="336" spans="3:20" x14ac:dyDescent="0.3">
      <c r="C336" s="11"/>
      <c r="D336" s="32"/>
      <c r="E336" s="11"/>
      <c r="K336" s="15"/>
      <c r="L336" s="47"/>
      <c r="M336" s="76"/>
      <c r="N336" s="76"/>
      <c r="O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P336" s="77"/>
      <c r="Q336" s="32"/>
      <c r="R336" s="32"/>
      <c r="S336" s="32"/>
      <c r="T336" s="32"/>
    </row>
    <row r="337" spans="3:20" x14ac:dyDescent="0.3">
      <c r="C337" s="11"/>
      <c r="D337" s="32"/>
      <c r="E337" s="11"/>
      <c r="K337" s="15"/>
      <c r="L337" s="47"/>
      <c r="M337" s="76"/>
      <c r="N337" s="76"/>
      <c r="O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P337" s="77"/>
      <c r="Q337" s="32"/>
      <c r="R337" s="32"/>
      <c r="S337" s="32"/>
      <c r="T337" s="32"/>
    </row>
    <row r="338" spans="3:20" x14ac:dyDescent="0.3">
      <c r="C338" s="11"/>
      <c r="D338" s="32"/>
      <c r="E338" s="11"/>
      <c r="K338" s="15"/>
      <c r="L338" s="47"/>
      <c r="M338" s="76"/>
      <c r="N338" s="76"/>
      <c r="O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P338" s="77"/>
      <c r="Q338" s="32"/>
      <c r="R338" s="32"/>
      <c r="S338" s="32"/>
      <c r="T338" s="32"/>
    </row>
    <row r="339" spans="3:20" x14ac:dyDescent="0.3">
      <c r="C339" s="11"/>
      <c r="D339" s="32"/>
      <c r="E339" s="11"/>
      <c r="K339" s="15"/>
      <c r="L339" s="47"/>
      <c r="M339" s="76"/>
      <c r="N339" s="76"/>
      <c r="O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P339" s="77"/>
      <c r="Q339" s="32"/>
      <c r="R339" s="32"/>
      <c r="S339" s="32"/>
      <c r="T339" s="32"/>
    </row>
    <row r="340" spans="3:20" x14ac:dyDescent="0.3">
      <c r="C340" s="11"/>
      <c r="D340" s="32"/>
      <c r="E340" s="11"/>
      <c r="K340" s="15"/>
      <c r="L340" s="47"/>
      <c r="M340" s="76"/>
      <c r="N340" s="76"/>
      <c r="O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P340" s="77"/>
      <c r="Q340" s="32"/>
      <c r="R340" s="32"/>
      <c r="S340" s="32"/>
      <c r="T340" s="32"/>
    </row>
    <row r="341" spans="3:20" x14ac:dyDescent="0.3">
      <c r="C341" s="11"/>
      <c r="D341" s="32"/>
      <c r="E341" s="11"/>
      <c r="K341" s="15"/>
      <c r="L341" s="47"/>
      <c r="M341" s="76"/>
      <c r="N341" s="76"/>
      <c r="O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P341" s="77"/>
      <c r="Q341" s="32"/>
      <c r="R341" s="32"/>
      <c r="S341" s="32"/>
      <c r="T341" s="32"/>
    </row>
    <row r="342" spans="3:20" x14ac:dyDescent="0.3">
      <c r="C342" s="11"/>
      <c r="D342" s="32"/>
      <c r="E342" s="11"/>
      <c r="K342" s="15"/>
      <c r="L342" s="47"/>
      <c r="M342" s="76"/>
      <c r="N342" s="76"/>
      <c r="O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P342" s="77"/>
      <c r="Q342" s="32"/>
      <c r="R342" s="32"/>
      <c r="S342" s="32"/>
      <c r="T342" s="32"/>
    </row>
    <row r="343" spans="3:20" x14ac:dyDescent="0.3">
      <c r="C343" s="11"/>
      <c r="D343" s="32"/>
      <c r="E343" s="11"/>
      <c r="K343" s="15"/>
      <c r="L343" s="47"/>
      <c r="M343" s="76"/>
      <c r="N343" s="76"/>
      <c r="O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P343" s="77"/>
      <c r="Q343" s="32"/>
      <c r="R343" s="32"/>
      <c r="S343" s="32"/>
      <c r="T343" s="32"/>
    </row>
    <row r="344" spans="3:20" x14ac:dyDescent="0.3">
      <c r="C344" s="11"/>
      <c r="D344" s="32"/>
      <c r="E344" s="11"/>
      <c r="K344" s="15"/>
      <c r="L344" s="47"/>
      <c r="M344" s="76"/>
      <c r="N344" s="76"/>
      <c r="O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P344" s="77"/>
      <c r="Q344" s="32"/>
      <c r="R344" s="32"/>
      <c r="S344" s="32"/>
      <c r="T344" s="32"/>
    </row>
    <row r="345" spans="3:20" x14ac:dyDescent="0.3">
      <c r="C345" s="11"/>
      <c r="D345" s="32"/>
      <c r="E345" s="11"/>
      <c r="K345" s="15"/>
      <c r="L345" s="47"/>
      <c r="M345" s="76"/>
      <c r="N345" s="76"/>
      <c r="O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P345" s="77"/>
      <c r="Q345" s="32"/>
      <c r="R345" s="32"/>
      <c r="S345" s="32"/>
      <c r="T345" s="32"/>
    </row>
    <row r="346" spans="3:20" x14ac:dyDescent="0.3">
      <c r="C346" s="11"/>
      <c r="D346" s="32"/>
      <c r="E346" s="11"/>
      <c r="K346" s="15"/>
      <c r="L346" s="47"/>
      <c r="M346" s="76"/>
      <c r="N346" s="76"/>
      <c r="O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P346" s="77"/>
      <c r="Q346" s="32"/>
      <c r="R346" s="32"/>
      <c r="S346" s="32"/>
      <c r="T346" s="32"/>
    </row>
    <row r="347" spans="3:20" x14ac:dyDescent="0.3">
      <c r="C347" s="11"/>
      <c r="D347" s="32"/>
      <c r="E347" s="11"/>
      <c r="K347" s="15"/>
      <c r="L347" s="47"/>
      <c r="M347" s="76"/>
      <c r="N347" s="76"/>
      <c r="O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P347" s="77"/>
      <c r="Q347" s="32"/>
      <c r="R347" s="32"/>
      <c r="S347" s="32"/>
      <c r="T347" s="32"/>
    </row>
    <row r="348" spans="3:20" x14ac:dyDescent="0.3">
      <c r="C348" s="11"/>
      <c r="D348" s="32"/>
      <c r="E348" s="11"/>
      <c r="K348" s="15"/>
      <c r="L348" s="47"/>
      <c r="M348" s="76"/>
      <c r="N348" s="76"/>
      <c r="O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P348" s="77"/>
      <c r="Q348" s="32"/>
      <c r="R348" s="32"/>
      <c r="S348" s="32"/>
      <c r="T348" s="32"/>
    </row>
    <row r="349" spans="3:20" x14ac:dyDescent="0.3">
      <c r="C349" s="11"/>
      <c r="D349" s="32"/>
      <c r="E349" s="11"/>
      <c r="K349" s="15"/>
      <c r="L349" s="47"/>
      <c r="M349" s="76"/>
      <c r="N349" s="76"/>
      <c r="O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P349" s="77"/>
      <c r="Q349" s="32"/>
      <c r="R349" s="32"/>
      <c r="S349" s="32"/>
      <c r="T349" s="32"/>
    </row>
    <row r="350" spans="3:20" x14ac:dyDescent="0.3">
      <c r="C350" s="11"/>
      <c r="D350" s="32"/>
      <c r="E350" s="11"/>
      <c r="K350" s="15"/>
      <c r="L350" s="47"/>
      <c r="M350" s="76"/>
      <c r="N350" s="76"/>
      <c r="O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P350" s="77"/>
      <c r="Q350" s="32"/>
      <c r="R350" s="32"/>
      <c r="S350" s="32"/>
      <c r="T350" s="32"/>
    </row>
    <row r="351" spans="3:20" x14ac:dyDescent="0.3">
      <c r="C351" s="11"/>
      <c r="D351" s="32"/>
      <c r="E351" s="11"/>
      <c r="K351" s="15"/>
      <c r="L351" s="47"/>
      <c r="M351" s="76"/>
      <c r="N351" s="76"/>
      <c r="O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P351" s="77"/>
      <c r="Q351" s="32"/>
      <c r="R351" s="32"/>
      <c r="S351" s="32"/>
      <c r="T351" s="32"/>
    </row>
    <row r="352" spans="3:20" x14ac:dyDescent="0.3">
      <c r="C352" s="11"/>
      <c r="D352" s="32"/>
      <c r="E352" s="11"/>
      <c r="K352" s="15"/>
      <c r="L352" s="47"/>
      <c r="M352" s="76"/>
      <c r="N352" s="76"/>
      <c r="O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P352" s="77"/>
      <c r="Q352" s="32"/>
      <c r="R352" s="32"/>
      <c r="S352" s="32"/>
      <c r="T352" s="32"/>
    </row>
    <row r="353" spans="3:20" x14ac:dyDescent="0.3">
      <c r="C353" s="11"/>
      <c r="D353" s="32"/>
      <c r="E353" s="11"/>
      <c r="K353" s="15"/>
      <c r="L353" s="47"/>
      <c r="M353" s="76"/>
      <c r="N353" s="76"/>
      <c r="O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P353" s="77"/>
      <c r="Q353" s="32"/>
      <c r="R353" s="32"/>
      <c r="S353" s="32"/>
      <c r="T353" s="32"/>
    </row>
    <row r="354" spans="3:20" x14ac:dyDescent="0.3">
      <c r="C354" s="11"/>
      <c r="D354" s="32"/>
      <c r="E354" s="11"/>
      <c r="K354" s="15"/>
      <c r="L354" s="47"/>
      <c r="M354" s="76"/>
      <c r="N354" s="76"/>
      <c r="O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P354" s="77"/>
      <c r="Q354" s="32"/>
      <c r="R354" s="32"/>
      <c r="S354" s="32"/>
      <c r="T354" s="32"/>
    </row>
    <row r="355" spans="3:20" x14ac:dyDescent="0.3">
      <c r="C355" s="11"/>
      <c r="D355" s="32"/>
      <c r="E355" s="11"/>
      <c r="K355" s="15"/>
      <c r="L355" s="47"/>
      <c r="M355" s="76"/>
      <c r="N355" s="76"/>
      <c r="O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P355" s="77"/>
      <c r="Q355" s="32"/>
      <c r="R355" s="32"/>
      <c r="S355" s="32"/>
      <c r="T355" s="32"/>
    </row>
    <row r="356" spans="3:20" x14ac:dyDescent="0.3">
      <c r="C356" s="11"/>
      <c r="D356" s="32"/>
      <c r="E356" s="11"/>
      <c r="K356" s="15"/>
      <c r="L356" s="47"/>
      <c r="M356" s="76"/>
      <c r="N356" s="76"/>
      <c r="O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P356" s="77"/>
      <c r="Q356" s="32"/>
      <c r="R356" s="32"/>
      <c r="S356" s="32"/>
      <c r="T356" s="32"/>
    </row>
    <row r="357" spans="3:20" x14ac:dyDescent="0.3">
      <c r="C357" s="11"/>
      <c r="D357" s="32"/>
      <c r="E357" s="11"/>
      <c r="K357" s="15"/>
      <c r="L357" s="47"/>
      <c r="M357" s="76"/>
      <c r="N357" s="76"/>
      <c r="O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P357" s="77"/>
      <c r="Q357" s="32"/>
      <c r="R357" s="32"/>
      <c r="S357" s="32"/>
      <c r="T357" s="32"/>
    </row>
    <row r="358" spans="3:20" x14ac:dyDescent="0.3">
      <c r="C358" s="11"/>
      <c r="D358" s="32"/>
      <c r="E358" s="11"/>
      <c r="K358" s="15"/>
      <c r="L358" s="47"/>
      <c r="M358" s="76"/>
      <c r="N358" s="76"/>
      <c r="O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P358" s="77"/>
      <c r="Q358" s="32"/>
      <c r="R358" s="32"/>
      <c r="S358" s="32"/>
      <c r="T358" s="32"/>
    </row>
    <row r="359" spans="3:20" x14ac:dyDescent="0.3">
      <c r="C359" s="11"/>
      <c r="D359" s="32"/>
      <c r="E359" s="11"/>
      <c r="K359" s="15"/>
      <c r="L359" s="47"/>
      <c r="M359" s="76"/>
      <c r="N359" s="76"/>
      <c r="O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P359" s="77"/>
      <c r="Q359" s="32"/>
      <c r="R359" s="32"/>
      <c r="S359" s="32"/>
      <c r="T359" s="32"/>
    </row>
    <row r="360" spans="3:20" x14ac:dyDescent="0.3">
      <c r="C360" s="11"/>
      <c r="D360" s="32"/>
      <c r="E360" s="11"/>
      <c r="K360" s="15"/>
      <c r="L360" s="47"/>
      <c r="M360" s="76"/>
      <c r="N360" s="76"/>
      <c r="O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P360" s="77"/>
      <c r="Q360" s="32"/>
      <c r="R360" s="32"/>
      <c r="S360" s="32"/>
      <c r="T360" s="32"/>
    </row>
    <row r="361" spans="3:20" x14ac:dyDescent="0.3">
      <c r="C361" s="11"/>
      <c r="D361" s="32"/>
      <c r="E361" s="11"/>
      <c r="K361" s="15"/>
      <c r="L361" s="47"/>
      <c r="M361" s="76"/>
      <c r="N361" s="76"/>
      <c r="O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P361" s="77"/>
      <c r="Q361" s="32"/>
      <c r="R361" s="32"/>
      <c r="S361" s="32"/>
      <c r="T361" s="32"/>
    </row>
    <row r="362" spans="3:20" x14ac:dyDescent="0.3">
      <c r="C362" s="11"/>
      <c r="D362" s="32"/>
      <c r="E362" s="11"/>
      <c r="K362" s="15"/>
      <c r="L362" s="47"/>
      <c r="M362" s="76"/>
      <c r="N362" s="76"/>
      <c r="O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P362" s="77"/>
      <c r="Q362" s="32"/>
      <c r="R362" s="32"/>
      <c r="S362" s="32"/>
      <c r="T362" s="32"/>
    </row>
    <row r="363" spans="3:20" x14ac:dyDescent="0.3">
      <c r="C363" s="11"/>
      <c r="D363" s="32"/>
      <c r="E363" s="11"/>
      <c r="K363" s="15"/>
      <c r="L363" s="47"/>
      <c r="M363" s="76"/>
      <c r="N363" s="76"/>
      <c r="O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P363" s="77"/>
      <c r="Q363" s="32"/>
      <c r="R363" s="32"/>
      <c r="S363" s="32"/>
      <c r="T363" s="32"/>
    </row>
    <row r="364" spans="3:20" x14ac:dyDescent="0.3">
      <c r="C364" s="11"/>
      <c r="D364" s="32"/>
      <c r="E364" s="11"/>
      <c r="K364" s="15"/>
      <c r="L364" s="47"/>
      <c r="M364" s="76"/>
      <c r="N364" s="76"/>
      <c r="O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P364" s="77"/>
      <c r="Q364" s="32"/>
      <c r="R364" s="32"/>
      <c r="S364" s="32"/>
      <c r="T364" s="32"/>
    </row>
    <row r="365" spans="3:20" x14ac:dyDescent="0.3">
      <c r="C365" s="11"/>
      <c r="D365" s="32"/>
      <c r="E365" s="11"/>
      <c r="K365" s="15"/>
      <c r="L365" s="47"/>
      <c r="M365" s="76"/>
      <c r="N365" s="76"/>
      <c r="O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P365" s="77"/>
      <c r="Q365" s="32"/>
      <c r="R365" s="32"/>
      <c r="S365" s="32"/>
      <c r="T365" s="32"/>
    </row>
    <row r="366" spans="3:20" x14ac:dyDescent="0.3">
      <c r="C366" s="11"/>
      <c r="D366" s="32"/>
      <c r="E366" s="11"/>
      <c r="K366" s="15"/>
      <c r="L366" s="47"/>
      <c r="M366" s="76"/>
      <c r="N366" s="76"/>
      <c r="O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P366" s="77"/>
      <c r="Q366" s="32"/>
      <c r="R366" s="32"/>
      <c r="S366" s="32"/>
      <c r="T366" s="32"/>
    </row>
    <row r="367" spans="3:20" x14ac:dyDescent="0.3">
      <c r="C367" s="11"/>
      <c r="D367" s="32"/>
      <c r="E367" s="11"/>
      <c r="K367" s="15"/>
      <c r="L367" s="47"/>
      <c r="M367" s="76"/>
      <c r="N367" s="76"/>
      <c r="O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P367" s="77"/>
      <c r="Q367" s="32"/>
      <c r="R367" s="32"/>
      <c r="S367" s="32"/>
      <c r="T367" s="32"/>
    </row>
    <row r="368" spans="3:20" x14ac:dyDescent="0.3">
      <c r="C368" s="11"/>
      <c r="D368" s="32"/>
      <c r="E368" s="11"/>
      <c r="K368" s="15"/>
      <c r="L368" s="47"/>
      <c r="M368" s="76"/>
      <c r="N368" s="76"/>
      <c r="O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P368" s="77"/>
      <c r="Q368" s="32"/>
      <c r="R368" s="32"/>
      <c r="S368" s="32"/>
      <c r="T368" s="32"/>
    </row>
    <row r="369" spans="3:20" x14ac:dyDescent="0.3">
      <c r="C369" s="11"/>
      <c r="D369" s="32"/>
      <c r="E369" s="11"/>
      <c r="K369" s="15"/>
      <c r="L369" s="47"/>
      <c r="M369" s="76"/>
      <c r="N369" s="76"/>
      <c r="O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P369" s="77"/>
      <c r="Q369" s="32"/>
      <c r="R369" s="32"/>
      <c r="S369" s="32"/>
      <c r="T369" s="32"/>
    </row>
    <row r="370" spans="3:20" x14ac:dyDescent="0.3">
      <c r="C370" s="11"/>
      <c r="D370" s="32"/>
      <c r="E370" s="11"/>
      <c r="K370" s="15"/>
      <c r="L370" s="47"/>
      <c r="M370" s="76"/>
      <c r="N370" s="76"/>
      <c r="O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P370" s="77"/>
      <c r="Q370" s="32"/>
      <c r="R370" s="32"/>
      <c r="S370" s="32"/>
      <c r="T370" s="32"/>
    </row>
    <row r="371" spans="3:20" x14ac:dyDescent="0.3">
      <c r="C371" s="11"/>
      <c r="D371" s="32"/>
      <c r="E371" s="11"/>
      <c r="K371" s="15"/>
      <c r="L371" s="47"/>
      <c r="M371" s="76"/>
      <c r="N371" s="76"/>
      <c r="O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P371" s="77"/>
      <c r="Q371" s="32"/>
      <c r="R371" s="32"/>
      <c r="S371" s="32"/>
      <c r="T371" s="32"/>
    </row>
    <row r="372" spans="3:20" x14ac:dyDescent="0.3">
      <c r="C372" s="11"/>
      <c r="D372" s="32"/>
      <c r="E372" s="11"/>
      <c r="K372" s="15"/>
      <c r="L372" s="47"/>
      <c r="M372" s="76"/>
      <c r="N372" s="76"/>
      <c r="O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P372" s="77"/>
      <c r="Q372" s="32"/>
      <c r="R372" s="32"/>
      <c r="S372" s="32"/>
      <c r="T372" s="32"/>
    </row>
    <row r="373" spans="3:20" x14ac:dyDescent="0.3">
      <c r="C373" s="11"/>
      <c r="D373" s="32"/>
      <c r="E373" s="11"/>
      <c r="K373" s="15"/>
      <c r="L373" s="47"/>
      <c r="M373" s="76"/>
      <c r="N373" s="76"/>
      <c r="O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P373" s="77"/>
      <c r="Q373" s="32"/>
      <c r="R373" s="32"/>
      <c r="S373" s="32"/>
      <c r="T373" s="32"/>
    </row>
    <row r="374" spans="3:20" x14ac:dyDescent="0.3">
      <c r="C374" s="11"/>
      <c r="D374" s="32"/>
      <c r="E374" s="11"/>
      <c r="K374" s="15"/>
      <c r="L374" s="47"/>
      <c r="M374" s="76"/>
      <c r="N374" s="76"/>
      <c r="O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P374" s="77"/>
      <c r="Q374" s="32"/>
      <c r="R374" s="32"/>
      <c r="S374" s="32"/>
      <c r="T374" s="32"/>
    </row>
    <row r="375" spans="3:20" x14ac:dyDescent="0.3">
      <c r="C375" s="11"/>
      <c r="D375" s="32"/>
      <c r="E375" s="11"/>
      <c r="K375" s="15"/>
      <c r="L375" s="47"/>
      <c r="M375" s="76"/>
      <c r="N375" s="76"/>
      <c r="O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P375" s="77"/>
      <c r="Q375" s="32"/>
      <c r="R375" s="32"/>
      <c r="S375" s="32"/>
      <c r="T375" s="32"/>
    </row>
    <row r="376" spans="3:20" x14ac:dyDescent="0.3">
      <c r="C376" s="11"/>
      <c r="D376" s="32"/>
      <c r="E376" s="11"/>
      <c r="K376" s="15"/>
      <c r="L376" s="47"/>
      <c r="M376" s="76"/>
      <c r="N376" s="76"/>
      <c r="O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P376" s="77"/>
      <c r="Q376" s="32"/>
      <c r="R376" s="32"/>
      <c r="S376" s="32"/>
      <c r="T376" s="32"/>
    </row>
    <row r="377" spans="3:20" x14ac:dyDescent="0.3">
      <c r="C377" s="11"/>
      <c r="D377" s="32"/>
      <c r="E377" s="11"/>
      <c r="K377" s="15"/>
      <c r="L377" s="47"/>
      <c r="M377" s="76"/>
      <c r="N377" s="76"/>
      <c r="O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P377" s="77"/>
      <c r="Q377" s="32"/>
      <c r="R377" s="32"/>
      <c r="S377" s="32"/>
      <c r="T377" s="32"/>
    </row>
    <row r="378" spans="3:20" x14ac:dyDescent="0.3">
      <c r="C378" s="11"/>
      <c r="D378" s="32"/>
      <c r="E378" s="11"/>
      <c r="K378" s="15"/>
      <c r="L378" s="47"/>
      <c r="M378" s="76"/>
      <c r="N378" s="76"/>
      <c r="O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P378" s="77"/>
      <c r="Q378" s="32"/>
      <c r="R378" s="32"/>
      <c r="S378" s="32"/>
      <c r="T378" s="32"/>
    </row>
    <row r="379" spans="3:20" x14ac:dyDescent="0.3">
      <c r="C379" s="11"/>
      <c r="D379" s="32"/>
      <c r="E379" s="11"/>
      <c r="K379" s="15"/>
      <c r="L379" s="47"/>
      <c r="M379" s="76"/>
      <c r="N379" s="76"/>
      <c r="O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P379" s="77"/>
      <c r="Q379" s="32"/>
      <c r="R379" s="32"/>
      <c r="S379" s="32"/>
      <c r="T379" s="32"/>
    </row>
    <row r="380" spans="3:20" x14ac:dyDescent="0.3">
      <c r="C380" s="11"/>
      <c r="D380" s="32"/>
      <c r="E380" s="11"/>
      <c r="K380" s="15"/>
      <c r="L380" s="47"/>
      <c r="M380" s="76"/>
      <c r="N380" s="76"/>
      <c r="O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P380" s="77"/>
      <c r="Q380" s="32"/>
      <c r="R380" s="32"/>
      <c r="S380" s="32"/>
      <c r="T380" s="32"/>
    </row>
    <row r="381" spans="3:20" x14ac:dyDescent="0.3">
      <c r="C381" s="11"/>
      <c r="D381" s="32"/>
      <c r="E381" s="11"/>
      <c r="K381" s="15"/>
      <c r="L381" s="47"/>
      <c r="M381" s="76"/>
      <c r="N381" s="76"/>
      <c r="O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P381" s="77"/>
      <c r="Q381" s="32"/>
      <c r="R381" s="32"/>
      <c r="S381" s="32"/>
      <c r="T381" s="32"/>
    </row>
    <row r="382" spans="3:20" x14ac:dyDescent="0.3">
      <c r="C382" s="11"/>
      <c r="D382" s="32"/>
      <c r="E382" s="11"/>
      <c r="K382" s="15"/>
      <c r="L382" s="47"/>
      <c r="M382" s="76"/>
      <c r="N382" s="76"/>
      <c r="O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P382" s="77"/>
      <c r="Q382" s="32"/>
      <c r="R382" s="32"/>
      <c r="S382" s="32"/>
      <c r="T382" s="32"/>
    </row>
    <row r="383" spans="3:20" x14ac:dyDescent="0.3">
      <c r="C383" s="11"/>
      <c r="D383" s="32"/>
      <c r="E383" s="11"/>
      <c r="K383" s="15"/>
      <c r="L383" s="47"/>
      <c r="M383" s="76"/>
      <c r="N383" s="76"/>
      <c r="O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P383" s="77"/>
      <c r="Q383" s="32"/>
      <c r="R383" s="32"/>
      <c r="S383" s="32"/>
      <c r="T383" s="32"/>
    </row>
    <row r="384" spans="3:20" x14ac:dyDescent="0.3">
      <c r="C384" s="11"/>
      <c r="D384" s="32"/>
      <c r="E384" s="11"/>
      <c r="K384" s="15"/>
      <c r="L384" s="47"/>
      <c r="M384" s="76"/>
      <c r="N384" s="76"/>
      <c r="O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P384" s="77"/>
      <c r="Q384" s="32"/>
      <c r="R384" s="32"/>
      <c r="S384" s="32"/>
      <c r="T384" s="32"/>
    </row>
    <row r="385" spans="3:20" x14ac:dyDescent="0.3">
      <c r="C385" s="11"/>
      <c r="D385" s="32"/>
      <c r="E385" s="11"/>
      <c r="K385" s="15"/>
      <c r="L385" s="47"/>
      <c r="M385" s="76"/>
      <c r="N385" s="76"/>
      <c r="O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P385" s="77"/>
      <c r="Q385" s="32"/>
      <c r="R385" s="32"/>
      <c r="S385" s="32"/>
      <c r="T385" s="32"/>
    </row>
    <row r="386" spans="3:20" x14ac:dyDescent="0.3">
      <c r="C386" s="11"/>
      <c r="D386" s="32"/>
      <c r="E386" s="11"/>
      <c r="K386" s="15"/>
      <c r="L386" s="47"/>
      <c r="M386" s="76"/>
      <c r="N386" s="76"/>
      <c r="O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P386" s="77"/>
      <c r="Q386" s="32"/>
      <c r="R386" s="32"/>
      <c r="S386" s="32"/>
      <c r="T386" s="32"/>
    </row>
    <row r="387" spans="3:20" x14ac:dyDescent="0.3">
      <c r="C387" s="11"/>
      <c r="D387" s="32"/>
      <c r="E387" s="11"/>
      <c r="K387" s="15"/>
      <c r="L387" s="47"/>
      <c r="M387" s="76"/>
      <c r="N387" s="76"/>
      <c r="O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P387" s="77"/>
      <c r="Q387" s="32"/>
      <c r="R387" s="32"/>
      <c r="S387" s="32"/>
      <c r="T387" s="32"/>
    </row>
    <row r="388" spans="3:20" x14ac:dyDescent="0.3">
      <c r="C388" s="11"/>
      <c r="D388" s="32"/>
      <c r="E388" s="11"/>
      <c r="K388" s="15"/>
      <c r="L388" s="47"/>
      <c r="M388" s="76"/>
      <c r="N388" s="76"/>
      <c r="O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P388" s="77"/>
      <c r="Q388" s="32"/>
      <c r="R388" s="32"/>
      <c r="S388" s="32"/>
      <c r="T388" s="32"/>
    </row>
    <row r="389" spans="3:20" x14ac:dyDescent="0.3">
      <c r="C389" s="11"/>
      <c r="D389" s="32"/>
      <c r="E389" s="11"/>
      <c r="K389" s="15"/>
      <c r="L389" s="47"/>
      <c r="M389" s="76"/>
      <c r="N389" s="76"/>
      <c r="O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P389" s="77"/>
      <c r="Q389" s="32"/>
      <c r="R389" s="32"/>
      <c r="S389" s="32"/>
      <c r="T389" s="32"/>
    </row>
    <row r="390" spans="3:20" x14ac:dyDescent="0.3">
      <c r="C390" s="11"/>
      <c r="D390" s="32"/>
      <c r="E390" s="11"/>
      <c r="K390" s="15"/>
      <c r="L390" s="47"/>
      <c r="M390" s="76"/>
      <c r="N390" s="76"/>
      <c r="O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P390" s="77"/>
      <c r="Q390" s="32"/>
      <c r="R390" s="32"/>
      <c r="S390" s="32"/>
      <c r="T390" s="32"/>
    </row>
    <row r="391" spans="3:20" x14ac:dyDescent="0.3">
      <c r="C391" s="11"/>
      <c r="D391" s="32"/>
      <c r="E391" s="11"/>
      <c r="K391" s="15"/>
      <c r="L391" s="47"/>
      <c r="M391" s="76"/>
      <c r="N391" s="76"/>
      <c r="O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P391" s="77"/>
      <c r="Q391" s="32"/>
      <c r="R391" s="32"/>
      <c r="S391" s="32"/>
      <c r="T391" s="32"/>
    </row>
    <row r="392" spans="3:20" x14ac:dyDescent="0.3">
      <c r="C392" s="11"/>
      <c r="D392" s="32"/>
      <c r="E392" s="11"/>
      <c r="K392" s="15"/>
      <c r="L392" s="47"/>
      <c r="M392" s="76"/>
      <c r="N392" s="76"/>
      <c r="O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P392" s="77"/>
      <c r="Q392" s="32"/>
      <c r="R392" s="32"/>
      <c r="S392" s="32"/>
      <c r="T392" s="32"/>
    </row>
    <row r="393" spans="3:20" x14ac:dyDescent="0.3">
      <c r="C393" s="11"/>
      <c r="D393" s="32"/>
      <c r="E393" s="11"/>
      <c r="K393" s="15"/>
      <c r="L393" s="47"/>
      <c r="M393" s="76"/>
      <c r="N393" s="76"/>
      <c r="O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P393" s="77"/>
      <c r="Q393" s="32"/>
      <c r="R393" s="32"/>
      <c r="S393" s="32"/>
      <c r="T393" s="32"/>
    </row>
    <row r="394" spans="3:20" x14ac:dyDescent="0.3">
      <c r="C394" s="11"/>
      <c r="D394" s="32"/>
      <c r="E394" s="11"/>
      <c r="K394" s="15"/>
      <c r="L394" s="47"/>
      <c r="M394" s="76"/>
      <c r="N394" s="76"/>
      <c r="O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P394" s="77"/>
      <c r="Q394" s="32"/>
      <c r="R394" s="32"/>
      <c r="S394" s="32"/>
      <c r="T394" s="32"/>
    </row>
    <row r="395" spans="3:20" x14ac:dyDescent="0.3">
      <c r="C395" s="11"/>
      <c r="D395" s="32"/>
      <c r="E395" s="11"/>
      <c r="K395" s="15"/>
      <c r="L395" s="47"/>
      <c r="M395" s="76"/>
      <c r="N395" s="76"/>
      <c r="O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P395" s="77"/>
      <c r="Q395" s="32"/>
      <c r="R395" s="32"/>
      <c r="S395" s="32"/>
      <c r="T395" s="32"/>
    </row>
    <row r="396" spans="3:20" x14ac:dyDescent="0.3">
      <c r="C396" s="11"/>
      <c r="D396" s="32"/>
      <c r="E396" s="11"/>
      <c r="K396" s="15"/>
      <c r="L396" s="47"/>
      <c r="M396" s="76"/>
      <c r="N396" s="76"/>
      <c r="O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P396" s="77"/>
      <c r="Q396" s="32"/>
      <c r="R396" s="32"/>
      <c r="S396" s="32"/>
      <c r="T396" s="32"/>
    </row>
    <row r="397" spans="3:20" x14ac:dyDescent="0.3">
      <c r="C397" s="11"/>
      <c r="D397" s="32"/>
      <c r="E397" s="11"/>
      <c r="K397" s="15"/>
      <c r="L397" s="47"/>
      <c r="M397" s="76"/>
      <c r="N397" s="76"/>
      <c r="O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P397" s="77"/>
      <c r="Q397" s="32"/>
      <c r="R397" s="32"/>
      <c r="S397" s="32"/>
      <c r="T397" s="32"/>
    </row>
    <row r="398" spans="3:20" x14ac:dyDescent="0.3">
      <c r="C398" s="11"/>
      <c r="D398" s="32"/>
      <c r="E398" s="11"/>
      <c r="K398" s="15"/>
      <c r="L398" s="47"/>
      <c r="M398" s="76"/>
      <c r="N398" s="76"/>
      <c r="O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P398" s="77"/>
      <c r="Q398" s="32"/>
      <c r="R398" s="32"/>
      <c r="S398" s="32"/>
      <c r="T398" s="32"/>
    </row>
    <row r="399" spans="3:20" x14ac:dyDescent="0.3">
      <c r="C399" s="11"/>
      <c r="D399" s="32"/>
      <c r="E399" s="11"/>
      <c r="K399" s="15"/>
      <c r="L399" s="47"/>
      <c r="M399" s="76"/>
      <c r="N399" s="76"/>
      <c r="O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P399" s="77"/>
      <c r="Q399" s="32"/>
      <c r="R399" s="32"/>
      <c r="S399" s="32"/>
      <c r="T399" s="32"/>
    </row>
    <row r="400" spans="3:20" x14ac:dyDescent="0.3">
      <c r="C400" s="11"/>
      <c r="D400" s="32"/>
      <c r="E400" s="11"/>
      <c r="K400" s="15"/>
      <c r="L400" s="47"/>
      <c r="M400" s="76"/>
      <c r="N400" s="76"/>
      <c r="O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P400" s="77"/>
      <c r="Q400" s="32"/>
      <c r="R400" s="32"/>
      <c r="S400" s="32"/>
      <c r="T400" s="32"/>
    </row>
    <row r="401" spans="3:20" x14ac:dyDescent="0.3">
      <c r="C401" s="11"/>
      <c r="D401" s="32"/>
      <c r="E401" s="11"/>
      <c r="K401" s="15"/>
      <c r="L401" s="47"/>
      <c r="M401" s="76"/>
      <c r="N401" s="76"/>
      <c r="O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P401" s="77"/>
      <c r="Q401" s="32"/>
      <c r="R401" s="32"/>
      <c r="S401" s="32"/>
      <c r="T401" s="32"/>
    </row>
    <row r="402" spans="3:20" x14ac:dyDescent="0.3">
      <c r="C402" s="11"/>
      <c r="D402" s="32"/>
      <c r="E402" s="11"/>
      <c r="K402" s="15"/>
      <c r="L402" s="47"/>
      <c r="M402" s="76"/>
      <c r="N402" s="76"/>
      <c r="O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P402" s="77"/>
      <c r="Q402" s="32"/>
      <c r="R402" s="32"/>
      <c r="S402" s="32"/>
      <c r="T402" s="32"/>
    </row>
    <row r="403" spans="3:20" x14ac:dyDescent="0.3">
      <c r="C403" s="11"/>
      <c r="D403" s="32"/>
      <c r="E403" s="11"/>
      <c r="K403" s="15"/>
      <c r="L403" s="47"/>
      <c r="M403" s="76"/>
      <c r="N403" s="76"/>
      <c r="O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P403" s="77"/>
      <c r="Q403" s="32"/>
      <c r="R403" s="32"/>
      <c r="S403" s="32"/>
      <c r="T403" s="32"/>
    </row>
    <row r="404" spans="3:20" x14ac:dyDescent="0.3">
      <c r="C404" s="11"/>
      <c r="D404" s="32"/>
      <c r="E404" s="11"/>
      <c r="K404" s="15"/>
      <c r="L404" s="47"/>
      <c r="M404" s="76"/>
      <c r="N404" s="76"/>
      <c r="O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P404" s="77"/>
      <c r="Q404" s="32"/>
      <c r="R404" s="32"/>
      <c r="S404" s="32"/>
      <c r="T404" s="32"/>
    </row>
    <row r="405" spans="3:20" x14ac:dyDescent="0.3">
      <c r="C405" s="11"/>
      <c r="D405" s="32"/>
      <c r="E405" s="11"/>
      <c r="K405" s="15"/>
      <c r="L405" s="47"/>
      <c r="M405" s="76"/>
      <c r="N405" s="76"/>
      <c r="O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P405" s="77"/>
      <c r="Q405" s="32"/>
      <c r="R405" s="32"/>
      <c r="S405" s="32"/>
      <c r="T405" s="32"/>
    </row>
    <row r="406" spans="3:20" x14ac:dyDescent="0.3">
      <c r="C406" s="11"/>
      <c r="D406" s="32"/>
      <c r="E406" s="11"/>
      <c r="K406" s="15"/>
      <c r="L406" s="47"/>
      <c r="M406" s="76"/>
      <c r="N406" s="76"/>
      <c r="O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P406" s="77"/>
      <c r="Q406" s="32"/>
      <c r="R406" s="32"/>
      <c r="S406" s="32"/>
      <c r="T406" s="32"/>
    </row>
    <row r="407" spans="3:20" x14ac:dyDescent="0.3">
      <c r="C407" s="11"/>
      <c r="D407" s="32"/>
      <c r="E407" s="11"/>
      <c r="K407" s="15"/>
      <c r="L407" s="47"/>
      <c r="M407" s="76"/>
      <c r="N407" s="76"/>
      <c r="O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P407" s="77"/>
      <c r="Q407" s="32"/>
      <c r="R407" s="32"/>
      <c r="S407" s="32"/>
      <c r="T407" s="32"/>
    </row>
    <row r="408" spans="3:20" x14ac:dyDescent="0.3">
      <c r="C408" s="11"/>
      <c r="D408" s="32"/>
      <c r="E408" s="11"/>
      <c r="K408" s="15"/>
      <c r="L408" s="47"/>
      <c r="M408" s="76"/>
      <c r="N408" s="76"/>
      <c r="O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P408" s="77"/>
      <c r="Q408" s="32"/>
      <c r="R408" s="32"/>
      <c r="S408" s="32"/>
      <c r="T408" s="32"/>
    </row>
    <row r="409" spans="3:20" x14ac:dyDescent="0.3">
      <c r="C409" s="11"/>
      <c r="D409" s="32"/>
      <c r="E409" s="11"/>
      <c r="K409" s="15"/>
      <c r="L409" s="47"/>
      <c r="M409" s="76"/>
      <c r="N409" s="76"/>
      <c r="O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P409" s="77"/>
      <c r="Q409" s="32"/>
      <c r="R409" s="32"/>
      <c r="S409" s="32"/>
      <c r="T409" s="32"/>
    </row>
    <row r="410" spans="3:20" x14ac:dyDescent="0.3">
      <c r="C410" s="11"/>
      <c r="D410" s="32"/>
      <c r="E410" s="11"/>
      <c r="K410" s="15"/>
      <c r="L410" s="47"/>
      <c r="M410" s="76"/>
      <c r="N410" s="76"/>
      <c r="O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P410" s="77"/>
      <c r="Q410" s="32"/>
      <c r="R410" s="32"/>
      <c r="S410" s="32"/>
      <c r="T410" s="32"/>
    </row>
    <row r="411" spans="3:20" x14ac:dyDescent="0.3">
      <c r="C411" s="11"/>
      <c r="D411" s="32"/>
      <c r="E411" s="11"/>
      <c r="K411" s="15"/>
      <c r="L411" s="47"/>
      <c r="M411" s="76"/>
      <c r="N411" s="76"/>
      <c r="O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P411" s="77"/>
      <c r="Q411" s="32"/>
      <c r="R411" s="32"/>
      <c r="S411" s="32"/>
      <c r="T411" s="32"/>
    </row>
    <row r="412" spans="3:20" x14ac:dyDescent="0.3">
      <c r="C412" s="11"/>
      <c r="D412" s="32"/>
      <c r="E412" s="11"/>
      <c r="K412" s="15"/>
      <c r="L412" s="47"/>
      <c r="M412" s="76"/>
      <c r="N412" s="76"/>
      <c r="O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P412" s="77"/>
      <c r="Q412" s="32"/>
      <c r="R412" s="32"/>
      <c r="S412" s="32"/>
      <c r="T412" s="32"/>
    </row>
    <row r="413" spans="3:20" x14ac:dyDescent="0.3">
      <c r="C413" s="11"/>
      <c r="D413" s="32"/>
      <c r="E413" s="11"/>
      <c r="K413" s="15"/>
      <c r="L413" s="47"/>
      <c r="M413" s="76"/>
      <c r="N413" s="76"/>
      <c r="O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P413" s="77"/>
      <c r="Q413" s="32"/>
      <c r="R413" s="32"/>
      <c r="S413" s="32"/>
      <c r="T413" s="32"/>
    </row>
    <row r="414" spans="3:20" x14ac:dyDescent="0.3">
      <c r="C414" s="11"/>
      <c r="D414" s="32"/>
      <c r="E414" s="11"/>
      <c r="K414" s="15"/>
      <c r="L414" s="47"/>
      <c r="M414" s="76"/>
      <c r="N414" s="76"/>
      <c r="O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P414" s="77"/>
      <c r="Q414" s="32"/>
      <c r="R414" s="32"/>
      <c r="S414" s="32"/>
      <c r="T414" s="32"/>
    </row>
    <row r="415" spans="3:20" x14ac:dyDescent="0.3">
      <c r="C415" s="11"/>
      <c r="D415" s="32"/>
      <c r="E415" s="11"/>
      <c r="K415" s="15"/>
      <c r="L415" s="47"/>
      <c r="M415" s="76"/>
      <c r="N415" s="76"/>
      <c r="O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P415" s="77"/>
      <c r="Q415" s="32"/>
      <c r="R415" s="32"/>
      <c r="S415" s="32"/>
      <c r="T415" s="32"/>
    </row>
    <row r="416" spans="3:20" x14ac:dyDescent="0.3">
      <c r="C416" s="11"/>
      <c r="D416" s="32"/>
      <c r="E416" s="11"/>
      <c r="K416" s="15"/>
      <c r="L416" s="47"/>
      <c r="M416" s="76"/>
      <c r="N416" s="76"/>
      <c r="O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P416" s="77"/>
      <c r="Q416" s="32"/>
      <c r="R416" s="32"/>
      <c r="S416" s="32"/>
      <c r="T416" s="32"/>
    </row>
    <row r="417" spans="3:20" x14ac:dyDescent="0.3">
      <c r="C417" s="11"/>
      <c r="D417" s="32"/>
      <c r="E417" s="11"/>
      <c r="K417" s="15"/>
      <c r="L417" s="47"/>
      <c r="M417" s="76"/>
      <c r="N417" s="76"/>
      <c r="O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P417" s="77"/>
      <c r="Q417" s="32"/>
      <c r="R417" s="32"/>
      <c r="S417" s="32"/>
      <c r="T417" s="32"/>
    </row>
    <row r="418" spans="3:20" x14ac:dyDescent="0.3">
      <c r="C418" s="11"/>
      <c r="D418" s="32"/>
      <c r="E418" s="11"/>
      <c r="K418" s="15"/>
      <c r="L418" s="47"/>
      <c r="M418" s="76"/>
      <c r="N418" s="76"/>
      <c r="O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P418" s="77"/>
      <c r="Q418" s="32"/>
      <c r="R418" s="32"/>
      <c r="S418" s="32"/>
      <c r="T418" s="32"/>
    </row>
    <row r="419" spans="3:20" x14ac:dyDescent="0.3">
      <c r="C419" s="11"/>
      <c r="D419" s="32"/>
      <c r="E419" s="11"/>
      <c r="K419" s="15"/>
      <c r="L419" s="47"/>
      <c r="M419" s="76"/>
      <c r="N419" s="76"/>
      <c r="O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P419" s="77"/>
      <c r="Q419" s="32"/>
      <c r="R419" s="32"/>
      <c r="S419" s="32"/>
      <c r="T419" s="32"/>
    </row>
    <row r="420" spans="3:20" x14ac:dyDescent="0.3">
      <c r="C420" s="11"/>
      <c r="D420" s="32"/>
      <c r="E420" s="11"/>
      <c r="K420" s="15"/>
      <c r="L420" s="47"/>
      <c r="M420" s="76"/>
      <c r="N420" s="76"/>
      <c r="O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P420" s="77"/>
      <c r="Q420" s="32"/>
      <c r="R420" s="32"/>
      <c r="S420" s="32"/>
      <c r="T420" s="32"/>
    </row>
    <row r="421" spans="3:20" x14ac:dyDescent="0.3">
      <c r="C421" s="11"/>
      <c r="D421" s="32"/>
      <c r="E421" s="11"/>
      <c r="K421" s="15"/>
      <c r="L421" s="47"/>
      <c r="M421" s="76"/>
      <c r="N421" s="76"/>
      <c r="O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P421" s="77"/>
      <c r="Q421" s="32"/>
      <c r="R421" s="32"/>
      <c r="S421" s="32"/>
      <c r="T421" s="32"/>
    </row>
    <row r="422" spans="3:20" x14ac:dyDescent="0.3">
      <c r="C422" s="11"/>
      <c r="D422" s="32"/>
      <c r="E422" s="11"/>
      <c r="K422" s="15"/>
      <c r="L422" s="47"/>
      <c r="M422" s="76"/>
      <c r="N422" s="76"/>
      <c r="O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P422" s="77"/>
      <c r="Q422" s="32"/>
      <c r="R422" s="32"/>
      <c r="S422" s="32"/>
      <c r="T422" s="32"/>
    </row>
    <row r="423" spans="3:20" x14ac:dyDescent="0.3">
      <c r="C423" s="11"/>
      <c r="D423" s="32"/>
      <c r="E423" s="11"/>
      <c r="K423" s="15"/>
      <c r="L423" s="47"/>
      <c r="M423" s="76"/>
      <c r="N423" s="76"/>
      <c r="O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P423" s="77"/>
      <c r="Q423" s="32"/>
      <c r="R423" s="32"/>
      <c r="S423" s="32"/>
      <c r="T423" s="32"/>
    </row>
    <row r="424" spans="3:20" x14ac:dyDescent="0.3">
      <c r="C424" s="11"/>
      <c r="D424" s="32"/>
      <c r="E424" s="11"/>
      <c r="K424" s="15"/>
      <c r="L424" s="47"/>
      <c r="M424" s="76"/>
      <c r="N424" s="76"/>
      <c r="O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P424" s="77"/>
      <c r="Q424" s="32"/>
      <c r="R424" s="32"/>
      <c r="S424" s="32"/>
      <c r="T424" s="32"/>
    </row>
    <row r="425" spans="3:20" x14ac:dyDescent="0.3">
      <c r="C425" s="11"/>
      <c r="D425" s="32"/>
      <c r="E425" s="11"/>
      <c r="K425" s="15"/>
      <c r="L425" s="47"/>
      <c r="M425" s="76"/>
      <c r="N425" s="76"/>
      <c r="O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P425" s="77"/>
      <c r="Q425" s="32"/>
      <c r="R425" s="32"/>
      <c r="S425" s="32"/>
      <c r="T425" s="32"/>
    </row>
    <row r="426" spans="3:20" x14ac:dyDescent="0.3">
      <c r="C426" s="11"/>
      <c r="D426" s="32"/>
      <c r="E426" s="11"/>
      <c r="K426" s="15"/>
      <c r="L426" s="47"/>
      <c r="M426" s="76"/>
      <c r="N426" s="76"/>
      <c r="O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P426" s="77"/>
      <c r="Q426" s="32"/>
      <c r="R426" s="32"/>
      <c r="S426" s="32"/>
      <c r="T426" s="32"/>
    </row>
    <row r="427" spans="3:20" x14ac:dyDescent="0.3">
      <c r="C427" s="11"/>
      <c r="D427" s="32"/>
      <c r="E427" s="11"/>
      <c r="K427" s="15"/>
      <c r="L427" s="47"/>
      <c r="M427" s="76"/>
      <c r="N427" s="76"/>
      <c r="O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P427" s="77"/>
      <c r="Q427" s="32"/>
      <c r="R427" s="32"/>
      <c r="S427" s="32"/>
      <c r="T427" s="32"/>
    </row>
    <row r="428" spans="3:20" x14ac:dyDescent="0.3">
      <c r="C428" s="11"/>
      <c r="D428" s="32"/>
      <c r="E428" s="11"/>
      <c r="K428" s="15"/>
      <c r="L428" s="47"/>
      <c r="M428" s="76"/>
      <c r="N428" s="76"/>
      <c r="O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P428" s="77"/>
      <c r="Q428" s="32"/>
      <c r="R428" s="32"/>
      <c r="S428" s="32"/>
      <c r="T428" s="32"/>
    </row>
    <row r="429" spans="3:20" x14ac:dyDescent="0.3">
      <c r="C429" s="11"/>
      <c r="D429" s="32"/>
      <c r="E429" s="11"/>
      <c r="K429" s="15"/>
      <c r="L429" s="47"/>
      <c r="M429" s="76"/>
      <c r="N429" s="76"/>
      <c r="O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P429" s="77"/>
      <c r="Q429" s="32"/>
      <c r="R429" s="32"/>
      <c r="S429" s="32"/>
      <c r="T429" s="32"/>
    </row>
    <row r="430" spans="3:20" x14ac:dyDescent="0.3">
      <c r="C430" s="11"/>
      <c r="D430" s="32"/>
      <c r="E430" s="11"/>
      <c r="K430" s="15"/>
      <c r="L430" s="47"/>
      <c r="M430" s="76"/>
      <c r="N430" s="76"/>
      <c r="O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P430" s="77"/>
      <c r="Q430" s="32"/>
      <c r="R430" s="32"/>
      <c r="S430" s="32"/>
      <c r="T430" s="32"/>
    </row>
    <row r="431" spans="3:20" x14ac:dyDescent="0.3">
      <c r="C431" s="11"/>
      <c r="D431" s="32"/>
      <c r="E431" s="11"/>
      <c r="K431" s="15"/>
      <c r="L431" s="47"/>
      <c r="M431" s="76"/>
      <c r="N431" s="76"/>
      <c r="O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P431" s="77"/>
      <c r="Q431" s="32"/>
      <c r="R431" s="32"/>
      <c r="S431" s="32"/>
      <c r="T431" s="32"/>
    </row>
    <row r="432" spans="3:20" x14ac:dyDescent="0.3">
      <c r="C432" s="11"/>
      <c r="D432" s="32"/>
      <c r="E432" s="11"/>
      <c r="K432" s="15"/>
      <c r="L432" s="47"/>
      <c r="M432" s="76"/>
      <c r="N432" s="76"/>
      <c r="O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P432" s="77"/>
      <c r="Q432" s="32"/>
      <c r="R432" s="32"/>
      <c r="S432" s="32"/>
      <c r="T432" s="32"/>
    </row>
    <row r="433" spans="3:20" x14ac:dyDescent="0.3">
      <c r="C433" s="11"/>
      <c r="D433" s="32"/>
      <c r="E433" s="11"/>
      <c r="K433" s="15"/>
      <c r="L433" s="47"/>
      <c r="M433" s="76"/>
      <c r="N433" s="76"/>
      <c r="O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P433" s="77"/>
      <c r="Q433" s="32"/>
      <c r="R433" s="32"/>
      <c r="S433" s="32"/>
      <c r="T433" s="32"/>
    </row>
    <row r="434" spans="3:20" x14ac:dyDescent="0.3">
      <c r="C434" s="11"/>
      <c r="D434" s="32"/>
      <c r="E434" s="11"/>
      <c r="K434" s="15"/>
      <c r="L434" s="47"/>
      <c r="M434" s="76"/>
      <c r="N434" s="76"/>
      <c r="O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P434" s="77"/>
      <c r="Q434" s="32"/>
      <c r="R434" s="32"/>
      <c r="S434" s="32"/>
      <c r="T434" s="32"/>
    </row>
    <row r="435" spans="3:20" x14ac:dyDescent="0.3">
      <c r="C435" s="11"/>
      <c r="D435" s="32"/>
      <c r="E435" s="11"/>
      <c r="K435" s="15"/>
      <c r="L435" s="47"/>
      <c r="M435" s="76"/>
      <c r="N435" s="76"/>
      <c r="O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P435" s="77"/>
      <c r="Q435" s="32"/>
      <c r="R435" s="32"/>
      <c r="S435" s="32"/>
      <c r="T435" s="32"/>
    </row>
    <row r="436" spans="3:20" x14ac:dyDescent="0.3">
      <c r="C436" s="11"/>
      <c r="D436" s="32"/>
      <c r="E436" s="11"/>
      <c r="K436" s="15"/>
      <c r="L436" s="47"/>
      <c r="M436" s="76"/>
      <c r="N436" s="76"/>
      <c r="O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P436" s="77"/>
      <c r="Q436" s="32"/>
      <c r="R436" s="32"/>
      <c r="S436" s="32"/>
      <c r="T436" s="32"/>
    </row>
    <row r="437" spans="3:20" x14ac:dyDescent="0.3">
      <c r="C437" s="11"/>
      <c r="D437" s="32"/>
      <c r="E437" s="11"/>
      <c r="K437" s="15"/>
      <c r="L437" s="47"/>
      <c r="M437" s="76"/>
      <c r="N437" s="76"/>
      <c r="O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P437" s="77"/>
      <c r="Q437" s="32"/>
      <c r="R437" s="32"/>
      <c r="S437" s="32"/>
      <c r="T437" s="32"/>
    </row>
    <row r="438" spans="3:20" x14ac:dyDescent="0.3">
      <c r="C438" s="11"/>
      <c r="D438" s="32"/>
      <c r="E438" s="11"/>
      <c r="K438" s="15"/>
      <c r="L438" s="47"/>
      <c r="M438" s="76"/>
      <c r="N438" s="76"/>
      <c r="O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P438" s="77"/>
      <c r="Q438" s="32"/>
      <c r="R438" s="32"/>
      <c r="S438" s="32"/>
      <c r="T438" s="32"/>
    </row>
    <row r="439" spans="3:20" x14ac:dyDescent="0.3">
      <c r="C439" s="11"/>
      <c r="D439" s="32"/>
      <c r="E439" s="11"/>
      <c r="K439" s="15"/>
      <c r="L439" s="47"/>
      <c r="M439" s="76"/>
      <c r="N439" s="76"/>
      <c r="O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P439" s="77"/>
      <c r="Q439" s="32"/>
      <c r="R439" s="32"/>
      <c r="S439" s="32"/>
      <c r="T439" s="32"/>
    </row>
    <row r="440" spans="3:20" x14ac:dyDescent="0.3">
      <c r="C440" s="11"/>
      <c r="D440" s="32"/>
      <c r="E440" s="11"/>
      <c r="K440" s="15"/>
      <c r="L440" s="47"/>
      <c r="M440" s="76"/>
      <c r="N440" s="76"/>
      <c r="O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P440" s="77"/>
      <c r="Q440" s="32"/>
      <c r="R440" s="32"/>
      <c r="S440" s="32"/>
      <c r="T440" s="32"/>
    </row>
    <row r="441" spans="3:20" x14ac:dyDescent="0.3">
      <c r="C441" s="11"/>
      <c r="D441" s="32"/>
      <c r="E441" s="11"/>
      <c r="K441" s="15"/>
      <c r="L441" s="47"/>
      <c r="M441" s="76"/>
      <c r="N441" s="76"/>
      <c r="O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P441" s="77"/>
      <c r="Q441" s="32"/>
      <c r="R441" s="32"/>
      <c r="S441" s="32"/>
      <c r="T441" s="32"/>
    </row>
    <row r="442" spans="3:20" x14ac:dyDescent="0.3">
      <c r="C442" s="11"/>
      <c r="D442" s="32"/>
      <c r="E442" s="11"/>
      <c r="K442" s="15"/>
      <c r="L442" s="47"/>
      <c r="M442" s="76"/>
      <c r="N442" s="76"/>
      <c r="O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P442" s="77"/>
      <c r="Q442" s="32"/>
      <c r="R442" s="32"/>
      <c r="S442" s="32"/>
      <c r="T442" s="32"/>
    </row>
    <row r="443" spans="3:20" x14ac:dyDescent="0.3">
      <c r="C443" s="11"/>
      <c r="D443" s="32"/>
      <c r="E443" s="11"/>
      <c r="K443" s="15"/>
      <c r="L443" s="47"/>
      <c r="M443" s="76"/>
      <c r="N443" s="76"/>
      <c r="O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P443" s="77"/>
      <c r="Q443" s="32"/>
      <c r="R443" s="32"/>
      <c r="S443" s="32"/>
      <c r="T443" s="32"/>
    </row>
    <row r="444" spans="3:20" x14ac:dyDescent="0.3">
      <c r="C444" s="11"/>
      <c r="D444" s="32"/>
      <c r="E444" s="11"/>
      <c r="K444" s="15"/>
      <c r="L444" s="47"/>
      <c r="M444" s="76"/>
      <c r="N444" s="76"/>
      <c r="O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P444" s="77"/>
      <c r="Q444" s="32"/>
      <c r="R444" s="32"/>
      <c r="S444" s="32"/>
      <c r="T444" s="32"/>
    </row>
    <row r="445" spans="3:20" x14ac:dyDescent="0.3">
      <c r="C445" s="11"/>
      <c r="D445" s="32"/>
      <c r="E445" s="11"/>
      <c r="K445" s="15"/>
      <c r="L445" s="47"/>
      <c r="M445" s="76"/>
      <c r="N445" s="76"/>
      <c r="O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P445" s="77"/>
      <c r="Q445" s="32"/>
      <c r="R445" s="32"/>
      <c r="S445" s="32"/>
      <c r="T445" s="32"/>
    </row>
    <row r="446" spans="3:20" x14ac:dyDescent="0.3">
      <c r="C446" s="11"/>
      <c r="D446" s="32"/>
      <c r="E446" s="11"/>
      <c r="K446" s="15"/>
      <c r="L446" s="47"/>
      <c r="M446" s="76"/>
      <c r="N446" s="76"/>
      <c r="O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P446" s="77"/>
      <c r="Q446" s="32"/>
      <c r="R446" s="32"/>
      <c r="S446" s="32"/>
      <c r="T446" s="32"/>
    </row>
    <row r="447" spans="3:20" x14ac:dyDescent="0.3">
      <c r="C447" s="11"/>
      <c r="D447" s="32"/>
      <c r="E447" s="11"/>
      <c r="K447" s="15"/>
      <c r="L447" s="47"/>
      <c r="M447" s="76"/>
      <c r="N447" s="76"/>
      <c r="O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P447" s="77"/>
      <c r="Q447" s="32"/>
      <c r="R447" s="32"/>
      <c r="S447" s="32"/>
      <c r="T447" s="32"/>
    </row>
    <row r="448" spans="3:20" x14ac:dyDescent="0.3">
      <c r="C448" s="11"/>
      <c r="D448" s="32"/>
      <c r="E448" s="11"/>
      <c r="K448" s="15"/>
      <c r="L448" s="47"/>
      <c r="M448" s="76"/>
      <c r="N448" s="76"/>
      <c r="O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P448" s="77"/>
      <c r="Q448" s="32"/>
      <c r="R448" s="32"/>
      <c r="S448" s="32"/>
      <c r="T448" s="32"/>
    </row>
    <row r="449" spans="3:20" x14ac:dyDescent="0.3">
      <c r="C449" s="11"/>
      <c r="D449" s="32"/>
      <c r="E449" s="11"/>
      <c r="K449" s="15"/>
      <c r="L449" s="47"/>
      <c r="M449" s="76"/>
      <c r="N449" s="76"/>
      <c r="O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P449" s="77"/>
      <c r="Q449" s="32"/>
      <c r="R449" s="32"/>
      <c r="S449" s="32"/>
      <c r="T449" s="32"/>
    </row>
    <row r="450" spans="3:20" x14ac:dyDescent="0.3">
      <c r="C450" s="11"/>
      <c r="D450" s="32"/>
      <c r="E450" s="11"/>
      <c r="K450" s="15"/>
      <c r="L450" s="47"/>
      <c r="M450" s="76"/>
      <c r="N450" s="76"/>
      <c r="O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P450" s="77"/>
      <c r="Q450" s="32"/>
      <c r="R450" s="32"/>
      <c r="S450" s="32"/>
      <c r="T450" s="32"/>
    </row>
    <row r="451" spans="3:20" x14ac:dyDescent="0.3">
      <c r="C451" s="11"/>
      <c r="D451" s="32"/>
      <c r="E451" s="11"/>
      <c r="K451" s="15"/>
      <c r="L451" s="47"/>
      <c r="M451" s="76"/>
      <c r="N451" s="76"/>
      <c r="O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P451" s="77"/>
      <c r="Q451" s="32"/>
      <c r="R451" s="32"/>
      <c r="S451" s="32"/>
      <c r="T451" s="32"/>
    </row>
    <row r="452" spans="3:20" x14ac:dyDescent="0.3">
      <c r="C452" s="11"/>
      <c r="D452" s="32"/>
      <c r="E452" s="11"/>
      <c r="K452" s="15"/>
      <c r="L452" s="47"/>
      <c r="M452" s="76"/>
      <c r="N452" s="76"/>
      <c r="O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P452" s="77"/>
      <c r="Q452" s="32"/>
      <c r="R452" s="32"/>
      <c r="S452" s="32"/>
      <c r="T452" s="32"/>
    </row>
    <row r="453" spans="3:20" x14ac:dyDescent="0.3">
      <c r="C453" s="11"/>
      <c r="D453" s="32"/>
      <c r="E453" s="11"/>
      <c r="K453" s="15"/>
      <c r="L453" s="47"/>
      <c r="M453" s="76"/>
      <c r="N453" s="76"/>
      <c r="O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P453" s="77"/>
      <c r="Q453" s="32"/>
      <c r="R453" s="32"/>
      <c r="S453" s="32"/>
      <c r="T453" s="32"/>
    </row>
    <row r="454" spans="3:20" x14ac:dyDescent="0.3">
      <c r="C454" s="11"/>
      <c r="D454" s="32"/>
      <c r="E454" s="11"/>
      <c r="K454" s="15"/>
      <c r="L454" s="47"/>
      <c r="M454" s="76"/>
      <c r="N454" s="76"/>
      <c r="O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P454" s="77"/>
      <c r="Q454" s="32"/>
      <c r="R454" s="32"/>
      <c r="S454" s="32"/>
      <c r="T454" s="32"/>
    </row>
    <row r="455" spans="3:20" x14ac:dyDescent="0.3">
      <c r="C455" s="11"/>
      <c r="D455" s="32"/>
      <c r="E455" s="11"/>
      <c r="K455" s="15"/>
      <c r="L455" s="47"/>
      <c r="M455" s="76"/>
      <c r="N455" s="76"/>
      <c r="O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P455" s="77"/>
      <c r="Q455" s="32"/>
      <c r="R455" s="32"/>
      <c r="S455" s="32"/>
      <c r="T455" s="32"/>
    </row>
    <row r="456" spans="3:20" x14ac:dyDescent="0.3">
      <c r="C456" s="11"/>
      <c r="D456" s="32"/>
      <c r="E456" s="11"/>
      <c r="K456" s="15"/>
      <c r="L456" s="47"/>
      <c r="M456" s="76"/>
      <c r="N456" s="76"/>
      <c r="O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P456" s="77"/>
      <c r="Q456" s="32"/>
      <c r="R456" s="32"/>
      <c r="S456" s="32"/>
      <c r="T456" s="32"/>
    </row>
    <row r="457" spans="3:20" x14ac:dyDescent="0.3">
      <c r="C457" s="11"/>
      <c r="D457" s="32"/>
      <c r="E457" s="11"/>
      <c r="K457" s="15"/>
      <c r="L457" s="47"/>
      <c r="M457" s="76"/>
      <c r="N457" s="76"/>
      <c r="O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P457" s="77"/>
      <c r="Q457" s="32"/>
      <c r="R457" s="32"/>
      <c r="S457" s="32"/>
      <c r="T457" s="32"/>
    </row>
    <row r="458" spans="3:20" x14ac:dyDescent="0.3">
      <c r="C458" s="11"/>
      <c r="D458" s="32"/>
      <c r="E458" s="11"/>
      <c r="K458" s="15"/>
      <c r="L458" s="47"/>
      <c r="M458" s="76"/>
      <c r="N458" s="76"/>
      <c r="O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P458" s="77"/>
      <c r="Q458" s="32"/>
      <c r="R458" s="32"/>
      <c r="S458" s="32"/>
      <c r="T458" s="32"/>
    </row>
    <row r="459" spans="3:20" x14ac:dyDescent="0.3">
      <c r="C459" s="11"/>
      <c r="D459" s="32"/>
      <c r="E459" s="11"/>
      <c r="K459" s="15"/>
      <c r="L459" s="47"/>
      <c r="M459" s="76"/>
      <c r="N459" s="76"/>
      <c r="O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P459" s="77"/>
      <c r="Q459" s="32"/>
      <c r="R459" s="32"/>
      <c r="S459" s="32"/>
      <c r="T459" s="32"/>
    </row>
    <row r="460" spans="3:20" x14ac:dyDescent="0.3">
      <c r="C460" s="11"/>
      <c r="D460" s="32"/>
      <c r="E460" s="11"/>
      <c r="K460" s="15"/>
      <c r="L460" s="47"/>
      <c r="M460" s="76"/>
      <c r="N460" s="76"/>
      <c r="O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P460" s="77"/>
      <c r="Q460" s="32"/>
      <c r="R460" s="32"/>
      <c r="S460" s="32"/>
      <c r="T460" s="32"/>
    </row>
    <row r="461" spans="3:20" x14ac:dyDescent="0.3">
      <c r="C461" s="11"/>
      <c r="D461" s="32"/>
      <c r="E461" s="11"/>
      <c r="K461" s="15"/>
      <c r="L461" s="47"/>
      <c r="M461" s="76"/>
      <c r="N461" s="76"/>
      <c r="O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P461" s="77"/>
      <c r="Q461" s="32"/>
      <c r="R461" s="32"/>
      <c r="S461" s="32"/>
      <c r="T461" s="32"/>
    </row>
    <row r="462" spans="3:20" x14ac:dyDescent="0.3">
      <c r="C462" s="11"/>
      <c r="D462" s="32"/>
      <c r="E462" s="11"/>
      <c r="K462" s="15"/>
      <c r="L462" s="47"/>
      <c r="M462" s="76"/>
      <c r="N462" s="76"/>
      <c r="O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P462" s="77"/>
      <c r="Q462" s="32"/>
      <c r="R462" s="32"/>
      <c r="S462" s="32"/>
      <c r="T462" s="32"/>
    </row>
    <row r="463" spans="3:20" x14ac:dyDescent="0.3">
      <c r="C463" s="11"/>
      <c r="D463" s="32"/>
      <c r="E463" s="11"/>
      <c r="K463" s="15"/>
      <c r="L463" s="47"/>
      <c r="M463" s="76"/>
      <c r="N463" s="76"/>
      <c r="O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P463" s="77"/>
      <c r="Q463" s="32"/>
      <c r="R463" s="32"/>
      <c r="S463" s="32"/>
      <c r="T463" s="32"/>
    </row>
    <row r="464" spans="3:20" x14ac:dyDescent="0.3">
      <c r="C464" s="11"/>
      <c r="D464" s="32"/>
      <c r="E464" s="11"/>
      <c r="K464" s="15"/>
      <c r="L464" s="47"/>
      <c r="M464" s="76"/>
      <c r="N464" s="76"/>
      <c r="O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P464" s="77"/>
      <c r="Q464" s="32"/>
      <c r="R464" s="32"/>
      <c r="S464" s="32"/>
      <c r="T464" s="32"/>
    </row>
    <row r="465" spans="3:20" x14ac:dyDescent="0.3">
      <c r="C465" s="11"/>
      <c r="D465" s="32"/>
      <c r="E465" s="11"/>
      <c r="K465" s="15"/>
      <c r="L465" s="47"/>
      <c r="M465" s="76"/>
      <c r="N465" s="76"/>
      <c r="O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P465" s="77"/>
      <c r="Q465" s="32"/>
      <c r="R465" s="32"/>
      <c r="S465" s="32"/>
      <c r="T465" s="32"/>
    </row>
    <row r="466" spans="3:20" x14ac:dyDescent="0.3">
      <c r="C466" s="11"/>
      <c r="D466" s="32"/>
      <c r="E466" s="11"/>
      <c r="K466" s="15"/>
      <c r="L466" s="47"/>
      <c r="M466" s="76"/>
      <c r="N466" s="76"/>
      <c r="O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P466" s="77"/>
      <c r="Q466" s="32"/>
      <c r="R466" s="32"/>
      <c r="S466" s="32"/>
      <c r="T466" s="32"/>
    </row>
    <row r="467" spans="3:20" x14ac:dyDescent="0.3">
      <c r="C467" s="11"/>
      <c r="D467" s="32"/>
      <c r="E467" s="11"/>
      <c r="K467" s="15"/>
      <c r="L467" s="47"/>
      <c r="M467" s="76"/>
      <c r="N467" s="76"/>
      <c r="O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P467" s="77"/>
      <c r="Q467" s="32"/>
      <c r="R467" s="32"/>
      <c r="S467" s="32"/>
      <c r="T467" s="32"/>
    </row>
    <row r="468" spans="3:20" x14ac:dyDescent="0.3">
      <c r="C468" s="11"/>
      <c r="D468" s="32"/>
      <c r="E468" s="11"/>
      <c r="K468" s="15"/>
      <c r="L468" s="47"/>
      <c r="M468" s="76"/>
      <c r="N468" s="76"/>
      <c r="O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P468" s="77"/>
      <c r="Q468" s="32"/>
      <c r="R468" s="32"/>
      <c r="S468" s="32"/>
      <c r="T468" s="32"/>
    </row>
    <row r="469" spans="3:20" x14ac:dyDescent="0.3">
      <c r="C469" s="11"/>
      <c r="D469" s="32"/>
      <c r="E469" s="11"/>
      <c r="K469" s="15"/>
      <c r="L469" s="47"/>
      <c r="M469" s="76"/>
      <c r="N469" s="76"/>
      <c r="O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P469" s="77"/>
      <c r="Q469" s="32"/>
      <c r="R469" s="32"/>
      <c r="S469" s="32"/>
      <c r="T469" s="32"/>
    </row>
    <row r="470" spans="3:20" x14ac:dyDescent="0.3">
      <c r="C470" s="11"/>
      <c r="D470" s="32"/>
      <c r="E470" s="11"/>
      <c r="K470" s="15"/>
      <c r="L470" s="47"/>
      <c r="M470" s="76"/>
      <c r="N470" s="76"/>
      <c r="O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P470" s="77"/>
      <c r="Q470" s="32"/>
      <c r="R470" s="32"/>
      <c r="S470" s="32"/>
      <c r="T470" s="32"/>
    </row>
    <row r="471" spans="3:20" x14ac:dyDescent="0.3">
      <c r="C471" s="11"/>
      <c r="D471" s="32"/>
      <c r="E471" s="11"/>
      <c r="K471" s="15"/>
      <c r="L471" s="47"/>
      <c r="M471" s="76"/>
      <c r="N471" s="76"/>
      <c r="O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P471" s="77"/>
      <c r="Q471" s="32"/>
      <c r="R471" s="32"/>
      <c r="S471" s="32"/>
      <c r="T471" s="32"/>
    </row>
    <row r="472" spans="3:20" x14ac:dyDescent="0.3">
      <c r="C472" s="11"/>
      <c r="D472" s="32"/>
      <c r="E472" s="11"/>
      <c r="K472" s="15"/>
      <c r="L472" s="47"/>
      <c r="M472" s="76"/>
      <c r="N472" s="76"/>
      <c r="O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P472" s="77"/>
      <c r="Q472" s="32"/>
      <c r="R472" s="32"/>
      <c r="S472" s="32"/>
      <c r="T472" s="32"/>
    </row>
    <row r="473" spans="3:20" x14ac:dyDescent="0.3">
      <c r="C473" s="11"/>
      <c r="D473" s="32"/>
      <c r="E473" s="11"/>
      <c r="K473" s="15"/>
      <c r="L473" s="47"/>
      <c r="M473" s="76"/>
      <c r="N473" s="76"/>
      <c r="O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P473" s="77"/>
      <c r="Q473" s="32"/>
      <c r="R473" s="32"/>
      <c r="S473" s="32"/>
      <c r="T473" s="32"/>
    </row>
    <row r="474" spans="3:20" x14ac:dyDescent="0.3">
      <c r="C474" s="11"/>
      <c r="D474" s="32"/>
      <c r="E474" s="11"/>
      <c r="K474" s="15"/>
      <c r="L474" s="47"/>
      <c r="M474" s="76"/>
      <c r="N474" s="76"/>
      <c r="O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P474" s="77"/>
      <c r="Q474" s="32"/>
      <c r="R474" s="32"/>
      <c r="S474" s="32"/>
      <c r="T474" s="32"/>
    </row>
    <row r="475" spans="3:20" x14ac:dyDescent="0.3">
      <c r="C475" s="11"/>
      <c r="D475" s="32"/>
      <c r="E475" s="11"/>
      <c r="K475" s="15"/>
      <c r="L475" s="47"/>
      <c r="M475" s="76"/>
      <c r="N475" s="76"/>
      <c r="O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P475" s="77"/>
      <c r="Q475" s="32"/>
      <c r="R475" s="32"/>
      <c r="S475" s="32"/>
      <c r="T475" s="32"/>
    </row>
    <row r="476" spans="3:20" x14ac:dyDescent="0.3">
      <c r="C476" s="11"/>
      <c r="D476" s="32"/>
      <c r="E476" s="11"/>
      <c r="K476" s="15"/>
      <c r="L476" s="47"/>
      <c r="M476" s="76"/>
      <c r="N476" s="76"/>
      <c r="O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P476" s="77"/>
      <c r="Q476" s="32"/>
      <c r="R476" s="32"/>
      <c r="S476" s="32"/>
      <c r="T476" s="32"/>
    </row>
    <row r="477" spans="3:20" x14ac:dyDescent="0.3">
      <c r="C477" s="11"/>
      <c r="D477" s="32"/>
      <c r="E477" s="11"/>
      <c r="K477" s="15"/>
      <c r="L477" s="47"/>
      <c r="M477" s="76"/>
      <c r="N477" s="76"/>
      <c r="O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P477" s="77"/>
      <c r="Q477" s="32"/>
      <c r="R477" s="32"/>
      <c r="S477" s="32"/>
      <c r="T477" s="32"/>
    </row>
    <row r="478" spans="3:20" x14ac:dyDescent="0.3">
      <c r="C478" s="11"/>
      <c r="D478" s="32"/>
      <c r="E478" s="11"/>
      <c r="K478" s="15"/>
      <c r="L478" s="47"/>
      <c r="M478" s="76"/>
      <c r="N478" s="76"/>
      <c r="O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P478" s="77"/>
      <c r="Q478" s="32"/>
      <c r="R478" s="32"/>
      <c r="S478" s="32"/>
      <c r="T478" s="32"/>
    </row>
    <row r="479" spans="3:20" x14ac:dyDescent="0.3">
      <c r="C479" s="11"/>
      <c r="D479" s="32"/>
      <c r="E479" s="11"/>
      <c r="K479" s="15"/>
      <c r="L479" s="47"/>
      <c r="M479" s="76"/>
      <c r="N479" s="76"/>
      <c r="O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P479" s="77"/>
      <c r="Q479" s="32"/>
      <c r="R479" s="32"/>
      <c r="S479" s="32"/>
      <c r="T479" s="32"/>
    </row>
    <row r="480" spans="3:20" x14ac:dyDescent="0.3">
      <c r="C480" s="11"/>
      <c r="D480" s="32"/>
      <c r="E480" s="11"/>
      <c r="K480" s="15"/>
      <c r="L480" s="47"/>
      <c r="M480" s="76"/>
      <c r="N480" s="76"/>
      <c r="O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P480" s="77"/>
      <c r="Q480" s="32"/>
      <c r="R480" s="32"/>
      <c r="S480" s="32"/>
      <c r="T480" s="32"/>
    </row>
    <row r="481" spans="3:20" x14ac:dyDescent="0.3">
      <c r="C481" s="11"/>
      <c r="D481" s="32"/>
      <c r="E481" s="11"/>
      <c r="K481" s="15"/>
      <c r="L481" s="47"/>
      <c r="M481" s="76"/>
      <c r="N481" s="76"/>
      <c r="O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P481" s="77"/>
      <c r="Q481" s="32"/>
      <c r="R481" s="32"/>
      <c r="S481" s="32"/>
      <c r="T481" s="32"/>
    </row>
    <row r="482" spans="3:20" x14ac:dyDescent="0.3">
      <c r="C482" s="11"/>
      <c r="D482" s="32"/>
      <c r="E482" s="11"/>
      <c r="K482" s="15"/>
      <c r="L482" s="47"/>
      <c r="M482" s="76"/>
      <c r="N482" s="76"/>
      <c r="O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P482" s="77"/>
      <c r="Q482" s="32"/>
      <c r="R482" s="32"/>
      <c r="S482" s="32"/>
      <c r="T482" s="32"/>
    </row>
    <row r="483" spans="3:20" x14ac:dyDescent="0.3">
      <c r="C483" s="11"/>
      <c r="D483" s="32"/>
      <c r="E483" s="11"/>
      <c r="K483" s="15"/>
      <c r="L483" s="47"/>
      <c r="M483" s="76"/>
      <c r="N483" s="76"/>
      <c r="O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P483" s="77"/>
      <c r="Q483" s="32"/>
      <c r="R483" s="32"/>
      <c r="S483" s="32"/>
      <c r="T483" s="32"/>
    </row>
    <row r="484" spans="3:20" x14ac:dyDescent="0.3">
      <c r="C484" s="11"/>
      <c r="D484" s="32"/>
      <c r="E484" s="11"/>
      <c r="K484" s="15"/>
      <c r="L484" s="47"/>
      <c r="M484" s="76"/>
      <c r="N484" s="76"/>
      <c r="O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P484" s="77"/>
      <c r="Q484" s="32"/>
      <c r="R484" s="32"/>
      <c r="S484" s="32"/>
      <c r="T484" s="32"/>
    </row>
    <row r="485" spans="3:20" x14ac:dyDescent="0.3">
      <c r="C485" s="11"/>
      <c r="D485" s="32"/>
      <c r="E485" s="11"/>
      <c r="K485" s="15"/>
      <c r="L485" s="47"/>
      <c r="M485" s="76"/>
      <c r="N485" s="76"/>
      <c r="O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P485" s="77"/>
      <c r="Q485" s="32"/>
      <c r="R485" s="32"/>
      <c r="S485" s="32"/>
      <c r="T485" s="32"/>
    </row>
    <row r="486" spans="3:20" x14ac:dyDescent="0.3">
      <c r="C486" s="11"/>
      <c r="D486" s="32"/>
      <c r="E486" s="11"/>
      <c r="K486" s="15"/>
      <c r="L486" s="47"/>
      <c r="M486" s="76"/>
      <c r="N486" s="76"/>
      <c r="O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P486" s="77"/>
      <c r="Q486" s="32"/>
      <c r="R486" s="32"/>
      <c r="S486" s="32"/>
      <c r="T486" s="32"/>
    </row>
    <row r="487" spans="3:20" x14ac:dyDescent="0.3">
      <c r="C487" s="11"/>
      <c r="D487" s="32"/>
      <c r="E487" s="11"/>
      <c r="K487" s="15"/>
      <c r="L487" s="47"/>
      <c r="M487" s="76"/>
      <c r="N487" s="76"/>
      <c r="O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P487" s="77"/>
      <c r="Q487" s="32"/>
      <c r="R487" s="32"/>
      <c r="S487" s="32"/>
      <c r="T487" s="32"/>
    </row>
    <row r="488" spans="3:20" x14ac:dyDescent="0.3">
      <c r="C488" s="11"/>
      <c r="D488" s="32"/>
      <c r="E488" s="11"/>
      <c r="K488" s="15"/>
      <c r="L488" s="47"/>
      <c r="M488" s="76"/>
      <c r="N488" s="76"/>
      <c r="O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P488" s="77"/>
      <c r="Q488" s="32"/>
      <c r="R488" s="32"/>
      <c r="S488" s="32"/>
      <c r="T488" s="32"/>
    </row>
    <row r="489" spans="3:20" x14ac:dyDescent="0.3">
      <c r="C489" s="11"/>
      <c r="D489" s="32"/>
      <c r="E489" s="11"/>
      <c r="K489" s="15"/>
      <c r="L489" s="47"/>
      <c r="M489" s="76"/>
      <c r="N489" s="76"/>
      <c r="O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P489" s="77"/>
      <c r="Q489" s="32"/>
      <c r="R489" s="32"/>
      <c r="S489" s="32"/>
      <c r="T489" s="32"/>
    </row>
    <row r="490" spans="3:20" x14ac:dyDescent="0.3">
      <c r="C490" s="11"/>
      <c r="D490" s="32"/>
      <c r="E490" s="11"/>
      <c r="K490" s="15"/>
      <c r="L490" s="47"/>
      <c r="M490" s="76"/>
      <c r="N490" s="76"/>
      <c r="O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P490" s="77"/>
      <c r="Q490" s="32"/>
      <c r="R490" s="32"/>
      <c r="S490" s="32"/>
      <c r="T490" s="32"/>
    </row>
    <row r="491" spans="3:20" x14ac:dyDescent="0.3">
      <c r="C491" s="11"/>
      <c r="D491" s="32"/>
      <c r="E491" s="11"/>
      <c r="K491" s="15"/>
      <c r="L491" s="47"/>
      <c r="M491" s="76"/>
      <c r="N491" s="76"/>
      <c r="O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P491" s="77"/>
      <c r="Q491" s="32"/>
      <c r="R491" s="32"/>
      <c r="S491" s="32"/>
      <c r="T491" s="32"/>
    </row>
    <row r="492" spans="3:20" x14ac:dyDescent="0.3">
      <c r="C492" s="11"/>
      <c r="D492" s="32"/>
      <c r="E492" s="11"/>
      <c r="K492" s="15"/>
      <c r="L492" s="47"/>
      <c r="M492" s="76"/>
      <c r="N492" s="76"/>
      <c r="O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P492" s="77"/>
      <c r="Q492" s="32"/>
      <c r="R492" s="32"/>
      <c r="S492" s="32"/>
      <c r="T492" s="32"/>
    </row>
    <row r="493" spans="3:20" x14ac:dyDescent="0.3">
      <c r="C493" s="11"/>
      <c r="D493" s="32"/>
      <c r="E493" s="11"/>
      <c r="K493" s="15"/>
      <c r="L493" s="47"/>
      <c r="M493" s="76"/>
      <c r="N493" s="76"/>
      <c r="O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P493" s="77"/>
      <c r="Q493" s="32"/>
      <c r="R493" s="32"/>
      <c r="S493" s="32"/>
      <c r="T493" s="32"/>
    </row>
    <row r="494" spans="3:20" x14ac:dyDescent="0.3">
      <c r="C494" s="11"/>
      <c r="D494" s="32"/>
      <c r="E494" s="11"/>
      <c r="K494" s="15"/>
      <c r="L494" s="47"/>
      <c r="M494" s="76"/>
      <c r="N494" s="76"/>
      <c r="O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P494" s="77"/>
      <c r="Q494" s="32"/>
      <c r="R494" s="32"/>
      <c r="S494" s="32"/>
      <c r="T494" s="32"/>
    </row>
    <row r="495" spans="3:20" x14ac:dyDescent="0.3">
      <c r="C495" s="11"/>
      <c r="D495" s="32"/>
      <c r="E495" s="11"/>
      <c r="K495" s="15"/>
      <c r="L495" s="47"/>
      <c r="M495" s="76"/>
      <c r="N495" s="76"/>
      <c r="O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P495" s="77"/>
      <c r="Q495" s="32"/>
      <c r="R495" s="32"/>
      <c r="S495" s="32"/>
      <c r="T495" s="32"/>
    </row>
    <row r="496" spans="3:20" x14ac:dyDescent="0.3">
      <c r="C496" s="11"/>
      <c r="D496" s="32"/>
      <c r="E496" s="11"/>
      <c r="K496" s="15"/>
      <c r="L496" s="47"/>
      <c r="M496" s="76"/>
      <c r="N496" s="76"/>
      <c r="O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P496" s="77"/>
      <c r="Q496" s="32"/>
      <c r="R496" s="32"/>
      <c r="S496" s="32"/>
      <c r="T496" s="32"/>
    </row>
    <row r="497" spans="3:20" x14ac:dyDescent="0.3">
      <c r="C497" s="11"/>
      <c r="D497" s="32"/>
      <c r="E497" s="11"/>
      <c r="K497" s="15"/>
      <c r="L497" s="47"/>
      <c r="M497" s="76"/>
      <c r="N497" s="76"/>
      <c r="O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P497" s="77"/>
      <c r="Q497" s="32"/>
      <c r="R497" s="32"/>
      <c r="S497" s="32"/>
      <c r="T497" s="32"/>
    </row>
    <row r="498" spans="3:20" x14ac:dyDescent="0.3">
      <c r="C498" s="11"/>
      <c r="D498" s="32"/>
      <c r="E498" s="11"/>
      <c r="K498" s="15"/>
      <c r="L498" s="47"/>
      <c r="M498" s="76"/>
      <c r="N498" s="76"/>
      <c r="O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P498" s="77"/>
      <c r="Q498" s="32"/>
      <c r="R498" s="32"/>
      <c r="S498" s="32"/>
      <c r="T498" s="32"/>
    </row>
    <row r="499" spans="3:20" x14ac:dyDescent="0.3">
      <c r="C499" s="11"/>
      <c r="D499" s="32"/>
      <c r="E499" s="11"/>
      <c r="K499" s="15"/>
      <c r="L499" s="47"/>
      <c r="M499" s="76"/>
      <c r="N499" s="76"/>
      <c r="O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P499" s="77"/>
      <c r="Q499" s="32"/>
      <c r="R499" s="32"/>
      <c r="S499" s="32"/>
      <c r="T499" s="32"/>
    </row>
    <row r="500" spans="3:20" x14ac:dyDescent="0.3">
      <c r="C500" s="11"/>
      <c r="D500" s="32"/>
      <c r="E500" s="11"/>
      <c r="K500" s="15"/>
      <c r="L500" s="47"/>
      <c r="M500" s="76"/>
      <c r="N500" s="76"/>
      <c r="O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P500" s="77"/>
      <c r="Q500" s="32"/>
      <c r="R500" s="32"/>
      <c r="S500" s="32"/>
      <c r="T500" s="32"/>
    </row>
    <row r="501" spans="3:20" x14ac:dyDescent="0.3">
      <c r="C501" s="11"/>
      <c r="D501" s="32"/>
      <c r="E501" s="11"/>
      <c r="K501" s="15"/>
      <c r="L501" s="47"/>
      <c r="M501" s="76"/>
      <c r="N501" s="76"/>
      <c r="O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P501" s="77"/>
      <c r="Q501" s="32"/>
      <c r="R501" s="32"/>
      <c r="S501" s="32"/>
      <c r="T501" s="32"/>
    </row>
    <row r="502" spans="3:20" x14ac:dyDescent="0.3">
      <c r="C502" s="11"/>
      <c r="D502" s="32"/>
      <c r="E502" s="11"/>
      <c r="K502" s="15"/>
      <c r="L502" s="47"/>
      <c r="M502" s="76"/>
      <c r="N502" s="76"/>
      <c r="O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P502" s="77"/>
      <c r="Q502" s="32"/>
      <c r="R502" s="32"/>
      <c r="S502" s="32"/>
      <c r="T502" s="32"/>
    </row>
    <row r="503" spans="3:20" x14ac:dyDescent="0.3">
      <c r="C503" s="11"/>
      <c r="D503" s="32"/>
      <c r="E503" s="11"/>
      <c r="K503" s="15"/>
      <c r="L503" s="47"/>
      <c r="M503" s="76"/>
      <c r="N503" s="76"/>
      <c r="O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P503" s="77"/>
      <c r="Q503" s="32"/>
      <c r="R503" s="32"/>
      <c r="S503" s="32"/>
      <c r="T503" s="32"/>
    </row>
    <row r="504" spans="3:20" x14ac:dyDescent="0.3">
      <c r="C504" s="11"/>
      <c r="D504" s="32"/>
      <c r="E504" s="11"/>
      <c r="K504" s="15"/>
      <c r="L504" s="47"/>
      <c r="M504" s="76"/>
      <c r="N504" s="76"/>
      <c r="O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P504" s="77"/>
      <c r="Q504" s="32"/>
      <c r="R504" s="32"/>
      <c r="S504" s="32"/>
      <c r="T504" s="32"/>
    </row>
    <row r="505" spans="3:20" x14ac:dyDescent="0.3">
      <c r="C505" s="11"/>
      <c r="D505" s="32"/>
      <c r="E505" s="11"/>
      <c r="K505" s="15"/>
      <c r="L505" s="47"/>
      <c r="M505" s="76"/>
      <c r="N505" s="76"/>
      <c r="O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P505" s="77"/>
      <c r="Q505" s="32"/>
      <c r="R505" s="32"/>
      <c r="S505" s="32"/>
      <c r="T505" s="32"/>
    </row>
    <row r="506" spans="3:20" x14ac:dyDescent="0.3">
      <c r="C506" s="11"/>
      <c r="D506" s="32"/>
      <c r="E506" s="11"/>
      <c r="K506" s="15"/>
      <c r="L506" s="47"/>
      <c r="M506" s="76"/>
      <c r="N506" s="76"/>
      <c r="O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P506" s="77"/>
      <c r="Q506" s="32"/>
      <c r="R506" s="32"/>
      <c r="S506" s="32"/>
      <c r="T506" s="32"/>
    </row>
    <row r="507" spans="3:20" x14ac:dyDescent="0.3">
      <c r="C507" s="11"/>
      <c r="D507" s="32"/>
      <c r="E507" s="11"/>
      <c r="K507" s="15"/>
      <c r="L507" s="47"/>
      <c r="M507" s="76"/>
      <c r="N507" s="76"/>
      <c r="O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P507" s="77"/>
      <c r="Q507" s="32"/>
      <c r="R507" s="32"/>
      <c r="S507" s="32"/>
      <c r="T507" s="32"/>
    </row>
    <row r="508" spans="3:20" x14ac:dyDescent="0.3">
      <c r="C508" s="11"/>
      <c r="D508" s="32"/>
      <c r="E508" s="11"/>
      <c r="K508" s="15"/>
      <c r="L508" s="47"/>
      <c r="M508" s="76"/>
      <c r="N508" s="76"/>
      <c r="O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P508" s="77"/>
      <c r="Q508" s="32"/>
      <c r="R508" s="32"/>
      <c r="S508" s="32"/>
      <c r="T508" s="32"/>
    </row>
    <row r="509" spans="3:20" x14ac:dyDescent="0.3">
      <c r="C509" s="11"/>
      <c r="D509" s="32"/>
      <c r="E509" s="11"/>
      <c r="K509" s="15"/>
      <c r="L509" s="47"/>
      <c r="M509" s="76"/>
      <c r="N509" s="76"/>
      <c r="O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P509" s="77"/>
      <c r="Q509" s="32"/>
      <c r="R509" s="32"/>
      <c r="S509" s="32"/>
      <c r="T509" s="32"/>
    </row>
    <row r="510" spans="3:20" x14ac:dyDescent="0.3">
      <c r="C510" s="11"/>
      <c r="D510" s="32"/>
      <c r="E510" s="11"/>
      <c r="K510" s="15"/>
      <c r="L510" s="47"/>
      <c r="M510" s="76"/>
      <c r="N510" s="76"/>
      <c r="O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P510" s="77"/>
      <c r="Q510" s="32"/>
      <c r="R510" s="32"/>
      <c r="S510" s="32"/>
      <c r="T510" s="32"/>
    </row>
    <row r="511" spans="3:20" x14ac:dyDescent="0.3">
      <c r="C511" s="11"/>
      <c r="D511" s="32"/>
      <c r="E511" s="11"/>
      <c r="K511" s="15"/>
      <c r="L511" s="47"/>
      <c r="M511" s="76"/>
      <c r="N511" s="76"/>
      <c r="O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P511" s="77"/>
      <c r="Q511" s="32"/>
      <c r="R511" s="32"/>
      <c r="S511" s="32"/>
      <c r="T511" s="32"/>
    </row>
    <row r="512" spans="3:20" x14ac:dyDescent="0.3">
      <c r="C512" s="11"/>
      <c r="D512" s="32"/>
      <c r="E512" s="11"/>
      <c r="K512" s="15"/>
      <c r="L512" s="47"/>
      <c r="M512" s="76"/>
      <c r="N512" s="76"/>
      <c r="O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P512" s="77"/>
      <c r="Q512" s="32"/>
      <c r="R512" s="32"/>
      <c r="S512" s="32"/>
      <c r="T512" s="32"/>
    </row>
    <row r="513" spans="3:20" x14ac:dyDescent="0.3">
      <c r="C513" s="11"/>
      <c r="D513" s="32"/>
      <c r="E513" s="11"/>
      <c r="K513" s="15"/>
      <c r="L513" s="47"/>
      <c r="M513" s="76"/>
      <c r="N513" s="76"/>
      <c r="O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P513" s="77"/>
      <c r="Q513" s="32"/>
      <c r="R513" s="32"/>
      <c r="S513" s="32"/>
      <c r="T513" s="32"/>
    </row>
    <row r="514" spans="3:20" x14ac:dyDescent="0.3">
      <c r="C514" s="11"/>
      <c r="D514" s="32"/>
      <c r="E514" s="11"/>
      <c r="K514" s="15"/>
      <c r="L514" s="47"/>
      <c r="M514" s="76"/>
      <c r="N514" s="76"/>
      <c r="O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P514" s="77"/>
      <c r="Q514" s="32"/>
      <c r="R514" s="32"/>
      <c r="S514" s="32"/>
      <c r="T514" s="32"/>
    </row>
    <row r="515" spans="3:20" x14ac:dyDescent="0.3">
      <c r="C515" s="11"/>
      <c r="D515" s="32"/>
      <c r="E515" s="11"/>
      <c r="K515" s="15"/>
      <c r="L515" s="47"/>
      <c r="M515" s="76"/>
      <c r="N515" s="76"/>
      <c r="O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P515" s="77"/>
      <c r="Q515" s="32"/>
      <c r="R515" s="32"/>
      <c r="S515" s="32"/>
      <c r="T515" s="32"/>
    </row>
    <row r="516" spans="3:20" x14ac:dyDescent="0.3">
      <c r="C516" s="11"/>
      <c r="D516" s="32"/>
      <c r="E516" s="11"/>
      <c r="K516" s="15"/>
      <c r="L516" s="47"/>
      <c r="M516" s="76"/>
      <c r="N516" s="76"/>
      <c r="O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P516" s="77"/>
      <c r="Q516" s="32"/>
      <c r="R516" s="32"/>
      <c r="S516" s="32"/>
      <c r="T516" s="32"/>
    </row>
    <row r="517" spans="3:20" x14ac:dyDescent="0.3">
      <c r="C517" s="11"/>
      <c r="D517" s="32"/>
      <c r="E517" s="11"/>
      <c r="K517" s="15"/>
      <c r="L517" s="47"/>
      <c r="M517" s="76"/>
      <c r="N517" s="76"/>
      <c r="O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P517" s="77"/>
      <c r="Q517" s="32"/>
      <c r="R517" s="32"/>
      <c r="S517" s="32"/>
      <c r="T517" s="32"/>
    </row>
    <row r="518" spans="3:20" x14ac:dyDescent="0.3">
      <c r="C518" s="11"/>
      <c r="D518" s="32"/>
      <c r="E518" s="11"/>
      <c r="K518" s="15"/>
      <c r="L518" s="47"/>
      <c r="M518" s="76"/>
      <c r="N518" s="76"/>
      <c r="O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P518" s="77"/>
      <c r="Q518" s="32"/>
      <c r="R518" s="32"/>
      <c r="S518" s="32"/>
      <c r="T518" s="32"/>
    </row>
    <row r="519" spans="3:20" x14ac:dyDescent="0.3">
      <c r="C519" s="11"/>
      <c r="D519" s="32"/>
      <c r="E519" s="11"/>
      <c r="K519" s="15"/>
      <c r="L519" s="47"/>
      <c r="M519" s="76"/>
      <c r="N519" s="76"/>
      <c r="O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P519" s="77"/>
      <c r="Q519" s="32"/>
      <c r="R519" s="32"/>
      <c r="S519" s="32"/>
      <c r="T519" s="32"/>
    </row>
    <row r="520" spans="3:20" x14ac:dyDescent="0.3">
      <c r="C520" s="11"/>
      <c r="D520" s="32"/>
      <c r="E520" s="11"/>
      <c r="K520" s="15"/>
      <c r="L520" s="47"/>
      <c r="M520" s="76"/>
      <c r="N520" s="76"/>
      <c r="O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P520" s="77"/>
      <c r="Q520" s="32"/>
      <c r="R520" s="32"/>
      <c r="S520" s="32"/>
      <c r="T520" s="32"/>
    </row>
    <row r="521" spans="3:20" x14ac:dyDescent="0.3">
      <c r="C521" s="11"/>
      <c r="D521" s="32"/>
      <c r="E521" s="11"/>
      <c r="K521" s="15"/>
      <c r="L521" s="47"/>
      <c r="M521" s="76"/>
      <c r="N521" s="76"/>
      <c r="O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P521" s="77"/>
      <c r="Q521" s="32"/>
      <c r="R521" s="32"/>
      <c r="S521" s="32"/>
      <c r="T521" s="32"/>
    </row>
    <row r="522" spans="3:20" x14ac:dyDescent="0.3">
      <c r="C522" s="11"/>
      <c r="D522" s="32"/>
      <c r="E522" s="11"/>
      <c r="K522" s="15"/>
      <c r="L522" s="47"/>
      <c r="M522" s="76"/>
      <c r="N522" s="76"/>
      <c r="O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P522" s="77"/>
      <c r="Q522" s="32"/>
      <c r="R522" s="32"/>
      <c r="S522" s="32"/>
      <c r="T522" s="32"/>
    </row>
    <row r="523" spans="3:20" x14ac:dyDescent="0.3">
      <c r="C523" s="11"/>
      <c r="D523" s="32"/>
      <c r="E523" s="11"/>
      <c r="K523" s="15"/>
      <c r="L523" s="47"/>
      <c r="M523" s="76"/>
      <c r="N523" s="76"/>
      <c r="O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P523" s="77"/>
      <c r="Q523" s="32"/>
      <c r="R523" s="32"/>
      <c r="S523" s="32"/>
      <c r="T523" s="32"/>
    </row>
    <row r="524" spans="3:20" x14ac:dyDescent="0.3">
      <c r="C524" s="11"/>
      <c r="D524" s="32"/>
      <c r="E524" s="11"/>
      <c r="K524" s="15"/>
      <c r="L524" s="47"/>
      <c r="M524" s="76"/>
      <c r="N524" s="76"/>
      <c r="O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P524" s="77"/>
      <c r="Q524" s="32"/>
      <c r="R524" s="32"/>
      <c r="S524" s="32"/>
      <c r="T524" s="32"/>
    </row>
    <row r="525" spans="3:20" x14ac:dyDescent="0.3">
      <c r="C525" s="11"/>
      <c r="D525" s="32"/>
      <c r="E525" s="11"/>
      <c r="K525" s="15"/>
      <c r="L525" s="47"/>
      <c r="M525" s="76"/>
      <c r="N525" s="76"/>
      <c r="O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P525" s="77"/>
      <c r="Q525" s="32"/>
      <c r="R525" s="32"/>
      <c r="S525" s="32"/>
      <c r="T525" s="32"/>
    </row>
    <row r="526" spans="3:20" x14ac:dyDescent="0.3">
      <c r="C526" s="11"/>
      <c r="D526" s="32"/>
      <c r="E526" s="11"/>
      <c r="K526" s="15"/>
      <c r="L526" s="47"/>
      <c r="M526" s="76"/>
      <c r="N526" s="76"/>
      <c r="O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P526" s="77"/>
      <c r="Q526" s="32"/>
      <c r="R526" s="32"/>
      <c r="S526" s="32"/>
      <c r="T526" s="32"/>
    </row>
    <row r="527" spans="3:20" x14ac:dyDescent="0.3">
      <c r="C527" s="11"/>
      <c r="D527" s="32"/>
      <c r="E527" s="11"/>
      <c r="K527" s="15"/>
      <c r="L527" s="47"/>
      <c r="M527" s="76"/>
      <c r="N527" s="76"/>
      <c r="O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P527" s="77"/>
      <c r="Q527" s="32"/>
      <c r="R527" s="32"/>
      <c r="S527" s="32"/>
      <c r="T527" s="32"/>
    </row>
    <row r="528" spans="3:20" x14ac:dyDescent="0.3">
      <c r="C528" s="11"/>
      <c r="D528" s="32"/>
      <c r="E528" s="11"/>
      <c r="K528" s="15"/>
      <c r="L528" s="47"/>
      <c r="M528" s="76"/>
      <c r="N528" s="76"/>
      <c r="O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P528" s="77"/>
      <c r="Q528" s="32"/>
      <c r="R528" s="32"/>
      <c r="S528" s="32"/>
      <c r="T528" s="32"/>
    </row>
    <row r="529" spans="3:20" x14ac:dyDescent="0.3">
      <c r="C529" s="11"/>
      <c r="D529" s="32"/>
      <c r="E529" s="11"/>
      <c r="K529" s="15"/>
      <c r="L529" s="47"/>
      <c r="M529" s="76"/>
      <c r="N529" s="76"/>
      <c r="O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P529" s="77"/>
      <c r="Q529" s="32"/>
      <c r="R529" s="32"/>
      <c r="S529" s="32"/>
      <c r="T529" s="32"/>
    </row>
    <row r="530" spans="3:20" x14ac:dyDescent="0.3">
      <c r="C530" s="11"/>
      <c r="D530" s="32"/>
      <c r="E530" s="11"/>
      <c r="K530" s="15"/>
      <c r="L530" s="47"/>
      <c r="M530" s="76"/>
      <c r="N530" s="76"/>
      <c r="O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P530" s="77"/>
      <c r="Q530" s="32"/>
      <c r="R530" s="32"/>
      <c r="S530" s="32"/>
      <c r="T530" s="32"/>
    </row>
    <row r="531" spans="3:20" x14ac:dyDescent="0.3">
      <c r="C531" s="11"/>
      <c r="D531" s="32"/>
      <c r="E531" s="11"/>
      <c r="K531" s="15"/>
      <c r="L531" s="47"/>
      <c r="M531" s="76"/>
      <c r="N531" s="76"/>
      <c r="O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P531" s="77"/>
      <c r="Q531" s="32"/>
      <c r="R531" s="32"/>
      <c r="S531" s="32"/>
      <c r="T531" s="32"/>
    </row>
    <row r="532" spans="3:20" x14ac:dyDescent="0.3">
      <c r="C532" s="11"/>
      <c r="D532" s="32"/>
      <c r="E532" s="11"/>
      <c r="K532" s="15"/>
      <c r="L532" s="47"/>
      <c r="M532" s="76"/>
      <c r="N532" s="76"/>
      <c r="O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P532" s="77"/>
      <c r="Q532" s="32"/>
      <c r="R532" s="32"/>
      <c r="S532" s="32"/>
      <c r="T532" s="32"/>
    </row>
    <row r="533" spans="3:20" x14ac:dyDescent="0.3">
      <c r="C533" s="11"/>
      <c r="D533" s="32"/>
      <c r="E533" s="11"/>
      <c r="K533" s="15"/>
      <c r="L533" s="47"/>
      <c r="M533" s="76"/>
      <c r="N533" s="76"/>
      <c r="O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P533" s="77"/>
      <c r="Q533" s="32"/>
      <c r="R533" s="32"/>
      <c r="S533" s="32"/>
      <c r="T533" s="32"/>
    </row>
    <row r="534" spans="3:20" x14ac:dyDescent="0.3">
      <c r="C534" s="11"/>
      <c r="D534" s="32"/>
      <c r="E534" s="11"/>
      <c r="K534" s="15"/>
      <c r="L534" s="78"/>
      <c r="M534" s="76"/>
      <c r="N534" s="76"/>
      <c r="O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P534" s="77"/>
      <c r="Q534" s="32"/>
      <c r="R534" s="32"/>
      <c r="S534" s="32"/>
      <c r="T534" s="32"/>
    </row>
    <row r="535" spans="3:20" x14ac:dyDescent="0.3">
      <c r="C535" s="11"/>
      <c r="D535" s="32"/>
      <c r="E535" s="11"/>
      <c r="K535" s="15"/>
      <c r="L535" s="47"/>
      <c r="M535" s="76"/>
      <c r="N535" s="76"/>
      <c r="O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P535" s="77"/>
      <c r="Q535" s="32"/>
      <c r="R535" s="32"/>
      <c r="S535" s="32"/>
      <c r="T535" s="32"/>
    </row>
    <row r="536" spans="3:20" x14ac:dyDescent="0.3">
      <c r="C536" s="11"/>
      <c r="D536" s="32"/>
      <c r="E536" s="11"/>
      <c r="K536" s="15"/>
      <c r="L536" s="47"/>
      <c r="M536" s="76"/>
      <c r="N536" s="76"/>
      <c r="O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P536" s="77"/>
      <c r="Q536" s="32"/>
      <c r="R536" s="32"/>
      <c r="S536" s="32"/>
      <c r="T536" s="32"/>
    </row>
    <row r="537" spans="3:20" x14ac:dyDescent="0.3">
      <c r="C537" s="11"/>
      <c r="D537" s="32"/>
      <c r="E537" s="11"/>
      <c r="K537" s="15"/>
      <c r="L537" s="47"/>
      <c r="M537" s="76"/>
      <c r="N537" s="76"/>
      <c r="O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P537" s="77"/>
      <c r="Q537" s="32"/>
      <c r="R537" s="32"/>
      <c r="S537" s="32"/>
      <c r="T537" s="32"/>
    </row>
    <row r="538" spans="3:20" x14ac:dyDescent="0.3">
      <c r="C538" s="11"/>
      <c r="D538" s="32"/>
      <c r="E538" s="11"/>
      <c r="K538" s="15"/>
      <c r="L538" s="47"/>
      <c r="M538" s="76"/>
      <c r="N538" s="76"/>
      <c r="O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P538" s="77"/>
      <c r="Q538" s="32"/>
      <c r="R538" s="32"/>
      <c r="S538" s="32"/>
      <c r="T538" s="32"/>
    </row>
    <row r="539" spans="3:20" x14ac:dyDescent="0.3">
      <c r="C539" s="11"/>
      <c r="D539" s="32"/>
      <c r="E539" s="11"/>
      <c r="K539" s="15"/>
      <c r="L539" s="47"/>
      <c r="M539" s="76"/>
      <c r="N539" s="76"/>
      <c r="O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P539" s="77"/>
      <c r="Q539" s="32"/>
      <c r="R539" s="32"/>
      <c r="S539" s="32"/>
      <c r="T539" s="32"/>
    </row>
    <row r="540" spans="3:20" x14ac:dyDescent="0.3">
      <c r="C540" s="11"/>
      <c r="D540" s="32"/>
      <c r="E540" s="11"/>
      <c r="K540" s="15"/>
      <c r="L540" s="47"/>
      <c r="M540" s="76"/>
      <c r="N540" s="76"/>
      <c r="O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P540" s="77"/>
      <c r="Q540" s="32"/>
      <c r="R540" s="32"/>
      <c r="S540" s="32"/>
      <c r="T540" s="32"/>
    </row>
    <row r="541" spans="3:20" x14ac:dyDescent="0.3">
      <c r="C541" s="11"/>
      <c r="D541" s="32"/>
      <c r="E541" s="11"/>
      <c r="K541" s="15"/>
      <c r="L541" s="47"/>
      <c r="M541" s="76"/>
      <c r="N541" s="76"/>
      <c r="O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P541" s="77"/>
      <c r="Q541" s="32"/>
      <c r="R541" s="32"/>
      <c r="S541" s="32"/>
      <c r="T541" s="32"/>
    </row>
    <row r="542" spans="3:20" x14ac:dyDescent="0.3">
      <c r="C542" s="11"/>
      <c r="D542" s="32"/>
      <c r="E542" s="11"/>
      <c r="K542" s="15"/>
      <c r="L542" s="47"/>
      <c r="M542" s="76"/>
      <c r="N542" s="76"/>
      <c r="O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P542" s="77"/>
      <c r="Q542" s="32"/>
      <c r="R542" s="32"/>
      <c r="S542" s="32"/>
      <c r="T542" s="32"/>
    </row>
    <row r="543" spans="3:20" x14ac:dyDescent="0.3">
      <c r="C543" s="11"/>
      <c r="D543" s="32"/>
      <c r="E543" s="11"/>
      <c r="K543" s="15"/>
      <c r="L543" s="47"/>
      <c r="M543" s="76"/>
      <c r="N543" s="76"/>
      <c r="O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P543" s="77"/>
      <c r="Q543" s="32"/>
      <c r="R543" s="32"/>
      <c r="S543" s="32"/>
      <c r="T543" s="32"/>
    </row>
    <row r="544" spans="3:20" x14ac:dyDescent="0.3">
      <c r="C544" s="11"/>
      <c r="D544" s="32"/>
      <c r="E544" s="11"/>
      <c r="K544" s="15"/>
      <c r="L544" s="47"/>
      <c r="M544" s="76"/>
      <c r="N544" s="76"/>
      <c r="O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P544" s="77"/>
      <c r="Q544" s="32"/>
      <c r="R544" s="32"/>
      <c r="S544" s="32"/>
      <c r="T544" s="32"/>
    </row>
    <row r="545" spans="3:20" x14ac:dyDescent="0.3">
      <c r="C545" s="11"/>
      <c r="D545" s="32"/>
      <c r="E545" s="11"/>
      <c r="K545" s="15"/>
      <c r="L545" s="47"/>
      <c r="M545" s="76"/>
      <c r="N545" s="76"/>
      <c r="O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P545" s="77"/>
      <c r="Q545" s="32"/>
      <c r="R545" s="32"/>
      <c r="S545" s="32"/>
      <c r="T545" s="32"/>
    </row>
    <row r="546" spans="3:20" x14ac:dyDescent="0.3">
      <c r="C546" s="11"/>
      <c r="D546" s="32"/>
      <c r="E546" s="11"/>
      <c r="K546" s="15"/>
      <c r="L546" s="47"/>
      <c r="M546" s="76"/>
      <c r="N546" s="76"/>
      <c r="O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P546" s="77"/>
      <c r="Q546" s="32"/>
      <c r="R546" s="32"/>
      <c r="S546" s="32"/>
      <c r="T546" s="32"/>
    </row>
    <row r="547" spans="3:20" x14ac:dyDescent="0.3">
      <c r="C547" s="11"/>
      <c r="D547" s="32"/>
      <c r="E547" s="11"/>
      <c r="K547" s="15"/>
      <c r="L547" s="47"/>
      <c r="M547" s="76"/>
      <c r="N547" s="76"/>
      <c r="O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P547" s="77"/>
      <c r="Q547" s="32"/>
      <c r="R547" s="32"/>
      <c r="S547" s="32"/>
      <c r="T547" s="32"/>
    </row>
    <row r="548" spans="3:20" x14ac:dyDescent="0.3">
      <c r="C548" s="11"/>
      <c r="D548" s="32"/>
      <c r="E548" s="11"/>
      <c r="K548" s="15"/>
      <c r="L548" s="47"/>
      <c r="M548" s="76"/>
      <c r="N548" s="76"/>
      <c r="O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P548" s="77"/>
      <c r="Q548" s="32"/>
      <c r="R548" s="32"/>
      <c r="S548" s="32"/>
      <c r="T548" s="32"/>
    </row>
    <row r="549" spans="3:20" x14ac:dyDescent="0.3">
      <c r="C549" s="11"/>
      <c r="D549" s="32"/>
      <c r="E549" s="11"/>
      <c r="K549" s="15"/>
      <c r="L549" s="47"/>
      <c r="M549" s="76"/>
      <c r="N549" s="76"/>
      <c r="O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P549" s="77"/>
      <c r="Q549" s="32"/>
      <c r="R549" s="32"/>
      <c r="S549" s="32"/>
      <c r="T549" s="32"/>
    </row>
    <row r="550" spans="3:20" x14ac:dyDescent="0.3">
      <c r="C550" s="11"/>
      <c r="D550" s="32"/>
      <c r="E550" s="11"/>
      <c r="K550" s="15"/>
      <c r="L550" s="47"/>
      <c r="M550" s="76"/>
      <c r="N550" s="76"/>
      <c r="O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P550" s="77"/>
      <c r="Q550" s="32"/>
      <c r="R550" s="32"/>
      <c r="S550" s="32"/>
      <c r="T550" s="32"/>
    </row>
    <row r="551" spans="3:20" x14ac:dyDescent="0.3">
      <c r="C551" s="11"/>
      <c r="D551" s="32"/>
      <c r="E551" s="11"/>
      <c r="K551" s="15"/>
      <c r="L551" s="47"/>
      <c r="M551" s="76"/>
      <c r="N551" s="76"/>
      <c r="O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P551" s="77"/>
      <c r="Q551" s="32"/>
      <c r="R551" s="32"/>
      <c r="S551" s="32"/>
      <c r="T551" s="32"/>
    </row>
    <row r="552" spans="3:20" x14ac:dyDescent="0.3">
      <c r="C552" s="11"/>
      <c r="D552" s="32"/>
      <c r="E552" s="11"/>
      <c r="K552" s="15"/>
      <c r="L552" s="47"/>
      <c r="M552" s="76"/>
      <c r="N552" s="76"/>
      <c r="O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P552" s="77"/>
      <c r="Q552" s="32"/>
      <c r="R552" s="32"/>
      <c r="S552" s="32"/>
      <c r="T552" s="32"/>
    </row>
    <row r="553" spans="3:20" x14ac:dyDescent="0.3">
      <c r="C553" s="11"/>
      <c r="D553" s="32"/>
      <c r="E553" s="11"/>
      <c r="K553" s="15"/>
      <c r="L553" s="47"/>
      <c r="M553" s="76"/>
      <c r="N553" s="76"/>
      <c r="O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P553" s="77"/>
      <c r="Q553" s="32"/>
      <c r="R553" s="32"/>
      <c r="S553" s="32"/>
      <c r="T553" s="32"/>
    </row>
    <row r="554" spans="3:20" x14ac:dyDescent="0.3">
      <c r="C554" s="11"/>
      <c r="D554" s="32"/>
      <c r="E554" s="11"/>
      <c r="K554" s="15"/>
      <c r="L554" s="47"/>
      <c r="M554" s="76"/>
      <c r="N554" s="76"/>
      <c r="O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P554" s="77"/>
      <c r="Q554" s="32"/>
      <c r="R554" s="32"/>
      <c r="S554" s="32"/>
      <c r="T554" s="32"/>
    </row>
    <row r="555" spans="3:20" x14ac:dyDescent="0.3">
      <c r="C555" s="11"/>
      <c r="D555" s="32"/>
      <c r="E555" s="11"/>
      <c r="K555" s="15"/>
      <c r="L555" s="47"/>
      <c r="M555" s="76"/>
      <c r="N555" s="76"/>
      <c r="O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P555" s="77"/>
      <c r="Q555" s="32"/>
      <c r="R555" s="32"/>
      <c r="S555" s="32"/>
      <c r="T555" s="32"/>
    </row>
    <row r="556" spans="3:20" x14ac:dyDescent="0.3">
      <c r="C556" s="11"/>
      <c r="D556" s="32"/>
      <c r="E556" s="11"/>
      <c r="K556" s="15"/>
      <c r="L556" s="47"/>
      <c r="M556" s="76"/>
      <c r="N556" s="76"/>
      <c r="O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P556" s="77"/>
      <c r="Q556" s="32"/>
      <c r="R556" s="32"/>
      <c r="S556" s="32"/>
      <c r="T556" s="32"/>
    </row>
    <row r="557" spans="3:20" x14ac:dyDescent="0.3">
      <c r="C557" s="11"/>
      <c r="D557" s="32"/>
      <c r="E557" s="11"/>
      <c r="K557" s="15"/>
      <c r="L557" s="47"/>
      <c r="M557" s="76"/>
      <c r="N557" s="76"/>
      <c r="O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P557" s="77"/>
      <c r="Q557" s="32"/>
      <c r="R557" s="32"/>
      <c r="S557" s="32"/>
      <c r="T557" s="32"/>
    </row>
    <row r="558" spans="3:20" x14ac:dyDescent="0.3">
      <c r="C558" s="11"/>
      <c r="D558" s="32"/>
      <c r="E558" s="11"/>
      <c r="K558" s="15"/>
      <c r="L558" s="47"/>
      <c r="M558" s="76"/>
      <c r="N558" s="76"/>
      <c r="O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P558" s="77"/>
      <c r="Q558" s="32"/>
      <c r="R558" s="32"/>
      <c r="S558" s="32"/>
      <c r="T558" s="32"/>
    </row>
    <row r="559" spans="3:20" x14ac:dyDescent="0.3">
      <c r="C559" s="11"/>
      <c r="D559" s="32"/>
      <c r="E559" s="11"/>
      <c r="K559" s="15"/>
      <c r="L559" s="47"/>
      <c r="M559" s="76"/>
      <c r="N559" s="76"/>
      <c r="O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P559" s="77"/>
      <c r="Q559" s="32"/>
      <c r="R559" s="32"/>
      <c r="S559" s="32"/>
      <c r="T559" s="32"/>
    </row>
    <row r="560" spans="3:20" x14ac:dyDescent="0.3">
      <c r="C560" s="11"/>
      <c r="D560" s="32"/>
      <c r="E560" s="11"/>
      <c r="K560" s="15"/>
      <c r="L560" s="47"/>
      <c r="M560" s="76"/>
      <c r="N560" s="76"/>
      <c r="O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P560" s="77"/>
      <c r="Q560" s="32"/>
      <c r="R560" s="32"/>
      <c r="S560" s="32"/>
      <c r="T560" s="32"/>
    </row>
    <row r="561" spans="3:20" x14ac:dyDescent="0.3">
      <c r="C561" s="11"/>
      <c r="D561" s="32"/>
      <c r="E561" s="11"/>
      <c r="K561" s="15"/>
      <c r="L561" s="47"/>
      <c r="M561" s="76"/>
      <c r="N561" s="76"/>
      <c r="O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P561" s="77"/>
      <c r="Q561" s="32"/>
      <c r="R561" s="32"/>
      <c r="S561" s="32"/>
      <c r="T561" s="32"/>
    </row>
    <row r="562" spans="3:20" x14ac:dyDescent="0.3">
      <c r="C562" s="11"/>
      <c r="D562" s="32"/>
      <c r="E562" s="11"/>
      <c r="K562" s="15"/>
      <c r="L562" s="47"/>
      <c r="M562" s="76"/>
      <c r="N562" s="76"/>
      <c r="O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P562" s="77"/>
      <c r="Q562" s="32"/>
      <c r="R562" s="32"/>
      <c r="S562" s="32"/>
      <c r="T562" s="32"/>
    </row>
    <row r="563" spans="3:20" x14ac:dyDescent="0.3">
      <c r="C563" s="11"/>
      <c r="D563" s="32"/>
      <c r="E563" s="11"/>
      <c r="K563" s="15"/>
      <c r="L563" s="47"/>
      <c r="M563" s="76"/>
      <c r="N563" s="76"/>
      <c r="O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P563" s="77"/>
      <c r="Q563" s="32"/>
      <c r="R563" s="32"/>
      <c r="S563" s="32"/>
      <c r="T563" s="32"/>
    </row>
    <row r="564" spans="3:20" x14ac:dyDescent="0.3">
      <c r="C564" s="11"/>
      <c r="D564" s="32"/>
      <c r="E564" s="11"/>
      <c r="K564" s="15"/>
      <c r="L564" s="47"/>
      <c r="M564" s="76"/>
      <c r="N564" s="76"/>
      <c r="O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P564" s="77"/>
      <c r="Q564" s="32"/>
      <c r="R564" s="32"/>
      <c r="S564" s="32"/>
      <c r="T564" s="32"/>
    </row>
    <row r="565" spans="3:20" x14ac:dyDescent="0.3">
      <c r="C565" s="11"/>
      <c r="D565" s="32"/>
      <c r="E565" s="11"/>
      <c r="K565" s="15"/>
      <c r="L565" s="47"/>
      <c r="M565" s="76"/>
      <c r="N565" s="76"/>
      <c r="O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P565" s="77"/>
      <c r="Q565" s="32"/>
      <c r="R565" s="32"/>
      <c r="S565" s="32"/>
      <c r="T565" s="32"/>
    </row>
    <row r="566" spans="3:20" x14ac:dyDescent="0.3">
      <c r="C566" s="11"/>
      <c r="D566" s="32"/>
      <c r="E566" s="11"/>
      <c r="K566" s="15"/>
      <c r="L566" s="47"/>
      <c r="M566" s="76"/>
      <c r="N566" s="76"/>
      <c r="O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P566" s="77"/>
      <c r="Q566" s="32"/>
      <c r="R566" s="32"/>
      <c r="S566" s="32"/>
      <c r="T566" s="32"/>
    </row>
    <row r="567" spans="3:20" x14ac:dyDescent="0.3">
      <c r="C567" s="11"/>
      <c r="D567" s="32"/>
      <c r="E567" s="11"/>
      <c r="K567" s="15"/>
      <c r="L567" s="47"/>
      <c r="M567" s="76"/>
      <c r="N567" s="76"/>
      <c r="O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P567" s="77"/>
      <c r="Q567" s="32"/>
      <c r="R567" s="32"/>
      <c r="S567" s="32"/>
      <c r="T567" s="32"/>
    </row>
    <row r="568" spans="3:20" x14ac:dyDescent="0.3">
      <c r="C568" s="11"/>
      <c r="D568" s="32"/>
      <c r="E568" s="11"/>
      <c r="K568" s="15"/>
      <c r="L568" s="47"/>
      <c r="M568" s="76"/>
      <c r="N568" s="76"/>
      <c r="O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P568" s="77"/>
      <c r="Q568" s="32"/>
      <c r="R568" s="32"/>
      <c r="S568" s="32"/>
      <c r="T568" s="32"/>
    </row>
    <row r="569" spans="3:20" x14ac:dyDescent="0.3">
      <c r="C569" s="11"/>
      <c r="D569" s="32"/>
      <c r="E569" s="11"/>
      <c r="K569" s="15"/>
      <c r="L569" s="47"/>
      <c r="M569" s="76"/>
      <c r="N569" s="76"/>
      <c r="O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P569" s="77"/>
      <c r="Q569" s="32"/>
      <c r="R569" s="32"/>
      <c r="S569" s="32"/>
      <c r="T569" s="32"/>
    </row>
    <row r="570" spans="3:20" x14ac:dyDescent="0.3">
      <c r="C570" s="11"/>
      <c r="D570" s="32"/>
      <c r="E570" s="11"/>
      <c r="K570" s="15"/>
      <c r="L570" s="47"/>
      <c r="M570" s="76"/>
      <c r="N570" s="76"/>
      <c r="O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P570" s="77"/>
      <c r="Q570" s="32"/>
      <c r="R570" s="32"/>
      <c r="S570" s="32"/>
      <c r="T570" s="32"/>
    </row>
    <row r="571" spans="3:20" x14ac:dyDescent="0.3">
      <c r="C571" s="11"/>
      <c r="D571" s="32"/>
      <c r="E571" s="11"/>
      <c r="K571" s="15"/>
      <c r="L571" s="47"/>
      <c r="M571" s="76"/>
      <c r="N571" s="76"/>
      <c r="O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P571" s="77"/>
      <c r="Q571" s="32"/>
      <c r="R571" s="32"/>
      <c r="S571" s="32"/>
      <c r="T571" s="32"/>
    </row>
    <row r="572" spans="3:20" x14ac:dyDescent="0.3">
      <c r="C572" s="11"/>
      <c r="D572" s="32"/>
      <c r="E572" s="11"/>
      <c r="K572" s="15"/>
      <c r="L572" s="47"/>
      <c r="M572" s="76"/>
      <c r="N572" s="76"/>
      <c r="O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P572" s="77"/>
      <c r="Q572" s="32"/>
      <c r="R572" s="32"/>
      <c r="S572" s="32"/>
      <c r="T572" s="32"/>
    </row>
    <row r="573" spans="3:20" x14ac:dyDescent="0.3">
      <c r="C573" s="11"/>
      <c r="D573" s="32"/>
      <c r="E573" s="11"/>
      <c r="K573" s="15"/>
      <c r="L573" s="47"/>
      <c r="M573" s="76"/>
      <c r="N573" s="76"/>
      <c r="O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P573" s="77"/>
      <c r="Q573" s="32"/>
      <c r="R573" s="32"/>
      <c r="S573" s="32"/>
      <c r="T573" s="32"/>
    </row>
    <row r="574" spans="3:20" x14ac:dyDescent="0.3">
      <c r="C574" s="11"/>
      <c r="D574" s="32"/>
      <c r="E574" s="11"/>
      <c r="K574" s="15"/>
      <c r="L574" s="47"/>
      <c r="M574" s="76"/>
      <c r="N574" s="76"/>
      <c r="O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P574" s="77"/>
      <c r="Q574" s="32"/>
      <c r="R574" s="32"/>
      <c r="S574" s="32"/>
      <c r="T574" s="32"/>
    </row>
    <row r="575" spans="3:20" x14ac:dyDescent="0.3">
      <c r="C575" s="11"/>
      <c r="D575" s="32"/>
      <c r="E575" s="11"/>
      <c r="K575" s="15"/>
      <c r="L575" s="47"/>
      <c r="M575" s="76"/>
      <c r="N575" s="76"/>
      <c r="O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P575" s="77"/>
      <c r="Q575" s="32"/>
      <c r="R575" s="32"/>
      <c r="S575" s="32"/>
      <c r="T575" s="32"/>
    </row>
    <row r="576" spans="3:20" x14ac:dyDescent="0.3">
      <c r="C576" s="11"/>
      <c r="D576" s="32"/>
      <c r="E576" s="11"/>
      <c r="K576" s="15"/>
      <c r="L576" s="47"/>
      <c r="M576" s="76"/>
      <c r="N576" s="76"/>
      <c r="O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P576" s="77"/>
      <c r="Q576" s="32"/>
      <c r="R576" s="32"/>
      <c r="S576" s="32"/>
      <c r="T576" s="32"/>
    </row>
    <row r="577" spans="3:20" x14ac:dyDescent="0.3">
      <c r="C577" s="11"/>
      <c r="D577" s="32"/>
      <c r="E577" s="11"/>
      <c r="K577" s="15"/>
      <c r="L577" s="47"/>
      <c r="M577" s="76"/>
      <c r="N577" s="76"/>
      <c r="O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P577" s="77"/>
      <c r="Q577" s="32"/>
      <c r="R577" s="32"/>
      <c r="S577" s="32"/>
      <c r="T577" s="32"/>
    </row>
    <row r="578" spans="3:20" x14ac:dyDescent="0.3">
      <c r="C578" s="11"/>
      <c r="D578" s="32"/>
      <c r="E578" s="11"/>
      <c r="K578" s="15"/>
      <c r="L578" s="47"/>
      <c r="M578" s="76"/>
      <c r="N578" s="76"/>
      <c r="O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P578" s="77"/>
      <c r="Q578" s="32"/>
      <c r="R578" s="32"/>
      <c r="S578" s="32"/>
      <c r="T578" s="32"/>
    </row>
    <row r="579" spans="3:20" x14ac:dyDescent="0.3">
      <c r="C579" s="11"/>
      <c r="D579" s="32"/>
      <c r="E579" s="11"/>
      <c r="K579" s="15"/>
      <c r="L579" s="47"/>
      <c r="M579" s="76"/>
      <c r="N579" s="76"/>
      <c r="O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P579" s="77"/>
      <c r="Q579" s="32"/>
      <c r="R579" s="32"/>
      <c r="S579" s="32"/>
      <c r="T579" s="32"/>
    </row>
    <row r="580" spans="3:20" x14ac:dyDescent="0.3">
      <c r="C580" s="11"/>
      <c r="D580" s="32"/>
      <c r="E580" s="11"/>
      <c r="K580" s="15"/>
      <c r="L580" s="47"/>
      <c r="M580" s="76"/>
      <c r="N580" s="76"/>
      <c r="O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P580" s="77"/>
      <c r="Q580" s="32"/>
      <c r="R580" s="32"/>
      <c r="S580" s="32"/>
      <c r="T580" s="32"/>
    </row>
    <row r="581" spans="3:20" x14ac:dyDescent="0.3">
      <c r="C581" s="11"/>
      <c r="D581" s="32"/>
      <c r="E581" s="11"/>
      <c r="K581" s="15"/>
      <c r="L581" s="47"/>
      <c r="M581" s="76"/>
      <c r="N581" s="76"/>
      <c r="O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P581" s="77"/>
      <c r="Q581" s="32"/>
      <c r="R581" s="32"/>
      <c r="S581" s="32"/>
      <c r="T581" s="32"/>
    </row>
    <row r="582" spans="3:20" x14ac:dyDescent="0.3">
      <c r="C582" s="11"/>
      <c r="D582" s="32"/>
      <c r="E582" s="11"/>
      <c r="K582" s="15"/>
      <c r="L582" s="47"/>
      <c r="M582" s="76"/>
      <c r="N582" s="76"/>
      <c r="O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P582" s="77"/>
      <c r="Q582" s="32"/>
      <c r="R582" s="32"/>
      <c r="S582" s="32"/>
      <c r="T582" s="32"/>
    </row>
    <row r="583" spans="3:20" x14ac:dyDescent="0.3">
      <c r="C583" s="11"/>
      <c r="D583" s="32"/>
      <c r="E583" s="11"/>
      <c r="K583" s="15"/>
      <c r="L583" s="47"/>
      <c r="M583" s="76"/>
      <c r="N583" s="76"/>
      <c r="O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P583" s="77"/>
      <c r="Q583" s="32"/>
      <c r="R583" s="32"/>
      <c r="S583" s="32"/>
      <c r="T583" s="32"/>
    </row>
    <row r="584" spans="3:20" x14ac:dyDescent="0.3">
      <c r="C584" s="11"/>
      <c r="D584" s="32"/>
      <c r="E584" s="11"/>
      <c r="K584" s="15"/>
      <c r="L584" s="47"/>
      <c r="M584" s="76"/>
      <c r="N584" s="76"/>
      <c r="O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P584" s="77"/>
      <c r="Q584" s="32"/>
      <c r="R584" s="32"/>
      <c r="S584" s="32"/>
      <c r="T584" s="32"/>
    </row>
    <row r="585" spans="3:20" x14ac:dyDescent="0.3">
      <c r="C585" s="11"/>
      <c r="D585" s="32"/>
      <c r="E585" s="11"/>
      <c r="K585" s="15"/>
      <c r="L585" s="47"/>
      <c r="M585" s="76"/>
      <c r="N585" s="76"/>
      <c r="O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P585" s="77"/>
      <c r="Q585" s="32"/>
      <c r="R585" s="32"/>
      <c r="S585" s="32"/>
      <c r="T585" s="32"/>
    </row>
    <row r="586" spans="3:20" x14ac:dyDescent="0.3">
      <c r="C586" s="11"/>
      <c r="D586" s="32"/>
      <c r="E586" s="11"/>
      <c r="K586" s="15"/>
      <c r="L586" s="47"/>
      <c r="M586" s="76"/>
      <c r="N586" s="76"/>
      <c r="O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P586" s="77"/>
      <c r="Q586" s="32"/>
      <c r="R586" s="32"/>
      <c r="S586" s="32"/>
      <c r="T586" s="32"/>
    </row>
    <row r="587" spans="3:20" x14ac:dyDescent="0.3">
      <c r="C587" s="11"/>
      <c r="D587" s="32"/>
      <c r="E587" s="11"/>
      <c r="K587" s="15"/>
      <c r="L587" s="47"/>
      <c r="M587" s="76"/>
      <c r="N587" s="76"/>
      <c r="O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P587" s="77"/>
      <c r="Q587" s="32"/>
      <c r="R587" s="32"/>
      <c r="S587" s="32"/>
      <c r="T587" s="32"/>
    </row>
    <row r="588" spans="3:20" x14ac:dyDescent="0.3">
      <c r="C588" s="11"/>
      <c r="D588" s="32"/>
      <c r="E588" s="11"/>
      <c r="K588" s="15"/>
      <c r="L588" s="47"/>
      <c r="M588" s="76"/>
      <c r="N588" s="76"/>
      <c r="O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P588" s="77"/>
      <c r="Q588" s="32"/>
      <c r="R588" s="32"/>
      <c r="S588" s="32"/>
      <c r="T588" s="32"/>
    </row>
    <row r="589" spans="3:20" x14ac:dyDescent="0.3">
      <c r="C589" s="11"/>
      <c r="D589" s="32"/>
      <c r="E589" s="11"/>
      <c r="K589" s="15"/>
      <c r="L589" s="47"/>
      <c r="M589" s="76"/>
      <c r="N589" s="76"/>
      <c r="O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P589" s="77"/>
      <c r="Q589" s="32"/>
      <c r="R589" s="32"/>
      <c r="S589" s="32"/>
      <c r="T589" s="32"/>
    </row>
    <row r="590" spans="3:20" x14ac:dyDescent="0.3">
      <c r="C590" s="11"/>
      <c r="D590" s="32"/>
      <c r="E590" s="11"/>
      <c r="K590" s="15"/>
      <c r="L590" s="47"/>
      <c r="M590" s="76"/>
      <c r="N590" s="76"/>
      <c r="O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P590" s="77"/>
      <c r="Q590" s="32"/>
      <c r="R590" s="32"/>
      <c r="S590" s="32"/>
      <c r="T590" s="32"/>
    </row>
    <row r="591" spans="3:20" x14ac:dyDescent="0.3">
      <c r="C591" s="11"/>
      <c r="D591" s="32"/>
      <c r="E591" s="11"/>
      <c r="K591" s="15"/>
      <c r="L591" s="47"/>
      <c r="M591" s="76"/>
      <c r="N591" s="76"/>
      <c r="O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P591" s="77"/>
      <c r="Q591" s="32"/>
      <c r="R591" s="32"/>
      <c r="S591" s="32"/>
      <c r="T591" s="32"/>
    </row>
    <row r="592" spans="3:20" x14ac:dyDescent="0.3">
      <c r="C592" s="11"/>
      <c r="D592" s="32"/>
      <c r="E592" s="11"/>
      <c r="K592" s="15"/>
      <c r="L592" s="47"/>
      <c r="M592" s="76"/>
      <c r="N592" s="76"/>
      <c r="O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P592" s="77"/>
      <c r="Q592" s="32"/>
      <c r="R592" s="32"/>
      <c r="S592" s="32"/>
      <c r="T592" s="32"/>
    </row>
    <row r="593" spans="3:20" x14ac:dyDescent="0.3">
      <c r="C593" s="11"/>
      <c r="D593" s="32"/>
      <c r="E593" s="11"/>
      <c r="K593" s="15"/>
      <c r="L593" s="47"/>
      <c r="M593" s="76"/>
      <c r="N593" s="76"/>
      <c r="O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P593" s="77"/>
      <c r="Q593" s="32"/>
      <c r="R593" s="32"/>
      <c r="S593" s="32"/>
      <c r="T593" s="32"/>
    </row>
    <row r="594" spans="3:20" x14ac:dyDescent="0.3">
      <c r="C594" s="11"/>
      <c r="D594" s="32"/>
      <c r="E594" s="11"/>
      <c r="K594" s="15"/>
      <c r="L594" s="47"/>
      <c r="M594" s="76"/>
      <c r="N594" s="76"/>
      <c r="O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P594" s="77"/>
      <c r="Q594" s="32"/>
      <c r="R594" s="32"/>
      <c r="S594" s="32"/>
      <c r="T594" s="32"/>
    </row>
    <row r="595" spans="3:20" x14ac:dyDescent="0.3">
      <c r="C595" s="11"/>
      <c r="D595" s="32"/>
      <c r="E595" s="11"/>
      <c r="K595" s="15"/>
      <c r="L595" s="47"/>
      <c r="M595" s="76"/>
      <c r="N595" s="76"/>
      <c r="O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P595" s="77"/>
      <c r="Q595" s="32"/>
      <c r="R595" s="32"/>
      <c r="S595" s="32"/>
      <c r="T595" s="32"/>
    </row>
    <row r="596" spans="3:20" x14ac:dyDescent="0.3">
      <c r="C596" s="11"/>
      <c r="D596" s="32"/>
      <c r="E596" s="11"/>
      <c r="K596" s="15"/>
      <c r="L596" s="47"/>
      <c r="M596" s="76"/>
      <c r="N596" s="76"/>
      <c r="O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P596" s="77"/>
      <c r="Q596" s="32"/>
      <c r="R596" s="32"/>
      <c r="S596" s="32"/>
      <c r="T596" s="32"/>
    </row>
    <row r="597" spans="3:20" x14ac:dyDescent="0.3">
      <c r="C597" s="11"/>
      <c r="D597" s="32"/>
      <c r="E597" s="11"/>
      <c r="K597" s="15"/>
      <c r="L597" s="47"/>
      <c r="M597" s="76"/>
      <c r="N597" s="76"/>
      <c r="O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P597" s="77"/>
      <c r="Q597" s="32"/>
      <c r="R597" s="32"/>
      <c r="S597" s="32"/>
      <c r="T597" s="32"/>
    </row>
    <row r="598" spans="3:20" x14ac:dyDescent="0.3">
      <c r="C598" s="11"/>
      <c r="D598" s="32"/>
      <c r="E598" s="11"/>
      <c r="K598" s="15"/>
      <c r="L598" s="47"/>
      <c r="M598" s="76"/>
      <c r="N598" s="76"/>
      <c r="O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P598" s="77"/>
      <c r="Q598" s="32"/>
      <c r="R598" s="32"/>
      <c r="S598" s="32"/>
      <c r="T598" s="32"/>
    </row>
    <row r="599" spans="3:20" x14ac:dyDescent="0.3">
      <c r="C599" s="11"/>
      <c r="D599" s="32"/>
      <c r="E599" s="11"/>
      <c r="K599" s="15"/>
      <c r="L599" s="47"/>
      <c r="M599" s="76"/>
      <c r="N599" s="76"/>
      <c r="O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P599" s="77"/>
      <c r="Q599" s="32"/>
      <c r="R599" s="32"/>
      <c r="S599" s="32"/>
      <c r="T599" s="32"/>
    </row>
    <row r="600" spans="3:20" x14ac:dyDescent="0.3">
      <c r="C600" s="11"/>
      <c r="D600" s="32"/>
      <c r="E600" s="11"/>
      <c r="K600" s="15"/>
      <c r="L600" s="47"/>
      <c r="M600" s="76"/>
      <c r="N600" s="76"/>
      <c r="O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P600" s="77"/>
      <c r="Q600" s="32"/>
      <c r="R600" s="32"/>
      <c r="S600" s="32"/>
      <c r="T600" s="32"/>
    </row>
    <row r="601" spans="3:20" x14ac:dyDescent="0.3">
      <c r="C601" s="11"/>
      <c r="D601" s="32"/>
      <c r="E601" s="11"/>
      <c r="K601" s="15"/>
      <c r="L601" s="47"/>
      <c r="M601" s="76"/>
      <c r="N601" s="76"/>
      <c r="O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P601" s="77"/>
      <c r="Q601" s="32"/>
      <c r="R601" s="32"/>
      <c r="S601" s="32"/>
      <c r="T601" s="32"/>
    </row>
    <row r="602" spans="3:20" x14ac:dyDescent="0.3">
      <c r="C602" s="11"/>
      <c r="D602" s="32"/>
      <c r="E602" s="11"/>
      <c r="K602" s="15"/>
      <c r="L602" s="47"/>
      <c r="M602" s="76"/>
      <c r="N602" s="76"/>
      <c r="O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P602" s="77"/>
      <c r="Q602" s="32"/>
      <c r="R602" s="32"/>
      <c r="S602" s="32"/>
      <c r="T602" s="32"/>
    </row>
    <row r="603" spans="3:20" x14ac:dyDescent="0.3">
      <c r="C603" s="11"/>
      <c r="D603" s="32"/>
      <c r="E603" s="11"/>
      <c r="K603" s="15"/>
      <c r="L603" s="47"/>
      <c r="M603" s="76"/>
      <c r="N603" s="76"/>
      <c r="O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P603" s="77"/>
      <c r="Q603" s="32"/>
      <c r="R603" s="32"/>
      <c r="S603" s="32"/>
      <c r="T603" s="32"/>
    </row>
    <row r="604" spans="3:20" x14ac:dyDescent="0.3">
      <c r="C604" s="11"/>
      <c r="D604" s="32"/>
      <c r="E604" s="11"/>
      <c r="K604" s="15"/>
      <c r="L604" s="47"/>
      <c r="M604" s="76"/>
      <c r="N604" s="76"/>
      <c r="O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P604" s="77"/>
      <c r="Q604" s="32"/>
      <c r="R604" s="32"/>
      <c r="S604" s="32"/>
      <c r="T604" s="32"/>
    </row>
    <row r="605" spans="3:20" x14ac:dyDescent="0.3">
      <c r="C605" s="11"/>
      <c r="D605" s="32"/>
      <c r="E605" s="11"/>
      <c r="K605" s="15"/>
      <c r="L605" s="47"/>
      <c r="M605" s="76"/>
      <c r="N605" s="76"/>
      <c r="O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P605" s="77"/>
      <c r="Q605" s="32"/>
      <c r="R605" s="32"/>
      <c r="S605" s="32"/>
      <c r="T605" s="32"/>
    </row>
    <row r="606" spans="3:20" x14ac:dyDescent="0.3">
      <c r="C606" s="11"/>
      <c r="D606" s="32"/>
      <c r="E606" s="11"/>
      <c r="K606" s="15"/>
      <c r="L606" s="47"/>
      <c r="M606" s="76"/>
      <c r="N606" s="76"/>
      <c r="O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P606" s="77"/>
      <c r="Q606" s="32"/>
      <c r="R606" s="32"/>
      <c r="S606" s="32"/>
      <c r="T606" s="32"/>
    </row>
    <row r="607" spans="3:20" x14ac:dyDescent="0.3">
      <c r="C607" s="11"/>
      <c r="D607" s="32"/>
      <c r="E607" s="11"/>
      <c r="K607" s="15"/>
      <c r="L607" s="47"/>
      <c r="M607" s="76"/>
      <c r="N607" s="76"/>
      <c r="O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P607" s="77"/>
      <c r="Q607" s="32"/>
      <c r="R607" s="32"/>
      <c r="S607" s="32"/>
      <c r="T607" s="32"/>
    </row>
    <row r="608" spans="3:20" x14ac:dyDescent="0.3">
      <c r="C608" s="11"/>
      <c r="D608" s="32"/>
      <c r="E608" s="11"/>
      <c r="K608" s="15"/>
      <c r="L608" s="47"/>
      <c r="M608" s="76"/>
      <c r="N608" s="76"/>
      <c r="O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P608" s="77"/>
      <c r="Q608" s="32"/>
      <c r="R608" s="32"/>
      <c r="S608" s="32"/>
      <c r="T608" s="32"/>
    </row>
    <row r="609" spans="3:20" x14ac:dyDescent="0.3">
      <c r="C609" s="11"/>
      <c r="D609" s="32"/>
      <c r="E609" s="11"/>
      <c r="K609" s="15"/>
      <c r="L609" s="47"/>
      <c r="M609" s="76"/>
      <c r="N609" s="76"/>
      <c r="O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P609" s="77"/>
      <c r="Q609" s="32"/>
      <c r="R609" s="32"/>
      <c r="S609" s="32"/>
      <c r="T609" s="32"/>
    </row>
    <row r="610" spans="3:20" x14ac:dyDescent="0.3">
      <c r="C610" s="11"/>
      <c r="D610" s="32"/>
      <c r="E610" s="11"/>
      <c r="K610" s="15"/>
      <c r="L610" s="47"/>
      <c r="M610" s="76"/>
      <c r="N610" s="76"/>
      <c r="O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P610" s="77"/>
      <c r="Q610" s="32"/>
      <c r="R610" s="32"/>
      <c r="S610" s="32"/>
      <c r="T610" s="32"/>
    </row>
    <row r="611" spans="3:20" x14ac:dyDescent="0.3">
      <c r="C611" s="11"/>
      <c r="D611" s="32"/>
      <c r="E611" s="11"/>
      <c r="K611" s="15"/>
      <c r="L611" s="47"/>
      <c r="M611" s="76"/>
      <c r="N611" s="76"/>
      <c r="O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P611" s="77"/>
      <c r="Q611" s="32"/>
      <c r="R611" s="32"/>
      <c r="S611" s="32"/>
      <c r="T611" s="32"/>
    </row>
    <row r="612" spans="3:20" x14ac:dyDescent="0.3">
      <c r="C612" s="11"/>
    </row>
    <row r="613" spans="3:20" x14ac:dyDescent="0.3">
      <c r="C613" s="11"/>
    </row>
    <row r="614" spans="3:20" x14ac:dyDescent="0.3">
      <c r="C614" s="11"/>
    </row>
    <row r="615" spans="3:20" x14ac:dyDescent="0.3">
      <c r="C615" s="11"/>
    </row>
    <row r="616" spans="3:20" x14ac:dyDescent="0.3">
      <c r="C616" s="11"/>
    </row>
    <row r="617" spans="3:20" x14ac:dyDescent="0.3">
      <c r="C617" s="11"/>
    </row>
    <row r="618" spans="3:20" x14ac:dyDescent="0.3">
      <c r="C618" s="11"/>
    </row>
  </sheetData>
  <dataValidations count="9">
    <dataValidation type="list" allowBlank="1" showInputMessage="1" showErrorMessage="1" sqref="E2:E203" xr:uid="{5BE3B2E1-09C7-4932-8181-6B0364474C47}">
      <formula1>$AF$1:$AM$1</formula1>
    </dataValidation>
    <dataValidation type="list" allowBlank="1" showInputMessage="1" showErrorMessage="1" sqref="S2:S611" xr:uid="{7CFD9F82-CA76-4930-A8D6-E6148F0F3508}">
      <formula1>$Z$2:$Z$4</formula1>
    </dataValidation>
    <dataValidation type="whole" allowBlank="1" showInputMessage="1" showErrorMessage="1" sqref="D2:D139" xr:uid="{51546062-10AA-44DF-B05F-B30D26C88BE8}">
      <formula1>1</formula1>
      <formula2>100</formula2>
    </dataValidation>
    <dataValidation type="list" allowBlank="1" showInputMessage="1" promptTitle="Guia" prompt="Si tiene dudas sobre que dato colocar consulte las siguientes tablas y no olvide revisar los comentarios_x000a__x000a_" sqref="F2:J139" xr:uid="{B27CAB50-902F-4633-8FAC-1EFF4A006B67}">
      <formula1>INDIRECT($E$2:$E$611)</formula1>
    </dataValidation>
    <dataValidation type="list" allowBlank="1" showInputMessage="1" showErrorMessage="1" sqref="R2:R611" xr:uid="{6A814419-2F94-4437-A452-40AD4BBBAB29}">
      <formula1>$AB$10:$AB$12</formula1>
    </dataValidation>
    <dataValidation allowBlank="1" showInputMessage="1" showErrorMessage="1" sqref="D140:D618" xr:uid="{6100E905-00DD-4057-8D27-C393B514B75E}"/>
    <dataValidation type="list" allowBlank="1" showInputMessage="1" promptTitle="Guia" prompt="puede realizar Las siguientes opciones_x000a_si eligio electricos tiene las siguientes opciones de una posible sublista_x000a_" sqref="F140:J613" xr:uid="{3DC80A75-A7D9-4FC1-A0C3-95E51998FBA2}">
      <formula1>INDIRECT($E$2:$E$611)</formula1>
    </dataValidation>
    <dataValidation type="list" allowBlank="1" showInputMessage="1" showErrorMessage="1" sqref="C2:C618" xr:uid="{DEFD91DC-CFDB-40ED-BFBB-36AEF300835D}">
      <formula1>$W$2:$W$12</formula1>
    </dataValidation>
    <dataValidation type="list" allowBlank="1" showInputMessage="1" showErrorMessage="1" sqref="E204:E615" xr:uid="{3C8F5349-6B9F-4615-AF36-6450A120E41D}">
      <formula1>$AC$2:$AC$7</formula1>
    </dataValidation>
  </dataValidations>
  <pageMargins left="0.7" right="0.7" top="0.75" bottom="0.75" header="0.3" footer="0.3"/>
  <legacyDrawing r:id="rId1"/>
  <tableParts count="4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ED2B71A-03CE-4CF9-84E0-97A31CAEA300}">
          <x14:formula1>
            <xm:f>Hoja2!$B$3:$B$79</xm:f>
          </x14:formula1>
          <xm:sqref>B2:B34</xm:sqref>
        </x14:dataValidation>
        <x14:dataValidation type="list" allowBlank="1" showInputMessage="1" showErrorMessage="1" xr:uid="{A598C615-F45B-40DA-856D-9D4C381FDD3E}">
          <x14:formula1>
            <xm:f>Hoja2!$B$3:$B$78</xm:f>
          </x14:formula1>
          <xm:sqref>B35:B611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70FF5-756A-4E2A-9DFD-E6AC527E060A}">
  <dimension ref="B1:BQ618"/>
  <sheetViews>
    <sheetView topLeftCell="A2" zoomScale="85" zoomScaleNormal="85" workbookViewId="0">
      <pane xSplit="3" topLeftCell="F1" activePane="topRight" state="frozen"/>
      <selection pane="topRight" activeCell="G10" sqref="G10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6" width="17.44140625" customWidth="1"/>
    <col min="7" max="9" width="24.109375" customWidth="1"/>
    <col min="10" max="10" width="18.6640625" customWidth="1"/>
    <col min="11" max="11" width="43.6640625" customWidth="1"/>
    <col min="12" max="12" width="15.6640625" customWidth="1"/>
    <col min="13" max="13" width="11.6640625" customWidth="1"/>
    <col min="14" max="14" width="18.6640625" customWidth="1"/>
    <col min="17" max="17" width="11.33203125" customWidth="1"/>
    <col min="19" max="19" width="19.5546875" customWidth="1"/>
    <col min="20" max="20" width="23.44140625" bestFit="1" customWidth="1"/>
    <col min="21" max="21" width="21.33203125" customWidth="1"/>
    <col min="22" max="22" width="22.33203125" customWidth="1"/>
    <col min="23" max="23" width="24" customWidth="1"/>
    <col min="24" max="24" width="24.44140625" customWidth="1"/>
    <col min="25" max="25" width="26.109375" customWidth="1"/>
    <col min="26" max="26" width="23.6640625" customWidth="1"/>
    <col min="27" max="27" width="24" customWidth="1"/>
    <col min="28" max="28" width="21.33203125" customWidth="1"/>
    <col min="29" max="29" width="21.109375" customWidth="1"/>
    <col min="30" max="30" width="19.44140625" bestFit="1" customWidth="1"/>
    <col min="31" max="31" width="22.5546875" customWidth="1"/>
    <col min="32" max="32" width="29.6640625" customWidth="1"/>
    <col min="33" max="33" width="25" customWidth="1"/>
    <col min="34" max="34" width="26.6640625" customWidth="1"/>
    <col min="35" max="35" width="28.33203125" customWidth="1"/>
    <col min="36" max="36" width="27.109375" customWidth="1"/>
    <col min="37" max="39" width="33.6640625" customWidth="1"/>
    <col min="40" max="40" width="22.5546875" customWidth="1"/>
    <col min="41" max="41" width="26.109375" customWidth="1"/>
    <col min="42" max="42" width="25.33203125" customWidth="1"/>
    <col min="43" max="43" width="21.109375" customWidth="1"/>
    <col min="44" max="44" width="19" customWidth="1"/>
    <col min="45" max="45" width="15.5546875" customWidth="1"/>
    <col min="46" max="46" width="18.33203125" customWidth="1"/>
    <col min="47" max="47" width="18.109375" customWidth="1"/>
  </cols>
  <sheetData>
    <row r="1" spans="2:69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7" t="s">
        <v>568</v>
      </c>
      <c r="H1" s="37" t="s">
        <v>566</v>
      </c>
      <c r="I1" s="37" t="s">
        <v>593</v>
      </c>
      <c r="J1" s="37" t="s">
        <v>567</v>
      </c>
      <c r="K1" s="36" t="s">
        <v>205</v>
      </c>
      <c r="L1" s="36" t="s">
        <v>206</v>
      </c>
      <c r="M1" s="36" t="s">
        <v>342</v>
      </c>
      <c r="N1" s="37" t="s">
        <v>207</v>
      </c>
      <c r="O1" s="37" t="s">
        <v>343</v>
      </c>
      <c r="P1" s="37" t="s">
        <v>208</v>
      </c>
      <c r="Q1" s="37" t="s">
        <v>209</v>
      </c>
      <c r="R1" s="37" t="s">
        <v>210</v>
      </c>
      <c r="S1" s="38" t="s">
        <v>211</v>
      </c>
      <c r="T1" s="37" t="s">
        <v>212</v>
      </c>
      <c r="U1" s="39"/>
      <c r="V1" s="40" t="s">
        <v>213</v>
      </c>
      <c r="W1" s="41" t="s">
        <v>201</v>
      </c>
      <c r="Y1" s="42" t="s">
        <v>213</v>
      </c>
      <c r="Z1" s="43" t="s">
        <v>211</v>
      </c>
      <c r="AB1" s="44" t="s">
        <v>213</v>
      </c>
      <c r="AC1" s="45" t="s">
        <v>214</v>
      </c>
      <c r="AE1" s="46"/>
      <c r="AF1" s="1" t="s">
        <v>4</v>
      </c>
      <c r="AG1" s="2" t="s">
        <v>5</v>
      </c>
      <c r="AH1" s="3" t="s">
        <v>6</v>
      </c>
      <c r="AI1" s="2" t="s">
        <v>7</v>
      </c>
      <c r="AJ1" s="3" t="s">
        <v>8</v>
      </c>
      <c r="AK1" s="3" t="s">
        <v>160</v>
      </c>
      <c r="AL1" s="2" t="s">
        <v>9</v>
      </c>
      <c r="AM1" s="4" t="s">
        <v>10</v>
      </c>
      <c r="AN1" t="s">
        <v>11</v>
      </c>
      <c r="AO1" t="s">
        <v>12</v>
      </c>
      <c r="AR1" t="s">
        <v>215</v>
      </c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</row>
    <row r="2" spans="2:69" ht="26.4" customHeight="1" x14ac:dyDescent="0.3">
      <c r="B2" t="s">
        <v>619</v>
      </c>
      <c r="C2" s="11" t="s">
        <v>177</v>
      </c>
      <c r="D2">
        <v>1</v>
      </c>
      <c r="E2" s="11" t="s">
        <v>4</v>
      </c>
      <c r="F2" s="15"/>
      <c r="G2" s="15" t="s">
        <v>621</v>
      </c>
      <c r="H2" s="15">
        <v>220</v>
      </c>
      <c r="I2" s="15">
        <v>4.3499999999999996</v>
      </c>
      <c r="J2" s="15" t="s">
        <v>623</v>
      </c>
      <c r="K2" s="15" t="s">
        <v>611</v>
      </c>
      <c r="L2" s="47" t="s">
        <v>622</v>
      </c>
      <c r="M2" t="s">
        <v>607</v>
      </c>
      <c r="N2" s="47">
        <v>3271</v>
      </c>
      <c r="O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ZE-TB-INS-0001</v>
      </c>
      <c r="Q2" s="15"/>
      <c r="S2" s="48"/>
      <c r="V2" s="49">
        <v>1</v>
      </c>
      <c r="W2" s="50" t="s">
        <v>171</v>
      </c>
      <c r="Y2" s="51">
        <v>1</v>
      </c>
      <c r="Z2" s="52" t="s">
        <v>216</v>
      </c>
      <c r="AB2" s="51">
        <v>1</v>
      </c>
      <c r="AC2" s="52" t="s">
        <v>4</v>
      </c>
      <c r="AF2" s="5" t="s">
        <v>13</v>
      </c>
      <c r="AG2" t="s">
        <v>14</v>
      </c>
      <c r="AH2" t="s">
        <v>15</v>
      </c>
      <c r="AI2" t="s">
        <v>16</v>
      </c>
      <c r="AJ2" s="6" t="s">
        <v>17</v>
      </c>
      <c r="AK2" t="s">
        <v>18</v>
      </c>
      <c r="AL2" t="s">
        <v>19</v>
      </c>
      <c r="AM2" s="6" t="s">
        <v>20</v>
      </c>
      <c r="AN2" t="s">
        <v>21</v>
      </c>
      <c r="AO2" s="7" t="s">
        <v>22</v>
      </c>
      <c r="AR2" s="25" t="s">
        <v>217</v>
      </c>
      <c r="AS2" t="s">
        <v>218</v>
      </c>
      <c r="AT2" t="s">
        <v>219</v>
      </c>
      <c r="AU2" s="25" t="s">
        <v>220</v>
      </c>
      <c r="AV2" t="s">
        <v>221</v>
      </c>
      <c r="BB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</row>
    <row r="3" spans="2:69" ht="29.25" customHeight="1" x14ac:dyDescent="0.3">
      <c r="B3" t="s">
        <v>619</v>
      </c>
      <c r="C3" s="11" t="s">
        <v>176</v>
      </c>
      <c r="D3">
        <v>1</v>
      </c>
      <c r="E3" s="11" t="s">
        <v>4</v>
      </c>
      <c r="F3" s="15"/>
      <c r="G3" s="15" t="s">
        <v>688</v>
      </c>
      <c r="H3" s="15">
        <v>220</v>
      </c>
      <c r="I3" s="15">
        <v>5.7</v>
      </c>
      <c r="J3" s="15">
        <v>1150</v>
      </c>
      <c r="K3" s="15" t="s">
        <v>611</v>
      </c>
      <c r="L3" s="47" t="s">
        <v>685</v>
      </c>
      <c r="M3" t="s">
        <v>686</v>
      </c>
      <c r="N3" s="47" t="s">
        <v>687</v>
      </c>
      <c r="O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ZE-TB-ELT-0001</v>
      </c>
      <c r="Q3" s="15"/>
      <c r="S3" s="48"/>
      <c r="V3" s="49">
        <v>2</v>
      </c>
      <c r="W3" s="50" t="s">
        <v>172</v>
      </c>
      <c r="Y3" s="51">
        <v>2</v>
      </c>
      <c r="Z3" s="52" t="s">
        <v>222</v>
      </c>
      <c r="AB3" s="51">
        <v>2</v>
      </c>
      <c r="AC3" s="53" t="s">
        <v>5</v>
      </c>
      <c r="AF3" s="6" t="s">
        <v>23</v>
      </c>
      <c r="AG3" t="s">
        <v>24</v>
      </c>
      <c r="AH3" t="s">
        <v>25</v>
      </c>
      <c r="AI3" t="s">
        <v>26</v>
      </c>
      <c r="AJ3" s="6" t="s">
        <v>27</v>
      </c>
      <c r="AK3" t="s">
        <v>28</v>
      </c>
      <c r="AL3" t="s">
        <v>29</v>
      </c>
      <c r="AN3" s="8" t="s">
        <v>30</v>
      </c>
      <c r="AO3" s="9" t="s">
        <v>31</v>
      </c>
      <c r="AR3" s="25" t="s">
        <v>223</v>
      </c>
      <c r="AS3" t="s">
        <v>70</v>
      </c>
      <c r="BB3" s="11"/>
      <c r="BC3" s="11"/>
      <c r="BD3" s="11"/>
      <c r="BE3" s="11"/>
      <c r="BF3" s="11"/>
      <c r="BG3" s="11"/>
      <c r="BH3" s="11"/>
      <c r="BI3" s="11"/>
      <c r="BJ3" s="54"/>
      <c r="BK3" s="54"/>
      <c r="BL3" s="11"/>
      <c r="BM3" s="11"/>
      <c r="BN3" s="11"/>
      <c r="BO3" s="11"/>
      <c r="BP3" s="11"/>
      <c r="BQ3" s="11"/>
    </row>
    <row r="4" spans="2:69" ht="33" customHeight="1" x14ac:dyDescent="0.3">
      <c r="B4" t="s">
        <v>619</v>
      </c>
      <c r="C4" s="11" t="s">
        <v>173</v>
      </c>
      <c r="D4">
        <v>1</v>
      </c>
      <c r="E4" s="11" t="s">
        <v>4</v>
      </c>
      <c r="F4" s="15"/>
      <c r="G4" s="15">
        <v>32</v>
      </c>
      <c r="H4" s="15">
        <v>220</v>
      </c>
      <c r="I4" s="15"/>
      <c r="J4" s="15">
        <v>1100</v>
      </c>
      <c r="K4" s="15" t="s">
        <v>713</v>
      </c>
      <c r="L4" s="47" t="s">
        <v>714</v>
      </c>
      <c r="M4" t="s">
        <v>715</v>
      </c>
      <c r="N4" s="47"/>
      <c r="O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ZE-TB-FL-0001</v>
      </c>
      <c r="Q4" s="15"/>
      <c r="S4" s="48"/>
      <c r="T4" t="s">
        <v>716</v>
      </c>
      <c r="V4" s="49">
        <v>3</v>
      </c>
      <c r="W4" s="50" t="s">
        <v>173</v>
      </c>
      <c r="Y4" s="55">
        <v>3</v>
      </c>
      <c r="Z4" s="56" t="s">
        <v>224</v>
      </c>
      <c r="AB4" s="51">
        <v>3</v>
      </c>
      <c r="AC4" s="53" t="s">
        <v>6</v>
      </c>
      <c r="AF4" s="10" t="s">
        <v>32</v>
      </c>
      <c r="AG4" t="s">
        <v>33</v>
      </c>
      <c r="AH4" t="s">
        <v>34</v>
      </c>
      <c r="AI4" t="s">
        <v>35</v>
      </c>
      <c r="AJ4" s="5" t="s">
        <v>36</v>
      </c>
      <c r="AK4" s="11" t="s">
        <v>37</v>
      </c>
      <c r="AL4" t="s">
        <v>38</v>
      </c>
      <c r="AN4" s="11" t="s">
        <v>39</v>
      </c>
      <c r="AO4" s="7" t="s">
        <v>40</v>
      </c>
      <c r="AR4" s="25" t="s">
        <v>225</v>
      </c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</row>
    <row r="5" spans="2:69" ht="28.8" x14ac:dyDescent="0.3">
      <c r="B5" t="s">
        <v>619</v>
      </c>
      <c r="C5" s="11" t="s">
        <v>171</v>
      </c>
      <c r="D5">
        <v>1</v>
      </c>
      <c r="E5" s="11" t="s">
        <v>4</v>
      </c>
      <c r="F5" s="15"/>
      <c r="G5" s="15" t="s">
        <v>779</v>
      </c>
      <c r="H5" s="15" t="s">
        <v>776</v>
      </c>
      <c r="I5" s="15" t="s">
        <v>777</v>
      </c>
      <c r="J5" s="15"/>
      <c r="K5" s="15" t="s">
        <v>775</v>
      </c>
      <c r="L5" s="47" t="s">
        <v>778</v>
      </c>
      <c r="N5" s="47">
        <v>32500005</v>
      </c>
      <c r="O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ZE-TB-CH-0001</v>
      </c>
      <c r="Q5" s="15"/>
      <c r="S5" s="48"/>
      <c r="V5" s="49">
        <v>4</v>
      </c>
      <c r="W5" s="50" t="s">
        <v>174</v>
      </c>
      <c r="AB5" s="51">
        <v>4</v>
      </c>
      <c r="AC5" s="53" t="s">
        <v>7</v>
      </c>
      <c r="AF5" t="s">
        <v>41</v>
      </c>
      <c r="AG5" t="s">
        <v>42</v>
      </c>
      <c r="AH5" t="s">
        <v>43</v>
      </c>
      <c r="AI5" t="s">
        <v>44</v>
      </c>
      <c r="AJ5" s="5" t="s">
        <v>45</v>
      </c>
      <c r="AL5" t="s">
        <v>46</v>
      </c>
      <c r="AN5" s="12" t="s">
        <v>47</v>
      </c>
      <c r="AO5" s="9" t="s">
        <v>48</v>
      </c>
      <c r="AR5" s="25" t="s">
        <v>226</v>
      </c>
      <c r="AS5" t="s">
        <v>80</v>
      </c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</row>
    <row r="6" spans="2:69" ht="30" customHeight="1" x14ac:dyDescent="0.3">
      <c r="B6" t="s">
        <v>619</v>
      </c>
      <c r="C6" s="11" t="s">
        <v>174</v>
      </c>
      <c r="D6">
        <v>1</v>
      </c>
      <c r="E6" s="11" t="s">
        <v>4</v>
      </c>
      <c r="F6" s="15"/>
      <c r="G6" s="15"/>
      <c r="H6" s="15">
        <v>220</v>
      </c>
      <c r="I6" s="15"/>
      <c r="J6" s="15">
        <v>370</v>
      </c>
      <c r="K6" s="15" t="s">
        <v>713</v>
      </c>
      <c r="L6" s="47" t="s">
        <v>870</v>
      </c>
      <c r="N6" s="47"/>
      <c r="O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ZE-TB-FI-0001</v>
      </c>
      <c r="Q6" s="15"/>
      <c r="S6" s="48"/>
      <c r="V6" s="49">
        <v>5</v>
      </c>
      <c r="W6" s="50" t="s">
        <v>175</v>
      </c>
      <c r="AB6" s="51">
        <v>5</v>
      </c>
      <c r="AC6" s="53" t="s">
        <v>8</v>
      </c>
      <c r="AF6" t="s">
        <v>49</v>
      </c>
      <c r="AG6" t="s">
        <v>36</v>
      </c>
      <c r="AH6" t="s">
        <v>50</v>
      </c>
      <c r="AI6" t="s">
        <v>51</v>
      </c>
      <c r="AJ6" s="5" t="s">
        <v>52</v>
      </c>
      <c r="AN6" t="s">
        <v>53</v>
      </c>
      <c r="AO6" s="7" t="s">
        <v>54</v>
      </c>
      <c r="AR6" s="25" t="s">
        <v>227</v>
      </c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</row>
    <row r="7" spans="2:69" ht="30" customHeight="1" x14ac:dyDescent="0.3">
      <c r="B7" t="s">
        <v>619</v>
      </c>
      <c r="C7" s="11" t="s">
        <v>181</v>
      </c>
      <c r="D7">
        <v>1</v>
      </c>
      <c r="E7" s="11" t="s">
        <v>4</v>
      </c>
      <c r="F7" s="15"/>
      <c r="G7" s="15" t="s">
        <v>878</v>
      </c>
      <c r="H7" s="15">
        <v>220</v>
      </c>
      <c r="I7" s="15">
        <v>7.3</v>
      </c>
      <c r="J7" s="15"/>
      <c r="K7" s="15" t="s">
        <v>875</v>
      </c>
      <c r="L7" s="47" t="s">
        <v>876</v>
      </c>
      <c r="M7" t="s">
        <v>877</v>
      </c>
      <c r="N7" s="47">
        <v>800141</v>
      </c>
      <c r="O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ZE-TB-RH-0001</v>
      </c>
      <c r="Q7" s="15"/>
      <c r="S7" s="48"/>
      <c r="V7" s="49">
        <v>6</v>
      </c>
      <c r="W7" s="50" t="s">
        <v>176</v>
      </c>
      <c r="AB7" s="55">
        <v>6</v>
      </c>
      <c r="AC7" s="56" t="s">
        <v>10</v>
      </c>
      <c r="AF7" t="s">
        <v>55</v>
      </c>
      <c r="AH7" s="11" t="s">
        <v>56</v>
      </c>
      <c r="AI7" s="5" t="s">
        <v>57</v>
      </c>
      <c r="AJ7" t="s">
        <v>58</v>
      </c>
      <c r="AO7" s="13" t="s">
        <v>59</v>
      </c>
      <c r="AR7" s="15" t="s">
        <v>228</v>
      </c>
      <c r="AS7" s="15" t="s">
        <v>229</v>
      </c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</row>
    <row r="8" spans="2:69" ht="33.6" customHeight="1" x14ac:dyDescent="0.3">
      <c r="B8" t="s">
        <v>619</v>
      </c>
      <c r="C8" s="11" t="s">
        <v>178</v>
      </c>
      <c r="D8">
        <v>1</v>
      </c>
      <c r="E8" s="11" t="s">
        <v>4</v>
      </c>
      <c r="F8" s="15"/>
      <c r="G8" s="15" t="s">
        <v>927</v>
      </c>
      <c r="H8" s="15">
        <v>220</v>
      </c>
      <c r="I8" s="15"/>
      <c r="J8" s="15">
        <v>750</v>
      </c>
      <c r="K8" s="15" t="s">
        <v>713</v>
      </c>
      <c r="L8" s="47" t="s">
        <v>926</v>
      </c>
      <c r="M8" t="s">
        <v>928</v>
      </c>
      <c r="N8" s="47"/>
      <c r="O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ZE-TB-TG-0001</v>
      </c>
      <c r="Q8" s="15" t="s">
        <v>934</v>
      </c>
      <c r="S8" s="48"/>
      <c r="V8" s="49">
        <v>7</v>
      </c>
      <c r="W8" s="50" t="s">
        <v>177</v>
      </c>
      <c r="AF8" t="s">
        <v>60</v>
      </c>
      <c r="AH8" s="11" t="s">
        <v>61</v>
      </c>
      <c r="AI8" t="s">
        <v>62</v>
      </c>
      <c r="AJ8" t="s">
        <v>35</v>
      </c>
      <c r="AO8" s="14" t="s">
        <v>63</v>
      </c>
      <c r="AR8" s="25" t="s">
        <v>230</v>
      </c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</row>
    <row r="9" spans="2:69" ht="30" customHeight="1" x14ac:dyDescent="0.3">
      <c r="B9" t="s">
        <v>619</v>
      </c>
      <c r="C9" s="11" t="s">
        <v>178</v>
      </c>
      <c r="D9">
        <v>1</v>
      </c>
      <c r="E9" s="11" t="s">
        <v>4</v>
      </c>
      <c r="F9" s="15"/>
      <c r="G9" s="15"/>
      <c r="H9" s="15" t="s">
        <v>945</v>
      </c>
      <c r="I9" s="15">
        <v>9.1</v>
      </c>
      <c r="J9" s="15"/>
      <c r="K9" s="15" t="s">
        <v>944</v>
      </c>
      <c r="L9" s="47" t="s">
        <v>943</v>
      </c>
      <c r="N9" s="47">
        <v>104458</v>
      </c>
      <c r="O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ZE-TB-TG-0002</v>
      </c>
      <c r="Q9" s="15"/>
      <c r="S9" s="48"/>
      <c r="V9" s="49">
        <v>8</v>
      </c>
      <c r="W9" s="57" t="s">
        <v>178</v>
      </c>
      <c r="AB9" s="58" t="s">
        <v>210</v>
      </c>
      <c r="AF9" t="s">
        <v>64</v>
      </c>
      <c r="AH9" s="15" t="s">
        <v>65</v>
      </c>
      <c r="AI9" t="s">
        <v>66</v>
      </c>
      <c r="AJ9" s="16"/>
      <c r="AO9" s="9" t="s">
        <v>67</v>
      </c>
      <c r="AR9" s="25" t="s">
        <v>231</v>
      </c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</row>
    <row r="10" spans="2:69" ht="26.4" customHeight="1" x14ac:dyDescent="0.3">
      <c r="B10" t="s">
        <v>619</v>
      </c>
      <c r="C10" s="11" t="s">
        <v>178</v>
      </c>
      <c r="D10">
        <v>1</v>
      </c>
      <c r="E10" s="11" t="s">
        <v>4</v>
      </c>
      <c r="F10" s="15"/>
      <c r="G10" s="15"/>
      <c r="H10" s="15">
        <v>230</v>
      </c>
      <c r="I10" s="15">
        <v>1.6</v>
      </c>
      <c r="J10" s="15"/>
      <c r="K10" s="15" t="s">
        <v>796</v>
      </c>
      <c r="L10" s="47" t="s">
        <v>983</v>
      </c>
      <c r="N10" s="47">
        <v>732000</v>
      </c>
      <c r="O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ZE-TB-TG-0003</v>
      </c>
      <c r="Q10" s="15"/>
      <c r="S10" s="48"/>
      <c r="V10" s="49">
        <v>9</v>
      </c>
      <c r="W10" s="57" t="s">
        <v>179</v>
      </c>
      <c r="AB10" s="59" t="s">
        <v>232</v>
      </c>
      <c r="AF10" s="17" t="s">
        <v>68</v>
      </c>
      <c r="AH10" s="15" t="s">
        <v>69</v>
      </c>
      <c r="AI10" t="s">
        <v>70</v>
      </c>
      <c r="AO10" s="18" t="s">
        <v>71</v>
      </c>
      <c r="AR10" s="15" t="s">
        <v>95</v>
      </c>
    </row>
    <row r="11" spans="2:69" ht="33.6" customHeight="1" x14ac:dyDescent="0.3">
      <c r="C11" s="11"/>
      <c r="E11" s="11" t="str" cm="1">
        <f t="array" ref="E11">_xlfn.IFS(
    COUNTIF(Herramientas_eléctricas1862106149192235[Herramientas_eléctricas], B11) &gt; 0, Herramientas_eléctricas1862106149192235[[#Headers],[Herramientas_eléctricas]],
    COUNTIF(Herramientas_neumáticas1963107150193236[Herramientas_neumáticas], B11) &gt; 0, Herramientas_neumáticas1963107150193236[[#Headers],[Herramientas_neumáticas]],
    COUNTIF(Herramientas_de_medición2064108151194237[Herramientas_de_medición], B11) &gt; 0, Herramientas_de_medición2064108151194237[[#Headers],[Herramientas_de_medición]],
    COUNTIF(Herrramientas_mecánicas2165109152195238[Herramientas_mecánicas], B11) &gt; 0, Herrramientas_mecánicas2165109152195238[[#Headers],[Herramientas_mecánicas]],
    COUNTIF(AJ11:AJ17, B11) &gt; 0, Herramientas_hidráulicas2266110153196239[[#Headers],[Herramientas_hidráulicas]],
    COUNTIF(EPP_2367111154197240[SPCC], B11) &gt; 0, EPP_2367111154197240[[#Headers],[SPCC]],
   COUNTIF(Herramientas_de_izaje2468112155198241[Herramientas_de_izaje], B11) &gt; 0, Herramientas_de_izaje2468112155198241[[#Headers],[Herramientas_de_izaje]],
COUNTIF(Tabla162670114157200243[Equipos], B11) &gt; 0, Tabla162670114157200243[[#Headers],[Equipos]],
    TRUE, "Sin clasificación"
)</f>
        <v>Sin clasificación</v>
      </c>
      <c r="F11" s="15"/>
      <c r="G11" s="15"/>
      <c r="H11" s="15"/>
      <c r="I11" s="15"/>
      <c r="J11" s="15"/>
      <c r="K11" s="15"/>
      <c r="L11" s="85"/>
      <c r="N11" s="47"/>
      <c r="O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-SinArea-0000</v>
      </c>
      <c r="Q11" s="15"/>
      <c r="S11" s="48"/>
      <c r="V11" s="60">
        <v>10</v>
      </c>
      <c r="W11" s="61" t="s">
        <v>180</v>
      </c>
      <c r="AB11" s="59" t="s">
        <v>233</v>
      </c>
      <c r="AF11" s="8" t="s">
        <v>72</v>
      </c>
      <c r="AH11" s="15" t="s">
        <v>73</v>
      </c>
      <c r="AI11" t="s">
        <v>74</v>
      </c>
      <c r="AO11" s="18" t="s">
        <v>75</v>
      </c>
      <c r="BC11" s="62"/>
    </row>
    <row r="12" spans="2:69" ht="28.8" x14ac:dyDescent="0.3">
      <c r="C12" s="11"/>
      <c r="E12" s="11" t="str" cm="1">
        <f t="array" ref="E12">_xlfn.IFS(
    COUNTIF(Herramientas_eléctricas1862106149192235[Herramientas_eléctricas], B12) &gt; 0, Herramientas_eléctricas1862106149192235[[#Headers],[Herramientas_eléctricas]],
    COUNTIF(Herramientas_neumáticas1963107150193236[Herramientas_neumáticas], B12) &gt; 0, Herramientas_neumáticas1963107150193236[[#Headers],[Herramientas_neumáticas]],
    COUNTIF(Herramientas_de_medición2064108151194237[Herramientas_de_medición], B12) &gt; 0, Herramientas_de_medición2064108151194237[[#Headers],[Herramientas_de_medición]],
    COUNTIF(Herrramientas_mecánicas2165109152195238[Herramientas_mecánicas], B12) &gt; 0, Herrramientas_mecánicas2165109152195238[[#Headers],[Herramientas_mecánicas]],
    COUNTIF(AJ12:AJ18, B12) &gt; 0, Herramientas_hidráulicas2266110153196239[[#Headers],[Herramientas_hidráulicas]],
    COUNTIF(EPP_2367111154197240[SPCC], B12) &gt; 0, EPP_2367111154197240[[#Headers],[SPCC]],
   COUNTIF(Herramientas_de_izaje2468112155198241[Herramientas_de_izaje], B12) &gt; 0, Herramientas_de_izaje2468112155198241[[#Headers],[Herramientas_de_izaje]],
COUNTIF(Tabla162670114157200243[Equipos], B12) &gt; 0, Tabla162670114157200243[[#Headers],[Equipos]],
    TRUE, "Sin clasificación"
)</f>
        <v>Sin clasificación</v>
      </c>
      <c r="F12" s="15"/>
      <c r="G12" s="15"/>
      <c r="H12" s="15"/>
      <c r="I12" s="15"/>
      <c r="J12" s="15"/>
      <c r="K12" s="15"/>
      <c r="L12" s="47"/>
      <c r="N12" s="47"/>
      <c r="O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-SinArea-0000</v>
      </c>
      <c r="Q12" s="15"/>
      <c r="S12" s="48"/>
      <c r="V12" s="60">
        <v>11</v>
      </c>
      <c r="W12" s="61" t="s">
        <v>181</v>
      </c>
      <c r="AB12" s="33" t="s">
        <v>234</v>
      </c>
      <c r="AF12" t="s">
        <v>19</v>
      </c>
      <c r="AG12" t="s">
        <v>76</v>
      </c>
      <c r="AH12" s="15" t="s">
        <v>77</v>
      </c>
      <c r="AI12" t="s">
        <v>78</v>
      </c>
      <c r="AO12" s="19" t="s">
        <v>79</v>
      </c>
      <c r="AR12" s="11"/>
    </row>
    <row r="13" spans="2:69" x14ac:dyDescent="0.3">
      <c r="C13" s="11"/>
      <c r="E13" s="11" t="str" cm="1">
        <f t="array" ref="E13">_xlfn.IFS(
    COUNTIF(Herramientas_eléctricas1862106149192235[Herramientas_eléctricas], B13) &gt; 0, Herramientas_eléctricas1862106149192235[[#Headers],[Herramientas_eléctricas]],
    COUNTIF(Herramientas_neumáticas1963107150193236[Herramientas_neumáticas], B13) &gt; 0, Herramientas_neumáticas1963107150193236[[#Headers],[Herramientas_neumáticas]],
    COUNTIF(Herramientas_de_medición2064108151194237[Herramientas_de_medición], B13) &gt; 0, Herramientas_de_medición2064108151194237[[#Headers],[Herramientas_de_medición]],
    COUNTIF(Herrramientas_mecánicas2165109152195238[Herramientas_mecánicas], B13) &gt; 0, Herrramientas_mecánicas2165109152195238[[#Headers],[Herramientas_mecánicas]],
    COUNTIF(AJ13:AJ19, B13) &gt; 0, Herramientas_hidráulicas2266110153196239[[#Headers],[Herramientas_hidráulicas]],
    COUNTIF(EPP_2367111154197240[SPCC], B13) &gt; 0, EPP_2367111154197240[[#Headers],[SPCC]],
   COUNTIF(Herramientas_de_izaje2468112155198241[Herramientas_de_izaje], B13) &gt; 0, Herramientas_de_izaje2468112155198241[[#Headers],[Herramientas_de_izaje]],
COUNTIF(Tabla162670114157200243[Equipos], B13) &gt; 0, Tabla162670114157200243[[#Headers],[Equipos]],
    TRUE, "Sin clasificación"
)</f>
        <v>Sin clasificación</v>
      </c>
      <c r="F13" s="15"/>
      <c r="G13" s="15"/>
      <c r="H13" s="15"/>
      <c r="I13" s="15"/>
      <c r="J13" s="15"/>
      <c r="K13" s="15"/>
      <c r="L13" s="47"/>
      <c r="N13" s="47"/>
      <c r="O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-SinArea-0000</v>
      </c>
      <c r="Q13" s="15"/>
      <c r="S13" s="48"/>
      <c r="AF13" t="s">
        <v>80</v>
      </c>
      <c r="AH13" s="15" t="s">
        <v>81</v>
      </c>
      <c r="AI13" t="s">
        <v>82</v>
      </c>
      <c r="AO13" s="20" t="s">
        <v>83</v>
      </c>
      <c r="AR13" s="11"/>
      <c r="AW13" s="11"/>
    </row>
    <row r="14" spans="2:69" x14ac:dyDescent="0.3">
      <c r="C14" s="11"/>
      <c r="E14" s="11" t="str" cm="1">
        <f t="array" ref="E14">_xlfn.IFS(
    COUNTIF(Herramientas_eléctricas1862106149192235[Herramientas_eléctricas], B14) &gt; 0, Herramientas_eléctricas1862106149192235[[#Headers],[Herramientas_eléctricas]],
    COUNTIF(Herramientas_neumáticas1963107150193236[Herramientas_neumáticas], B14) &gt; 0, Herramientas_neumáticas1963107150193236[[#Headers],[Herramientas_neumáticas]],
    COUNTIF(Herramientas_de_medición2064108151194237[Herramientas_de_medición], B14) &gt; 0, Herramientas_de_medición2064108151194237[[#Headers],[Herramientas_de_medición]],
    COUNTIF(Herrramientas_mecánicas2165109152195238[Herramientas_mecánicas], B14) &gt; 0, Herrramientas_mecánicas2165109152195238[[#Headers],[Herramientas_mecánicas]],
    COUNTIF(AJ14:AJ20, B14) &gt; 0, Herramientas_hidráulicas2266110153196239[[#Headers],[Herramientas_hidráulicas]],
    COUNTIF(EPP_2367111154197240[SPCC], B14) &gt; 0, EPP_2367111154197240[[#Headers],[SPCC]],
   COUNTIF(Herramientas_de_izaje2468112155198241[Herramientas_de_izaje], B14) &gt; 0, Herramientas_de_izaje2468112155198241[[#Headers],[Herramientas_de_izaje]],
COUNTIF(Tabla162670114157200243[Equipos], B14) &gt; 0, Tabla162670114157200243[[#Headers],[Equipos]],
    TRUE, "Sin clasificación"
)</f>
        <v>Sin clasificación</v>
      </c>
      <c r="F14" s="15"/>
      <c r="G14" s="15"/>
      <c r="H14" s="15"/>
      <c r="I14" s="15"/>
      <c r="J14" s="15"/>
      <c r="K14" s="15"/>
      <c r="L14" s="47"/>
      <c r="N14" s="47"/>
      <c r="O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-SinArea-0000</v>
      </c>
      <c r="Q14" s="15"/>
      <c r="S14" s="48"/>
      <c r="AF14" t="s">
        <v>84</v>
      </c>
      <c r="AH14" s="15" t="s">
        <v>85</v>
      </c>
      <c r="AI14" t="s">
        <v>86</v>
      </c>
      <c r="AO14" s="18" t="s">
        <v>87</v>
      </c>
    </row>
    <row r="15" spans="2:69" ht="43.95" customHeight="1" x14ac:dyDescent="0.3">
      <c r="C15" s="11"/>
      <c r="E15" s="11" t="str" cm="1">
        <f t="array" ref="E15">_xlfn.IFS(
    COUNTIF(Herramientas_eléctricas1862106149192235[Herramientas_eléctricas], B15) &gt; 0, Herramientas_eléctricas1862106149192235[[#Headers],[Herramientas_eléctricas]],
    COUNTIF(Herramientas_neumáticas1963107150193236[Herramientas_neumáticas], B15) &gt; 0, Herramientas_neumáticas1963107150193236[[#Headers],[Herramientas_neumáticas]],
    COUNTIF(Herramientas_de_medición2064108151194237[Herramientas_de_medición], B15) &gt; 0, Herramientas_de_medición2064108151194237[[#Headers],[Herramientas_de_medición]],
    COUNTIF(Herrramientas_mecánicas2165109152195238[Herramientas_mecánicas], B15) &gt; 0, Herrramientas_mecánicas2165109152195238[[#Headers],[Herramientas_mecánicas]],
    COUNTIF(AJ15:AJ21, B15) &gt; 0, Herramientas_hidráulicas2266110153196239[[#Headers],[Herramientas_hidráulicas]],
    COUNTIF(EPP_2367111154197240[SPCC], B15) &gt; 0, EPP_2367111154197240[[#Headers],[SPCC]],
   COUNTIF(Herramientas_de_izaje2468112155198241[Herramientas_de_izaje], B15) &gt; 0, Herramientas_de_izaje2468112155198241[[#Headers],[Herramientas_de_izaje]],
COUNTIF(Tabla162670114157200243[Equipos], B15) &gt; 0, Tabla162670114157200243[[#Headers],[Equipos]],
    TRUE, "Sin clasificación"
)</f>
        <v>Sin clasificación</v>
      </c>
      <c r="F15" s="15"/>
      <c r="G15" s="15"/>
      <c r="H15" s="15"/>
      <c r="I15" s="15"/>
      <c r="J15" s="15"/>
      <c r="K15" s="15"/>
      <c r="L15" s="47"/>
      <c r="N15" s="47"/>
      <c r="O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-SinArea-0000</v>
      </c>
      <c r="Q15" s="15"/>
      <c r="S15" s="48"/>
      <c r="AF15" t="s">
        <v>88</v>
      </c>
      <c r="AH15" t="s">
        <v>89</v>
      </c>
      <c r="AI15" t="s">
        <v>90</v>
      </c>
      <c r="AO15" s="21" t="s">
        <v>91</v>
      </c>
      <c r="AR15" s="11"/>
    </row>
    <row r="16" spans="2:69" x14ac:dyDescent="0.3">
      <c r="C16" s="11"/>
      <c r="E16" s="11" t="str" cm="1">
        <f t="array" ref="E16">_xlfn.IFS(
    COUNTIF(Herramientas_eléctricas1862106149192235[Herramientas_eléctricas], B16) &gt; 0, Herramientas_eléctricas1862106149192235[[#Headers],[Herramientas_eléctricas]],
    COUNTIF(Herramientas_neumáticas1963107150193236[Herramientas_neumáticas], B16) &gt; 0, Herramientas_neumáticas1963107150193236[[#Headers],[Herramientas_neumáticas]],
    COUNTIF(Herramientas_de_medición2064108151194237[Herramientas_de_medición], B16) &gt; 0, Herramientas_de_medición2064108151194237[[#Headers],[Herramientas_de_medición]],
    COUNTIF(Herrramientas_mecánicas2165109152195238[Herramientas_mecánicas], B16) &gt; 0, Herrramientas_mecánicas2165109152195238[[#Headers],[Herramientas_mecánicas]],
    COUNTIF(AJ16:AJ22, B16) &gt; 0, Herramientas_hidráulicas2266110153196239[[#Headers],[Herramientas_hidráulicas]],
    COUNTIF(EPP_2367111154197240[SPCC], B16) &gt; 0, EPP_2367111154197240[[#Headers],[SPCC]],
   COUNTIF(Herramientas_de_izaje2468112155198241[Herramientas_de_izaje], B16) &gt; 0, Herramientas_de_izaje2468112155198241[[#Headers],[Herramientas_de_izaje]],
COUNTIF(Tabla162670114157200243[Equipos], B16) &gt; 0, Tabla162670114157200243[[#Headers],[Equipos]],
    TRUE, "Sin clasificación"
)</f>
        <v>Sin clasificación</v>
      </c>
      <c r="F16" s="15"/>
      <c r="G16" s="15"/>
      <c r="H16" s="15"/>
      <c r="I16" s="15"/>
      <c r="J16" s="15"/>
      <c r="K16" s="15"/>
      <c r="L16" s="47"/>
      <c r="N16" s="47"/>
      <c r="O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-SinArea-0000</v>
      </c>
      <c r="Q16" s="15"/>
      <c r="S16" s="48"/>
      <c r="AF16" t="s">
        <v>41</v>
      </c>
      <c r="AH16" t="s">
        <v>62</v>
      </c>
      <c r="AI16" s="11" t="s">
        <v>92</v>
      </c>
      <c r="AJ16" s="22"/>
      <c r="AO16" s="23" t="s">
        <v>93</v>
      </c>
    </row>
    <row r="17" spans="3:44" x14ac:dyDescent="0.3">
      <c r="C17" s="11"/>
      <c r="E17" s="11" t="str" cm="1">
        <f t="array" ref="E17">_xlfn.IFS(
    COUNTIF(Herramientas_eléctricas1862106149192235[Herramientas_eléctricas], B17) &gt; 0, Herramientas_eléctricas1862106149192235[[#Headers],[Herramientas_eléctricas]],
    COUNTIF(Herramientas_neumáticas1963107150193236[Herramientas_neumáticas], B17) &gt; 0, Herramientas_neumáticas1963107150193236[[#Headers],[Herramientas_neumáticas]],
    COUNTIF(Herramientas_de_medición2064108151194237[Herramientas_de_medición], B17) &gt; 0, Herramientas_de_medición2064108151194237[[#Headers],[Herramientas_de_medición]],
    COUNTIF(Herrramientas_mecánicas2165109152195238[Herramientas_mecánicas], B17) &gt; 0, Herrramientas_mecánicas2165109152195238[[#Headers],[Herramientas_mecánicas]],
    COUNTIF(AJ17:AJ23, B17) &gt; 0, Herramientas_hidráulicas2266110153196239[[#Headers],[Herramientas_hidráulicas]],
    COUNTIF(EPP_2367111154197240[SPCC], B17) &gt; 0, EPP_2367111154197240[[#Headers],[SPCC]],
   COUNTIF(Herramientas_de_izaje2468112155198241[Herramientas_de_izaje], B17) &gt; 0, Herramientas_de_izaje2468112155198241[[#Headers],[Herramientas_de_izaje]],
COUNTIF(Tabla162670114157200243[Equipos], B17) &gt; 0, Tabla162670114157200243[[#Headers],[Equipos]],
    TRUE, "Sin clasificación"
)</f>
        <v>Sin clasificación</v>
      </c>
      <c r="F17" s="15"/>
      <c r="G17" s="15"/>
      <c r="H17" s="15"/>
      <c r="I17" s="15"/>
      <c r="J17" s="15"/>
      <c r="K17" s="15"/>
      <c r="L17" s="47"/>
      <c r="N17" s="47"/>
      <c r="O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-SinArea-0000</v>
      </c>
      <c r="Q17" s="15"/>
      <c r="S17" s="48"/>
      <c r="AF17" s="24" t="s">
        <v>94</v>
      </c>
      <c r="AI17" s="15" t="s">
        <v>95</v>
      </c>
      <c r="AJ17" s="14"/>
      <c r="AO17" s="25" t="s">
        <v>96</v>
      </c>
      <c r="AR17" s="11"/>
    </row>
    <row r="18" spans="3:44" x14ac:dyDescent="0.3">
      <c r="C18" s="11"/>
      <c r="E18" s="11" t="str" cm="1">
        <f t="array" ref="E18">_xlfn.IFS(
    COUNTIF(Herramientas_eléctricas1862106149192235[Herramientas_eléctricas], B18) &gt; 0, Herramientas_eléctricas1862106149192235[[#Headers],[Herramientas_eléctricas]],
    COUNTIF(Herramientas_neumáticas1963107150193236[Herramientas_neumáticas], B18) &gt; 0, Herramientas_neumáticas1963107150193236[[#Headers],[Herramientas_neumáticas]],
    COUNTIF(Herramientas_de_medición2064108151194237[Herramientas_de_medición], B18) &gt; 0, Herramientas_de_medición2064108151194237[[#Headers],[Herramientas_de_medición]],
    COUNTIF(Herrramientas_mecánicas2165109152195238[Herramientas_mecánicas], B18) &gt; 0, Herrramientas_mecánicas2165109152195238[[#Headers],[Herramientas_mecánicas]],
    COUNTIF(AJ18:AJ24, B18) &gt; 0, Herramientas_hidráulicas2266110153196239[[#Headers],[Herramientas_hidráulicas]],
    COUNTIF(EPP_2367111154197240[SPCC], B18) &gt; 0, EPP_2367111154197240[[#Headers],[SPCC]],
   COUNTIF(Herramientas_de_izaje2468112155198241[Herramientas_de_izaje], B18) &gt; 0, Herramientas_de_izaje2468112155198241[[#Headers],[Herramientas_de_izaje]],
COUNTIF(Tabla162670114157200243[Equipos], B18) &gt; 0, Tabla162670114157200243[[#Headers],[Equipos]],
    TRUE, "Sin clasificación"
)</f>
        <v>Sin clasificación</v>
      </c>
      <c r="F18" s="15"/>
      <c r="G18" s="15"/>
      <c r="H18" s="15"/>
      <c r="I18" s="15"/>
      <c r="J18" s="15"/>
      <c r="K18" s="15"/>
      <c r="L18" s="47"/>
      <c r="N18" s="47"/>
      <c r="O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-SinArea-0000</v>
      </c>
      <c r="Q18" s="15"/>
      <c r="S18" s="48"/>
      <c r="AF18" t="s">
        <v>97</v>
      </c>
      <c r="AI18" t="s">
        <v>98</v>
      </c>
      <c r="AO18" s="25" t="s">
        <v>99</v>
      </c>
    </row>
    <row r="19" spans="3:44" x14ac:dyDescent="0.3">
      <c r="C19" s="11"/>
      <c r="E19" s="11" t="str" cm="1">
        <f t="array" ref="E19">_xlfn.IFS(
    COUNTIF(Herramientas_eléctricas1862106149192235[Herramientas_eléctricas], B19) &gt; 0, Herramientas_eléctricas1862106149192235[[#Headers],[Herramientas_eléctricas]],
    COUNTIF(Herramientas_neumáticas1963107150193236[Herramientas_neumáticas], B19) &gt; 0, Herramientas_neumáticas1963107150193236[[#Headers],[Herramientas_neumáticas]],
    COUNTIF(Herramientas_de_medición2064108151194237[Herramientas_de_medición], B19) &gt; 0, Herramientas_de_medición2064108151194237[[#Headers],[Herramientas_de_medición]],
    COUNTIF(Herrramientas_mecánicas2165109152195238[Herramientas_mecánicas], B19) &gt; 0, Herrramientas_mecánicas2165109152195238[[#Headers],[Herramientas_mecánicas]],
    COUNTIF(AJ19:AJ25, B19) &gt; 0, Herramientas_hidráulicas2266110153196239[[#Headers],[Herramientas_hidráulicas]],
    COUNTIF(EPP_2367111154197240[SPCC], B19) &gt; 0, EPP_2367111154197240[[#Headers],[SPCC]],
   COUNTIF(Herramientas_de_izaje2468112155198241[Herramientas_de_izaje], B19) &gt; 0, Herramientas_de_izaje2468112155198241[[#Headers],[Herramientas_de_izaje]],
COUNTIF(Tabla162670114157200243[Equipos], B19) &gt; 0, Tabla162670114157200243[[#Headers],[Equipos]],
    TRUE, "Sin clasificación"
)</f>
        <v>Sin clasificación</v>
      </c>
      <c r="F19" s="15"/>
      <c r="G19" s="15"/>
      <c r="H19" s="15"/>
      <c r="I19" s="15"/>
      <c r="J19" s="15"/>
      <c r="K19" s="15"/>
      <c r="L19" s="47"/>
      <c r="N19" s="47"/>
      <c r="O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-SinArea-0000</v>
      </c>
      <c r="Q19" s="15"/>
      <c r="S19" s="48"/>
      <c r="AF19" t="s">
        <v>42</v>
      </c>
      <c r="AI19" s="11" t="s">
        <v>41</v>
      </c>
      <c r="AO19" t="s">
        <v>100</v>
      </c>
    </row>
    <row r="20" spans="3:44" x14ac:dyDescent="0.3">
      <c r="C20" s="11"/>
      <c r="E20" s="11" t="str" cm="1">
        <f t="array" ref="E20">_xlfn.IFS(
    COUNTIF(Herramientas_eléctricas1862106149192235[Herramientas_eléctricas], B20) &gt; 0, Herramientas_eléctricas1862106149192235[[#Headers],[Herramientas_eléctricas]],
    COUNTIF(Herramientas_neumáticas1963107150193236[Herramientas_neumáticas], B20) &gt; 0, Herramientas_neumáticas1963107150193236[[#Headers],[Herramientas_neumáticas]],
    COUNTIF(Herramientas_de_medición2064108151194237[Herramientas_de_medición], B20) &gt; 0, Herramientas_de_medición2064108151194237[[#Headers],[Herramientas_de_medición]],
    COUNTIF(Herrramientas_mecánicas2165109152195238[Herramientas_mecánicas], B20) &gt; 0, Herrramientas_mecánicas2165109152195238[[#Headers],[Herramientas_mecánicas]],
    COUNTIF(AJ20:AJ26, B20) &gt; 0, Herramientas_hidráulicas2266110153196239[[#Headers],[Herramientas_hidráulicas]],
    COUNTIF(EPP_2367111154197240[SPCC], B20) &gt; 0, EPP_2367111154197240[[#Headers],[SPCC]],
   COUNTIF(Herramientas_de_izaje2468112155198241[Herramientas_de_izaje], B20) &gt; 0, Herramientas_de_izaje2468112155198241[[#Headers],[Herramientas_de_izaje]],
COUNTIF(Tabla162670114157200243[Equipos], B20) &gt; 0, Tabla162670114157200243[[#Headers],[Equipos]],
    TRUE, "Sin clasificación"
)</f>
        <v>Sin clasificación</v>
      </c>
      <c r="F20" s="15"/>
      <c r="G20" s="15"/>
      <c r="H20" s="15"/>
      <c r="I20" s="15"/>
      <c r="J20" s="15"/>
      <c r="K20" s="15"/>
      <c r="L20" s="47"/>
      <c r="N20" s="47"/>
      <c r="O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-SinArea-0000</v>
      </c>
      <c r="Q20" s="15"/>
      <c r="S20" s="48" t="s">
        <v>224</v>
      </c>
      <c r="AF20" t="s">
        <v>101</v>
      </c>
      <c r="AI20" t="s">
        <v>102</v>
      </c>
      <c r="AO20" s="26" t="s">
        <v>103</v>
      </c>
    </row>
    <row r="21" spans="3:44" x14ac:dyDescent="0.3">
      <c r="C21" s="11"/>
      <c r="E21" s="11" t="str" cm="1">
        <f t="array" ref="E21">_xlfn.IFS(
    COUNTIF(Herramientas_eléctricas1862106149192235[Herramientas_eléctricas], B21) &gt; 0, Herramientas_eléctricas1862106149192235[[#Headers],[Herramientas_eléctricas]],
    COUNTIF(Herramientas_neumáticas1963107150193236[Herramientas_neumáticas], B21) &gt; 0, Herramientas_neumáticas1963107150193236[[#Headers],[Herramientas_neumáticas]],
    COUNTIF(Herramientas_de_medición2064108151194237[Herramientas_de_medición], B21) &gt; 0, Herramientas_de_medición2064108151194237[[#Headers],[Herramientas_de_medición]],
    COUNTIF(Herrramientas_mecánicas2165109152195238[Herramientas_mecánicas], B21) &gt; 0, Herrramientas_mecánicas2165109152195238[[#Headers],[Herramientas_mecánicas]],
    COUNTIF(AJ21:AJ27, B21) &gt; 0, Herramientas_hidráulicas2266110153196239[[#Headers],[Herramientas_hidráulicas]],
    COUNTIF(EPP_2367111154197240[SPCC], B21) &gt; 0, EPP_2367111154197240[[#Headers],[SPCC]],
   COUNTIF(Herramientas_de_izaje2468112155198241[Herramientas_de_izaje], B21) &gt; 0, Herramientas_de_izaje2468112155198241[[#Headers],[Herramientas_de_izaje]],
COUNTIF(Tabla162670114157200243[Equipos], B21) &gt; 0, Tabla162670114157200243[[#Headers],[Equipos]],
    TRUE, "Sin clasificación"
)</f>
        <v>Sin clasificación</v>
      </c>
      <c r="F21" s="15"/>
      <c r="G21" s="15"/>
      <c r="H21" s="15"/>
      <c r="I21" s="15"/>
      <c r="J21" s="15"/>
      <c r="K21" s="15"/>
      <c r="L21" s="47"/>
      <c r="N21" s="47"/>
      <c r="O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-SinArea-0000</v>
      </c>
      <c r="Q21" s="15"/>
      <c r="S21" s="48"/>
      <c r="AF21" s="6"/>
      <c r="AI21" s="6" t="s">
        <v>20</v>
      </c>
    </row>
    <row r="22" spans="3:44" x14ac:dyDescent="0.3">
      <c r="C22" s="11"/>
      <c r="E22" s="11" t="str" cm="1">
        <f t="array" ref="E22">_xlfn.IFS(
    COUNTIF(Herramientas_eléctricas1862106149192235[Herramientas_eléctricas], B22) &gt; 0, Herramientas_eléctricas1862106149192235[[#Headers],[Herramientas_eléctricas]],
    COUNTIF(Herramientas_neumáticas1963107150193236[Herramientas_neumáticas], B22) &gt; 0, Herramientas_neumáticas1963107150193236[[#Headers],[Herramientas_neumáticas]],
    COUNTIF(Herramientas_de_medición2064108151194237[Herramientas_de_medición], B22) &gt; 0, Herramientas_de_medición2064108151194237[[#Headers],[Herramientas_de_medición]],
    COUNTIF(Herrramientas_mecánicas2165109152195238[Herramientas_mecánicas], B22) &gt; 0, Herrramientas_mecánicas2165109152195238[[#Headers],[Herramientas_mecánicas]],
    COUNTIF(AJ22:AJ28, B22) &gt; 0, Herramientas_hidráulicas2266110153196239[[#Headers],[Herramientas_hidráulicas]],
    COUNTIF(EPP_2367111154197240[SPCC], B22) &gt; 0, EPP_2367111154197240[[#Headers],[SPCC]],
   COUNTIF(Herramientas_de_izaje2468112155198241[Herramientas_de_izaje], B22) &gt; 0, Herramientas_de_izaje2468112155198241[[#Headers],[Herramientas_de_izaje]],
COUNTIF(Tabla162670114157200243[Equipos], B22) &gt; 0, Tabla162670114157200243[[#Headers],[Equipos]],
    TRUE, "Sin clasificación"
)</f>
        <v>Sin clasificación</v>
      </c>
      <c r="F22" s="15"/>
      <c r="G22" s="15"/>
      <c r="H22" s="15"/>
      <c r="I22" s="15"/>
      <c r="J22" s="15"/>
      <c r="K22" s="15"/>
      <c r="L22" s="47"/>
      <c r="N22" s="47"/>
      <c r="O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-SinArea-0000</v>
      </c>
      <c r="Q22" s="15"/>
      <c r="S22" s="48"/>
    </row>
    <row r="23" spans="3:44" x14ac:dyDescent="0.3">
      <c r="C23" s="11"/>
      <c r="E23" s="11" t="str" cm="1">
        <f t="array" ref="E23">_xlfn.IFS(
    COUNTIF(Herramientas_eléctricas1862106149192235[Herramientas_eléctricas], B23) &gt; 0, Herramientas_eléctricas1862106149192235[[#Headers],[Herramientas_eléctricas]],
    COUNTIF(Herramientas_neumáticas1963107150193236[Herramientas_neumáticas], B23) &gt; 0, Herramientas_neumáticas1963107150193236[[#Headers],[Herramientas_neumáticas]],
    COUNTIF(Herramientas_de_medición2064108151194237[Herramientas_de_medición], B23) &gt; 0, Herramientas_de_medición2064108151194237[[#Headers],[Herramientas_de_medición]],
    COUNTIF(Herrramientas_mecánicas2165109152195238[Herramientas_mecánicas], B23) &gt; 0, Herrramientas_mecánicas2165109152195238[[#Headers],[Herramientas_mecánicas]],
    COUNTIF(AJ23:AJ29, B23) &gt; 0, Herramientas_hidráulicas2266110153196239[[#Headers],[Herramientas_hidráulicas]],
    COUNTIF(EPP_2367111154197240[SPCC], B23) &gt; 0, EPP_2367111154197240[[#Headers],[SPCC]],
   COUNTIF(Herramientas_de_izaje2468112155198241[Herramientas_de_izaje], B23) &gt; 0, Herramientas_de_izaje2468112155198241[[#Headers],[Herramientas_de_izaje]],
COUNTIF(Tabla162670114157200243[Equipos], B23) &gt; 0, Tabla162670114157200243[[#Headers],[Equipos]],
    TRUE, "Sin clasificación"
)</f>
        <v>Sin clasificación</v>
      </c>
      <c r="F23" s="15"/>
      <c r="G23" s="15"/>
      <c r="H23" s="15"/>
      <c r="I23" s="15"/>
      <c r="J23" s="15"/>
      <c r="K23" s="15"/>
      <c r="L23" s="47"/>
      <c r="N23" s="47"/>
      <c r="O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-SinArea-0000</v>
      </c>
      <c r="Q23" s="15"/>
      <c r="S23" s="48"/>
    </row>
    <row r="24" spans="3:44" x14ac:dyDescent="0.3">
      <c r="C24" s="11"/>
      <c r="E24" s="11" t="str" cm="1">
        <f t="array" ref="E24">_xlfn.IFS(
    COUNTIF(Herramientas_eléctricas1862106149192235[Herramientas_eléctricas], B24) &gt; 0, Herramientas_eléctricas1862106149192235[[#Headers],[Herramientas_eléctricas]],
    COUNTIF(Herramientas_neumáticas1963107150193236[Herramientas_neumáticas], B24) &gt; 0, Herramientas_neumáticas1963107150193236[[#Headers],[Herramientas_neumáticas]],
    COUNTIF(Herramientas_de_medición2064108151194237[Herramientas_de_medición], B24) &gt; 0, Herramientas_de_medición2064108151194237[[#Headers],[Herramientas_de_medición]],
    COUNTIF(Herrramientas_mecánicas2165109152195238[Herramientas_mecánicas], B24) &gt; 0, Herrramientas_mecánicas2165109152195238[[#Headers],[Herramientas_mecánicas]],
    COUNTIF(AJ24:AJ30, B24) &gt; 0, Herramientas_hidráulicas2266110153196239[[#Headers],[Herramientas_hidráulicas]],
    COUNTIF(EPP_2367111154197240[SPCC], B24) &gt; 0, EPP_2367111154197240[[#Headers],[SPCC]],
   COUNTIF(Herramientas_de_izaje2468112155198241[Herramientas_de_izaje], B24) &gt; 0, Herramientas_de_izaje2468112155198241[[#Headers],[Herramientas_de_izaje]],
COUNTIF(Tabla162670114157200243[Equipos], B24) &gt; 0, Tabla162670114157200243[[#Headers],[Equipos]],
    TRUE, "Sin clasificación"
)</f>
        <v>Sin clasificación</v>
      </c>
      <c r="F24" s="15"/>
      <c r="G24" s="15"/>
      <c r="H24" s="15"/>
      <c r="I24" s="15"/>
      <c r="J24" s="15"/>
      <c r="K24" s="15"/>
      <c r="L24" s="47"/>
      <c r="N24" s="47"/>
      <c r="O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-SinArea-0000</v>
      </c>
      <c r="Q24" s="15"/>
      <c r="S24" s="48" t="s">
        <v>224</v>
      </c>
      <c r="AP24" s="18"/>
    </row>
    <row r="25" spans="3:44" x14ac:dyDescent="0.3">
      <c r="C25" s="11"/>
      <c r="E25" s="11" t="str" cm="1">
        <f t="array" ref="E25">_xlfn.IFS(
    COUNTIF(Herramientas_eléctricas1862106149192235[Herramientas_eléctricas], B25) &gt; 0, Herramientas_eléctricas1862106149192235[[#Headers],[Herramientas_eléctricas]],
    COUNTIF(Herramientas_neumáticas1963107150193236[Herramientas_neumáticas], B25) &gt; 0, Herramientas_neumáticas1963107150193236[[#Headers],[Herramientas_neumáticas]],
    COUNTIF(Herramientas_de_medición2064108151194237[Herramientas_de_medición], B25) &gt; 0, Herramientas_de_medición2064108151194237[[#Headers],[Herramientas_de_medición]],
    COUNTIF(Herrramientas_mecánicas2165109152195238[Herramientas_mecánicas], B25) &gt; 0, Herrramientas_mecánicas2165109152195238[[#Headers],[Herramientas_mecánicas]],
    COUNTIF(AJ25:AJ31, B25) &gt; 0, Herramientas_hidráulicas2266110153196239[[#Headers],[Herramientas_hidráulicas]],
    COUNTIF(EPP_2367111154197240[SPCC], B25) &gt; 0, EPP_2367111154197240[[#Headers],[SPCC]],
   COUNTIF(Herramientas_de_izaje2468112155198241[Herramientas_de_izaje], B25) &gt; 0, Herramientas_de_izaje2468112155198241[[#Headers],[Herramientas_de_izaje]],
COUNTIF(Tabla162670114157200243[Equipos], B25) &gt; 0, Tabla162670114157200243[[#Headers],[Equipos]],
    TRUE, "Sin clasificación"
)</f>
        <v>Sin clasificación</v>
      </c>
      <c r="F25" s="15"/>
      <c r="G25" s="15"/>
      <c r="H25" s="15"/>
      <c r="I25" s="15"/>
      <c r="J25" s="15"/>
      <c r="K25" s="15"/>
      <c r="L25" s="47"/>
      <c r="N25" s="47"/>
      <c r="O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-SinArea-0000</v>
      </c>
      <c r="Q25" s="15"/>
      <c r="S25" s="48"/>
      <c r="AP25" s="22"/>
    </row>
    <row r="26" spans="3:44" x14ac:dyDescent="0.3">
      <c r="C26" s="11"/>
      <c r="E26" s="11" t="str" cm="1">
        <f t="array" ref="E26">_xlfn.IFS(
    COUNTIF(Herramientas_eléctricas1862106149192235[Herramientas_eléctricas], B26) &gt; 0, Herramientas_eléctricas1862106149192235[[#Headers],[Herramientas_eléctricas]],
    COUNTIF(Herramientas_neumáticas1963107150193236[Herramientas_neumáticas], B26) &gt; 0, Herramientas_neumáticas1963107150193236[[#Headers],[Herramientas_neumáticas]],
    COUNTIF(Herramientas_de_medición2064108151194237[Herramientas_de_medición], B26) &gt; 0, Herramientas_de_medición2064108151194237[[#Headers],[Herramientas_de_medición]],
    COUNTIF(Herrramientas_mecánicas2165109152195238[Herramientas_mecánicas], B26) &gt; 0, Herrramientas_mecánicas2165109152195238[[#Headers],[Herramientas_mecánicas]],
    COUNTIF(AJ26:AJ32, B26) &gt; 0, Herramientas_hidráulicas2266110153196239[[#Headers],[Herramientas_hidráulicas]],
    COUNTIF(EPP_2367111154197240[SPCC], B26) &gt; 0, EPP_2367111154197240[[#Headers],[SPCC]],
   COUNTIF(Herramientas_de_izaje2468112155198241[Herramientas_de_izaje], B26) &gt; 0, Herramientas_de_izaje2468112155198241[[#Headers],[Herramientas_de_izaje]],
COUNTIF(Tabla162670114157200243[Equipos], B26) &gt; 0, Tabla162670114157200243[[#Headers],[Equipos]],
    TRUE, "Sin clasificación"
)</f>
        <v>Sin clasificación</v>
      </c>
      <c r="F26" s="15"/>
      <c r="G26" s="15"/>
      <c r="H26" s="15"/>
      <c r="I26" s="15"/>
      <c r="J26" s="15"/>
      <c r="K26" s="15"/>
      <c r="L26" s="47"/>
      <c r="N26" s="47"/>
      <c r="O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-SinArea-0000</v>
      </c>
      <c r="Q26" s="15"/>
      <c r="S26" s="48" t="s">
        <v>224</v>
      </c>
      <c r="AG26" s="18"/>
      <c r="AQ26" t="s">
        <v>235</v>
      </c>
    </row>
    <row r="27" spans="3:44" ht="28.8" x14ac:dyDescent="0.3">
      <c r="C27" s="11"/>
      <c r="E27" s="11" t="str" cm="1">
        <f t="array" ref="E27">_xlfn.IFS(
    COUNTIF(Herramientas_eléctricas1862106149192235[Herramientas_eléctricas], B27) &gt; 0, Herramientas_eléctricas1862106149192235[[#Headers],[Herramientas_eléctricas]],
    COUNTIF(Herramientas_neumáticas1963107150193236[Herramientas_neumáticas], B27) &gt; 0, Herramientas_neumáticas1963107150193236[[#Headers],[Herramientas_neumáticas]],
    COUNTIF(Herramientas_de_medición2064108151194237[Herramientas_de_medición], B27) &gt; 0, Herramientas_de_medición2064108151194237[[#Headers],[Herramientas_de_medición]],
    COUNTIF(Herrramientas_mecánicas2165109152195238[Herramientas_mecánicas], B27) &gt; 0, Herrramientas_mecánicas2165109152195238[[#Headers],[Herramientas_mecánicas]],
    COUNTIF(AJ27:AJ33, B27) &gt; 0, Herramientas_hidráulicas2266110153196239[[#Headers],[Herramientas_hidráulicas]],
    COUNTIF(EPP_2367111154197240[SPCC], B27) &gt; 0, EPP_2367111154197240[[#Headers],[SPCC]],
   COUNTIF(Herramientas_de_izaje2468112155198241[Herramientas_de_izaje], B27) &gt; 0, Herramientas_de_izaje2468112155198241[[#Headers],[Herramientas_de_izaje]],
COUNTIF(Tabla162670114157200243[Equipos], B27) &gt; 0, Tabla162670114157200243[[#Headers],[Equipos]],
    TRUE, "Sin clasificación"
)</f>
        <v>Sin clasificación</v>
      </c>
      <c r="F27" s="15"/>
      <c r="G27" s="15"/>
      <c r="H27" s="15"/>
      <c r="I27" s="15"/>
      <c r="J27" s="15"/>
      <c r="K27" s="15"/>
      <c r="L27" s="47"/>
      <c r="N27" s="47"/>
      <c r="O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-SinArea-0000</v>
      </c>
      <c r="Q27" s="15"/>
      <c r="S27" s="48"/>
      <c r="AF27" s="11" t="s">
        <v>236</v>
      </c>
      <c r="AG27" s="11" t="s">
        <v>237</v>
      </c>
      <c r="AH27" s="11" t="s">
        <v>238</v>
      </c>
      <c r="AI27" s="11" t="s">
        <v>239</v>
      </c>
      <c r="AJ27" s="11" t="s">
        <v>240</v>
      </c>
      <c r="AK27" s="11" t="s">
        <v>241</v>
      </c>
      <c r="AL27" s="11" t="s">
        <v>242</v>
      </c>
      <c r="AM27" s="11" t="s">
        <v>243</v>
      </c>
      <c r="AN27" s="11" t="s">
        <v>244</v>
      </c>
      <c r="AO27" s="11" t="s">
        <v>245</v>
      </c>
    </row>
    <row r="28" spans="3:44" x14ac:dyDescent="0.3">
      <c r="C28" s="11"/>
      <c r="E28" s="11" t="str" cm="1">
        <f t="array" ref="E28">_xlfn.IFS(
    COUNTIF(Herramientas_eléctricas1862106149192235[Herramientas_eléctricas], B28) &gt; 0, Herramientas_eléctricas1862106149192235[[#Headers],[Herramientas_eléctricas]],
    COUNTIF(Herramientas_neumáticas1963107150193236[Herramientas_neumáticas], B28) &gt; 0, Herramientas_neumáticas1963107150193236[[#Headers],[Herramientas_neumáticas]],
    COUNTIF(Herramientas_de_medición2064108151194237[Herramientas_de_medición], B28) &gt; 0, Herramientas_de_medición2064108151194237[[#Headers],[Herramientas_de_medición]],
    COUNTIF(Herrramientas_mecánicas2165109152195238[Herramientas_mecánicas], B28) &gt; 0, Herrramientas_mecánicas2165109152195238[[#Headers],[Herramientas_mecánicas]],
    COUNTIF(AJ28:AJ34, B28) &gt; 0, Herramientas_hidráulicas2266110153196239[[#Headers],[Herramientas_hidráulicas]],
    COUNTIF(EPP_2367111154197240[SPCC], B28) &gt; 0, EPP_2367111154197240[[#Headers],[SPCC]],
   COUNTIF(Herramientas_de_izaje2468112155198241[Herramientas_de_izaje], B28) &gt; 0, Herramientas_de_izaje2468112155198241[[#Headers],[Herramientas_de_izaje]],
COUNTIF(Tabla162670114157200243[Equipos], B28) &gt; 0, Tabla162670114157200243[[#Headers],[Equipos]],
    TRUE, "Sin clasificación"
)</f>
        <v>Sin clasificación</v>
      </c>
      <c r="F28" s="15"/>
      <c r="G28" s="15"/>
      <c r="H28" s="15"/>
      <c r="I28" s="15"/>
      <c r="J28" s="15"/>
      <c r="K28" s="15"/>
      <c r="L28" s="47"/>
      <c r="N28" s="47"/>
      <c r="O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-SinArea-0000</v>
      </c>
      <c r="Q28" s="15"/>
      <c r="S28" s="48"/>
    </row>
    <row r="29" spans="3:44" x14ac:dyDescent="0.3">
      <c r="C29" s="11"/>
      <c r="E29" s="11" t="str" cm="1">
        <f t="array" ref="E29">_xlfn.IFS(
    COUNTIF(Herramientas_eléctricas1862106149192235[Herramientas_eléctricas], B29) &gt; 0, Herramientas_eléctricas1862106149192235[[#Headers],[Herramientas_eléctricas]],
    COUNTIF(Herramientas_neumáticas1963107150193236[Herramientas_neumáticas], B29) &gt; 0, Herramientas_neumáticas1963107150193236[[#Headers],[Herramientas_neumáticas]],
    COUNTIF(Herramientas_de_medición2064108151194237[Herramientas_de_medición], B29) &gt; 0, Herramientas_de_medición2064108151194237[[#Headers],[Herramientas_de_medición]],
    COUNTIF(Herrramientas_mecánicas2165109152195238[Herramientas_mecánicas], B29) &gt; 0, Herrramientas_mecánicas2165109152195238[[#Headers],[Herramientas_mecánicas]],
    COUNTIF(AJ29:AJ35, B29) &gt; 0, Herramientas_hidráulicas2266110153196239[[#Headers],[Herramientas_hidráulicas]],
    COUNTIF(EPP_2367111154197240[SPCC], B29) &gt; 0, EPP_2367111154197240[[#Headers],[SPCC]],
   COUNTIF(Herramientas_de_izaje2468112155198241[Herramientas_de_izaje], B29) &gt; 0, Herramientas_de_izaje2468112155198241[[#Headers],[Herramientas_de_izaje]],
COUNTIF(Tabla162670114157200243[Equipos], B29) &gt; 0, Tabla162670114157200243[[#Headers],[Equipos]],
    TRUE, "Sin clasificación"
)</f>
        <v>Sin clasificación</v>
      </c>
      <c r="F29" s="15"/>
      <c r="G29" s="15"/>
      <c r="H29" s="15"/>
      <c r="I29" s="15"/>
      <c r="J29" s="15"/>
      <c r="K29" s="15"/>
      <c r="L29" s="47"/>
      <c r="N29" s="47"/>
      <c r="O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-SinArea-0000</v>
      </c>
      <c r="Q29" s="15"/>
      <c r="S29" s="48"/>
      <c r="AF29" t="s">
        <v>246</v>
      </c>
      <c r="AG29" t="s">
        <v>97</v>
      </c>
      <c r="AH29" t="s">
        <v>34</v>
      </c>
      <c r="AI29" t="s">
        <v>66</v>
      </c>
      <c r="AJ29" s="63" t="s">
        <v>247</v>
      </c>
      <c r="AL29" t="s">
        <v>19</v>
      </c>
      <c r="AO29" t="s">
        <v>75</v>
      </c>
    </row>
    <row r="30" spans="3:44" x14ac:dyDescent="0.3">
      <c r="C30" s="11"/>
      <c r="E30" s="11" t="str" cm="1">
        <f t="array" ref="E30">_xlfn.IFS(
    COUNTIF(Herramientas_eléctricas1862106149192235[Herramientas_eléctricas], B30) &gt; 0, Herramientas_eléctricas1862106149192235[[#Headers],[Herramientas_eléctricas]],
    COUNTIF(Herramientas_neumáticas1963107150193236[Herramientas_neumáticas], B30) &gt; 0, Herramientas_neumáticas1963107150193236[[#Headers],[Herramientas_neumáticas]],
    COUNTIF(Herramientas_de_medición2064108151194237[Herramientas_de_medición], B30) &gt; 0, Herramientas_de_medición2064108151194237[[#Headers],[Herramientas_de_medición]],
    COUNTIF(Herrramientas_mecánicas2165109152195238[Herramientas_mecánicas], B30) &gt; 0, Herrramientas_mecánicas2165109152195238[[#Headers],[Herramientas_mecánicas]],
    COUNTIF(AJ30:AJ36, B30) &gt; 0, Herramientas_hidráulicas2266110153196239[[#Headers],[Herramientas_hidráulicas]],
    COUNTIF(EPP_2367111154197240[SPCC], B30) &gt; 0, EPP_2367111154197240[[#Headers],[SPCC]],
   COUNTIF(Herramientas_de_izaje2468112155198241[Herramientas_de_izaje], B30) &gt; 0, Herramientas_de_izaje2468112155198241[[#Headers],[Herramientas_de_izaje]],
COUNTIF(Tabla162670114157200243[Equipos], B30) &gt; 0, Tabla162670114157200243[[#Headers],[Equipos]],
    TRUE, "Sin clasificación"
)</f>
        <v>Sin clasificación</v>
      </c>
      <c r="F30" s="15"/>
      <c r="G30" s="15"/>
      <c r="H30" s="15"/>
      <c r="I30" s="15"/>
      <c r="J30" s="15"/>
      <c r="K30" s="15"/>
      <c r="L30" s="47"/>
      <c r="N30" s="47"/>
      <c r="O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-SinArea-0000</v>
      </c>
      <c r="Q30" s="15"/>
      <c r="S30" s="48" t="s">
        <v>224</v>
      </c>
      <c r="AF30" s="22" t="s">
        <v>248</v>
      </c>
      <c r="AG30" t="s">
        <v>17</v>
      </c>
      <c r="AH30" s="18" t="s">
        <v>249</v>
      </c>
      <c r="AI30" t="s">
        <v>250</v>
      </c>
      <c r="AJ30" s="64" t="s">
        <v>251</v>
      </c>
      <c r="AL30" t="s">
        <v>252</v>
      </c>
      <c r="AO30" s="18" t="s">
        <v>253</v>
      </c>
    </row>
    <row r="31" spans="3:44" x14ac:dyDescent="0.3">
      <c r="C31" s="11"/>
      <c r="E31" s="11" t="str" cm="1">
        <f t="array" ref="E31">_xlfn.IFS(
    COUNTIF(Herramientas_eléctricas1862106149192235[Herramientas_eléctricas], B31) &gt; 0, Herramientas_eléctricas1862106149192235[[#Headers],[Herramientas_eléctricas]],
    COUNTIF(Herramientas_neumáticas1963107150193236[Herramientas_neumáticas], B31) &gt; 0, Herramientas_neumáticas1963107150193236[[#Headers],[Herramientas_neumáticas]],
    COUNTIF(Herramientas_de_medición2064108151194237[Herramientas_de_medición], B31) &gt; 0, Herramientas_de_medición2064108151194237[[#Headers],[Herramientas_de_medición]],
    COUNTIF(Herrramientas_mecánicas2165109152195238[Herramientas_mecánicas], B31) &gt; 0, Herrramientas_mecánicas2165109152195238[[#Headers],[Herramientas_mecánicas]],
    COUNTIF(AJ31:AJ37, B31) &gt; 0, Herramientas_hidráulicas2266110153196239[[#Headers],[Herramientas_hidráulicas]],
    COUNTIF(EPP_2367111154197240[SPCC], B31) &gt; 0, EPP_2367111154197240[[#Headers],[SPCC]],
   COUNTIF(Herramientas_de_izaje2468112155198241[Herramientas_de_izaje], B31) &gt; 0, Herramientas_de_izaje2468112155198241[[#Headers],[Herramientas_de_izaje]],
COUNTIF(Tabla162670114157200243[Equipos], B31) &gt; 0, Tabla162670114157200243[[#Headers],[Equipos]],
    TRUE, "Sin clasificación"
)</f>
        <v>Sin clasificación</v>
      </c>
      <c r="F31" s="15"/>
      <c r="G31" s="15"/>
      <c r="H31" s="15"/>
      <c r="I31" s="15"/>
      <c r="J31" s="15"/>
      <c r="K31" s="15"/>
      <c r="L31" s="47"/>
      <c r="N31" s="47"/>
      <c r="O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-SinArea-0000</v>
      </c>
      <c r="Q31" s="15"/>
      <c r="S31" s="48"/>
      <c r="AF31" s="65" t="s">
        <v>254</v>
      </c>
      <c r="AH31" t="s">
        <v>255</v>
      </c>
      <c r="AO31" s="26" t="s">
        <v>256</v>
      </c>
    </row>
    <row r="32" spans="3:44" ht="28.5" customHeight="1" x14ac:dyDescent="0.3">
      <c r="C32" s="11"/>
      <c r="E32" s="11" t="str" cm="1">
        <f t="array" ref="E32">_xlfn.IFS(
    COUNTIF(Herramientas_eléctricas1862106149192235[Herramientas_eléctricas], B32) &gt; 0, Herramientas_eléctricas1862106149192235[[#Headers],[Herramientas_eléctricas]],
    COUNTIF(Herramientas_neumáticas1963107150193236[Herramientas_neumáticas], B32) &gt; 0, Herramientas_neumáticas1963107150193236[[#Headers],[Herramientas_neumáticas]],
    COUNTIF(Herramientas_de_medición2064108151194237[Herramientas_de_medición], B32) &gt; 0, Herramientas_de_medición2064108151194237[[#Headers],[Herramientas_de_medición]],
    COUNTIF(Herrramientas_mecánicas2165109152195238[Herramientas_mecánicas], B32) &gt; 0, Herrramientas_mecánicas2165109152195238[[#Headers],[Herramientas_mecánicas]],
    COUNTIF(AJ32:AJ38, B32) &gt; 0, Herramientas_hidráulicas2266110153196239[[#Headers],[Herramientas_hidráulicas]],
    COUNTIF(EPP_2367111154197240[SPCC], B32) &gt; 0, EPP_2367111154197240[[#Headers],[SPCC]],
   COUNTIF(Herramientas_de_izaje2468112155198241[Herramientas_de_izaje], B32) &gt; 0, Herramientas_de_izaje2468112155198241[[#Headers],[Herramientas_de_izaje]],
COUNTIF(Tabla162670114157200243[Equipos], B32) &gt; 0, Tabla162670114157200243[[#Headers],[Equipos]],
    TRUE, "Sin clasificación"
)</f>
        <v>Sin clasificación</v>
      </c>
      <c r="F32" s="15"/>
      <c r="G32" s="15"/>
      <c r="H32" s="15"/>
      <c r="I32" s="15"/>
      <c r="J32" s="15"/>
      <c r="K32" s="15"/>
      <c r="L32" s="47"/>
      <c r="N32" s="47"/>
      <c r="O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-SinArea-0000</v>
      </c>
      <c r="Q32" s="15"/>
      <c r="S32" s="48"/>
    </row>
    <row r="33" spans="3:44" x14ac:dyDescent="0.3">
      <c r="C33" s="11"/>
      <c r="E33" s="11" t="str" cm="1">
        <f t="array" ref="E33">_xlfn.IFS(
    COUNTIF(Herramientas_eléctricas1862106149192235[Herramientas_eléctricas], B33) &gt; 0, Herramientas_eléctricas1862106149192235[[#Headers],[Herramientas_eléctricas]],
    COUNTIF(Herramientas_neumáticas1963107150193236[Herramientas_neumáticas], B33) &gt; 0, Herramientas_neumáticas1963107150193236[[#Headers],[Herramientas_neumáticas]],
    COUNTIF(Herramientas_de_medición2064108151194237[Herramientas_de_medición], B33) &gt; 0, Herramientas_de_medición2064108151194237[[#Headers],[Herramientas_de_medición]],
    COUNTIF(Herrramientas_mecánicas2165109152195238[Herramientas_mecánicas], B33) &gt; 0, Herrramientas_mecánicas2165109152195238[[#Headers],[Herramientas_mecánicas]],
    COUNTIF(AJ33:AJ39, B33) &gt; 0, Herramientas_hidráulicas2266110153196239[[#Headers],[Herramientas_hidráulicas]],
    COUNTIF(EPP_2367111154197240[SPCC], B33) &gt; 0, EPP_2367111154197240[[#Headers],[SPCC]],
   COUNTIF(Herramientas_de_izaje2468112155198241[Herramientas_de_izaje], B33) &gt; 0, Herramientas_de_izaje2468112155198241[[#Headers],[Herramientas_de_izaje]],
COUNTIF(Tabla162670114157200243[Equipos], B33) &gt; 0, Tabla162670114157200243[[#Headers],[Equipos]],
    TRUE, "Sin clasificación"
)</f>
        <v>Sin clasificación</v>
      </c>
      <c r="F33" s="15"/>
      <c r="G33" s="15"/>
      <c r="H33" s="15"/>
      <c r="I33" s="15"/>
      <c r="J33" s="15"/>
      <c r="K33" s="15"/>
      <c r="L33" s="47"/>
      <c r="N33" s="47"/>
      <c r="O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-SinArea-0000</v>
      </c>
      <c r="Q33" s="15"/>
      <c r="S33" s="48"/>
      <c r="AF33" t="s">
        <v>68</v>
      </c>
      <c r="AG33" t="s">
        <v>36</v>
      </c>
      <c r="AH33" t="s">
        <v>257</v>
      </c>
      <c r="AI33" t="s">
        <v>258</v>
      </c>
    </row>
    <row r="34" spans="3:44" x14ac:dyDescent="0.3">
      <c r="C34" s="11"/>
      <c r="E34" s="11" t="str" cm="1">
        <f t="array" ref="E34">_xlfn.IFS(
    COUNTIF(Herramientas_eléctricas1862106149192235[Herramientas_eléctricas], B34) &gt; 0, Herramientas_eléctricas1862106149192235[[#Headers],[Herramientas_eléctricas]],
    COUNTIF(Herramientas_neumáticas1963107150193236[Herramientas_neumáticas], B34) &gt; 0, Herramientas_neumáticas1963107150193236[[#Headers],[Herramientas_neumáticas]],
    COUNTIF(Herramientas_de_medición2064108151194237[Herramientas_de_medición], B34) &gt; 0, Herramientas_de_medición2064108151194237[[#Headers],[Herramientas_de_medición]],
    COUNTIF(Herrramientas_mecánicas2165109152195238[Herramientas_mecánicas], B34) &gt; 0, Herrramientas_mecánicas2165109152195238[[#Headers],[Herramientas_mecánicas]],
    COUNTIF(AJ34:AJ40, B34) &gt; 0, Herramientas_hidráulicas2266110153196239[[#Headers],[Herramientas_hidráulicas]],
    COUNTIF(EPP_2367111154197240[SPCC], B34) &gt; 0, EPP_2367111154197240[[#Headers],[SPCC]],
   COUNTIF(Herramientas_de_izaje2468112155198241[Herramientas_de_izaje], B34) &gt; 0, Herramientas_de_izaje2468112155198241[[#Headers],[Herramientas_de_izaje]],
COUNTIF(Tabla162670114157200243[Equipos], B34) &gt; 0, Tabla162670114157200243[[#Headers],[Equipos]],
    TRUE, "Sin clasificación"
)</f>
        <v>Sin clasificación</v>
      </c>
      <c r="F34" s="15"/>
      <c r="G34" s="15"/>
      <c r="H34" s="15"/>
      <c r="I34" s="15"/>
      <c r="J34" s="15"/>
      <c r="K34" s="15"/>
      <c r="L34" s="47"/>
      <c r="N34" s="47"/>
      <c r="O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-SinArea-0000</v>
      </c>
      <c r="Q34" s="15"/>
      <c r="S34" s="48"/>
      <c r="AF34" s="20" t="s">
        <v>259</v>
      </c>
      <c r="AG34" t="s">
        <v>260</v>
      </c>
      <c r="AH34" s="19" t="s">
        <v>261</v>
      </c>
      <c r="AI34" s="22" t="s">
        <v>262</v>
      </c>
    </row>
    <row r="35" spans="3:44" ht="28.8" x14ac:dyDescent="0.3">
      <c r="C35" s="11"/>
      <c r="E35" s="11" t="str" cm="1">
        <f t="array" ref="E35">_xlfn.IFS(
    COUNTIF(Herramientas_eléctricas1862106149192235[Herramientas_eléctricas], B35) &gt; 0, Herramientas_eléctricas1862106149192235[[#Headers],[Herramientas_eléctricas]],
    COUNTIF(Herramientas_neumáticas1963107150193236[Herramientas_neumáticas], B35) &gt; 0, Herramientas_neumáticas1963107150193236[[#Headers],[Herramientas_neumáticas]],
    COUNTIF(Herramientas_de_medición2064108151194237[Herramientas_de_medición], B35) &gt; 0, Herramientas_de_medición2064108151194237[[#Headers],[Herramientas_de_medición]],
    COUNTIF(Herrramientas_mecánicas2165109152195238[Herramientas_mecánicas], B35) &gt; 0, Herrramientas_mecánicas2165109152195238[[#Headers],[Herramientas_mecánicas]],
    COUNTIF(AJ35:AJ41, B35) &gt; 0, Herramientas_hidráulicas2266110153196239[[#Headers],[Herramientas_hidráulicas]],
    COUNTIF(EPP_2367111154197240[SPCC], B35) &gt; 0, EPP_2367111154197240[[#Headers],[SPCC]],
   COUNTIF(Herramientas_de_izaje2468112155198241[Herramientas_de_izaje], B35) &gt; 0, Herramientas_de_izaje2468112155198241[[#Headers],[Herramientas_de_izaje]],
COUNTIF(Tabla162670114157200243[Equipos], B35) &gt; 0, Tabla162670114157200243[[#Headers],[Equipos]],
    TRUE, "Sin clasificación"
)</f>
        <v>Sin clasificación</v>
      </c>
      <c r="F35" s="15"/>
      <c r="G35" s="15"/>
      <c r="H35" s="15"/>
      <c r="I35" s="15"/>
      <c r="J35" s="15"/>
      <c r="K35" s="15"/>
      <c r="L35" s="47"/>
      <c r="N35" s="47"/>
      <c r="O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-SinArea-0000</v>
      </c>
      <c r="Q35" s="15"/>
      <c r="S35" s="48"/>
      <c r="AF35" s="66" t="s">
        <v>263</v>
      </c>
      <c r="AH35" s="13" t="s">
        <v>264</v>
      </c>
      <c r="AI35" s="67" t="s">
        <v>265</v>
      </c>
    </row>
    <row r="36" spans="3:44" x14ac:dyDescent="0.3">
      <c r="C36" s="11"/>
      <c r="E36" s="11"/>
      <c r="F36" s="15"/>
      <c r="G36" s="15"/>
      <c r="H36" s="15"/>
      <c r="I36" s="15"/>
      <c r="J36" s="15"/>
      <c r="K36" s="15"/>
      <c r="L36" s="47"/>
      <c r="N36" s="47"/>
      <c r="O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-SinArea-0000</v>
      </c>
      <c r="Q36" s="15"/>
      <c r="S36" s="48"/>
      <c r="AH36" s="68" t="s">
        <v>266</v>
      </c>
      <c r="AI36" s="22" t="s">
        <v>267</v>
      </c>
    </row>
    <row r="37" spans="3:44" x14ac:dyDescent="0.3">
      <c r="C37" s="11"/>
      <c r="E37" s="11"/>
      <c r="F37" s="15"/>
      <c r="G37" s="15"/>
      <c r="H37" s="15"/>
      <c r="I37" s="15"/>
      <c r="J37" s="15"/>
      <c r="K37" s="15"/>
      <c r="L37" s="47"/>
      <c r="N37" s="47"/>
      <c r="O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-SinArea-0000</v>
      </c>
      <c r="Q37" s="15"/>
      <c r="S37" s="48"/>
      <c r="AI37" s="18" t="s">
        <v>268</v>
      </c>
    </row>
    <row r="38" spans="3:44" x14ac:dyDescent="0.3">
      <c r="C38" s="11"/>
      <c r="E38" s="11"/>
      <c r="F38" s="15"/>
      <c r="G38" s="15"/>
      <c r="H38" s="15"/>
      <c r="I38" s="15"/>
      <c r="J38" s="15"/>
      <c r="K38" s="15"/>
      <c r="L38" s="47"/>
      <c r="N38" s="47"/>
      <c r="O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-SinArea-0000</v>
      </c>
      <c r="Q38" s="15"/>
      <c r="S38" s="48"/>
      <c r="AF38" s="69" t="s">
        <v>24</v>
      </c>
      <c r="AH38" t="s">
        <v>269</v>
      </c>
      <c r="AI38" s="18" t="s">
        <v>270</v>
      </c>
    </row>
    <row r="39" spans="3:44" ht="22.8" x14ac:dyDescent="0.3">
      <c r="C39" s="11"/>
      <c r="E39" s="11"/>
      <c r="F39" s="15"/>
      <c r="G39" s="15"/>
      <c r="H39" s="15"/>
      <c r="I39" s="15"/>
      <c r="J39" s="15"/>
      <c r="K39" s="15"/>
      <c r="L39" s="47"/>
      <c r="N39" s="47"/>
      <c r="O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-SinArea-0000</v>
      </c>
      <c r="Q39" s="15"/>
      <c r="S39" s="48"/>
      <c r="AF39" s="62" t="s">
        <v>271</v>
      </c>
      <c r="AH39" s="68" t="s">
        <v>272</v>
      </c>
      <c r="AI39" s="22" t="s">
        <v>273</v>
      </c>
    </row>
    <row r="40" spans="3:44" x14ac:dyDescent="0.3">
      <c r="C40" s="11"/>
      <c r="E40" s="11"/>
      <c r="F40" s="15"/>
      <c r="G40" s="15"/>
      <c r="H40" s="15"/>
      <c r="I40" s="15"/>
      <c r="J40" s="15"/>
      <c r="K40" s="15"/>
      <c r="L40" s="47"/>
      <c r="N40" s="47"/>
      <c r="O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-SinArea-0000</v>
      </c>
      <c r="Q40" s="15"/>
      <c r="S40" s="48"/>
      <c r="AF40" s="70" t="s">
        <v>17</v>
      </c>
      <c r="AI40" t="s">
        <v>274</v>
      </c>
    </row>
    <row r="41" spans="3:44" x14ac:dyDescent="0.3">
      <c r="C41" s="11"/>
      <c r="E41" s="11"/>
      <c r="F41" s="15"/>
      <c r="G41" s="15"/>
      <c r="H41" s="15"/>
      <c r="I41" s="15"/>
      <c r="J41" s="15"/>
      <c r="K41" s="15"/>
      <c r="L41" s="47"/>
      <c r="N41" s="47"/>
      <c r="O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-SinArea-0000</v>
      </c>
      <c r="Q41" s="15"/>
      <c r="S41" s="48"/>
      <c r="AH41" t="s">
        <v>61</v>
      </c>
    </row>
    <row r="42" spans="3:44" x14ac:dyDescent="0.3">
      <c r="C42" s="11"/>
      <c r="E42" s="11"/>
      <c r="F42" s="15"/>
      <c r="G42" s="15"/>
      <c r="H42" s="15"/>
      <c r="I42" s="15"/>
      <c r="J42" s="15"/>
      <c r="K42" s="15"/>
      <c r="L42" s="47"/>
      <c r="N42" s="47"/>
      <c r="O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-SinArea-0000</v>
      </c>
      <c r="Q42" s="15"/>
      <c r="S42" s="48"/>
      <c r="AF42" s="71" t="s">
        <v>94</v>
      </c>
      <c r="AH42" t="s">
        <v>275</v>
      </c>
    </row>
    <row r="43" spans="3:44" x14ac:dyDescent="0.3">
      <c r="C43" s="11"/>
      <c r="E43" s="11"/>
      <c r="F43" s="15"/>
      <c r="G43" s="15"/>
      <c r="H43" s="15"/>
      <c r="I43" s="15"/>
      <c r="J43" s="15"/>
      <c r="K43" s="15"/>
      <c r="L43" s="47"/>
      <c r="N43" s="47"/>
      <c r="O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-SinArea-0000</v>
      </c>
      <c r="Q43" s="15"/>
      <c r="S43" s="48"/>
      <c r="AF43" s="72" t="s">
        <v>276</v>
      </c>
      <c r="AH43" s="20" t="s">
        <v>277</v>
      </c>
      <c r="AI43" t="s">
        <v>98</v>
      </c>
    </row>
    <row r="44" spans="3:44" x14ac:dyDescent="0.3">
      <c r="C44" s="11"/>
      <c r="E44" s="11"/>
      <c r="F44" s="15"/>
      <c r="G44" s="15"/>
      <c r="H44" s="15"/>
      <c r="I44" s="15"/>
      <c r="J44" s="15"/>
      <c r="K44" s="15"/>
      <c r="L44" s="47"/>
      <c r="N44" s="47"/>
      <c r="O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-SinArea-0000</v>
      </c>
      <c r="Q44" s="15"/>
      <c r="S44" s="48"/>
      <c r="AF44" s="73" t="s">
        <v>278</v>
      </c>
      <c r="AH44" s="18" t="s">
        <v>279</v>
      </c>
      <c r="AI44" s="26" t="s">
        <v>280</v>
      </c>
    </row>
    <row r="45" spans="3:44" x14ac:dyDescent="0.3">
      <c r="C45" s="11"/>
      <c r="E45" s="11"/>
      <c r="F45" s="15"/>
      <c r="G45" s="15"/>
      <c r="H45" s="15"/>
      <c r="I45" s="15"/>
      <c r="J45" s="15"/>
      <c r="K45" s="15"/>
      <c r="L45" s="47"/>
      <c r="N45" s="47"/>
      <c r="O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-SinArea-0000</v>
      </c>
      <c r="Q45" s="15"/>
      <c r="S45" s="48"/>
      <c r="AF45" t="s">
        <v>42</v>
      </c>
      <c r="AH45" s="26" t="s">
        <v>281</v>
      </c>
    </row>
    <row r="46" spans="3:44" x14ac:dyDescent="0.3">
      <c r="C46" s="11"/>
      <c r="E46" s="11"/>
      <c r="F46" s="15"/>
      <c r="G46" s="15"/>
      <c r="H46" s="15"/>
      <c r="I46" s="15"/>
      <c r="J46" s="15"/>
      <c r="K46" s="15"/>
      <c r="L46" s="47"/>
      <c r="N46" s="47"/>
      <c r="O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-SinArea-0000</v>
      </c>
      <c r="Q46" s="15"/>
      <c r="S46" s="48"/>
    </row>
    <row r="47" spans="3:44" x14ac:dyDescent="0.3">
      <c r="C47" s="11"/>
      <c r="E47" s="11"/>
      <c r="F47" s="15"/>
      <c r="G47" s="15"/>
      <c r="H47" s="15"/>
      <c r="I47" s="15"/>
      <c r="J47" s="15"/>
      <c r="K47" s="15"/>
      <c r="L47" s="47"/>
      <c r="N47" s="47"/>
      <c r="O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-SinArea-0000</v>
      </c>
      <c r="Q47" s="15"/>
      <c r="S47" s="48"/>
      <c r="AF47" t="s">
        <v>41</v>
      </c>
      <c r="AI47" t="s">
        <v>282</v>
      </c>
    </row>
    <row r="48" spans="3:44" ht="28.8" x14ac:dyDescent="0.3">
      <c r="C48" s="11"/>
      <c r="E48" s="11"/>
      <c r="F48" s="15"/>
      <c r="G48" s="15"/>
      <c r="H48" s="15"/>
      <c r="I48" s="15"/>
      <c r="J48" s="15"/>
      <c r="K48" s="15"/>
      <c r="L48" s="47"/>
      <c r="N48" s="47"/>
      <c r="O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-SinArea-0000</v>
      </c>
      <c r="Q48" s="15"/>
      <c r="S48" s="48"/>
      <c r="AF48" t="s">
        <v>41</v>
      </c>
      <c r="AH48" t="s">
        <v>283</v>
      </c>
      <c r="AI48" s="74" t="s">
        <v>284</v>
      </c>
      <c r="AR48" t="s">
        <v>74</v>
      </c>
    </row>
    <row r="49" spans="3:44" x14ac:dyDescent="0.3">
      <c r="C49" s="11"/>
      <c r="E49" s="11"/>
      <c r="F49" s="15"/>
      <c r="G49" s="15"/>
      <c r="H49" s="15"/>
      <c r="I49" s="15"/>
      <c r="J49" s="15"/>
      <c r="K49" s="15"/>
      <c r="L49" s="47"/>
      <c r="N49" s="47"/>
      <c r="O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-SinArea-0000</v>
      </c>
      <c r="Q49" s="15"/>
      <c r="S49" s="48"/>
      <c r="AF49" t="s">
        <v>285</v>
      </c>
      <c r="AH49" t="s">
        <v>286</v>
      </c>
      <c r="AR49" s="22" t="s">
        <v>74</v>
      </c>
    </row>
    <row r="50" spans="3:44" x14ac:dyDescent="0.3">
      <c r="C50" s="11"/>
      <c r="E50" s="11"/>
      <c r="F50" s="15"/>
      <c r="G50" s="15"/>
      <c r="H50" s="15"/>
      <c r="I50" s="15"/>
      <c r="J50" s="15"/>
      <c r="K50" s="15"/>
      <c r="L50" s="47"/>
      <c r="N50" s="47"/>
      <c r="O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-SinArea-0000</v>
      </c>
      <c r="Q50" s="15"/>
      <c r="S50" s="48"/>
      <c r="AF50" t="s">
        <v>287</v>
      </c>
      <c r="AH50" t="s">
        <v>288</v>
      </c>
      <c r="AI50" t="s">
        <v>289</v>
      </c>
      <c r="AR50" s="18" t="s">
        <v>290</v>
      </c>
    </row>
    <row r="51" spans="3:44" x14ac:dyDescent="0.3">
      <c r="C51" s="11"/>
      <c r="E51" s="11"/>
      <c r="F51" s="15"/>
      <c r="G51" s="15"/>
      <c r="H51" s="15"/>
      <c r="I51" s="15"/>
      <c r="J51" s="15"/>
      <c r="K51" s="15"/>
      <c r="L51" s="47"/>
      <c r="N51" s="47"/>
      <c r="O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-SinArea-0000</v>
      </c>
      <c r="Q51" s="15"/>
      <c r="S51" s="48"/>
      <c r="AI51" s="22" t="s">
        <v>291</v>
      </c>
    </row>
    <row r="52" spans="3:44" x14ac:dyDescent="0.3">
      <c r="C52" s="11"/>
      <c r="E52" s="11"/>
      <c r="F52" s="15"/>
      <c r="G52" s="15"/>
      <c r="H52" s="15"/>
      <c r="I52" s="15"/>
      <c r="J52" s="15"/>
      <c r="K52" s="15"/>
      <c r="L52" s="47"/>
      <c r="N52" s="47"/>
      <c r="O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-SinArea-0000</v>
      </c>
      <c r="Q52" s="15"/>
      <c r="S52" s="48"/>
      <c r="AF52" t="s">
        <v>60</v>
      </c>
      <c r="AI52" s="67" t="s">
        <v>292</v>
      </c>
    </row>
    <row r="53" spans="3:44" x14ac:dyDescent="0.3">
      <c r="C53" s="11"/>
      <c r="E53" s="11"/>
      <c r="F53" s="15"/>
      <c r="G53" s="15"/>
      <c r="H53" s="15"/>
      <c r="I53" s="15"/>
      <c r="J53" s="15"/>
      <c r="K53" s="15"/>
      <c r="L53" s="47"/>
      <c r="N53" s="47"/>
      <c r="O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-SinArea-0000</v>
      </c>
      <c r="Q53" s="15"/>
      <c r="S53" s="48"/>
      <c r="AF53" s="70" t="s">
        <v>293</v>
      </c>
      <c r="AI53" s="22" t="s">
        <v>294</v>
      </c>
    </row>
    <row r="54" spans="3:44" x14ac:dyDescent="0.3">
      <c r="C54" s="11"/>
      <c r="E54" s="11"/>
      <c r="F54" s="15"/>
      <c r="G54" s="15"/>
      <c r="H54" s="15"/>
      <c r="I54" s="15"/>
      <c r="J54" s="15"/>
      <c r="K54" s="15"/>
      <c r="L54" s="47"/>
      <c r="N54" s="47"/>
      <c r="O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-SinArea-0000</v>
      </c>
      <c r="Q54" s="15"/>
      <c r="S54" s="48"/>
      <c r="AI54" s="22" t="s">
        <v>295</v>
      </c>
    </row>
    <row r="55" spans="3:44" x14ac:dyDescent="0.3">
      <c r="C55" s="11"/>
      <c r="E55" s="11"/>
      <c r="F55" s="15"/>
      <c r="G55" s="15"/>
      <c r="H55" s="15"/>
      <c r="I55" s="15"/>
      <c r="J55" s="15"/>
      <c r="K55" s="15"/>
      <c r="L55" s="47"/>
      <c r="N55" s="47"/>
      <c r="O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-SinArea-0000</v>
      </c>
      <c r="Q55" s="15"/>
      <c r="S55" s="48"/>
      <c r="AI55" s="22" t="s">
        <v>296</v>
      </c>
    </row>
    <row r="56" spans="3:44" x14ac:dyDescent="0.3">
      <c r="C56" s="11"/>
      <c r="E56" s="11"/>
      <c r="F56" s="15"/>
      <c r="G56" s="15"/>
      <c r="H56" s="15"/>
      <c r="I56" s="15"/>
      <c r="J56" s="15"/>
      <c r="K56" s="15"/>
      <c r="L56" s="47"/>
      <c r="N56" s="47"/>
      <c r="O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-SinArea-0000</v>
      </c>
      <c r="Q56" s="15"/>
      <c r="S56" s="48"/>
      <c r="AH56" t="s">
        <v>297</v>
      </c>
      <c r="AI56" s="18" t="s">
        <v>298</v>
      </c>
    </row>
    <row r="57" spans="3:44" x14ac:dyDescent="0.3">
      <c r="C57" s="11"/>
      <c r="E57" s="11"/>
      <c r="F57" s="15"/>
      <c r="G57" s="15"/>
      <c r="H57" s="15"/>
      <c r="I57" s="15"/>
      <c r="J57" s="15"/>
      <c r="K57" s="15"/>
      <c r="L57" s="47"/>
      <c r="N57" s="47"/>
      <c r="O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-SinArea-0000</v>
      </c>
      <c r="Q57" s="15"/>
      <c r="S57" s="48"/>
      <c r="AH57" t="s">
        <v>299</v>
      </c>
      <c r="AI57" s="22" t="s">
        <v>300</v>
      </c>
    </row>
    <row r="58" spans="3:44" x14ac:dyDescent="0.3">
      <c r="C58" s="11"/>
      <c r="E58" s="11"/>
      <c r="F58" s="15"/>
      <c r="G58" s="15"/>
      <c r="H58" s="15"/>
      <c r="I58" s="15"/>
      <c r="J58" s="15"/>
      <c r="K58" s="15"/>
      <c r="L58" s="47"/>
      <c r="N58" s="47"/>
      <c r="O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-SinArea-0000</v>
      </c>
      <c r="Q58" s="15"/>
      <c r="S58" s="48"/>
      <c r="AF58" t="s">
        <v>23</v>
      </c>
      <c r="AI58" s="18" t="s">
        <v>301</v>
      </c>
    </row>
    <row r="59" spans="3:44" x14ac:dyDescent="0.3">
      <c r="C59" s="11"/>
      <c r="E59" s="11"/>
      <c r="F59" s="15"/>
      <c r="G59" s="15"/>
      <c r="H59" s="15"/>
      <c r="I59" s="15"/>
      <c r="J59" s="15"/>
      <c r="K59" s="15"/>
      <c r="L59" s="47"/>
      <c r="N59" s="47"/>
      <c r="O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-SinArea-0000</v>
      </c>
      <c r="Q59" s="15"/>
      <c r="S59" s="48"/>
      <c r="AF59" t="s">
        <v>302</v>
      </c>
      <c r="AI59" s="70" t="s">
        <v>303</v>
      </c>
    </row>
    <row r="60" spans="3:44" x14ac:dyDescent="0.3">
      <c r="C60" s="11"/>
      <c r="E60" s="11"/>
      <c r="F60" s="15"/>
      <c r="G60" s="15"/>
      <c r="H60" s="15"/>
      <c r="I60" s="15"/>
      <c r="J60" s="15"/>
      <c r="K60" s="15"/>
      <c r="L60" s="47"/>
      <c r="N60" s="47"/>
      <c r="O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-SinArea-0000</v>
      </c>
      <c r="Q60" s="15"/>
      <c r="S60" s="48"/>
      <c r="AH60" t="s">
        <v>62</v>
      </c>
    </row>
    <row r="61" spans="3:44" x14ac:dyDescent="0.3">
      <c r="C61" s="11"/>
      <c r="E61" s="11"/>
      <c r="F61" s="15"/>
      <c r="G61" s="15"/>
      <c r="H61" s="15"/>
      <c r="I61" s="15"/>
      <c r="J61" s="15"/>
      <c r="K61" s="15"/>
      <c r="L61" s="47"/>
      <c r="N61" s="47"/>
      <c r="O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-SinArea-0000</v>
      </c>
      <c r="Q61" s="15"/>
      <c r="S61" s="48"/>
      <c r="AH61" s="70" t="s">
        <v>304</v>
      </c>
      <c r="AI61" t="s">
        <v>305</v>
      </c>
    </row>
    <row r="62" spans="3:44" x14ac:dyDescent="0.3">
      <c r="C62" s="11"/>
      <c r="E62" s="11"/>
      <c r="F62" s="15"/>
      <c r="G62" s="15"/>
      <c r="H62" s="15"/>
      <c r="I62" s="15"/>
      <c r="J62" s="15"/>
      <c r="K62" s="15"/>
      <c r="L62" s="47"/>
      <c r="N62" s="47"/>
      <c r="O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-SinArea-0000</v>
      </c>
      <c r="Q62" s="15"/>
      <c r="S62" s="48"/>
      <c r="AF62" t="s">
        <v>64</v>
      </c>
      <c r="AI62" t="s">
        <v>306</v>
      </c>
    </row>
    <row r="63" spans="3:44" x14ac:dyDescent="0.3">
      <c r="C63" s="11"/>
      <c r="E63" s="11"/>
      <c r="F63" s="15"/>
      <c r="G63" s="15"/>
      <c r="H63" s="15"/>
      <c r="I63" s="15"/>
      <c r="J63" s="15"/>
      <c r="K63" s="15"/>
      <c r="L63" s="47"/>
      <c r="N63" s="47"/>
      <c r="O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-SinArea-0000</v>
      </c>
      <c r="Q63" s="15"/>
      <c r="S63" s="48"/>
      <c r="AF63" s="75" t="s">
        <v>307</v>
      </c>
      <c r="AH63" t="s">
        <v>89</v>
      </c>
    </row>
    <row r="64" spans="3:44" ht="28.8" x14ac:dyDescent="0.3">
      <c r="C64" s="11"/>
      <c r="E64" s="11"/>
      <c r="F64" s="15"/>
      <c r="G64" s="15"/>
      <c r="H64" s="15"/>
      <c r="I64" s="15"/>
      <c r="J64" s="15"/>
      <c r="K64" s="15"/>
      <c r="L64" s="47"/>
      <c r="N64" s="47"/>
      <c r="O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-SinArea-0000</v>
      </c>
      <c r="Q64" s="15"/>
      <c r="S64" s="48"/>
      <c r="AF64" s="70" t="s">
        <v>308</v>
      </c>
      <c r="AH64" s="12" t="s">
        <v>309</v>
      </c>
      <c r="AI64" t="s">
        <v>102</v>
      </c>
    </row>
    <row r="65" spans="3:35" x14ac:dyDescent="0.3">
      <c r="C65" s="11"/>
      <c r="E65" s="11"/>
      <c r="F65" s="15"/>
      <c r="G65" s="15"/>
      <c r="H65" s="15"/>
      <c r="I65" s="15"/>
      <c r="J65" s="15"/>
      <c r="K65" s="15"/>
      <c r="L65" s="47"/>
      <c r="N65" s="47"/>
      <c r="O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-SinArea-0000</v>
      </c>
      <c r="Q65" s="15"/>
      <c r="S65" s="48"/>
      <c r="AI65" t="s">
        <v>310</v>
      </c>
    </row>
    <row r="66" spans="3:35" x14ac:dyDescent="0.3">
      <c r="C66" s="11"/>
      <c r="E66" s="11"/>
      <c r="F66" s="15"/>
      <c r="G66" s="15"/>
      <c r="H66" s="15"/>
      <c r="I66" s="15"/>
      <c r="J66" s="15"/>
      <c r="K66" s="15"/>
      <c r="L66" s="47"/>
      <c r="N66" s="47"/>
      <c r="O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-SinArea-0000</v>
      </c>
      <c r="Q66" s="15"/>
      <c r="S66" s="48"/>
      <c r="AF66" t="s">
        <v>101</v>
      </c>
      <c r="AH66" s="34" t="s">
        <v>73</v>
      </c>
    </row>
    <row r="67" spans="3:35" x14ac:dyDescent="0.3">
      <c r="C67" s="11"/>
      <c r="E67" s="11"/>
      <c r="F67" s="15"/>
      <c r="G67" s="15"/>
      <c r="H67" s="15"/>
      <c r="I67" s="15"/>
      <c r="J67" s="15"/>
      <c r="K67" s="15"/>
      <c r="L67" s="47"/>
      <c r="N67" s="47"/>
      <c r="O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-SinArea-0000</v>
      </c>
      <c r="Q67" s="15"/>
      <c r="S67" s="48"/>
      <c r="AF67" t="s">
        <v>311</v>
      </c>
      <c r="AH67" s="22" t="s">
        <v>312</v>
      </c>
      <c r="AI67" t="s">
        <v>313</v>
      </c>
    </row>
    <row r="68" spans="3:35" x14ac:dyDescent="0.3">
      <c r="C68" s="11"/>
      <c r="E68" s="11"/>
      <c r="F68" s="15"/>
      <c r="G68" s="15"/>
      <c r="H68" s="15"/>
      <c r="I68" s="15"/>
      <c r="J68" s="15"/>
      <c r="K68" s="15"/>
      <c r="L68" s="47"/>
      <c r="N68" s="47"/>
      <c r="O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-SinArea-0000</v>
      </c>
      <c r="Q68" s="15"/>
      <c r="S68" s="48"/>
      <c r="AI68" s="21" t="s">
        <v>314</v>
      </c>
    </row>
    <row r="69" spans="3:35" x14ac:dyDescent="0.3">
      <c r="C69" s="11"/>
      <c r="E69" s="11"/>
      <c r="F69" s="15"/>
      <c r="G69" s="15"/>
      <c r="H69" s="15"/>
      <c r="I69" s="15"/>
      <c r="J69" s="15"/>
      <c r="K69" s="15"/>
      <c r="L69" s="47"/>
      <c r="N69" s="47"/>
      <c r="O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-SinArea-0000</v>
      </c>
      <c r="Q69" s="15"/>
      <c r="S69" s="48"/>
      <c r="AI69" s="70" t="s">
        <v>315</v>
      </c>
    </row>
    <row r="70" spans="3:35" x14ac:dyDescent="0.3">
      <c r="C70" s="11"/>
      <c r="E70" s="11"/>
      <c r="F70" s="15"/>
      <c r="G70" s="15"/>
      <c r="H70" s="15"/>
      <c r="I70" s="15"/>
      <c r="J70" s="15"/>
      <c r="K70" s="15"/>
      <c r="L70" s="47"/>
      <c r="N70" s="47"/>
      <c r="O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-SinArea-0000</v>
      </c>
      <c r="Q70" s="15"/>
      <c r="S70" s="48"/>
    </row>
    <row r="71" spans="3:35" x14ac:dyDescent="0.3">
      <c r="C71" s="11"/>
      <c r="E71" s="11"/>
      <c r="F71" s="15"/>
      <c r="G71" s="15"/>
      <c r="H71" s="15"/>
      <c r="I71" s="15"/>
      <c r="J71" s="15"/>
      <c r="K71" s="15"/>
      <c r="L71" s="47"/>
      <c r="N71" s="47"/>
      <c r="O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-SinArea-0000</v>
      </c>
      <c r="Q71" s="15"/>
      <c r="S71" s="48"/>
    </row>
    <row r="72" spans="3:35" x14ac:dyDescent="0.3">
      <c r="C72" s="11"/>
      <c r="E72" s="11"/>
      <c r="F72" s="15"/>
      <c r="G72" s="15"/>
      <c r="H72" s="15"/>
      <c r="I72" s="15"/>
      <c r="J72" s="15"/>
      <c r="K72" s="15"/>
      <c r="L72" s="47"/>
      <c r="N72" s="47"/>
      <c r="O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-SinArea-0000</v>
      </c>
      <c r="Q72" s="15"/>
      <c r="S72" s="48"/>
    </row>
    <row r="73" spans="3:35" x14ac:dyDescent="0.3">
      <c r="C73" s="11"/>
      <c r="E73" s="11"/>
      <c r="F73" s="15"/>
      <c r="G73" s="15"/>
      <c r="H73" s="15"/>
      <c r="I73" s="15"/>
      <c r="J73" s="15"/>
      <c r="K73" s="15"/>
      <c r="L73" s="47"/>
      <c r="N73" s="47"/>
      <c r="O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-SinArea-0000</v>
      </c>
      <c r="Q73" s="15"/>
      <c r="S73" s="48"/>
    </row>
    <row r="74" spans="3:35" x14ac:dyDescent="0.3">
      <c r="C74" s="11"/>
      <c r="E74" s="11"/>
      <c r="F74" s="15"/>
      <c r="G74" s="15"/>
      <c r="H74" s="15"/>
      <c r="I74" s="15"/>
      <c r="J74" s="15"/>
      <c r="K74" s="15"/>
      <c r="L74" s="47"/>
      <c r="N74" s="47"/>
      <c r="O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-SinArea-0000</v>
      </c>
      <c r="Q74" s="15"/>
      <c r="S74" s="48"/>
    </row>
    <row r="75" spans="3:35" ht="43.2" x14ac:dyDescent="0.3">
      <c r="C75" s="11"/>
      <c r="E75" s="11"/>
      <c r="F75" s="15"/>
      <c r="G75" s="15"/>
      <c r="H75" s="15"/>
      <c r="I75" s="15"/>
      <c r="J75" s="15"/>
      <c r="K75" s="15"/>
      <c r="L75" s="47"/>
      <c r="N75" s="47"/>
      <c r="O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-SinArea-0000</v>
      </c>
      <c r="Q75" s="15"/>
      <c r="S75" s="48"/>
      <c r="AF75" s="11" t="s">
        <v>316</v>
      </c>
    </row>
    <row r="76" spans="3:35" x14ac:dyDescent="0.3">
      <c r="C76" s="11"/>
      <c r="E76" s="11"/>
      <c r="F76" s="15"/>
      <c r="G76" s="15"/>
      <c r="H76" s="15"/>
      <c r="I76" s="15"/>
      <c r="J76" s="15"/>
      <c r="K76" s="15"/>
      <c r="L76" s="47"/>
      <c r="N76" s="47"/>
      <c r="O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-SinArea-0000</v>
      </c>
      <c r="Q76" s="15"/>
      <c r="S76" s="48"/>
    </row>
    <row r="77" spans="3:35" x14ac:dyDescent="0.3">
      <c r="C77" s="11"/>
      <c r="E77" s="11"/>
      <c r="F77" s="15"/>
      <c r="G77" s="15"/>
      <c r="H77" s="15"/>
      <c r="I77" s="15"/>
      <c r="J77" s="15"/>
      <c r="K77" s="15"/>
      <c r="L77" s="47"/>
      <c r="N77" s="47"/>
      <c r="O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-SinArea-0000</v>
      </c>
      <c r="Q77" s="15"/>
      <c r="S77" s="48"/>
    </row>
    <row r="78" spans="3:35" x14ac:dyDescent="0.3">
      <c r="C78" s="11"/>
      <c r="E78" s="11"/>
      <c r="F78" s="15"/>
      <c r="G78" s="15"/>
      <c r="H78" s="15"/>
      <c r="I78" s="15"/>
      <c r="J78" s="15"/>
      <c r="K78" s="15"/>
      <c r="L78" s="47"/>
      <c r="N78" s="47"/>
      <c r="O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-SinArea-0000</v>
      </c>
      <c r="Q78" s="15"/>
      <c r="S78" s="48"/>
    </row>
    <row r="79" spans="3:35" x14ac:dyDescent="0.3">
      <c r="C79" s="11"/>
      <c r="E79" s="11"/>
      <c r="F79" s="15"/>
      <c r="G79" s="15"/>
      <c r="H79" s="15"/>
      <c r="I79" s="15"/>
      <c r="J79" s="15"/>
      <c r="K79" s="15"/>
      <c r="L79" s="47"/>
      <c r="N79" s="47"/>
      <c r="O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-SinArea-0000</v>
      </c>
      <c r="Q79" s="15"/>
      <c r="S79" s="48"/>
    </row>
    <row r="80" spans="3:35" x14ac:dyDescent="0.3">
      <c r="C80" s="11"/>
      <c r="E80" s="11"/>
      <c r="F80" s="15"/>
      <c r="G80" s="15"/>
      <c r="H80" s="15"/>
      <c r="I80" s="15"/>
      <c r="J80" s="15"/>
      <c r="K80" s="15"/>
      <c r="L80" s="47"/>
      <c r="N80" s="47"/>
      <c r="O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-SinArea-0000</v>
      </c>
      <c r="Q80" s="15"/>
      <c r="S80" s="48"/>
    </row>
    <row r="81" spans="3:19" x14ac:dyDescent="0.3">
      <c r="C81" s="11"/>
      <c r="E81" s="11"/>
      <c r="F81" s="15"/>
      <c r="G81" s="15"/>
      <c r="H81" s="15"/>
      <c r="I81" s="15"/>
      <c r="J81" s="15"/>
      <c r="K81" s="15"/>
      <c r="L81" s="47"/>
      <c r="N81" s="47"/>
      <c r="O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-SinArea-0000</v>
      </c>
      <c r="Q81" s="15"/>
      <c r="S81" s="48"/>
    </row>
    <row r="82" spans="3:19" x14ac:dyDescent="0.3">
      <c r="C82" s="11"/>
      <c r="E82" s="11"/>
      <c r="F82" s="15"/>
      <c r="G82" s="15"/>
      <c r="H82" s="15"/>
      <c r="I82" s="15"/>
      <c r="J82" s="15"/>
      <c r="K82" s="15"/>
      <c r="L82" s="47"/>
      <c r="N82" s="47"/>
      <c r="O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-SinArea-0000</v>
      </c>
      <c r="Q82" s="15"/>
      <c r="S82" s="48"/>
    </row>
    <row r="83" spans="3:19" x14ac:dyDescent="0.3">
      <c r="C83" s="11"/>
      <c r="E83" s="11"/>
      <c r="F83" s="15"/>
      <c r="G83" s="15"/>
      <c r="H83" s="15"/>
      <c r="I83" s="15"/>
      <c r="J83" s="15"/>
      <c r="K83" s="15"/>
      <c r="L83" s="47"/>
      <c r="N83" s="47"/>
      <c r="O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-SinArea-0000</v>
      </c>
      <c r="Q83" s="15"/>
      <c r="S83" s="48"/>
    </row>
    <row r="84" spans="3:19" x14ac:dyDescent="0.3">
      <c r="C84" s="11"/>
      <c r="E84" s="11"/>
      <c r="F84" s="15"/>
      <c r="G84" s="15"/>
      <c r="H84" s="15"/>
      <c r="I84" s="15"/>
      <c r="J84" s="15"/>
      <c r="K84" s="15"/>
      <c r="L84" s="47"/>
      <c r="N84" s="47"/>
      <c r="O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-SinArea-0000</v>
      </c>
      <c r="Q84" s="15"/>
      <c r="S84" s="48"/>
    </row>
    <row r="85" spans="3:19" x14ac:dyDescent="0.3">
      <c r="C85" s="11"/>
      <c r="E85" s="11"/>
      <c r="F85" s="15"/>
      <c r="G85" s="15"/>
      <c r="H85" s="15"/>
      <c r="I85" s="15"/>
      <c r="J85" s="15"/>
      <c r="K85" s="15"/>
      <c r="L85" s="47"/>
      <c r="N85" s="47"/>
      <c r="O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-SinArea-0000</v>
      </c>
      <c r="Q85" s="15"/>
      <c r="S85" s="48"/>
    </row>
    <row r="86" spans="3:19" x14ac:dyDescent="0.3">
      <c r="C86" s="11"/>
      <c r="E86" s="11"/>
      <c r="F86" s="15"/>
      <c r="G86" s="15"/>
      <c r="H86" s="15"/>
      <c r="I86" s="15"/>
      <c r="J86" s="15"/>
      <c r="K86" s="15"/>
      <c r="L86" s="47"/>
      <c r="N86" s="47"/>
      <c r="O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-SinArea-0000</v>
      </c>
      <c r="Q86" s="15"/>
      <c r="S86" s="48"/>
    </row>
    <row r="87" spans="3:19" x14ac:dyDescent="0.3">
      <c r="C87" s="11"/>
      <c r="E87" s="11"/>
      <c r="F87" s="15"/>
      <c r="G87" s="15"/>
      <c r="H87" s="15"/>
      <c r="I87" s="15"/>
      <c r="J87" s="15"/>
      <c r="K87" s="15"/>
      <c r="L87" s="47"/>
      <c r="N87" s="47"/>
      <c r="O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-SinArea-0000</v>
      </c>
      <c r="Q87" s="15"/>
      <c r="S87" s="48"/>
    </row>
    <row r="88" spans="3:19" x14ac:dyDescent="0.3">
      <c r="C88" s="11"/>
      <c r="E88" s="11"/>
      <c r="F88" s="15"/>
      <c r="G88" s="15"/>
      <c r="H88" s="15"/>
      <c r="I88" s="15"/>
      <c r="J88" s="15"/>
      <c r="K88" s="15"/>
      <c r="L88" s="47"/>
      <c r="N88" s="47"/>
      <c r="O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-SinArea-0000</v>
      </c>
      <c r="Q88" s="15"/>
      <c r="S88" s="48"/>
    </row>
    <row r="89" spans="3:19" x14ac:dyDescent="0.3">
      <c r="C89" s="11"/>
      <c r="E89" s="11"/>
      <c r="F89" s="15"/>
      <c r="G89" s="15"/>
      <c r="H89" s="15"/>
      <c r="I89" s="15"/>
      <c r="J89" s="15"/>
      <c r="K89" s="15"/>
      <c r="L89" s="47"/>
      <c r="N89" s="47"/>
      <c r="O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-SinArea-0000</v>
      </c>
      <c r="Q89" s="15"/>
      <c r="S89" s="48"/>
    </row>
    <row r="90" spans="3:19" x14ac:dyDescent="0.3">
      <c r="C90" s="11"/>
      <c r="E90" s="11"/>
      <c r="F90" s="15"/>
      <c r="G90" s="15"/>
      <c r="H90" s="15"/>
      <c r="I90" s="15"/>
      <c r="J90" s="15"/>
      <c r="K90" s="15"/>
      <c r="L90" s="47"/>
      <c r="N90" s="47"/>
      <c r="O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-SinArea-0000</v>
      </c>
      <c r="Q90" s="15"/>
      <c r="S90" s="48"/>
    </row>
    <row r="91" spans="3:19" x14ac:dyDescent="0.3">
      <c r="C91" s="11"/>
      <c r="E91" s="11"/>
      <c r="F91" s="15"/>
      <c r="G91" s="15"/>
      <c r="H91" s="15"/>
      <c r="I91" s="15"/>
      <c r="J91" s="15"/>
      <c r="K91" s="15"/>
      <c r="L91" s="47"/>
      <c r="N91" s="47"/>
      <c r="O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-SinArea-0000</v>
      </c>
      <c r="Q91" s="15"/>
      <c r="S91" s="48"/>
    </row>
    <row r="92" spans="3:19" x14ac:dyDescent="0.3">
      <c r="C92" s="11"/>
      <c r="E92" s="11"/>
      <c r="F92" s="15"/>
      <c r="G92" s="15"/>
      <c r="H92" s="15"/>
      <c r="I92" s="15"/>
      <c r="J92" s="15"/>
      <c r="K92" s="15"/>
      <c r="L92" s="47"/>
      <c r="N92" s="47"/>
      <c r="O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-SinArea-0000</v>
      </c>
      <c r="Q92" s="15"/>
      <c r="S92" s="48"/>
    </row>
    <row r="93" spans="3:19" x14ac:dyDescent="0.3">
      <c r="C93" s="11"/>
      <c r="E93" s="11"/>
      <c r="F93" s="15"/>
      <c r="G93" s="15"/>
      <c r="H93" s="15"/>
      <c r="I93" s="15"/>
      <c r="J93" s="15"/>
      <c r="K93" s="15"/>
      <c r="L93" s="47"/>
      <c r="N93" s="47"/>
      <c r="O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-SinArea-0000</v>
      </c>
      <c r="Q93" s="15"/>
      <c r="S93" s="48"/>
    </row>
    <row r="94" spans="3:19" x14ac:dyDescent="0.3">
      <c r="C94" s="11"/>
      <c r="E94" s="11"/>
      <c r="F94" s="15"/>
      <c r="G94" s="15"/>
      <c r="H94" s="15"/>
      <c r="I94" s="15"/>
      <c r="J94" s="15"/>
      <c r="K94" s="15"/>
      <c r="L94" s="47"/>
      <c r="N94" s="47"/>
      <c r="O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-SinArea-0000</v>
      </c>
      <c r="Q94" s="15"/>
      <c r="S94" s="48"/>
    </row>
    <row r="95" spans="3:19" x14ac:dyDescent="0.3">
      <c r="C95" s="11"/>
      <c r="E95" s="11"/>
      <c r="F95" s="15"/>
      <c r="G95" s="15"/>
      <c r="H95" s="15"/>
      <c r="I95" s="15"/>
      <c r="J95" s="15"/>
      <c r="K95" s="15"/>
      <c r="L95" s="47"/>
      <c r="N95" s="47"/>
      <c r="O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-SinArea-0000</v>
      </c>
      <c r="Q95" s="15"/>
      <c r="S95" s="48"/>
    </row>
    <row r="96" spans="3:19" x14ac:dyDescent="0.3">
      <c r="C96" s="11"/>
      <c r="E96" s="11"/>
      <c r="F96" s="15"/>
      <c r="G96" s="15"/>
      <c r="H96" s="15"/>
      <c r="I96" s="15"/>
      <c r="J96" s="15"/>
      <c r="K96" s="15"/>
      <c r="L96" s="47"/>
      <c r="N96" s="47"/>
      <c r="O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-SinArea-0000</v>
      </c>
      <c r="Q96" s="15"/>
      <c r="S96" s="48"/>
    </row>
    <row r="97" spans="3:19" x14ac:dyDescent="0.3">
      <c r="C97" s="11"/>
      <c r="E97" s="11"/>
      <c r="F97" s="15"/>
      <c r="G97" s="15"/>
      <c r="H97" s="15"/>
      <c r="I97" s="15"/>
      <c r="J97" s="15"/>
      <c r="K97" s="15"/>
      <c r="L97" s="47"/>
      <c r="N97" s="47"/>
      <c r="O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-SinArea-0000</v>
      </c>
      <c r="Q97" s="15"/>
      <c r="S97" s="48"/>
    </row>
    <row r="98" spans="3:19" x14ac:dyDescent="0.3">
      <c r="C98" s="11"/>
      <c r="E98" s="11"/>
      <c r="F98" s="15"/>
      <c r="G98" s="15"/>
      <c r="H98" s="15"/>
      <c r="I98" s="15"/>
      <c r="J98" s="15"/>
      <c r="K98" s="15"/>
      <c r="L98" s="47"/>
      <c r="N98" s="47"/>
      <c r="O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-SinArea-0000</v>
      </c>
      <c r="Q98" s="15"/>
      <c r="S98" s="48"/>
    </row>
    <row r="99" spans="3:19" x14ac:dyDescent="0.3">
      <c r="C99" s="11"/>
      <c r="E99" s="11"/>
      <c r="F99" s="15"/>
      <c r="G99" s="15"/>
      <c r="H99" s="15"/>
      <c r="I99" s="15"/>
      <c r="J99" s="15"/>
      <c r="K99" s="15"/>
      <c r="L99" s="47"/>
      <c r="N99" s="47"/>
      <c r="O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-SinArea-0000</v>
      </c>
      <c r="Q99" s="15"/>
      <c r="S99" s="48"/>
    </row>
    <row r="100" spans="3:19" x14ac:dyDescent="0.3">
      <c r="C100" s="11"/>
      <c r="E100" s="11"/>
      <c r="F100" s="15"/>
      <c r="G100" s="15"/>
      <c r="H100" s="15"/>
      <c r="I100" s="15"/>
      <c r="J100" s="15"/>
      <c r="K100" s="15"/>
      <c r="L100" s="47"/>
      <c r="N100" s="47"/>
      <c r="O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-SinArea-0000</v>
      </c>
      <c r="Q100" s="15"/>
      <c r="S100" s="48"/>
    </row>
    <row r="101" spans="3:19" x14ac:dyDescent="0.3">
      <c r="C101" s="11"/>
      <c r="E101" s="11"/>
      <c r="F101" s="15"/>
      <c r="G101" s="15"/>
      <c r="H101" s="15"/>
      <c r="I101" s="15"/>
      <c r="J101" s="15"/>
      <c r="K101" s="15"/>
      <c r="L101" s="47"/>
      <c r="N101" s="47"/>
      <c r="O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-SinArea-0000</v>
      </c>
      <c r="Q101" s="15"/>
      <c r="S101" s="48"/>
    </row>
    <row r="102" spans="3:19" x14ac:dyDescent="0.3">
      <c r="C102" s="11"/>
      <c r="E102" s="11"/>
      <c r="F102" s="15"/>
      <c r="G102" s="15"/>
      <c r="H102" s="15"/>
      <c r="I102" s="15"/>
      <c r="J102" s="15"/>
      <c r="K102" s="15"/>
      <c r="L102" s="47"/>
      <c r="N102" s="47"/>
      <c r="O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-SinArea-0000</v>
      </c>
      <c r="Q102" s="15"/>
      <c r="S102" s="48"/>
    </row>
    <row r="103" spans="3:19" x14ac:dyDescent="0.3">
      <c r="C103" s="11"/>
      <c r="E103" s="11"/>
      <c r="F103" s="15"/>
      <c r="G103" s="15"/>
      <c r="H103" s="15"/>
      <c r="I103" s="15"/>
      <c r="J103" s="15"/>
      <c r="K103" s="15"/>
      <c r="L103" s="47"/>
      <c r="N103" s="47"/>
      <c r="O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-SinArea-0000</v>
      </c>
      <c r="Q103" s="15"/>
      <c r="S103" s="48"/>
    </row>
    <row r="104" spans="3:19" x14ac:dyDescent="0.3">
      <c r="C104" s="11"/>
      <c r="E104" s="11"/>
      <c r="F104" s="15"/>
      <c r="G104" s="15"/>
      <c r="H104" s="15"/>
      <c r="I104" s="15"/>
      <c r="J104" s="15"/>
      <c r="K104" s="15"/>
      <c r="L104" s="47"/>
      <c r="N104" s="47"/>
      <c r="O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-SinArea-0000</v>
      </c>
      <c r="Q104" s="15"/>
      <c r="S104" s="48"/>
    </row>
    <row r="105" spans="3:19" x14ac:dyDescent="0.3">
      <c r="C105" s="11"/>
      <c r="E105" s="11"/>
      <c r="F105" s="15"/>
      <c r="G105" s="15"/>
      <c r="H105" s="15"/>
      <c r="I105" s="15"/>
      <c r="J105" s="15"/>
      <c r="K105" s="15"/>
      <c r="L105" s="47"/>
      <c r="N105" s="47"/>
      <c r="O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-SinArea-0000</v>
      </c>
      <c r="Q105" s="15"/>
      <c r="S105" s="48"/>
    </row>
    <row r="106" spans="3:19" x14ac:dyDescent="0.3">
      <c r="C106" s="11"/>
      <c r="E106" s="11"/>
      <c r="F106" s="15"/>
      <c r="G106" s="15"/>
      <c r="H106" s="15"/>
      <c r="I106" s="15"/>
      <c r="J106" s="15"/>
      <c r="K106" s="15"/>
      <c r="L106" s="47"/>
      <c r="N106" s="47"/>
      <c r="O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-SinArea-0000</v>
      </c>
      <c r="Q106" s="15"/>
      <c r="S106" s="48"/>
    </row>
    <row r="107" spans="3:19" x14ac:dyDescent="0.3">
      <c r="C107" s="11"/>
      <c r="E107" s="11"/>
      <c r="F107" s="15"/>
      <c r="G107" s="15"/>
      <c r="H107" s="15"/>
      <c r="I107" s="15"/>
      <c r="J107" s="15"/>
      <c r="K107" s="15"/>
      <c r="L107" s="47"/>
      <c r="N107" s="47"/>
      <c r="O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-SinArea-0000</v>
      </c>
      <c r="Q107" s="15"/>
      <c r="S107" s="48"/>
    </row>
    <row r="108" spans="3:19" x14ac:dyDescent="0.3">
      <c r="C108" s="11"/>
      <c r="E108" s="11"/>
      <c r="F108" s="15"/>
      <c r="G108" s="15"/>
      <c r="H108" s="15"/>
      <c r="I108" s="15"/>
      <c r="J108" s="15"/>
      <c r="K108" s="15"/>
      <c r="L108" s="47"/>
      <c r="N108" s="47"/>
      <c r="O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-SinArea-0000</v>
      </c>
      <c r="Q108" s="15"/>
      <c r="S108" s="48"/>
    </row>
    <row r="109" spans="3:19" x14ac:dyDescent="0.3">
      <c r="C109" s="11"/>
      <c r="E109" s="11"/>
      <c r="F109" s="15"/>
      <c r="G109" s="15"/>
      <c r="H109" s="15"/>
      <c r="I109" s="15"/>
      <c r="J109" s="15"/>
      <c r="K109" s="15"/>
      <c r="L109" s="47"/>
      <c r="N109" s="47"/>
      <c r="O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-SinArea-0000</v>
      </c>
      <c r="Q109" s="15"/>
      <c r="S109" s="48"/>
    </row>
    <row r="110" spans="3:19" x14ac:dyDescent="0.3">
      <c r="C110" s="11"/>
      <c r="E110" s="11"/>
      <c r="F110" s="15"/>
      <c r="G110" s="15"/>
      <c r="H110" s="15"/>
      <c r="I110" s="15"/>
      <c r="J110" s="15"/>
      <c r="K110" s="15"/>
      <c r="L110" s="47"/>
      <c r="N110" s="47"/>
      <c r="O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-SinArea-0000</v>
      </c>
      <c r="Q110" s="15"/>
      <c r="S110" s="48"/>
    </row>
    <row r="111" spans="3:19" x14ac:dyDescent="0.3">
      <c r="C111" s="11"/>
      <c r="E111" s="11"/>
      <c r="F111" s="15"/>
      <c r="G111" s="15"/>
      <c r="H111" s="15"/>
      <c r="I111" s="15"/>
      <c r="J111" s="15"/>
      <c r="K111" s="15"/>
      <c r="L111" s="47"/>
      <c r="N111" s="47"/>
      <c r="O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-SinArea-0000</v>
      </c>
      <c r="Q111" s="15"/>
      <c r="S111" s="48"/>
    </row>
    <row r="112" spans="3:19" x14ac:dyDescent="0.3">
      <c r="C112" s="11"/>
      <c r="E112" s="11"/>
      <c r="F112" s="15"/>
      <c r="G112" s="15"/>
      <c r="H112" s="15"/>
      <c r="I112" s="15"/>
      <c r="J112" s="15"/>
      <c r="K112" s="15"/>
      <c r="L112" s="47"/>
      <c r="N112" s="47"/>
      <c r="O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-SinArea-0000</v>
      </c>
      <c r="Q112" s="15"/>
      <c r="S112" s="48"/>
    </row>
    <row r="113" spans="3:19" x14ac:dyDescent="0.3">
      <c r="C113" s="11"/>
      <c r="E113" s="11"/>
      <c r="F113" s="15"/>
      <c r="G113" s="15"/>
      <c r="H113" s="15"/>
      <c r="I113" s="15"/>
      <c r="J113" s="15"/>
      <c r="K113" s="15"/>
      <c r="L113" s="47"/>
      <c r="N113" s="47"/>
      <c r="O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-SinArea-0000</v>
      </c>
      <c r="Q113" s="15"/>
      <c r="S113" s="48"/>
    </row>
    <row r="114" spans="3:19" x14ac:dyDescent="0.3">
      <c r="C114" s="11"/>
      <c r="E114" s="11"/>
      <c r="F114" s="15"/>
      <c r="G114" s="15"/>
      <c r="H114" s="15"/>
      <c r="I114" s="15"/>
      <c r="J114" s="15"/>
      <c r="K114" s="15"/>
      <c r="L114" s="47"/>
      <c r="N114" s="47"/>
      <c r="O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-SinArea-0000</v>
      </c>
      <c r="Q114" s="15"/>
      <c r="S114" s="48"/>
    </row>
    <row r="115" spans="3:19" x14ac:dyDescent="0.3">
      <c r="C115" s="11"/>
      <c r="E115" s="11"/>
      <c r="F115" s="15"/>
      <c r="G115" s="15"/>
      <c r="H115" s="15"/>
      <c r="I115" s="15"/>
      <c r="J115" s="15"/>
      <c r="K115" s="15"/>
      <c r="L115" s="47"/>
      <c r="N115" s="47"/>
      <c r="O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-SinArea-0000</v>
      </c>
      <c r="Q115" s="15"/>
      <c r="S115" s="48"/>
    </row>
    <row r="116" spans="3:19" x14ac:dyDescent="0.3">
      <c r="C116" s="11"/>
      <c r="E116" s="11"/>
      <c r="F116" s="15"/>
      <c r="G116" s="15"/>
      <c r="H116" s="15"/>
      <c r="I116" s="15"/>
      <c r="J116" s="15"/>
      <c r="K116" s="15"/>
      <c r="L116" s="47"/>
      <c r="N116" s="47"/>
      <c r="O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-SinArea-0000</v>
      </c>
      <c r="Q116" s="15"/>
      <c r="S116" s="48"/>
    </row>
    <row r="117" spans="3:19" x14ac:dyDescent="0.3">
      <c r="C117" s="11"/>
      <c r="E117" s="11"/>
      <c r="F117" s="15"/>
      <c r="G117" s="15"/>
      <c r="H117" s="15"/>
      <c r="I117" s="15"/>
      <c r="J117" s="15"/>
      <c r="K117" s="15"/>
      <c r="L117" s="47"/>
      <c r="N117" s="47"/>
      <c r="O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-SinArea-0000</v>
      </c>
      <c r="Q117" s="15"/>
      <c r="S117" s="48"/>
    </row>
    <row r="118" spans="3:19" x14ac:dyDescent="0.3">
      <c r="C118" s="11"/>
      <c r="E118" s="11"/>
      <c r="F118" s="15"/>
      <c r="G118" s="15"/>
      <c r="H118" s="15"/>
      <c r="I118" s="15"/>
      <c r="J118" s="15"/>
      <c r="K118" s="15"/>
      <c r="L118" s="47"/>
      <c r="N118" s="47"/>
      <c r="O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-SinArea-0000</v>
      </c>
      <c r="Q118" s="15"/>
      <c r="S118" s="48"/>
    </row>
    <row r="119" spans="3:19" x14ac:dyDescent="0.3">
      <c r="C119" s="11"/>
      <c r="E119" s="11"/>
      <c r="F119" s="15"/>
      <c r="G119" s="15"/>
      <c r="H119" s="15"/>
      <c r="I119" s="15"/>
      <c r="J119" s="15"/>
      <c r="K119" s="15"/>
      <c r="L119" s="47"/>
      <c r="N119" s="47"/>
      <c r="O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-SinArea-0000</v>
      </c>
      <c r="Q119" s="15"/>
      <c r="S119" s="48"/>
    </row>
    <row r="120" spans="3:19" x14ac:dyDescent="0.3">
      <c r="C120" s="11"/>
      <c r="E120" s="11"/>
      <c r="F120" s="15"/>
      <c r="G120" s="15"/>
      <c r="H120" s="15"/>
      <c r="I120" s="15"/>
      <c r="J120" s="15"/>
      <c r="K120" s="15"/>
      <c r="L120" s="47"/>
      <c r="N120" s="47"/>
      <c r="O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-SinArea-0000</v>
      </c>
      <c r="Q120" s="15"/>
      <c r="S120" s="48"/>
    </row>
    <row r="121" spans="3:19" x14ac:dyDescent="0.3">
      <c r="C121" s="11"/>
      <c r="E121" s="11"/>
      <c r="F121" s="15"/>
      <c r="G121" s="15"/>
      <c r="H121" s="15"/>
      <c r="I121" s="15"/>
      <c r="J121" s="15"/>
      <c r="K121" s="15"/>
      <c r="L121" s="47"/>
      <c r="N121" s="47"/>
      <c r="O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-SinArea-0000</v>
      </c>
      <c r="Q121" s="15"/>
      <c r="S121" s="48"/>
    </row>
    <row r="122" spans="3:19" x14ac:dyDescent="0.3">
      <c r="C122" s="11"/>
      <c r="E122" s="11"/>
      <c r="F122" s="15"/>
      <c r="G122" s="15"/>
      <c r="H122" s="15"/>
      <c r="I122" s="15"/>
      <c r="J122" s="15"/>
      <c r="K122" s="15"/>
      <c r="L122" s="47"/>
      <c r="N122" s="47"/>
      <c r="O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-SinArea-0000</v>
      </c>
      <c r="Q122" s="15"/>
      <c r="S122" s="48"/>
    </row>
    <row r="123" spans="3:19" x14ac:dyDescent="0.3">
      <c r="C123" s="11"/>
      <c r="E123" s="11"/>
      <c r="F123" s="15"/>
      <c r="G123" s="15"/>
      <c r="H123" s="15"/>
      <c r="I123" s="15"/>
      <c r="J123" s="15"/>
      <c r="K123" s="15"/>
      <c r="L123" s="47"/>
      <c r="N123" s="47"/>
      <c r="O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-SinArea-0000</v>
      </c>
      <c r="Q123" s="15"/>
      <c r="S123" s="48"/>
    </row>
    <row r="124" spans="3:19" x14ac:dyDescent="0.3">
      <c r="C124" s="11"/>
      <c r="E124" s="11"/>
      <c r="F124" s="15"/>
      <c r="G124" s="15"/>
      <c r="H124" s="15"/>
      <c r="I124" s="15"/>
      <c r="J124" s="15"/>
      <c r="K124" s="15"/>
      <c r="L124" s="47"/>
      <c r="N124" s="47"/>
      <c r="O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-SinArea-0000</v>
      </c>
      <c r="Q124" s="15"/>
      <c r="S124" s="48"/>
    </row>
    <row r="125" spans="3:19" x14ac:dyDescent="0.3">
      <c r="C125" s="11"/>
      <c r="E125" s="11"/>
      <c r="F125" s="15"/>
      <c r="G125" s="15"/>
      <c r="H125" s="15"/>
      <c r="I125" s="15"/>
      <c r="J125" s="15"/>
      <c r="K125" s="15"/>
      <c r="L125" s="47"/>
      <c r="N125" s="47"/>
      <c r="O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-SinArea-0000</v>
      </c>
      <c r="Q125" s="15"/>
      <c r="S125" s="48"/>
    </row>
    <row r="126" spans="3:19" x14ac:dyDescent="0.3">
      <c r="C126" s="11"/>
      <c r="E126" s="11"/>
      <c r="F126" s="15"/>
      <c r="G126" s="15"/>
      <c r="H126" s="15"/>
      <c r="I126" s="15"/>
      <c r="J126" s="15"/>
      <c r="K126" s="15"/>
      <c r="L126" s="47"/>
      <c r="N126" s="47"/>
      <c r="O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-SinArea-0000</v>
      </c>
      <c r="Q126" s="15"/>
      <c r="S126" s="48"/>
    </row>
    <row r="127" spans="3:19" x14ac:dyDescent="0.3">
      <c r="C127" s="11"/>
      <c r="E127" s="11"/>
      <c r="F127" s="15"/>
      <c r="G127" s="15"/>
      <c r="H127" s="15"/>
      <c r="I127" s="15"/>
      <c r="J127" s="15"/>
      <c r="K127" s="15"/>
      <c r="L127" s="47"/>
      <c r="N127" s="47"/>
      <c r="O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-SinArea-0000</v>
      </c>
      <c r="Q127" s="15"/>
      <c r="S127" s="48"/>
    </row>
    <row r="128" spans="3:19" x14ac:dyDescent="0.3">
      <c r="C128" s="11"/>
      <c r="E128" s="11"/>
      <c r="F128" s="15"/>
      <c r="G128" s="15"/>
      <c r="H128" s="15"/>
      <c r="I128" s="15"/>
      <c r="J128" s="15"/>
      <c r="K128" s="15"/>
      <c r="L128" s="47"/>
      <c r="N128" s="47"/>
      <c r="O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-SinArea-0000</v>
      </c>
      <c r="Q128" s="15"/>
      <c r="S128" s="48"/>
    </row>
    <row r="129" spans="3:20" x14ac:dyDescent="0.3">
      <c r="C129" s="11"/>
      <c r="E129" s="11"/>
      <c r="F129" s="15"/>
      <c r="G129" s="15"/>
      <c r="H129" s="15"/>
      <c r="I129" s="15"/>
      <c r="J129" s="15"/>
      <c r="K129" s="15"/>
      <c r="L129" s="47"/>
      <c r="N129" s="47"/>
      <c r="O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-SinArea-0000</v>
      </c>
      <c r="Q129" s="15"/>
      <c r="S129" s="48"/>
    </row>
    <row r="130" spans="3:20" x14ac:dyDescent="0.3">
      <c r="C130" s="11"/>
      <c r="E130" s="11"/>
      <c r="F130" s="15"/>
      <c r="G130" s="15"/>
      <c r="H130" s="15"/>
      <c r="I130" s="15"/>
      <c r="J130" s="15"/>
      <c r="K130" s="15"/>
      <c r="L130" s="47"/>
      <c r="N130" s="47"/>
      <c r="O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-SinArea-0000</v>
      </c>
      <c r="Q130" s="15"/>
      <c r="S130" s="48"/>
    </row>
    <row r="131" spans="3:20" x14ac:dyDescent="0.3">
      <c r="C131" s="11"/>
      <c r="E131" s="11"/>
      <c r="F131" s="15"/>
      <c r="G131" s="15"/>
      <c r="H131" s="15"/>
      <c r="I131" s="15"/>
      <c r="J131" s="15"/>
      <c r="K131" s="15"/>
      <c r="L131" s="47"/>
      <c r="N131" s="47"/>
      <c r="O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-SinArea-0000</v>
      </c>
      <c r="Q131" s="15"/>
      <c r="S131" s="48"/>
    </row>
    <row r="132" spans="3:20" x14ac:dyDescent="0.3">
      <c r="C132" s="11"/>
      <c r="E132" s="11"/>
      <c r="F132" s="15"/>
      <c r="G132" s="15"/>
      <c r="H132" s="15"/>
      <c r="I132" s="15"/>
      <c r="J132" s="15"/>
      <c r="K132" s="15"/>
      <c r="L132" s="47"/>
      <c r="N132" s="47"/>
      <c r="O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-SinArea-0000</v>
      </c>
      <c r="Q132" s="15"/>
      <c r="S132" s="48"/>
    </row>
    <row r="133" spans="3:20" x14ac:dyDescent="0.3">
      <c r="C133" s="11"/>
      <c r="E133" s="11"/>
      <c r="F133" s="15"/>
      <c r="G133" s="15"/>
      <c r="H133" s="15"/>
      <c r="I133" s="15"/>
      <c r="J133" s="15"/>
      <c r="K133" s="15"/>
      <c r="L133" s="47"/>
      <c r="N133" s="47"/>
      <c r="O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-SinArea-0000</v>
      </c>
      <c r="Q133" s="15"/>
      <c r="S133" s="48"/>
    </row>
    <row r="134" spans="3:20" x14ac:dyDescent="0.3">
      <c r="C134" s="11"/>
      <c r="E134" s="11"/>
      <c r="F134" s="15"/>
      <c r="G134" s="15"/>
      <c r="H134" s="15"/>
      <c r="I134" s="15"/>
      <c r="J134" s="15"/>
      <c r="K134" s="15"/>
      <c r="L134" s="47"/>
      <c r="N134" s="47"/>
      <c r="O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-SinArea-0000</v>
      </c>
      <c r="Q134" s="15"/>
      <c r="S134" s="48"/>
    </row>
    <row r="135" spans="3:20" x14ac:dyDescent="0.3">
      <c r="C135" s="11"/>
      <c r="E135" s="11"/>
      <c r="F135" s="15"/>
      <c r="G135" s="15"/>
      <c r="H135" s="15"/>
      <c r="I135" s="15"/>
      <c r="J135" s="15"/>
      <c r="K135" s="15"/>
      <c r="L135" s="47"/>
      <c r="N135" s="47"/>
      <c r="O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-SinArea-0000</v>
      </c>
      <c r="Q135" s="15"/>
      <c r="S135" s="48"/>
    </row>
    <row r="136" spans="3:20" x14ac:dyDescent="0.3">
      <c r="C136" s="11"/>
      <c r="E136" s="11"/>
      <c r="F136" s="15"/>
      <c r="G136" s="15"/>
      <c r="H136" s="15"/>
      <c r="I136" s="15"/>
      <c r="J136" s="15"/>
      <c r="K136" s="15"/>
      <c r="L136" s="47"/>
      <c r="N136" s="47"/>
      <c r="O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-SinArea-0000</v>
      </c>
      <c r="Q136" s="15"/>
      <c r="S136" s="48"/>
    </row>
    <row r="137" spans="3:20" x14ac:dyDescent="0.3">
      <c r="C137" s="11"/>
      <c r="E137" s="11"/>
      <c r="F137" s="15"/>
      <c r="G137" s="15"/>
      <c r="H137" s="15"/>
      <c r="I137" s="15"/>
      <c r="J137" s="15"/>
      <c r="K137" s="15"/>
      <c r="L137" s="47"/>
      <c r="N137" s="47"/>
      <c r="O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-SinArea-0000</v>
      </c>
      <c r="Q137" s="15"/>
      <c r="S137" s="48"/>
    </row>
    <row r="138" spans="3:20" x14ac:dyDescent="0.3">
      <c r="C138" s="11"/>
      <c r="E138" s="11"/>
      <c r="F138" s="15"/>
      <c r="G138" s="15"/>
      <c r="H138" s="15"/>
      <c r="I138" s="15"/>
      <c r="J138" s="15"/>
      <c r="K138" s="15"/>
      <c r="L138" s="47"/>
      <c r="N138" s="47"/>
      <c r="O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-SinArea-0000</v>
      </c>
      <c r="Q138" s="15"/>
      <c r="S138" s="48"/>
    </row>
    <row r="139" spans="3:20" x14ac:dyDescent="0.3">
      <c r="C139" s="11"/>
      <c r="E139" s="11"/>
      <c r="F139" s="15"/>
      <c r="G139" s="15"/>
      <c r="H139" s="15"/>
      <c r="I139" s="15"/>
      <c r="J139" s="15"/>
      <c r="K139" s="15"/>
      <c r="L139" s="47"/>
      <c r="N139" s="47"/>
      <c r="O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-SinArea-0000</v>
      </c>
      <c r="Q139" s="15"/>
      <c r="S139" s="48"/>
    </row>
    <row r="140" spans="3:20" x14ac:dyDescent="0.3">
      <c r="C140" s="11"/>
      <c r="D140" s="32"/>
      <c r="E140" s="11"/>
      <c r="F140" s="15"/>
      <c r="G140" s="15"/>
      <c r="H140" s="15"/>
      <c r="I140" s="15"/>
      <c r="J140" s="15"/>
      <c r="K140" s="15"/>
      <c r="L140" s="47"/>
      <c r="M140" s="76"/>
      <c r="N140" s="47"/>
      <c r="O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-SinArea-0000</v>
      </c>
      <c r="P140" s="77"/>
      <c r="Q140" s="15"/>
      <c r="R140" s="32"/>
      <c r="S140" s="48"/>
    </row>
    <row r="141" spans="3:20" x14ac:dyDescent="0.3">
      <c r="C141" s="11"/>
      <c r="D141" s="32"/>
      <c r="E141" s="11"/>
      <c r="K141" s="15"/>
      <c r="L141" s="47"/>
      <c r="M141" s="76"/>
      <c r="N141" s="76"/>
      <c r="O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-SinArea-0000</v>
      </c>
      <c r="P141" s="77"/>
      <c r="Q141" s="32"/>
      <c r="R141" s="32"/>
      <c r="S141" s="32"/>
      <c r="T141" s="32"/>
    </row>
    <row r="142" spans="3:20" x14ac:dyDescent="0.3">
      <c r="C142" s="11"/>
      <c r="D142" s="32"/>
      <c r="E142" s="11"/>
      <c r="K142" s="15"/>
      <c r="L142" s="47"/>
      <c r="M142" s="76"/>
      <c r="N142" s="76"/>
      <c r="O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-SinArea-0000</v>
      </c>
      <c r="P142" s="77"/>
      <c r="Q142" s="32"/>
      <c r="R142" s="32"/>
      <c r="S142" s="32"/>
      <c r="T142" s="32"/>
    </row>
    <row r="143" spans="3:20" x14ac:dyDescent="0.3">
      <c r="C143" s="11"/>
      <c r="D143" s="32"/>
      <c r="E143" s="11"/>
      <c r="K143" s="15"/>
      <c r="L143" s="47"/>
      <c r="M143" s="76"/>
      <c r="N143" s="76"/>
      <c r="O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-SinArea-0000</v>
      </c>
      <c r="P143" s="77"/>
      <c r="Q143" s="32"/>
      <c r="R143" s="32"/>
      <c r="S143" s="32"/>
      <c r="T143" s="32"/>
    </row>
    <row r="144" spans="3:20" x14ac:dyDescent="0.3">
      <c r="C144" s="11"/>
      <c r="D144" s="32"/>
      <c r="E144" s="11"/>
      <c r="K144" s="15"/>
      <c r="L144" s="47"/>
      <c r="M144" s="76"/>
      <c r="N144" s="76"/>
      <c r="O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-SinArea-0000</v>
      </c>
      <c r="P144" s="77"/>
      <c r="Q144" s="32"/>
      <c r="R144" s="32"/>
      <c r="S144" s="32"/>
      <c r="T144" s="32"/>
    </row>
    <row r="145" spans="3:20" x14ac:dyDescent="0.3">
      <c r="C145" s="11"/>
      <c r="D145" s="32"/>
      <c r="E145" s="11"/>
      <c r="K145" s="15"/>
      <c r="L145" s="47"/>
      <c r="M145" s="76"/>
      <c r="N145" s="76"/>
      <c r="O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-SinArea-0000</v>
      </c>
      <c r="P145" s="77"/>
      <c r="Q145" s="32"/>
      <c r="R145" s="32"/>
      <c r="S145" s="32"/>
      <c r="T145" s="32"/>
    </row>
    <row r="146" spans="3:20" x14ac:dyDescent="0.3">
      <c r="C146" s="11"/>
      <c r="D146" s="32"/>
      <c r="E146" s="11"/>
      <c r="K146" s="15"/>
      <c r="L146" s="47"/>
      <c r="M146" s="76"/>
      <c r="N146" s="76"/>
      <c r="O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-SinArea-0000</v>
      </c>
      <c r="P146" s="77"/>
      <c r="Q146" s="32"/>
      <c r="R146" s="32"/>
      <c r="S146" s="32"/>
      <c r="T146" s="32"/>
    </row>
    <row r="147" spans="3:20" x14ac:dyDescent="0.3">
      <c r="C147" s="11"/>
      <c r="D147" s="32"/>
      <c r="E147" s="11"/>
      <c r="K147" s="15"/>
      <c r="L147" s="47"/>
      <c r="M147" s="76"/>
      <c r="N147" s="76"/>
      <c r="O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-SinArea-0000</v>
      </c>
      <c r="P147" s="77"/>
      <c r="Q147" s="32"/>
      <c r="R147" s="32"/>
      <c r="S147" s="32"/>
      <c r="T147" s="32"/>
    </row>
    <row r="148" spans="3:20" x14ac:dyDescent="0.3">
      <c r="C148" s="11"/>
      <c r="D148" s="32"/>
      <c r="E148" s="11"/>
      <c r="K148" s="15"/>
      <c r="L148" s="47"/>
      <c r="M148" s="76"/>
      <c r="N148" s="76"/>
      <c r="O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-SinArea-0000</v>
      </c>
      <c r="P148" s="77"/>
      <c r="Q148" s="32"/>
      <c r="R148" s="32"/>
      <c r="S148" s="32"/>
      <c r="T148" s="32"/>
    </row>
    <row r="149" spans="3:20" x14ac:dyDescent="0.3">
      <c r="C149" s="11"/>
      <c r="D149" s="32"/>
      <c r="E149" s="11"/>
      <c r="K149" s="15"/>
      <c r="L149" s="47"/>
      <c r="M149" s="76"/>
      <c r="N149" s="76"/>
      <c r="O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-SinArea-0000</v>
      </c>
      <c r="P149" s="77"/>
      <c r="Q149" s="32"/>
      <c r="R149" s="32"/>
      <c r="S149" s="32"/>
      <c r="T149" s="32"/>
    </row>
    <row r="150" spans="3:20" x14ac:dyDescent="0.3">
      <c r="C150" s="11"/>
      <c r="D150" s="32"/>
      <c r="E150" s="11"/>
      <c r="K150" s="15"/>
      <c r="L150" s="47"/>
      <c r="M150" s="76"/>
      <c r="N150" s="76"/>
      <c r="O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-SinArea-0000</v>
      </c>
      <c r="P150" s="77"/>
      <c r="Q150" s="32"/>
      <c r="R150" s="32"/>
      <c r="S150" s="32"/>
      <c r="T150" s="32"/>
    </row>
    <row r="151" spans="3:20" x14ac:dyDescent="0.3">
      <c r="C151" s="11"/>
      <c r="D151" s="32"/>
      <c r="E151" s="11"/>
      <c r="K151" s="15"/>
      <c r="L151" s="47"/>
      <c r="M151" s="76"/>
      <c r="N151" s="76"/>
      <c r="O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-SinArea-0000</v>
      </c>
      <c r="P151" s="77"/>
      <c r="Q151" s="32"/>
      <c r="R151" s="32"/>
      <c r="S151" s="32"/>
      <c r="T151" s="32"/>
    </row>
    <row r="152" spans="3:20" x14ac:dyDescent="0.3">
      <c r="C152" s="11"/>
      <c r="D152" s="32"/>
      <c r="E152" s="11"/>
      <c r="K152" s="15"/>
      <c r="L152" s="47"/>
      <c r="M152" s="76"/>
      <c r="N152" s="76"/>
      <c r="O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-SinArea-0000</v>
      </c>
      <c r="P152" s="77"/>
      <c r="Q152" s="32"/>
      <c r="R152" s="32"/>
      <c r="S152" s="32"/>
      <c r="T152" s="32"/>
    </row>
    <row r="153" spans="3:20" x14ac:dyDescent="0.3">
      <c r="C153" s="11"/>
      <c r="D153" s="32"/>
      <c r="E153" s="11"/>
      <c r="K153" s="15"/>
      <c r="L153" s="47"/>
      <c r="M153" s="76"/>
      <c r="N153" s="76"/>
      <c r="O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-SinArea-0000</v>
      </c>
      <c r="P153" s="77"/>
      <c r="Q153" s="32"/>
      <c r="R153" s="32"/>
      <c r="S153" s="32"/>
      <c r="T153" s="32"/>
    </row>
    <row r="154" spans="3:20" x14ac:dyDescent="0.3">
      <c r="C154" s="11"/>
      <c r="D154" s="32"/>
      <c r="E154" s="11"/>
      <c r="K154" s="15"/>
      <c r="L154" s="47"/>
      <c r="M154" s="76"/>
      <c r="N154" s="76"/>
      <c r="O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-SinArea-0000</v>
      </c>
      <c r="P154" s="77"/>
      <c r="Q154" s="32"/>
      <c r="R154" s="32"/>
      <c r="S154" s="32"/>
      <c r="T154" s="32"/>
    </row>
    <row r="155" spans="3:20" x14ac:dyDescent="0.3">
      <c r="C155" s="11"/>
      <c r="D155" s="32"/>
      <c r="E155" s="11"/>
      <c r="K155" s="15"/>
      <c r="L155" s="47"/>
      <c r="M155" s="76"/>
      <c r="N155" s="76"/>
      <c r="O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-SinArea-0000</v>
      </c>
      <c r="P155" s="77"/>
      <c r="Q155" s="32"/>
      <c r="R155" s="32"/>
      <c r="S155" s="32"/>
      <c r="T155" s="32"/>
    </row>
    <row r="156" spans="3:20" x14ac:dyDescent="0.3">
      <c r="C156" s="11"/>
      <c r="D156" s="32"/>
      <c r="E156" s="11"/>
      <c r="K156" s="15"/>
      <c r="L156" s="47"/>
      <c r="M156" s="76"/>
      <c r="N156" s="76"/>
      <c r="O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-SinArea-0000</v>
      </c>
      <c r="P156" s="77"/>
      <c r="Q156" s="32"/>
      <c r="R156" s="32"/>
      <c r="S156" s="32"/>
      <c r="T156" s="32"/>
    </row>
    <row r="157" spans="3:20" x14ac:dyDescent="0.3">
      <c r="C157" s="11"/>
      <c r="D157" s="32"/>
      <c r="E157" s="11"/>
      <c r="K157" s="15"/>
      <c r="L157" s="47"/>
      <c r="M157" s="76"/>
      <c r="N157" s="76"/>
      <c r="O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P157" s="77"/>
      <c r="Q157" s="32"/>
      <c r="R157" s="32"/>
      <c r="S157" s="32"/>
      <c r="T157" s="32"/>
    </row>
    <row r="158" spans="3:20" x14ac:dyDescent="0.3">
      <c r="C158" s="11"/>
      <c r="D158" s="32"/>
      <c r="E158" s="11"/>
      <c r="K158" s="15"/>
      <c r="L158" s="47"/>
      <c r="M158" s="76"/>
      <c r="N158" s="76"/>
      <c r="O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P158" s="77"/>
      <c r="Q158" s="32"/>
      <c r="R158" s="32"/>
      <c r="S158" s="32"/>
      <c r="T158" s="32"/>
    </row>
    <row r="159" spans="3:20" x14ac:dyDescent="0.3">
      <c r="C159" s="11"/>
      <c r="D159" s="32"/>
      <c r="E159" s="11"/>
      <c r="K159" s="15"/>
      <c r="L159" s="47"/>
      <c r="M159" s="76"/>
      <c r="N159" s="76"/>
      <c r="O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P159" s="77"/>
      <c r="Q159" s="32"/>
      <c r="R159" s="32"/>
      <c r="S159" s="32"/>
      <c r="T159" s="32"/>
    </row>
    <row r="160" spans="3:20" x14ac:dyDescent="0.3">
      <c r="C160" s="11"/>
      <c r="D160" s="32"/>
      <c r="E160" s="11"/>
      <c r="K160" s="15"/>
      <c r="L160" s="47"/>
      <c r="M160" s="76"/>
      <c r="N160" s="76"/>
      <c r="O160" s="78" t="str">
        <f>_xlfn.LET(
    _xlpm.itemBuscado, B160,
    _xlpm.areaBuscada, C160,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TEXT(COUNTIF($C$2:C160, _xlpm.areaBuscada), "0000"),
    _xlpm.codItem &amp; "-" &amp; _xlpm.codArea &amp; "-" &amp; _xlpm.secuencia
)</f>
        <v>-SinArea-0000</v>
      </c>
      <c r="P160" s="77"/>
      <c r="Q160" s="32"/>
      <c r="R160" s="32"/>
      <c r="S160" s="32"/>
      <c r="T160" s="32"/>
    </row>
    <row r="161" spans="3:20" x14ac:dyDescent="0.3">
      <c r="C161" s="11"/>
      <c r="D161" s="32"/>
      <c r="E161" s="11"/>
      <c r="K161" s="15"/>
      <c r="L161" s="47"/>
      <c r="M161" s="76"/>
      <c r="N161" s="76"/>
      <c r="O161" s="78" t="str">
        <f>_xlfn.LET(
    _xlpm.itemBuscado, B161,
    _xlpm.areaBuscada, C161,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TEXT(COUNTIF($C$2:C161, _xlpm.areaBuscada), "0000"),
    _xlpm.codItem &amp; "-" &amp; _xlpm.codArea &amp; "-" &amp; _xlpm.secuencia
)</f>
        <v>-SinArea-0000</v>
      </c>
      <c r="P161" s="77"/>
      <c r="Q161" s="32"/>
      <c r="R161" s="32"/>
      <c r="S161" s="32"/>
      <c r="T161" s="32"/>
    </row>
    <row r="162" spans="3:20" x14ac:dyDescent="0.3">
      <c r="C162" s="11"/>
      <c r="D162" s="32"/>
      <c r="E162" s="11"/>
      <c r="K162" s="15"/>
      <c r="L162" s="47"/>
      <c r="M162" s="76"/>
      <c r="N162" s="76"/>
      <c r="O162" s="78" t="str">
        <f>_xlfn.LET(
    _xlpm.itemBuscado, B162,
    _xlpm.areaBuscada, C162,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TEXT(COUNTIF($C$2:C162, _xlpm.areaBuscada), "0000"),
    _xlpm.codItem &amp; "-" &amp; _xlpm.codArea &amp; "-" &amp; _xlpm.secuencia
)</f>
        <v>-SinArea-0000</v>
      </c>
      <c r="P162" s="77"/>
      <c r="Q162" s="32"/>
      <c r="R162" s="32"/>
      <c r="S162" s="32"/>
      <c r="T162" s="32"/>
    </row>
    <row r="163" spans="3:20" x14ac:dyDescent="0.3">
      <c r="C163" s="11"/>
      <c r="D163" s="32"/>
      <c r="E163" s="11"/>
      <c r="K163" s="15"/>
      <c r="L163" s="47"/>
      <c r="M163" s="76"/>
      <c r="N163" s="76"/>
      <c r="O163" s="78" t="str">
        <f>_xlfn.LET(
    _xlpm.itemBuscado, B163,
    _xlpm.areaBuscada, C163,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TEXT(COUNTIF($C$2:C163, _xlpm.areaBuscada), "0000"),
    _xlpm.codItem &amp; "-" &amp; _xlpm.codArea &amp; "-" &amp; _xlpm.secuencia
)</f>
        <v>-SinArea-0000</v>
      </c>
      <c r="P163" s="77"/>
      <c r="Q163" s="32"/>
      <c r="R163" s="32"/>
      <c r="S163" s="32"/>
      <c r="T163" s="32"/>
    </row>
    <row r="164" spans="3:20" x14ac:dyDescent="0.3">
      <c r="C164" s="11"/>
      <c r="D164" s="32"/>
      <c r="E164" s="11"/>
      <c r="K164" s="15"/>
      <c r="L164" s="47"/>
      <c r="M164" s="76"/>
      <c r="N164" s="76"/>
      <c r="O164" s="78" t="str">
        <f>_xlfn.LET(
    _xlpm.itemBuscado, B164,
    _xlpm.areaBuscada, C164,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TEXT(COUNTIF($C$2:C164, _xlpm.areaBuscada), "0000"),
    _xlpm.codItem &amp; "-" &amp; _xlpm.codArea &amp; "-" &amp; _xlpm.secuencia
)</f>
        <v>-SinArea-0000</v>
      </c>
      <c r="P164" s="77"/>
      <c r="Q164" s="32"/>
      <c r="R164" s="32"/>
      <c r="S164" s="32"/>
      <c r="T164" s="32"/>
    </row>
    <row r="165" spans="3:20" x14ac:dyDescent="0.3">
      <c r="C165" s="11"/>
      <c r="D165" s="32"/>
      <c r="E165" s="11"/>
      <c r="K165" s="15"/>
      <c r="L165" s="47"/>
      <c r="M165" s="76"/>
      <c r="N165" s="76"/>
      <c r="O165" s="78" t="str">
        <f>_xlfn.LET(
    _xlpm.itemBuscado, B165,
    _xlpm.areaBuscada, C165,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TEXT(COUNTIF($C$2:C165, _xlpm.areaBuscada), "0000"),
    _xlpm.codItem &amp; "-" &amp; _xlpm.codArea &amp; "-" &amp; _xlpm.secuencia
)</f>
        <v>-SinArea-0000</v>
      </c>
      <c r="P165" s="77"/>
      <c r="Q165" s="32"/>
      <c r="R165" s="32"/>
      <c r="S165" s="32"/>
      <c r="T165" s="32"/>
    </row>
    <row r="166" spans="3:20" x14ac:dyDescent="0.3">
      <c r="C166" s="11"/>
      <c r="D166" s="32"/>
      <c r="E166" s="11"/>
      <c r="K166" s="15"/>
      <c r="L166" s="47"/>
      <c r="M166" s="76"/>
      <c r="N166" s="76"/>
      <c r="O166" s="78" t="str">
        <f>_xlfn.LET(
    _xlpm.itemBuscado, B166,
    _xlpm.areaBuscada, C166,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TEXT(COUNTIF($C$2:C166, _xlpm.areaBuscada), "0000"),
    _xlpm.codItem &amp; "-" &amp; _xlpm.codArea &amp; "-" &amp; _xlpm.secuencia
)</f>
        <v>-SinArea-0000</v>
      </c>
      <c r="P166" s="77"/>
      <c r="Q166" s="32"/>
      <c r="R166" s="32"/>
      <c r="S166" s="32"/>
      <c r="T166" s="32"/>
    </row>
    <row r="167" spans="3:20" x14ac:dyDescent="0.3">
      <c r="C167" s="11"/>
      <c r="D167" s="32"/>
      <c r="E167" s="11"/>
      <c r="K167" s="15"/>
      <c r="L167" s="47"/>
      <c r="M167" s="76"/>
      <c r="N167" s="76"/>
      <c r="O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P167" s="77"/>
      <c r="Q167" s="32"/>
      <c r="R167" s="32"/>
      <c r="S167" s="32"/>
      <c r="T167" s="32"/>
    </row>
    <row r="168" spans="3:20" x14ac:dyDescent="0.3">
      <c r="C168" s="11"/>
      <c r="D168" s="32"/>
      <c r="E168" s="11"/>
      <c r="K168" s="15"/>
      <c r="L168" s="47"/>
      <c r="M168" s="76"/>
      <c r="N168" s="76"/>
      <c r="O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P168" s="77"/>
      <c r="Q168" s="32"/>
      <c r="R168" s="32"/>
      <c r="S168" s="32"/>
      <c r="T168" s="32"/>
    </row>
    <row r="169" spans="3:20" x14ac:dyDescent="0.3">
      <c r="C169" s="11"/>
      <c r="D169" s="32"/>
      <c r="E169" s="11"/>
      <c r="K169" s="15"/>
      <c r="L169" s="47"/>
      <c r="M169" s="76"/>
      <c r="N169" s="76"/>
      <c r="O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P169" s="77"/>
      <c r="Q169" s="32"/>
      <c r="R169" s="32"/>
      <c r="S169" s="32"/>
      <c r="T169" s="32"/>
    </row>
    <row r="170" spans="3:20" x14ac:dyDescent="0.3">
      <c r="C170" s="11"/>
      <c r="D170" s="32"/>
      <c r="E170" s="11"/>
      <c r="K170" s="15"/>
      <c r="L170" s="47"/>
      <c r="M170" s="76"/>
      <c r="N170" s="76"/>
      <c r="O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P170" s="77"/>
      <c r="Q170" s="32"/>
      <c r="R170" s="32"/>
      <c r="S170" s="32"/>
      <c r="T170" s="32"/>
    </row>
    <row r="171" spans="3:20" x14ac:dyDescent="0.3">
      <c r="C171" s="11"/>
      <c r="D171" s="32"/>
      <c r="E171" s="11"/>
      <c r="K171" s="15"/>
      <c r="L171" s="47"/>
      <c r="M171" s="76"/>
      <c r="N171" s="76"/>
      <c r="O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P171" s="77"/>
      <c r="Q171" s="32"/>
      <c r="R171" s="32"/>
      <c r="S171" s="32"/>
      <c r="T171" s="32"/>
    </row>
    <row r="172" spans="3:20" x14ac:dyDescent="0.3">
      <c r="C172" s="11"/>
      <c r="D172" s="32"/>
      <c r="E172" s="11"/>
      <c r="K172" s="15"/>
      <c r="L172" s="47"/>
      <c r="M172" s="76"/>
      <c r="N172" s="76"/>
      <c r="O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P172" s="77"/>
      <c r="Q172" s="32"/>
      <c r="R172" s="32"/>
      <c r="S172" s="32"/>
      <c r="T172" s="32"/>
    </row>
    <row r="173" spans="3:20" x14ac:dyDescent="0.3">
      <c r="C173" s="11"/>
      <c r="D173" s="32"/>
      <c r="E173" s="11"/>
      <c r="K173" s="15"/>
      <c r="L173" s="47"/>
      <c r="M173" s="76"/>
      <c r="N173" s="76"/>
      <c r="O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P173" s="77"/>
      <c r="Q173" s="32"/>
      <c r="R173" s="32"/>
      <c r="S173" s="32"/>
      <c r="T173" s="32"/>
    </row>
    <row r="174" spans="3:20" x14ac:dyDescent="0.3">
      <c r="C174" s="11"/>
      <c r="D174" s="32"/>
      <c r="E174" s="11"/>
      <c r="K174" s="15"/>
      <c r="L174" s="47"/>
      <c r="M174" s="76"/>
      <c r="N174" s="76"/>
      <c r="O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P174" s="77"/>
      <c r="Q174" s="32"/>
      <c r="R174" s="32"/>
      <c r="S174" s="32"/>
      <c r="T174" s="32"/>
    </row>
    <row r="175" spans="3:20" x14ac:dyDescent="0.3">
      <c r="C175" s="11"/>
      <c r="D175" s="32"/>
      <c r="E175" s="11"/>
      <c r="K175" s="15"/>
      <c r="L175" s="47"/>
      <c r="M175" s="76"/>
      <c r="N175" s="76"/>
      <c r="O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P175" s="77"/>
      <c r="Q175" s="32"/>
      <c r="R175" s="32"/>
      <c r="S175" s="32"/>
      <c r="T175" s="32"/>
    </row>
    <row r="176" spans="3:20" x14ac:dyDescent="0.3">
      <c r="C176" s="11"/>
      <c r="D176" s="32"/>
      <c r="E176" s="11"/>
      <c r="K176" s="15"/>
      <c r="L176" s="47"/>
      <c r="M176" s="76"/>
      <c r="N176" s="76"/>
      <c r="O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P176" s="77"/>
      <c r="Q176" s="32"/>
      <c r="R176" s="32"/>
      <c r="S176" s="32"/>
      <c r="T176" s="32"/>
    </row>
    <row r="177" spans="3:20" x14ac:dyDescent="0.3">
      <c r="C177" s="11"/>
      <c r="D177" s="32"/>
      <c r="E177" s="11"/>
      <c r="K177" s="15"/>
      <c r="L177" s="47"/>
      <c r="M177" s="76"/>
      <c r="N177" s="76"/>
      <c r="O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P177" s="77"/>
      <c r="Q177" s="32"/>
      <c r="R177" s="32"/>
      <c r="S177" s="32"/>
      <c r="T177" s="32"/>
    </row>
    <row r="178" spans="3:20" x14ac:dyDescent="0.3">
      <c r="C178" s="11"/>
      <c r="D178" s="32"/>
      <c r="E178" s="11"/>
      <c r="K178" s="15"/>
      <c r="L178" s="47"/>
      <c r="M178" s="76"/>
      <c r="N178" s="76"/>
      <c r="O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P178" s="77"/>
      <c r="Q178" s="32"/>
      <c r="R178" s="32"/>
      <c r="S178" s="32"/>
      <c r="T178" s="32"/>
    </row>
    <row r="179" spans="3:20" x14ac:dyDescent="0.3">
      <c r="C179" s="11"/>
      <c r="D179" s="32"/>
      <c r="E179" s="11"/>
      <c r="K179" s="15"/>
      <c r="L179" s="47"/>
      <c r="M179" s="76"/>
      <c r="N179" s="76"/>
      <c r="O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P179" s="77"/>
      <c r="Q179" s="32"/>
      <c r="R179" s="32"/>
      <c r="S179" s="32"/>
      <c r="T179" s="32"/>
    </row>
    <row r="180" spans="3:20" x14ac:dyDescent="0.3">
      <c r="C180" s="11"/>
      <c r="D180" s="32"/>
      <c r="E180" s="11"/>
      <c r="K180" s="15"/>
      <c r="L180" s="47"/>
      <c r="M180" s="76"/>
      <c r="N180" s="76"/>
      <c r="O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P180" s="77"/>
      <c r="Q180" s="32"/>
      <c r="R180" s="32"/>
      <c r="S180" s="32"/>
      <c r="T180" s="32"/>
    </row>
    <row r="181" spans="3:20" x14ac:dyDescent="0.3">
      <c r="C181" s="11"/>
      <c r="D181" s="32"/>
      <c r="E181" s="11"/>
      <c r="K181" s="15"/>
      <c r="L181" s="47"/>
      <c r="M181" s="76"/>
      <c r="N181" s="76"/>
      <c r="O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P181" s="77"/>
      <c r="Q181" s="32"/>
      <c r="R181" s="32"/>
      <c r="S181" s="32"/>
      <c r="T181" s="32"/>
    </row>
    <row r="182" spans="3:20" x14ac:dyDescent="0.3">
      <c r="C182" s="11"/>
      <c r="D182" s="32"/>
      <c r="E182" s="11"/>
      <c r="K182" s="15"/>
      <c r="L182" s="47"/>
      <c r="M182" s="76"/>
      <c r="N182" s="76"/>
      <c r="O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P182" s="77"/>
      <c r="Q182" s="32"/>
      <c r="R182" s="32"/>
      <c r="S182" s="32"/>
      <c r="T182" s="32"/>
    </row>
    <row r="183" spans="3:20" x14ac:dyDescent="0.3">
      <c r="C183" s="11"/>
      <c r="D183" s="32"/>
      <c r="E183" s="11"/>
      <c r="K183" s="15"/>
      <c r="L183" s="47"/>
      <c r="M183" s="76"/>
      <c r="N183" s="76"/>
      <c r="O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P183" s="77"/>
      <c r="Q183" s="32"/>
      <c r="R183" s="32"/>
      <c r="S183" s="32"/>
      <c r="T183" s="32"/>
    </row>
    <row r="184" spans="3:20" x14ac:dyDescent="0.3">
      <c r="C184" s="11"/>
      <c r="D184" s="32"/>
      <c r="E184" s="11"/>
      <c r="K184" s="15"/>
      <c r="L184" s="47"/>
      <c r="M184" s="76"/>
      <c r="N184" s="76"/>
      <c r="O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P184" s="77"/>
      <c r="Q184" s="32"/>
      <c r="R184" s="32"/>
      <c r="S184" s="32"/>
      <c r="T184" s="32"/>
    </row>
    <row r="185" spans="3:20" x14ac:dyDescent="0.3">
      <c r="C185" s="11"/>
      <c r="D185" s="32"/>
      <c r="E185" s="11"/>
      <c r="K185" s="15"/>
      <c r="L185" s="47"/>
      <c r="M185" s="76"/>
      <c r="N185" s="76"/>
      <c r="O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P185" s="77"/>
      <c r="Q185" s="32"/>
      <c r="R185" s="32"/>
      <c r="S185" s="32"/>
      <c r="T185" s="32"/>
    </row>
    <row r="186" spans="3:20" x14ac:dyDescent="0.3">
      <c r="C186" s="11"/>
      <c r="D186" s="32"/>
      <c r="E186" s="11"/>
      <c r="K186" s="15"/>
      <c r="L186" s="47"/>
      <c r="M186" s="76"/>
      <c r="N186" s="76"/>
      <c r="O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P186" s="77"/>
      <c r="Q186" s="32"/>
      <c r="R186" s="32"/>
      <c r="S186" s="32"/>
      <c r="T186" s="32"/>
    </row>
    <row r="187" spans="3:20" x14ac:dyDescent="0.3">
      <c r="C187" s="11"/>
      <c r="D187" s="32"/>
      <c r="E187" s="11"/>
      <c r="K187" s="15"/>
      <c r="L187" s="47"/>
      <c r="M187" s="76"/>
      <c r="N187" s="76"/>
      <c r="O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P187" s="77"/>
      <c r="Q187" s="32"/>
      <c r="R187" s="32"/>
      <c r="S187" s="32"/>
      <c r="T187" s="32"/>
    </row>
    <row r="188" spans="3:20" x14ac:dyDescent="0.3">
      <c r="C188" s="11"/>
      <c r="D188" s="32"/>
      <c r="E188" s="11"/>
      <c r="K188" s="15"/>
      <c r="L188" s="47"/>
      <c r="M188" s="76"/>
      <c r="N188" s="76"/>
      <c r="O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P188" s="77"/>
      <c r="Q188" s="32"/>
      <c r="R188" s="32"/>
      <c r="S188" s="32"/>
      <c r="T188" s="32"/>
    </row>
    <row r="189" spans="3:20" x14ac:dyDescent="0.3">
      <c r="C189" s="11"/>
      <c r="D189" s="32"/>
      <c r="E189" s="11"/>
      <c r="K189" s="15"/>
      <c r="L189" s="47"/>
      <c r="M189" s="76"/>
      <c r="N189" s="76"/>
      <c r="O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P189" s="77"/>
      <c r="Q189" s="32"/>
      <c r="R189" s="32"/>
      <c r="S189" s="32"/>
      <c r="T189" s="32"/>
    </row>
    <row r="190" spans="3:20" x14ac:dyDescent="0.3">
      <c r="C190" s="11"/>
      <c r="D190" s="32"/>
      <c r="E190" s="11"/>
      <c r="K190" s="15"/>
      <c r="L190" s="47"/>
      <c r="M190" s="76"/>
      <c r="N190" s="76"/>
      <c r="O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P190" s="77"/>
      <c r="Q190" s="32"/>
      <c r="R190" s="32"/>
      <c r="S190" s="32"/>
      <c r="T190" s="32"/>
    </row>
    <row r="191" spans="3:20" x14ac:dyDescent="0.3">
      <c r="C191" s="11"/>
      <c r="D191" s="32"/>
      <c r="E191" s="11"/>
      <c r="K191" s="15"/>
      <c r="L191" s="47"/>
      <c r="M191" s="76"/>
      <c r="N191" s="76"/>
      <c r="O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P191" s="77"/>
      <c r="Q191" s="32"/>
      <c r="R191" s="32"/>
      <c r="S191" s="32"/>
      <c r="T191" s="32"/>
    </row>
    <row r="192" spans="3:20" x14ac:dyDescent="0.3">
      <c r="C192" s="11"/>
      <c r="D192" s="32"/>
      <c r="E192" s="11"/>
      <c r="K192" s="15"/>
      <c r="L192" s="47"/>
      <c r="M192" s="76"/>
      <c r="N192" s="76"/>
      <c r="O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P192" s="77"/>
      <c r="Q192" s="32"/>
      <c r="R192" s="32"/>
      <c r="S192" s="32"/>
      <c r="T192" s="32"/>
    </row>
    <row r="193" spans="3:20" x14ac:dyDescent="0.3">
      <c r="C193" s="11"/>
      <c r="D193" s="32"/>
      <c r="E193" s="11"/>
      <c r="K193" s="15"/>
      <c r="L193" s="47"/>
      <c r="M193" s="76"/>
      <c r="N193" s="76"/>
      <c r="O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P193" s="77"/>
      <c r="Q193" s="32"/>
      <c r="R193" s="32"/>
      <c r="S193" s="32"/>
      <c r="T193" s="32"/>
    </row>
    <row r="194" spans="3:20" x14ac:dyDescent="0.3">
      <c r="C194" s="11"/>
      <c r="D194" s="32"/>
      <c r="E194" s="11"/>
      <c r="K194" s="15"/>
      <c r="L194" s="47"/>
      <c r="M194" s="76"/>
      <c r="N194" s="76"/>
      <c r="O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P194" s="77"/>
      <c r="Q194" s="32"/>
      <c r="R194" s="32"/>
      <c r="S194" s="32"/>
      <c r="T194" s="32"/>
    </row>
    <row r="195" spans="3:20" x14ac:dyDescent="0.3">
      <c r="C195" s="11"/>
      <c r="D195" s="32"/>
      <c r="E195" s="11"/>
      <c r="K195" s="15"/>
      <c r="L195" s="47"/>
      <c r="M195" s="76"/>
      <c r="N195" s="76"/>
      <c r="O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P195" s="77"/>
      <c r="Q195" s="32"/>
      <c r="R195" s="32"/>
      <c r="S195" s="32"/>
      <c r="T195" s="32"/>
    </row>
    <row r="196" spans="3:20" x14ac:dyDescent="0.3">
      <c r="C196" s="11"/>
      <c r="D196" s="32"/>
      <c r="E196" s="11"/>
      <c r="K196" s="15"/>
      <c r="L196" s="47"/>
      <c r="M196" s="76"/>
      <c r="N196" s="76"/>
      <c r="O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P196" s="77"/>
      <c r="Q196" s="32"/>
      <c r="R196" s="32"/>
      <c r="S196" s="32"/>
      <c r="T196" s="32"/>
    </row>
    <row r="197" spans="3:20" x14ac:dyDescent="0.3">
      <c r="C197" s="11"/>
      <c r="D197" s="32"/>
      <c r="E197" s="11"/>
      <c r="K197" s="15"/>
      <c r="L197" s="47"/>
      <c r="M197" s="76"/>
      <c r="N197" s="76"/>
      <c r="O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P197" s="77"/>
      <c r="Q197" s="32"/>
      <c r="R197" s="32"/>
      <c r="S197" s="32"/>
      <c r="T197" s="32"/>
    </row>
    <row r="198" spans="3:20" x14ac:dyDescent="0.3">
      <c r="C198" s="11"/>
      <c r="D198" s="32"/>
      <c r="E198" s="11"/>
      <c r="K198" s="15"/>
      <c r="L198" s="47"/>
      <c r="M198" s="76"/>
      <c r="N198" s="76"/>
      <c r="O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P198" s="77"/>
      <c r="Q198" s="32"/>
      <c r="R198" s="32"/>
      <c r="S198" s="32"/>
      <c r="T198" s="32"/>
    </row>
    <row r="199" spans="3:20" x14ac:dyDescent="0.3">
      <c r="C199" s="11"/>
      <c r="D199" s="32"/>
      <c r="E199" s="11"/>
      <c r="K199" s="15"/>
      <c r="L199" s="47"/>
      <c r="M199" s="76"/>
      <c r="N199" s="76"/>
      <c r="O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P199" s="77"/>
      <c r="Q199" s="32"/>
      <c r="R199" s="32"/>
      <c r="S199" s="32"/>
      <c r="T199" s="32"/>
    </row>
    <row r="200" spans="3:20" x14ac:dyDescent="0.3">
      <c r="C200" s="11"/>
      <c r="D200" s="32"/>
      <c r="E200" s="11"/>
      <c r="K200" s="15"/>
      <c r="L200" s="47"/>
      <c r="M200" s="76"/>
      <c r="N200" s="76"/>
      <c r="O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P200" s="77"/>
      <c r="Q200" s="32"/>
      <c r="R200" s="32"/>
      <c r="S200" s="32"/>
      <c r="T200" s="32"/>
    </row>
    <row r="201" spans="3:20" x14ac:dyDescent="0.3">
      <c r="C201" s="11"/>
      <c r="D201" s="32"/>
      <c r="E201" s="11"/>
      <c r="K201" s="15"/>
      <c r="L201" s="47"/>
      <c r="M201" s="76"/>
      <c r="N201" s="76"/>
      <c r="O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P201" s="77"/>
      <c r="Q201" s="32"/>
      <c r="R201" s="32"/>
      <c r="S201" s="32"/>
      <c r="T201" s="32"/>
    </row>
    <row r="202" spans="3:20" x14ac:dyDescent="0.3">
      <c r="C202" s="11"/>
      <c r="D202" s="32"/>
      <c r="E202" s="11"/>
      <c r="K202" s="15"/>
      <c r="L202" s="47"/>
      <c r="M202" s="76"/>
      <c r="N202" s="76"/>
      <c r="O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P202" s="77"/>
      <c r="Q202" s="32"/>
      <c r="R202" s="32"/>
      <c r="S202" s="32"/>
      <c r="T202" s="32"/>
    </row>
    <row r="203" spans="3:20" x14ac:dyDescent="0.3">
      <c r="C203" s="11"/>
      <c r="D203" s="32"/>
      <c r="E203" s="11"/>
      <c r="K203" s="15"/>
      <c r="L203" s="47"/>
      <c r="M203" s="76"/>
      <c r="N203" s="76"/>
      <c r="O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P203" s="77"/>
      <c r="Q203" s="32"/>
      <c r="R203" s="32"/>
      <c r="S203" s="32"/>
      <c r="T203" s="32"/>
    </row>
    <row r="204" spans="3:20" x14ac:dyDescent="0.3">
      <c r="C204" s="11"/>
      <c r="D204" s="32"/>
      <c r="E204" s="11"/>
      <c r="K204" s="15"/>
      <c r="L204" s="47"/>
      <c r="M204" s="76"/>
      <c r="N204" s="76"/>
      <c r="O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P204" s="77"/>
      <c r="Q204" s="32"/>
      <c r="R204" s="32"/>
      <c r="S204" s="32"/>
      <c r="T204" s="32"/>
    </row>
    <row r="205" spans="3:20" x14ac:dyDescent="0.3">
      <c r="C205" s="11"/>
      <c r="D205" s="32"/>
      <c r="E205" s="11"/>
      <c r="K205" s="15"/>
      <c r="L205" s="47"/>
      <c r="M205" s="76"/>
      <c r="N205" s="76"/>
      <c r="O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P205" s="77"/>
      <c r="Q205" s="32"/>
      <c r="R205" s="32"/>
      <c r="S205" s="32"/>
      <c r="T205" s="32"/>
    </row>
    <row r="206" spans="3:20" x14ac:dyDescent="0.3">
      <c r="C206" s="11"/>
      <c r="D206" s="32"/>
      <c r="E206" s="11"/>
      <c r="K206" s="15"/>
      <c r="L206" s="47"/>
      <c r="M206" s="76"/>
      <c r="N206" s="76"/>
      <c r="O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P206" s="77"/>
      <c r="Q206" s="32"/>
      <c r="R206" s="32"/>
      <c r="S206" s="32"/>
      <c r="T206" s="32"/>
    </row>
    <row r="207" spans="3:20" x14ac:dyDescent="0.3">
      <c r="C207" s="11"/>
      <c r="D207" s="32"/>
      <c r="E207" s="11"/>
      <c r="K207" s="15"/>
      <c r="L207" s="47"/>
      <c r="M207" s="76"/>
      <c r="N207" s="76"/>
      <c r="O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P207" s="77"/>
      <c r="Q207" s="32"/>
      <c r="R207" s="32"/>
      <c r="S207" s="32"/>
      <c r="T207" s="32"/>
    </row>
    <row r="208" spans="3:20" x14ac:dyDescent="0.3">
      <c r="C208" s="11"/>
      <c r="D208" s="32"/>
      <c r="E208" s="11"/>
      <c r="K208" s="15"/>
      <c r="L208" s="47"/>
      <c r="M208" s="76"/>
      <c r="N208" s="76"/>
      <c r="O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P208" s="77"/>
      <c r="Q208" s="32"/>
      <c r="R208" s="32"/>
      <c r="S208" s="32"/>
      <c r="T208" s="32"/>
    </row>
    <row r="209" spans="3:20" x14ac:dyDescent="0.3">
      <c r="C209" s="11"/>
      <c r="D209" s="32"/>
      <c r="E209" s="11"/>
      <c r="K209" s="15"/>
      <c r="L209" s="47"/>
      <c r="M209" s="76"/>
      <c r="N209" s="76"/>
      <c r="O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P209" s="77"/>
      <c r="Q209" s="32"/>
      <c r="R209" s="32"/>
      <c r="S209" s="32"/>
      <c r="T209" s="32"/>
    </row>
    <row r="210" spans="3:20" x14ac:dyDescent="0.3">
      <c r="C210" s="11"/>
      <c r="D210" s="32"/>
      <c r="E210" s="11"/>
      <c r="K210" s="15"/>
      <c r="L210" s="47"/>
      <c r="M210" s="76"/>
      <c r="N210" s="76"/>
      <c r="O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P210" s="77"/>
      <c r="Q210" s="32"/>
      <c r="R210" s="32"/>
      <c r="S210" s="32"/>
      <c r="T210" s="32"/>
    </row>
    <row r="211" spans="3:20" x14ac:dyDescent="0.3">
      <c r="C211" s="11"/>
      <c r="D211" s="32"/>
      <c r="E211" s="11"/>
      <c r="K211" s="15"/>
      <c r="L211" s="47"/>
      <c r="M211" s="76"/>
      <c r="N211" s="76"/>
      <c r="O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P211" s="77"/>
      <c r="Q211" s="32"/>
      <c r="R211" s="32"/>
      <c r="S211" s="32"/>
      <c r="T211" s="32"/>
    </row>
    <row r="212" spans="3:20" x14ac:dyDescent="0.3">
      <c r="C212" s="11"/>
      <c r="D212" s="32"/>
      <c r="E212" s="11"/>
      <c r="K212" s="15"/>
      <c r="L212" s="47"/>
      <c r="M212" s="76"/>
      <c r="N212" s="76"/>
      <c r="O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P212" s="77"/>
      <c r="Q212" s="32"/>
      <c r="R212" s="32"/>
      <c r="S212" s="32"/>
      <c r="T212" s="32"/>
    </row>
    <row r="213" spans="3:20" x14ac:dyDescent="0.3">
      <c r="C213" s="11"/>
      <c r="D213" s="32"/>
      <c r="E213" s="11"/>
      <c r="K213" s="15"/>
      <c r="L213" s="47"/>
      <c r="M213" s="76"/>
      <c r="N213" s="76"/>
      <c r="O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P213" s="77"/>
      <c r="Q213" s="32"/>
      <c r="R213" s="32"/>
      <c r="S213" s="32"/>
      <c r="T213" s="32"/>
    </row>
    <row r="214" spans="3:20" x14ac:dyDescent="0.3">
      <c r="C214" s="11"/>
      <c r="D214" s="32"/>
      <c r="E214" s="11"/>
      <c r="K214" s="15"/>
      <c r="L214" s="47"/>
      <c r="M214" s="76"/>
      <c r="N214" s="76"/>
      <c r="O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P214" s="77"/>
      <c r="Q214" s="32"/>
      <c r="R214" s="32"/>
      <c r="S214" s="32"/>
      <c r="T214" s="32"/>
    </row>
    <row r="215" spans="3:20" x14ac:dyDescent="0.3">
      <c r="C215" s="11"/>
      <c r="D215" s="32"/>
      <c r="E215" s="11"/>
      <c r="K215" s="15"/>
      <c r="L215" s="47"/>
      <c r="M215" s="76"/>
      <c r="N215" s="76"/>
      <c r="O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P215" s="77"/>
      <c r="Q215" s="32"/>
      <c r="R215" s="32"/>
      <c r="S215" s="32"/>
      <c r="T215" s="32"/>
    </row>
    <row r="216" spans="3:20" x14ac:dyDescent="0.3">
      <c r="C216" s="11"/>
      <c r="D216" s="32"/>
      <c r="E216" s="11"/>
      <c r="K216" s="15"/>
      <c r="L216" s="47"/>
      <c r="M216" s="76"/>
      <c r="N216" s="76"/>
      <c r="O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P216" s="77"/>
      <c r="Q216" s="32"/>
      <c r="R216" s="32"/>
      <c r="S216" s="32"/>
      <c r="T216" s="32"/>
    </row>
    <row r="217" spans="3:20" x14ac:dyDescent="0.3">
      <c r="C217" s="11"/>
      <c r="D217" s="32"/>
      <c r="E217" s="11"/>
      <c r="K217" s="15"/>
      <c r="L217" s="47"/>
      <c r="M217" s="76"/>
      <c r="N217" s="76"/>
      <c r="O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P217" s="77"/>
      <c r="Q217" s="32"/>
      <c r="R217" s="32"/>
      <c r="S217" s="32"/>
      <c r="T217" s="32"/>
    </row>
    <row r="218" spans="3:20" x14ac:dyDescent="0.3">
      <c r="C218" s="11"/>
      <c r="D218" s="32"/>
      <c r="E218" s="11"/>
      <c r="K218" s="15"/>
      <c r="L218" s="47"/>
      <c r="M218" s="76"/>
      <c r="N218" s="76"/>
      <c r="O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P218" s="77"/>
      <c r="Q218" s="32"/>
      <c r="R218" s="32"/>
      <c r="S218" s="32"/>
      <c r="T218" s="32"/>
    </row>
    <row r="219" spans="3:20" x14ac:dyDescent="0.3">
      <c r="C219" s="11"/>
      <c r="D219" s="32"/>
      <c r="E219" s="11"/>
      <c r="K219" s="15"/>
      <c r="L219" s="47"/>
      <c r="M219" s="76"/>
      <c r="N219" s="76"/>
      <c r="O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P219" s="77"/>
      <c r="Q219" s="32"/>
      <c r="R219" s="32"/>
      <c r="S219" s="32"/>
      <c r="T219" s="32"/>
    </row>
    <row r="220" spans="3:20" x14ac:dyDescent="0.3">
      <c r="C220" s="11"/>
      <c r="D220" s="32"/>
      <c r="E220" s="11"/>
      <c r="K220" s="15"/>
      <c r="L220" s="47"/>
      <c r="M220" s="76"/>
      <c r="N220" s="76"/>
      <c r="O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P220" s="77"/>
      <c r="Q220" s="32"/>
      <c r="R220" s="32"/>
      <c r="S220" s="32"/>
      <c r="T220" s="32"/>
    </row>
    <row r="221" spans="3:20" x14ac:dyDescent="0.3">
      <c r="C221" s="11"/>
      <c r="D221" s="32"/>
      <c r="E221" s="11"/>
      <c r="K221" s="15"/>
      <c r="L221" s="47"/>
      <c r="M221" s="76"/>
      <c r="N221" s="76"/>
      <c r="O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P221" s="77"/>
      <c r="Q221" s="32"/>
      <c r="R221" s="32"/>
      <c r="S221" s="32"/>
      <c r="T221" s="32"/>
    </row>
    <row r="222" spans="3:20" x14ac:dyDescent="0.3">
      <c r="C222" s="11"/>
      <c r="D222" s="32"/>
      <c r="E222" s="11"/>
      <c r="K222" s="15"/>
      <c r="L222" s="47"/>
      <c r="M222" s="76"/>
      <c r="N222" s="76"/>
      <c r="O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P222" s="77"/>
      <c r="Q222" s="32"/>
      <c r="R222" s="32"/>
      <c r="S222" s="32"/>
      <c r="T222" s="32"/>
    </row>
    <row r="223" spans="3:20" x14ac:dyDescent="0.3">
      <c r="C223" s="11"/>
      <c r="D223" s="32"/>
      <c r="E223" s="11"/>
      <c r="K223" s="15"/>
      <c r="L223" s="47"/>
      <c r="M223" s="76"/>
      <c r="N223" s="76"/>
      <c r="O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P223" s="77"/>
      <c r="Q223" s="32"/>
      <c r="R223" s="32"/>
      <c r="S223" s="32"/>
      <c r="T223" s="32"/>
    </row>
    <row r="224" spans="3:20" x14ac:dyDescent="0.3">
      <c r="C224" s="11"/>
      <c r="D224" s="32"/>
      <c r="E224" s="11"/>
      <c r="K224" s="15"/>
      <c r="L224" s="47"/>
      <c r="M224" s="76"/>
      <c r="N224" s="76"/>
      <c r="O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P224" s="77"/>
      <c r="Q224" s="32"/>
      <c r="R224" s="32"/>
      <c r="S224" s="32"/>
      <c r="T224" s="32"/>
    </row>
    <row r="225" spans="3:20" x14ac:dyDescent="0.3">
      <c r="C225" s="11"/>
      <c r="D225" s="32"/>
      <c r="E225" s="11"/>
      <c r="K225" s="15"/>
      <c r="L225" s="47"/>
      <c r="M225" s="76"/>
      <c r="N225" s="76"/>
      <c r="O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P225" s="77"/>
      <c r="Q225" s="32"/>
      <c r="R225" s="32"/>
      <c r="S225" s="32"/>
      <c r="T225" s="32"/>
    </row>
    <row r="226" spans="3:20" x14ac:dyDescent="0.3">
      <c r="C226" s="11"/>
      <c r="D226" s="32"/>
      <c r="E226" s="11"/>
      <c r="K226" s="15"/>
      <c r="L226" s="47"/>
      <c r="M226" s="76"/>
      <c r="N226" s="76"/>
      <c r="O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P226" s="77"/>
      <c r="Q226" s="32"/>
      <c r="R226" s="32"/>
      <c r="S226" s="32"/>
      <c r="T226" s="32"/>
    </row>
    <row r="227" spans="3:20" x14ac:dyDescent="0.3">
      <c r="C227" s="11"/>
      <c r="D227" s="32"/>
      <c r="E227" s="11"/>
      <c r="K227" s="15"/>
      <c r="L227" s="47"/>
      <c r="M227" s="76"/>
      <c r="N227" s="76"/>
      <c r="O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P227" s="77"/>
      <c r="Q227" s="32"/>
      <c r="R227" s="32"/>
      <c r="S227" s="32"/>
      <c r="T227" s="32"/>
    </row>
    <row r="228" spans="3:20" x14ac:dyDescent="0.3">
      <c r="C228" s="11"/>
      <c r="D228" s="32"/>
      <c r="E228" s="11"/>
      <c r="K228" s="15"/>
      <c r="L228" s="47"/>
      <c r="M228" s="76"/>
      <c r="N228" s="76"/>
      <c r="O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P228" s="77"/>
      <c r="Q228" s="32"/>
      <c r="R228" s="32"/>
      <c r="S228" s="32"/>
      <c r="T228" s="32"/>
    </row>
    <row r="229" spans="3:20" x14ac:dyDescent="0.3">
      <c r="C229" s="11"/>
      <c r="D229" s="32"/>
      <c r="E229" s="11"/>
      <c r="K229" s="15"/>
      <c r="L229" s="47"/>
      <c r="M229" s="76"/>
      <c r="N229" s="76"/>
      <c r="O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P229" s="77"/>
      <c r="Q229" s="32"/>
      <c r="R229" s="32"/>
      <c r="S229" s="32"/>
      <c r="T229" s="32"/>
    </row>
    <row r="230" spans="3:20" x14ac:dyDescent="0.3">
      <c r="C230" s="11"/>
      <c r="D230" s="32"/>
      <c r="E230" s="11"/>
      <c r="K230" s="15"/>
      <c r="L230" s="47"/>
      <c r="M230" s="76"/>
      <c r="N230" s="76"/>
      <c r="O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P230" s="77"/>
      <c r="Q230" s="32"/>
      <c r="R230" s="32"/>
      <c r="S230" s="32"/>
      <c r="T230" s="32"/>
    </row>
    <row r="231" spans="3:20" x14ac:dyDescent="0.3">
      <c r="C231" s="11"/>
      <c r="D231" s="32"/>
      <c r="E231" s="11"/>
      <c r="K231" s="15"/>
      <c r="L231" s="47"/>
      <c r="M231" s="76"/>
      <c r="N231" s="76"/>
      <c r="O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P231" s="77"/>
      <c r="Q231" s="32"/>
      <c r="R231" s="32"/>
      <c r="S231" s="32"/>
      <c r="T231" s="32"/>
    </row>
    <row r="232" spans="3:20" x14ac:dyDescent="0.3">
      <c r="C232" s="11"/>
      <c r="D232" s="32"/>
      <c r="E232" s="11"/>
      <c r="K232" s="15"/>
      <c r="L232" s="47"/>
      <c r="M232" s="76"/>
      <c r="N232" s="76"/>
      <c r="O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P232" s="77"/>
      <c r="Q232" s="32"/>
      <c r="R232" s="32"/>
      <c r="S232" s="32"/>
      <c r="T232" s="32"/>
    </row>
    <row r="233" spans="3:20" x14ac:dyDescent="0.3">
      <c r="C233" s="11"/>
      <c r="D233" s="32"/>
      <c r="E233" s="11"/>
      <c r="K233" s="15"/>
      <c r="L233" s="47"/>
      <c r="M233" s="76"/>
      <c r="N233" s="76"/>
      <c r="O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P233" s="77"/>
      <c r="Q233" s="32"/>
      <c r="R233" s="32"/>
      <c r="S233" s="32"/>
      <c r="T233" s="32"/>
    </row>
    <row r="234" spans="3:20" x14ac:dyDescent="0.3">
      <c r="C234" s="11"/>
      <c r="D234" s="32"/>
      <c r="E234" s="11"/>
      <c r="K234" s="15"/>
      <c r="L234" s="47"/>
      <c r="M234" s="76"/>
      <c r="N234" s="76"/>
      <c r="O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P234" s="77"/>
      <c r="Q234" s="32"/>
      <c r="R234" s="32"/>
      <c r="S234" s="32"/>
      <c r="T234" s="32"/>
    </row>
    <row r="235" spans="3:20" x14ac:dyDescent="0.3">
      <c r="C235" s="11"/>
      <c r="D235" s="32"/>
      <c r="E235" s="11"/>
      <c r="K235" s="15"/>
      <c r="L235" s="47"/>
      <c r="M235" s="76"/>
      <c r="N235" s="76"/>
      <c r="O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P235" s="77"/>
      <c r="Q235" s="32"/>
      <c r="R235" s="32"/>
      <c r="S235" s="32"/>
      <c r="T235" s="32"/>
    </row>
    <row r="236" spans="3:20" x14ac:dyDescent="0.3">
      <c r="C236" s="11"/>
      <c r="D236" s="32"/>
      <c r="E236" s="11"/>
      <c r="K236" s="15"/>
      <c r="L236" s="47"/>
      <c r="M236" s="76"/>
      <c r="N236" s="76"/>
      <c r="O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P236" s="77"/>
      <c r="Q236" s="32"/>
      <c r="R236" s="32"/>
      <c r="S236" s="32"/>
      <c r="T236" s="32"/>
    </row>
    <row r="237" spans="3:20" x14ac:dyDescent="0.3">
      <c r="C237" s="11"/>
      <c r="D237" s="32"/>
      <c r="E237" s="11"/>
      <c r="K237" s="15"/>
      <c r="L237" s="47"/>
      <c r="M237" s="76"/>
      <c r="N237" s="76"/>
      <c r="O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P237" s="77"/>
      <c r="Q237" s="32"/>
      <c r="R237" s="32"/>
      <c r="S237" s="32"/>
      <c r="T237" s="32"/>
    </row>
    <row r="238" spans="3:20" x14ac:dyDescent="0.3">
      <c r="C238" s="11"/>
      <c r="D238" s="32"/>
      <c r="E238" s="11"/>
      <c r="K238" s="15"/>
      <c r="L238" s="47"/>
      <c r="M238" s="76"/>
      <c r="N238" s="76"/>
      <c r="O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P238" s="77"/>
      <c r="Q238" s="32"/>
      <c r="R238" s="32"/>
      <c r="S238" s="32"/>
      <c r="T238" s="32"/>
    </row>
    <row r="239" spans="3:20" x14ac:dyDescent="0.3">
      <c r="C239" s="11"/>
      <c r="D239" s="32"/>
      <c r="E239" s="11"/>
      <c r="K239" s="15"/>
      <c r="L239" s="47"/>
      <c r="M239" s="76"/>
      <c r="N239" s="76"/>
      <c r="O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P239" s="77"/>
      <c r="Q239" s="32"/>
      <c r="R239" s="32"/>
      <c r="S239" s="32"/>
      <c r="T239" s="32"/>
    </row>
    <row r="240" spans="3:20" x14ac:dyDescent="0.3">
      <c r="C240" s="11"/>
      <c r="D240" s="32"/>
      <c r="E240" s="11"/>
      <c r="K240" s="15"/>
      <c r="L240" s="47"/>
      <c r="M240" s="76"/>
      <c r="N240" s="76"/>
      <c r="O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P240" s="77"/>
      <c r="Q240" s="32"/>
      <c r="R240" s="32"/>
      <c r="S240" s="32"/>
      <c r="T240" s="32"/>
    </row>
    <row r="241" spans="3:20" x14ac:dyDescent="0.3">
      <c r="C241" s="11"/>
      <c r="D241" s="32"/>
      <c r="E241" s="11"/>
      <c r="K241" s="15"/>
      <c r="L241" s="47"/>
      <c r="M241" s="76"/>
      <c r="N241" s="76"/>
      <c r="O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P241" s="77"/>
      <c r="Q241" s="32"/>
      <c r="R241" s="32"/>
      <c r="S241" s="32"/>
      <c r="T241" s="32"/>
    </row>
    <row r="242" spans="3:20" x14ac:dyDescent="0.3">
      <c r="C242" s="11"/>
      <c r="D242" s="32"/>
      <c r="E242" s="11"/>
      <c r="K242" s="15"/>
      <c r="L242" s="47"/>
      <c r="M242" s="76"/>
      <c r="N242" s="76"/>
      <c r="O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P242" s="77"/>
      <c r="Q242" s="32"/>
      <c r="R242" s="32"/>
      <c r="S242" s="32"/>
      <c r="T242" s="32"/>
    </row>
    <row r="243" spans="3:20" x14ac:dyDescent="0.3">
      <c r="C243" s="11"/>
      <c r="D243" s="32"/>
      <c r="E243" s="11"/>
      <c r="K243" s="15"/>
      <c r="L243" s="47"/>
      <c r="M243" s="76"/>
      <c r="N243" s="76"/>
      <c r="O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P243" s="77"/>
      <c r="Q243" s="32"/>
      <c r="R243" s="32"/>
      <c r="S243" s="32"/>
      <c r="T243" s="32"/>
    </row>
    <row r="244" spans="3:20" x14ac:dyDescent="0.3">
      <c r="C244" s="11"/>
      <c r="D244" s="32"/>
      <c r="E244" s="11"/>
      <c r="K244" s="15"/>
      <c r="L244" s="47"/>
      <c r="M244" s="76"/>
      <c r="N244" s="76"/>
      <c r="O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P244" s="77"/>
      <c r="Q244" s="32"/>
      <c r="R244" s="32"/>
      <c r="S244" s="32"/>
      <c r="T244" s="32"/>
    </row>
    <row r="245" spans="3:20" x14ac:dyDescent="0.3">
      <c r="C245" s="11"/>
      <c r="D245" s="32"/>
      <c r="E245" s="11"/>
      <c r="K245" s="15"/>
      <c r="L245" s="47"/>
      <c r="M245" s="76"/>
      <c r="N245" s="76"/>
      <c r="O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P245" s="77"/>
      <c r="Q245" s="32"/>
      <c r="R245" s="32"/>
      <c r="S245" s="32"/>
      <c r="T245" s="32"/>
    </row>
    <row r="246" spans="3:20" x14ac:dyDescent="0.3">
      <c r="C246" s="11"/>
      <c r="D246" s="32"/>
      <c r="E246" s="11"/>
      <c r="K246" s="15"/>
      <c r="L246" s="47"/>
      <c r="M246" s="76"/>
      <c r="N246" s="76"/>
      <c r="O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P246" s="77"/>
      <c r="Q246" s="32"/>
      <c r="R246" s="32"/>
      <c r="S246" s="32"/>
      <c r="T246" s="32"/>
    </row>
    <row r="247" spans="3:20" x14ac:dyDescent="0.3">
      <c r="C247" s="11"/>
      <c r="D247" s="32"/>
      <c r="E247" s="11"/>
      <c r="K247" s="15"/>
      <c r="L247" s="47"/>
      <c r="M247" s="76"/>
      <c r="N247" s="76"/>
      <c r="O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P247" s="77"/>
      <c r="Q247" s="32"/>
      <c r="R247" s="32"/>
      <c r="S247" s="32"/>
      <c r="T247" s="32"/>
    </row>
    <row r="248" spans="3:20" x14ac:dyDescent="0.3">
      <c r="C248" s="11"/>
      <c r="D248" s="32"/>
      <c r="E248" s="11"/>
      <c r="K248" s="15"/>
      <c r="L248" s="47"/>
      <c r="M248" s="76"/>
      <c r="N248" s="76"/>
      <c r="O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P248" s="77"/>
      <c r="Q248" s="32"/>
      <c r="R248" s="32"/>
      <c r="S248" s="32"/>
      <c r="T248" s="32"/>
    </row>
    <row r="249" spans="3:20" x14ac:dyDescent="0.3">
      <c r="C249" s="11"/>
      <c r="D249" s="32"/>
      <c r="E249" s="11"/>
      <c r="K249" s="15"/>
      <c r="L249" s="47"/>
      <c r="M249" s="76"/>
      <c r="N249" s="76"/>
      <c r="O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P249" s="77"/>
      <c r="Q249" s="32"/>
      <c r="R249" s="32"/>
      <c r="S249" s="32"/>
      <c r="T249" s="32"/>
    </row>
    <row r="250" spans="3:20" x14ac:dyDescent="0.3">
      <c r="C250" s="11"/>
      <c r="D250" s="32"/>
      <c r="E250" s="11"/>
      <c r="K250" s="15"/>
      <c r="L250" s="47"/>
      <c r="M250" s="76"/>
      <c r="N250" s="76"/>
      <c r="O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P250" s="77"/>
      <c r="Q250" s="32"/>
      <c r="R250" s="32"/>
      <c r="S250" s="32"/>
      <c r="T250" s="32"/>
    </row>
    <row r="251" spans="3:20" x14ac:dyDescent="0.3">
      <c r="C251" s="11"/>
      <c r="D251" s="32"/>
      <c r="E251" s="11"/>
      <c r="K251" s="15"/>
      <c r="L251" s="47"/>
      <c r="M251" s="76"/>
      <c r="N251" s="76"/>
      <c r="O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P251" s="77"/>
      <c r="Q251" s="32"/>
      <c r="R251" s="32"/>
      <c r="S251" s="32"/>
      <c r="T251" s="32"/>
    </row>
    <row r="252" spans="3:20" x14ac:dyDescent="0.3">
      <c r="C252" s="11"/>
      <c r="D252" s="32"/>
      <c r="E252" s="11"/>
      <c r="K252" s="15"/>
      <c r="L252" s="47"/>
      <c r="M252" s="76"/>
      <c r="N252" s="76"/>
      <c r="O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P252" s="77"/>
      <c r="Q252" s="32"/>
      <c r="R252" s="32"/>
      <c r="S252" s="32"/>
      <c r="T252" s="32"/>
    </row>
    <row r="253" spans="3:20" x14ac:dyDescent="0.3">
      <c r="C253" s="11"/>
      <c r="D253" s="32"/>
      <c r="E253" s="11"/>
      <c r="K253" s="15"/>
      <c r="L253" s="47"/>
      <c r="M253" s="76"/>
      <c r="N253" s="76"/>
      <c r="O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P253" s="77"/>
      <c r="Q253" s="32"/>
      <c r="R253" s="32"/>
      <c r="S253" s="32"/>
      <c r="T253" s="32"/>
    </row>
    <row r="254" spans="3:20" x14ac:dyDescent="0.3">
      <c r="C254" s="11"/>
      <c r="D254" s="32"/>
      <c r="E254" s="11"/>
      <c r="K254" s="15"/>
      <c r="L254" s="47"/>
      <c r="M254" s="76"/>
      <c r="N254" s="76"/>
      <c r="O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P254" s="77"/>
      <c r="Q254" s="32"/>
      <c r="R254" s="32"/>
      <c r="S254" s="32"/>
      <c r="T254" s="32"/>
    </row>
    <row r="255" spans="3:20" x14ac:dyDescent="0.3">
      <c r="C255" s="11"/>
      <c r="D255" s="32"/>
      <c r="E255" s="11"/>
      <c r="K255" s="15"/>
      <c r="L255" s="47"/>
      <c r="M255" s="76"/>
      <c r="N255" s="76"/>
      <c r="O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P255" s="77"/>
      <c r="Q255" s="32"/>
      <c r="R255" s="32"/>
      <c r="S255" s="32"/>
      <c r="T255" s="32"/>
    </row>
    <row r="256" spans="3:20" x14ac:dyDescent="0.3">
      <c r="C256" s="11"/>
      <c r="D256" s="32"/>
      <c r="E256" s="11"/>
      <c r="K256" s="15"/>
      <c r="L256" s="47"/>
      <c r="M256" s="76"/>
      <c r="N256" s="76"/>
      <c r="O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P256" s="77"/>
      <c r="Q256" s="32"/>
      <c r="R256" s="32"/>
      <c r="S256" s="32"/>
      <c r="T256" s="32"/>
    </row>
    <row r="257" spans="3:20" x14ac:dyDescent="0.3">
      <c r="C257" s="11"/>
      <c r="D257" s="32"/>
      <c r="E257" s="11"/>
      <c r="K257" s="15"/>
      <c r="L257" s="47"/>
      <c r="M257" s="76"/>
      <c r="N257" s="76"/>
      <c r="O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P257" s="77"/>
      <c r="Q257" s="32"/>
      <c r="R257" s="32"/>
      <c r="S257" s="32"/>
      <c r="T257" s="32"/>
    </row>
    <row r="258" spans="3:20" x14ac:dyDescent="0.3">
      <c r="C258" s="11"/>
      <c r="D258" s="32"/>
      <c r="E258" s="11"/>
      <c r="K258" s="15"/>
      <c r="L258" s="47"/>
      <c r="M258" s="76"/>
      <c r="N258" s="76"/>
      <c r="O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P258" s="77"/>
      <c r="Q258" s="32"/>
      <c r="R258" s="32"/>
      <c r="S258" s="32"/>
      <c r="T258" s="32"/>
    </row>
    <row r="259" spans="3:20" x14ac:dyDescent="0.3">
      <c r="C259" s="11"/>
      <c r="D259" s="32"/>
      <c r="E259" s="11"/>
      <c r="K259" s="15"/>
      <c r="L259" s="47"/>
      <c r="M259" s="76"/>
      <c r="N259" s="76"/>
      <c r="O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P259" s="77"/>
      <c r="Q259" s="32"/>
      <c r="R259" s="32"/>
      <c r="S259" s="32"/>
      <c r="T259" s="32"/>
    </row>
    <row r="260" spans="3:20" x14ac:dyDescent="0.3">
      <c r="C260" s="11"/>
      <c r="D260" s="32"/>
      <c r="E260" s="11"/>
      <c r="K260" s="15"/>
      <c r="L260" s="47"/>
      <c r="M260" s="76"/>
      <c r="N260" s="76"/>
      <c r="O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P260" s="77"/>
      <c r="Q260" s="32"/>
      <c r="R260" s="32"/>
      <c r="S260" s="32"/>
      <c r="T260" s="32"/>
    </row>
    <row r="261" spans="3:20" x14ac:dyDescent="0.3">
      <c r="C261" s="11"/>
      <c r="D261" s="32"/>
      <c r="E261" s="11"/>
      <c r="K261" s="15"/>
      <c r="L261" s="47"/>
      <c r="M261" s="76"/>
      <c r="N261" s="76"/>
      <c r="O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P261" s="77"/>
      <c r="Q261" s="32"/>
      <c r="R261" s="32"/>
      <c r="S261" s="32"/>
      <c r="T261" s="32"/>
    </row>
    <row r="262" spans="3:20" x14ac:dyDescent="0.3">
      <c r="C262" s="11"/>
      <c r="D262" s="32"/>
      <c r="E262" s="11"/>
      <c r="K262" s="15"/>
      <c r="L262" s="47"/>
      <c r="M262" s="76"/>
      <c r="N262" s="76"/>
      <c r="O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P262" s="77"/>
      <c r="Q262" s="32"/>
      <c r="R262" s="32"/>
      <c r="S262" s="32"/>
      <c r="T262" s="32"/>
    </row>
    <row r="263" spans="3:20" x14ac:dyDescent="0.3">
      <c r="C263" s="11"/>
      <c r="D263" s="32"/>
      <c r="E263" s="11"/>
      <c r="K263" s="15"/>
      <c r="L263" s="47"/>
      <c r="M263" s="76"/>
      <c r="N263" s="76"/>
      <c r="O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P263" s="77"/>
      <c r="Q263" s="32"/>
      <c r="R263" s="32"/>
      <c r="S263" s="32"/>
      <c r="T263" s="32"/>
    </row>
    <row r="264" spans="3:20" x14ac:dyDescent="0.3">
      <c r="C264" s="11"/>
      <c r="D264" s="32"/>
      <c r="E264" s="11"/>
      <c r="K264" s="15"/>
      <c r="L264" s="47"/>
      <c r="M264" s="76"/>
      <c r="N264" s="76"/>
      <c r="O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P264" s="77"/>
      <c r="Q264" s="32"/>
      <c r="R264" s="32"/>
      <c r="S264" s="32"/>
      <c r="T264" s="32"/>
    </row>
    <row r="265" spans="3:20" x14ac:dyDescent="0.3">
      <c r="C265" s="11"/>
      <c r="D265" s="32"/>
      <c r="E265" s="11"/>
      <c r="K265" s="15"/>
      <c r="L265" s="47"/>
      <c r="M265" s="76"/>
      <c r="N265" s="76"/>
      <c r="O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P265" s="77"/>
      <c r="Q265" s="32"/>
      <c r="R265" s="32"/>
      <c r="S265" s="32"/>
      <c r="T265" s="32"/>
    </row>
    <row r="266" spans="3:20" x14ac:dyDescent="0.3">
      <c r="C266" s="11"/>
      <c r="D266" s="32"/>
      <c r="E266" s="11"/>
      <c r="K266" s="15"/>
      <c r="L266" s="47"/>
      <c r="M266" s="76"/>
      <c r="N266" s="76"/>
      <c r="O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P266" s="77"/>
      <c r="Q266" s="32"/>
      <c r="R266" s="32"/>
      <c r="S266" s="32"/>
      <c r="T266" s="32"/>
    </row>
    <row r="267" spans="3:20" x14ac:dyDescent="0.3">
      <c r="C267" s="11"/>
      <c r="D267" s="32"/>
      <c r="E267" s="11"/>
      <c r="K267" s="15"/>
      <c r="L267" s="47"/>
      <c r="M267" s="76"/>
      <c r="N267" s="76"/>
      <c r="O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P267" s="77"/>
      <c r="Q267" s="32"/>
      <c r="R267" s="32"/>
      <c r="S267" s="32"/>
      <c r="T267" s="32"/>
    </row>
    <row r="268" spans="3:20" x14ac:dyDescent="0.3">
      <c r="C268" s="11"/>
      <c r="D268" s="32"/>
      <c r="E268" s="11"/>
      <c r="K268" s="15"/>
      <c r="L268" s="47"/>
      <c r="M268" s="76"/>
      <c r="N268" s="76"/>
      <c r="O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P268" s="77"/>
      <c r="Q268" s="32"/>
      <c r="R268" s="32"/>
      <c r="S268" s="32"/>
      <c r="T268" s="32"/>
    </row>
    <row r="269" spans="3:20" x14ac:dyDescent="0.3">
      <c r="C269" s="11"/>
      <c r="D269" s="32"/>
      <c r="E269" s="11"/>
      <c r="K269" s="15"/>
      <c r="L269" s="47"/>
      <c r="M269" s="76"/>
      <c r="N269" s="76"/>
      <c r="O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P269" s="77"/>
      <c r="Q269" s="32"/>
      <c r="R269" s="32"/>
      <c r="S269" s="32"/>
      <c r="T269" s="32"/>
    </row>
    <row r="270" spans="3:20" x14ac:dyDescent="0.3">
      <c r="C270" s="11"/>
      <c r="D270" s="32"/>
      <c r="E270" s="11"/>
      <c r="K270" s="15"/>
      <c r="L270" s="47"/>
      <c r="M270" s="76"/>
      <c r="N270" s="76"/>
      <c r="O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P270" s="77"/>
      <c r="Q270" s="32"/>
      <c r="R270" s="32"/>
      <c r="S270" s="32"/>
      <c r="T270" s="32"/>
    </row>
    <row r="271" spans="3:20" x14ac:dyDescent="0.3">
      <c r="C271" s="11"/>
      <c r="D271" s="32"/>
      <c r="E271" s="11"/>
      <c r="K271" s="15"/>
      <c r="L271" s="47"/>
      <c r="M271" s="76"/>
      <c r="N271" s="76"/>
      <c r="O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P271" s="77"/>
      <c r="Q271" s="32"/>
      <c r="R271" s="32"/>
      <c r="S271" s="32"/>
      <c r="T271" s="32"/>
    </row>
    <row r="272" spans="3:20" x14ac:dyDescent="0.3">
      <c r="C272" s="11"/>
      <c r="D272" s="32"/>
      <c r="E272" s="11"/>
      <c r="K272" s="15"/>
      <c r="L272" s="47"/>
      <c r="M272" s="76"/>
      <c r="N272" s="76"/>
      <c r="O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P272" s="77"/>
      <c r="Q272" s="32"/>
      <c r="R272" s="32"/>
      <c r="S272" s="32"/>
      <c r="T272" s="32"/>
    </row>
    <row r="273" spans="3:20" x14ac:dyDescent="0.3">
      <c r="C273" s="11"/>
      <c r="D273" s="32"/>
      <c r="E273" s="11"/>
      <c r="K273" s="15"/>
      <c r="L273" s="47"/>
      <c r="M273" s="76"/>
      <c r="N273" s="76"/>
      <c r="O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P273" s="77"/>
      <c r="Q273" s="32"/>
      <c r="R273" s="32"/>
      <c r="S273" s="32"/>
      <c r="T273" s="32"/>
    </row>
    <row r="274" spans="3:20" x14ac:dyDescent="0.3">
      <c r="C274" s="11"/>
      <c r="D274" s="32"/>
      <c r="E274" s="11"/>
      <c r="K274" s="15"/>
      <c r="L274" s="47"/>
      <c r="M274" s="76"/>
      <c r="N274" s="76"/>
      <c r="O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P274" s="77"/>
      <c r="Q274" s="32"/>
      <c r="R274" s="32"/>
      <c r="S274" s="32"/>
      <c r="T274" s="32"/>
    </row>
    <row r="275" spans="3:20" x14ac:dyDescent="0.3">
      <c r="C275" s="11"/>
      <c r="D275" s="32"/>
      <c r="E275" s="11"/>
      <c r="K275" s="15"/>
      <c r="L275" s="47"/>
      <c r="M275" s="76"/>
      <c r="N275" s="76"/>
      <c r="O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P275" s="77"/>
      <c r="Q275" s="32"/>
      <c r="R275" s="32"/>
      <c r="S275" s="32"/>
      <c r="T275" s="32"/>
    </row>
    <row r="276" spans="3:20" x14ac:dyDescent="0.3">
      <c r="C276" s="11"/>
      <c r="D276" s="32"/>
      <c r="E276" s="11"/>
      <c r="K276" s="15"/>
      <c r="L276" s="47"/>
      <c r="M276" s="76"/>
      <c r="N276" s="76"/>
      <c r="O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P276" s="77"/>
      <c r="Q276" s="32"/>
      <c r="R276" s="32"/>
      <c r="S276" s="32"/>
      <c r="T276" s="32"/>
    </row>
    <row r="277" spans="3:20" x14ac:dyDescent="0.3">
      <c r="C277" s="11"/>
      <c r="D277" s="32"/>
      <c r="E277" s="11"/>
      <c r="K277" s="15"/>
      <c r="L277" s="47"/>
      <c r="M277" s="76"/>
      <c r="N277" s="76"/>
      <c r="O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P277" s="77"/>
      <c r="Q277" s="32"/>
      <c r="R277" s="32"/>
      <c r="S277" s="32"/>
      <c r="T277" s="32"/>
    </row>
    <row r="278" spans="3:20" x14ac:dyDescent="0.3">
      <c r="C278" s="11"/>
      <c r="D278" s="32"/>
      <c r="E278" s="11"/>
      <c r="K278" s="15"/>
      <c r="L278" s="47"/>
      <c r="M278" s="76"/>
      <c r="N278" s="76"/>
      <c r="O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P278" s="77"/>
      <c r="Q278" s="32"/>
      <c r="R278" s="32"/>
      <c r="S278" s="32"/>
      <c r="T278" s="32"/>
    </row>
    <row r="279" spans="3:20" x14ac:dyDescent="0.3">
      <c r="C279" s="11"/>
      <c r="D279" s="32"/>
      <c r="E279" s="11"/>
      <c r="K279" s="15"/>
      <c r="L279" s="47"/>
      <c r="M279" s="76"/>
      <c r="N279" s="76"/>
      <c r="O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P279" s="77"/>
      <c r="Q279" s="32"/>
      <c r="R279" s="32"/>
      <c r="S279" s="32"/>
      <c r="T279" s="32"/>
    </row>
    <row r="280" spans="3:20" x14ac:dyDescent="0.3">
      <c r="C280" s="11"/>
      <c r="D280" s="32"/>
      <c r="E280" s="11"/>
      <c r="K280" s="15"/>
      <c r="L280" s="47"/>
      <c r="M280" s="76"/>
      <c r="N280" s="76"/>
      <c r="O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P280" s="77"/>
      <c r="Q280" s="32"/>
      <c r="R280" s="32"/>
      <c r="S280" s="32"/>
      <c r="T280" s="32"/>
    </row>
    <row r="281" spans="3:20" x14ac:dyDescent="0.3">
      <c r="C281" s="11"/>
      <c r="D281" s="32"/>
      <c r="E281" s="11"/>
      <c r="K281" s="15"/>
      <c r="L281" s="47"/>
      <c r="M281" s="76"/>
      <c r="N281" s="76"/>
      <c r="O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P281" s="77"/>
      <c r="Q281" s="32"/>
      <c r="R281" s="32"/>
      <c r="S281" s="32"/>
      <c r="T281" s="32"/>
    </row>
    <row r="282" spans="3:20" x14ac:dyDescent="0.3">
      <c r="C282" s="11"/>
      <c r="D282" s="32"/>
      <c r="E282" s="11"/>
      <c r="K282" s="15"/>
      <c r="L282" s="47"/>
      <c r="M282" s="76"/>
      <c r="N282" s="76"/>
      <c r="O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P282" s="77"/>
      <c r="Q282" s="32"/>
      <c r="R282" s="32"/>
      <c r="S282" s="32"/>
      <c r="T282" s="32"/>
    </row>
    <row r="283" spans="3:20" x14ac:dyDescent="0.3">
      <c r="C283" s="11"/>
      <c r="D283" s="32"/>
      <c r="E283" s="11"/>
      <c r="K283" s="15"/>
      <c r="L283" s="47"/>
      <c r="M283" s="76"/>
      <c r="N283" s="76"/>
      <c r="O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P283" s="77"/>
      <c r="Q283" s="32"/>
      <c r="R283" s="32"/>
      <c r="S283" s="32"/>
      <c r="T283" s="32"/>
    </row>
    <row r="284" spans="3:20" x14ac:dyDescent="0.3">
      <c r="C284" s="11"/>
      <c r="D284" s="32"/>
      <c r="E284" s="11"/>
      <c r="K284" s="15"/>
      <c r="L284" s="47"/>
      <c r="M284" s="76"/>
      <c r="N284" s="76"/>
      <c r="O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P284" s="77"/>
      <c r="Q284" s="32"/>
      <c r="R284" s="32"/>
      <c r="S284" s="32"/>
      <c r="T284" s="32"/>
    </row>
    <row r="285" spans="3:20" x14ac:dyDescent="0.3">
      <c r="C285" s="11"/>
      <c r="D285" s="32"/>
      <c r="E285" s="11"/>
      <c r="K285" s="15"/>
      <c r="L285" s="47"/>
      <c r="M285" s="76"/>
      <c r="N285" s="76"/>
      <c r="O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P285" s="77"/>
      <c r="Q285" s="32"/>
      <c r="R285" s="32"/>
      <c r="S285" s="32"/>
      <c r="T285" s="32"/>
    </row>
    <row r="286" spans="3:20" x14ac:dyDescent="0.3">
      <c r="C286" s="11"/>
      <c r="D286" s="32"/>
      <c r="E286" s="11"/>
      <c r="K286" s="15"/>
      <c r="L286" s="47"/>
      <c r="M286" s="76"/>
      <c r="N286" s="76"/>
      <c r="O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P286" s="77"/>
      <c r="Q286" s="32"/>
      <c r="R286" s="32"/>
      <c r="S286" s="32"/>
      <c r="T286" s="32"/>
    </row>
    <row r="287" spans="3:20" x14ac:dyDescent="0.3">
      <c r="C287" s="11"/>
      <c r="D287" s="32"/>
      <c r="E287" s="11"/>
      <c r="K287" s="15"/>
      <c r="L287" s="47"/>
      <c r="M287" s="76"/>
      <c r="N287" s="76"/>
      <c r="O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P287" s="77"/>
      <c r="Q287" s="32"/>
      <c r="R287" s="32"/>
      <c r="S287" s="32"/>
      <c r="T287" s="32"/>
    </row>
    <row r="288" spans="3:20" x14ac:dyDescent="0.3">
      <c r="C288" s="11"/>
      <c r="D288" s="32"/>
      <c r="E288" s="11"/>
      <c r="K288" s="15"/>
      <c r="L288" s="47"/>
      <c r="M288" s="76"/>
      <c r="N288" s="76"/>
      <c r="O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P288" s="77"/>
      <c r="Q288" s="32"/>
      <c r="R288" s="32"/>
      <c r="S288" s="32"/>
      <c r="T288" s="32"/>
    </row>
    <row r="289" spans="3:20" x14ac:dyDescent="0.3">
      <c r="C289" s="11"/>
      <c r="D289" s="32"/>
      <c r="E289" s="11"/>
      <c r="K289" s="15"/>
      <c r="L289" s="47"/>
      <c r="M289" s="76"/>
      <c r="N289" s="76"/>
      <c r="O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P289" s="77"/>
      <c r="Q289" s="32"/>
      <c r="R289" s="32"/>
      <c r="S289" s="32"/>
      <c r="T289" s="32"/>
    </row>
    <row r="290" spans="3:20" x14ac:dyDescent="0.3">
      <c r="C290" s="11"/>
      <c r="D290" s="32"/>
      <c r="E290" s="11"/>
      <c r="K290" s="15"/>
      <c r="L290" s="47"/>
      <c r="M290" s="76"/>
      <c r="N290" s="76"/>
      <c r="O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P290" s="77"/>
      <c r="Q290" s="32"/>
      <c r="R290" s="32"/>
      <c r="S290" s="32"/>
      <c r="T290" s="32"/>
    </row>
    <row r="291" spans="3:20" x14ac:dyDescent="0.3">
      <c r="C291" s="11"/>
      <c r="D291" s="32"/>
      <c r="E291" s="11"/>
      <c r="K291" s="15"/>
      <c r="L291" s="47"/>
      <c r="M291" s="76"/>
      <c r="N291" s="76"/>
      <c r="O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P291" s="77"/>
      <c r="Q291" s="32"/>
      <c r="R291" s="32"/>
      <c r="S291" s="32"/>
      <c r="T291" s="32"/>
    </row>
    <row r="292" spans="3:20" x14ac:dyDescent="0.3">
      <c r="C292" s="11"/>
      <c r="D292" s="32"/>
      <c r="E292" s="11"/>
      <c r="K292" s="15"/>
      <c r="L292" s="47"/>
      <c r="M292" s="76"/>
      <c r="N292" s="76"/>
      <c r="O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P292" s="77"/>
      <c r="Q292" s="32"/>
      <c r="R292" s="32"/>
      <c r="S292" s="32"/>
      <c r="T292" s="32"/>
    </row>
    <row r="293" spans="3:20" x14ac:dyDescent="0.3">
      <c r="C293" s="11"/>
      <c r="D293" s="32"/>
      <c r="E293" s="11"/>
      <c r="K293" s="15"/>
      <c r="L293" s="47"/>
      <c r="M293" s="76"/>
      <c r="N293" s="76"/>
      <c r="O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P293" s="77"/>
      <c r="Q293" s="32"/>
      <c r="R293" s="32"/>
      <c r="S293" s="32"/>
      <c r="T293" s="32"/>
    </row>
    <row r="294" spans="3:20" x14ac:dyDescent="0.3">
      <c r="C294" s="11"/>
      <c r="D294" s="32"/>
      <c r="E294" s="11"/>
      <c r="K294" s="15"/>
      <c r="L294" s="47"/>
      <c r="M294" s="76"/>
      <c r="N294" s="76"/>
      <c r="O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P294" s="77"/>
      <c r="Q294" s="32"/>
      <c r="R294" s="32"/>
      <c r="S294" s="32"/>
      <c r="T294" s="32"/>
    </row>
    <row r="295" spans="3:20" x14ac:dyDescent="0.3">
      <c r="C295" s="11"/>
      <c r="D295" s="32"/>
      <c r="E295" s="11"/>
      <c r="K295" s="15"/>
      <c r="L295" s="47"/>
      <c r="M295" s="76"/>
      <c r="N295" s="76"/>
      <c r="O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P295" s="77"/>
      <c r="Q295" s="32"/>
      <c r="R295" s="32"/>
      <c r="S295" s="32"/>
      <c r="T295" s="32"/>
    </row>
    <row r="296" spans="3:20" x14ac:dyDescent="0.3">
      <c r="C296" s="11"/>
      <c r="D296" s="32"/>
      <c r="E296" s="11"/>
      <c r="K296" s="15"/>
      <c r="L296" s="47"/>
      <c r="M296" s="76"/>
      <c r="N296" s="76"/>
      <c r="O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P296" s="77"/>
      <c r="Q296" s="32"/>
      <c r="R296" s="32"/>
      <c r="S296" s="32"/>
      <c r="T296" s="32"/>
    </row>
    <row r="297" spans="3:20" x14ac:dyDescent="0.3">
      <c r="C297" s="11"/>
      <c r="D297" s="32"/>
      <c r="E297" s="11"/>
      <c r="K297" s="15"/>
      <c r="L297" s="47"/>
      <c r="M297" s="76"/>
      <c r="N297" s="76"/>
      <c r="O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P297" s="77"/>
      <c r="Q297" s="32"/>
      <c r="R297" s="32"/>
      <c r="S297" s="32"/>
      <c r="T297" s="32"/>
    </row>
    <row r="298" spans="3:20" x14ac:dyDescent="0.3">
      <c r="C298" s="11"/>
      <c r="D298" s="32"/>
      <c r="E298" s="11"/>
      <c r="K298" s="15"/>
      <c r="L298" s="47"/>
      <c r="M298" s="76"/>
      <c r="N298" s="76"/>
      <c r="O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P298" s="77"/>
      <c r="Q298" s="32"/>
      <c r="R298" s="32"/>
      <c r="S298" s="32"/>
      <c r="T298" s="32"/>
    </row>
    <row r="299" spans="3:20" x14ac:dyDescent="0.3">
      <c r="C299" s="11"/>
      <c r="D299" s="32"/>
      <c r="E299" s="11"/>
      <c r="K299" s="15"/>
      <c r="L299" s="47"/>
      <c r="M299" s="76"/>
      <c r="N299" s="76"/>
      <c r="O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P299" s="77"/>
      <c r="Q299" s="32"/>
      <c r="R299" s="32"/>
      <c r="S299" s="32"/>
      <c r="T299" s="32"/>
    </row>
    <row r="300" spans="3:20" x14ac:dyDescent="0.3">
      <c r="C300" s="11"/>
      <c r="D300" s="32"/>
      <c r="E300" s="11"/>
      <c r="K300" s="15"/>
      <c r="L300" s="47"/>
      <c r="M300" s="76"/>
      <c r="N300" s="76"/>
      <c r="O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P300" s="77"/>
      <c r="Q300" s="32"/>
      <c r="R300" s="32"/>
      <c r="S300" s="32"/>
      <c r="T300" s="32"/>
    </row>
    <row r="301" spans="3:20" x14ac:dyDescent="0.3">
      <c r="C301" s="11"/>
      <c r="D301" s="32"/>
      <c r="E301" s="11"/>
      <c r="K301" s="15"/>
      <c r="L301" s="47"/>
      <c r="M301" s="76"/>
      <c r="N301" s="76"/>
      <c r="O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P301" s="77"/>
      <c r="Q301" s="32"/>
      <c r="R301" s="32"/>
      <c r="S301" s="32"/>
      <c r="T301" s="32"/>
    </row>
    <row r="302" spans="3:20" x14ac:dyDescent="0.3">
      <c r="C302" s="11"/>
      <c r="D302" s="32"/>
      <c r="E302" s="11"/>
      <c r="K302" s="15"/>
      <c r="L302" s="47"/>
      <c r="M302" s="76"/>
      <c r="N302" s="76"/>
      <c r="O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P302" s="77"/>
      <c r="Q302" s="32"/>
      <c r="R302" s="32"/>
      <c r="S302" s="32"/>
      <c r="T302" s="32"/>
    </row>
    <row r="303" spans="3:20" x14ac:dyDescent="0.3">
      <c r="C303" s="11"/>
      <c r="D303" s="32"/>
      <c r="E303" s="11"/>
      <c r="K303" s="15"/>
      <c r="L303" s="47"/>
      <c r="M303" s="76"/>
      <c r="N303" s="76"/>
      <c r="O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P303" s="77"/>
      <c r="Q303" s="32"/>
      <c r="R303" s="32"/>
      <c r="S303" s="32"/>
      <c r="T303" s="32"/>
    </row>
    <row r="304" spans="3:20" x14ac:dyDescent="0.3">
      <c r="C304" s="11"/>
      <c r="D304" s="32"/>
      <c r="E304" s="11"/>
      <c r="K304" s="15"/>
      <c r="L304" s="47"/>
      <c r="M304" s="76"/>
      <c r="N304" s="76"/>
      <c r="O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P304" s="77"/>
      <c r="Q304" s="32"/>
      <c r="R304" s="32"/>
      <c r="S304" s="32"/>
      <c r="T304" s="32"/>
    </row>
    <row r="305" spans="3:20" x14ac:dyDescent="0.3">
      <c r="C305" s="11"/>
      <c r="D305" s="32"/>
      <c r="E305" s="11"/>
      <c r="K305" s="15"/>
      <c r="L305" s="47"/>
      <c r="M305" s="76"/>
      <c r="N305" s="76"/>
      <c r="O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P305" s="77"/>
      <c r="Q305" s="32"/>
      <c r="R305" s="32"/>
      <c r="S305" s="32"/>
      <c r="T305" s="32"/>
    </row>
    <row r="306" spans="3:20" x14ac:dyDescent="0.3">
      <c r="C306" s="11"/>
      <c r="D306" s="32"/>
      <c r="E306" s="11"/>
      <c r="K306" s="15"/>
      <c r="L306" s="47"/>
      <c r="M306" s="76"/>
      <c r="N306" s="76"/>
      <c r="O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P306" s="77"/>
      <c r="Q306" s="32"/>
      <c r="R306" s="32"/>
      <c r="S306" s="32"/>
      <c r="T306" s="32"/>
    </row>
    <row r="307" spans="3:20" x14ac:dyDescent="0.3">
      <c r="C307" s="11"/>
      <c r="D307" s="32"/>
      <c r="E307" s="11"/>
      <c r="K307" s="15"/>
      <c r="L307" s="47"/>
      <c r="M307" s="76"/>
      <c r="N307" s="76"/>
      <c r="O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P307" s="77"/>
      <c r="Q307" s="32"/>
      <c r="R307" s="32"/>
      <c r="S307" s="32"/>
      <c r="T307" s="32"/>
    </row>
    <row r="308" spans="3:20" x14ac:dyDescent="0.3">
      <c r="C308" s="11"/>
      <c r="D308" s="32"/>
      <c r="E308" s="11"/>
      <c r="K308" s="15"/>
      <c r="L308" s="47"/>
      <c r="M308" s="76"/>
      <c r="N308" s="76"/>
      <c r="O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P308" s="77"/>
      <c r="Q308" s="32"/>
      <c r="R308" s="32"/>
      <c r="S308" s="32"/>
      <c r="T308" s="32"/>
    </row>
    <row r="309" spans="3:20" x14ac:dyDescent="0.3">
      <c r="C309" s="11"/>
      <c r="D309" s="32"/>
      <c r="E309" s="11"/>
      <c r="K309" s="15"/>
      <c r="L309" s="47"/>
      <c r="M309" s="76"/>
      <c r="N309" s="76"/>
      <c r="O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P309" s="77"/>
      <c r="Q309" s="32"/>
      <c r="R309" s="32"/>
      <c r="S309" s="32"/>
      <c r="T309" s="32"/>
    </row>
    <row r="310" spans="3:20" x14ac:dyDescent="0.3">
      <c r="C310" s="11"/>
      <c r="D310" s="32"/>
      <c r="E310" s="11"/>
      <c r="K310" s="15"/>
      <c r="L310" s="47"/>
      <c r="M310" s="76"/>
      <c r="N310" s="76"/>
      <c r="O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P310" s="77"/>
      <c r="Q310" s="32"/>
      <c r="R310" s="32"/>
      <c r="S310" s="32"/>
      <c r="T310" s="32"/>
    </row>
    <row r="311" spans="3:20" x14ac:dyDescent="0.3">
      <c r="C311" s="11"/>
      <c r="D311" s="32"/>
      <c r="E311" s="11"/>
      <c r="K311" s="15"/>
      <c r="L311" s="47"/>
      <c r="M311" s="76"/>
      <c r="N311" s="76"/>
      <c r="O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P311" s="77"/>
      <c r="Q311" s="32"/>
      <c r="R311" s="32"/>
      <c r="S311" s="32"/>
      <c r="T311" s="32"/>
    </row>
    <row r="312" spans="3:20" x14ac:dyDescent="0.3">
      <c r="C312" s="11"/>
      <c r="D312" s="32"/>
      <c r="E312" s="11"/>
      <c r="K312" s="15"/>
      <c r="L312" s="47"/>
      <c r="M312" s="76"/>
      <c r="N312" s="76"/>
      <c r="O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P312" s="77"/>
      <c r="Q312" s="32"/>
      <c r="R312" s="32"/>
      <c r="S312" s="32"/>
      <c r="T312" s="32"/>
    </row>
    <row r="313" spans="3:20" x14ac:dyDescent="0.3">
      <c r="C313" s="11"/>
      <c r="D313" s="32"/>
      <c r="E313" s="11"/>
      <c r="K313" s="15"/>
      <c r="L313" s="47"/>
      <c r="M313" s="76"/>
      <c r="N313" s="76"/>
      <c r="O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P313" s="77"/>
      <c r="Q313" s="32"/>
      <c r="R313" s="32"/>
      <c r="S313" s="32"/>
      <c r="T313" s="32"/>
    </row>
    <row r="314" spans="3:20" x14ac:dyDescent="0.3">
      <c r="C314" s="11"/>
      <c r="D314" s="32"/>
      <c r="E314" s="11"/>
      <c r="K314" s="15"/>
      <c r="L314" s="47"/>
      <c r="M314" s="76"/>
      <c r="N314" s="76"/>
      <c r="O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P314" s="77"/>
      <c r="Q314" s="32"/>
      <c r="R314" s="32"/>
      <c r="S314" s="32"/>
      <c r="T314" s="32"/>
    </row>
    <row r="315" spans="3:20" x14ac:dyDescent="0.3">
      <c r="C315" s="11"/>
      <c r="D315" s="32"/>
      <c r="E315" s="11"/>
      <c r="K315" s="15"/>
      <c r="L315" s="47"/>
      <c r="M315" s="76"/>
      <c r="N315" s="76"/>
      <c r="O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P315" s="77"/>
      <c r="Q315" s="32"/>
      <c r="R315" s="32"/>
      <c r="S315" s="32"/>
      <c r="T315" s="32"/>
    </row>
    <row r="316" spans="3:20" x14ac:dyDescent="0.3">
      <c r="C316" s="11"/>
      <c r="D316" s="32"/>
      <c r="E316" s="11"/>
      <c r="K316" s="15"/>
      <c r="L316" s="47"/>
      <c r="M316" s="76"/>
      <c r="N316" s="76"/>
      <c r="O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P316" s="77"/>
      <c r="Q316" s="32"/>
      <c r="R316" s="32"/>
      <c r="S316" s="32"/>
      <c r="T316" s="32"/>
    </row>
    <row r="317" spans="3:20" x14ac:dyDescent="0.3">
      <c r="C317" s="11"/>
      <c r="D317" s="32"/>
      <c r="E317" s="11"/>
      <c r="K317" s="15"/>
      <c r="L317" s="47"/>
      <c r="M317" s="76"/>
      <c r="N317" s="76"/>
      <c r="O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P317" s="77"/>
      <c r="Q317" s="32"/>
      <c r="R317" s="32"/>
      <c r="S317" s="32"/>
      <c r="T317" s="32"/>
    </row>
    <row r="318" spans="3:20" x14ac:dyDescent="0.3">
      <c r="C318" s="11"/>
      <c r="D318" s="32"/>
      <c r="E318" s="11"/>
      <c r="K318" s="15"/>
      <c r="L318" s="47"/>
      <c r="M318" s="76"/>
      <c r="N318" s="76"/>
      <c r="O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P318" s="77"/>
      <c r="Q318" s="32"/>
      <c r="R318" s="32"/>
      <c r="S318" s="32"/>
      <c r="T318" s="32"/>
    </row>
    <row r="319" spans="3:20" x14ac:dyDescent="0.3">
      <c r="C319" s="11"/>
      <c r="D319" s="32"/>
      <c r="E319" s="11"/>
      <c r="K319" s="15"/>
      <c r="L319" s="47"/>
      <c r="M319" s="76"/>
      <c r="N319" s="76"/>
      <c r="O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P319" s="77"/>
      <c r="Q319" s="32"/>
      <c r="R319" s="32"/>
      <c r="S319" s="32"/>
      <c r="T319" s="32"/>
    </row>
    <row r="320" spans="3:20" x14ac:dyDescent="0.3">
      <c r="C320" s="11"/>
      <c r="D320" s="32"/>
      <c r="E320" s="11"/>
      <c r="K320" s="15"/>
      <c r="L320" s="47"/>
      <c r="M320" s="76"/>
      <c r="N320" s="76"/>
      <c r="O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P320" s="77"/>
      <c r="Q320" s="32"/>
      <c r="R320" s="32"/>
      <c r="S320" s="32"/>
      <c r="T320" s="32"/>
    </row>
    <row r="321" spans="3:20" x14ac:dyDescent="0.3">
      <c r="C321" s="11"/>
      <c r="D321" s="32"/>
      <c r="E321" s="11"/>
      <c r="K321" s="15"/>
      <c r="L321" s="47"/>
      <c r="M321" s="76"/>
      <c r="N321" s="76"/>
      <c r="O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P321" s="77"/>
      <c r="Q321" s="32"/>
      <c r="R321" s="32"/>
      <c r="S321" s="32"/>
      <c r="T321" s="32"/>
    </row>
    <row r="322" spans="3:20" x14ac:dyDescent="0.3">
      <c r="C322" s="11"/>
      <c r="D322" s="32"/>
      <c r="E322" s="11"/>
      <c r="K322" s="15"/>
      <c r="L322" s="47"/>
      <c r="M322" s="76"/>
      <c r="N322" s="76"/>
      <c r="O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P322" s="77"/>
      <c r="Q322" s="32"/>
      <c r="R322" s="32"/>
      <c r="S322" s="32"/>
      <c r="T322" s="32"/>
    </row>
    <row r="323" spans="3:20" x14ac:dyDescent="0.3">
      <c r="C323" s="11"/>
      <c r="D323" s="32"/>
      <c r="E323" s="11"/>
      <c r="K323" s="15"/>
      <c r="L323" s="47"/>
      <c r="M323" s="76"/>
      <c r="N323" s="76"/>
      <c r="O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P323" s="77"/>
      <c r="Q323" s="32"/>
      <c r="R323" s="32"/>
      <c r="S323" s="32"/>
      <c r="T323" s="32"/>
    </row>
    <row r="324" spans="3:20" x14ac:dyDescent="0.3">
      <c r="C324" s="11"/>
      <c r="D324" s="32"/>
      <c r="E324" s="11"/>
      <c r="K324" s="15"/>
      <c r="L324" s="47"/>
      <c r="M324" s="76"/>
      <c r="N324" s="76"/>
      <c r="O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P324" s="77"/>
      <c r="Q324" s="32"/>
      <c r="R324" s="32"/>
      <c r="S324" s="32"/>
      <c r="T324" s="32"/>
    </row>
    <row r="325" spans="3:20" x14ac:dyDescent="0.3">
      <c r="C325" s="11"/>
      <c r="D325" s="32"/>
      <c r="E325" s="11"/>
      <c r="K325" s="15"/>
      <c r="L325" s="47"/>
      <c r="M325" s="76"/>
      <c r="N325" s="76"/>
      <c r="O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P325" s="77"/>
      <c r="Q325" s="32"/>
      <c r="R325" s="32"/>
      <c r="S325" s="32"/>
      <c r="T325" s="32"/>
    </row>
    <row r="326" spans="3:20" x14ac:dyDescent="0.3">
      <c r="C326" s="11"/>
      <c r="D326" s="32"/>
      <c r="E326" s="11"/>
      <c r="K326" s="15"/>
      <c r="L326" s="47"/>
      <c r="M326" s="76"/>
      <c r="N326" s="76"/>
      <c r="O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P326" s="77"/>
      <c r="Q326" s="32"/>
      <c r="R326" s="32"/>
      <c r="S326" s="32"/>
      <c r="T326" s="32"/>
    </row>
    <row r="327" spans="3:20" x14ac:dyDescent="0.3">
      <c r="C327" s="11"/>
      <c r="D327" s="32"/>
      <c r="E327" s="11"/>
      <c r="K327" s="15"/>
      <c r="L327" s="47"/>
      <c r="M327" s="76"/>
      <c r="N327" s="76"/>
      <c r="O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P327" s="77"/>
      <c r="Q327" s="32"/>
      <c r="R327" s="32"/>
      <c r="S327" s="32"/>
      <c r="T327" s="32"/>
    </row>
    <row r="328" spans="3:20" x14ac:dyDescent="0.3">
      <c r="C328" s="11"/>
      <c r="D328" s="32"/>
      <c r="E328" s="11"/>
      <c r="K328" s="15"/>
      <c r="L328" s="47"/>
      <c r="M328" s="76"/>
      <c r="N328" s="76"/>
      <c r="O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P328" s="77"/>
      <c r="Q328" s="32"/>
      <c r="R328" s="32"/>
      <c r="S328" s="32"/>
      <c r="T328" s="32"/>
    </row>
    <row r="329" spans="3:20" x14ac:dyDescent="0.3">
      <c r="C329" s="11"/>
      <c r="D329" s="32"/>
      <c r="E329" s="11"/>
      <c r="K329" s="15"/>
      <c r="L329" s="47"/>
      <c r="M329" s="76"/>
      <c r="N329" s="76"/>
      <c r="O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P329" s="77"/>
      <c r="Q329" s="32"/>
      <c r="R329" s="32"/>
      <c r="S329" s="32"/>
      <c r="T329" s="32"/>
    </row>
    <row r="330" spans="3:20" x14ac:dyDescent="0.3">
      <c r="C330" s="11"/>
      <c r="D330" s="32"/>
      <c r="E330" s="11"/>
      <c r="K330" s="15"/>
      <c r="L330" s="47"/>
      <c r="M330" s="76"/>
      <c r="N330" s="76"/>
      <c r="O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P330" s="77"/>
      <c r="Q330" s="32"/>
      <c r="R330" s="32"/>
      <c r="S330" s="32"/>
      <c r="T330" s="32"/>
    </row>
    <row r="331" spans="3:20" x14ac:dyDescent="0.3">
      <c r="C331" s="11"/>
      <c r="D331" s="32"/>
      <c r="E331" s="11"/>
      <c r="K331" s="15"/>
      <c r="L331" s="47"/>
      <c r="M331" s="76"/>
      <c r="N331" s="76"/>
      <c r="O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P331" s="77"/>
      <c r="Q331" s="32"/>
      <c r="R331" s="32"/>
      <c r="S331" s="32"/>
      <c r="T331" s="32"/>
    </row>
    <row r="332" spans="3:20" x14ac:dyDescent="0.3">
      <c r="C332" s="11"/>
      <c r="D332" s="32"/>
      <c r="E332" s="11"/>
      <c r="K332" s="15"/>
      <c r="L332" s="47"/>
      <c r="M332" s="76"/>
      <c r="N332" s="76"/>
      <c r="O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P332" s="77"/>
      <c r="Q332" s="32"/>
      <c r="R332" s="32"/>
      <c r="S332" s="32"/>
      <c r="T332" s="32"/>
    </row>
    <row r="333" spans="3:20" x14ac:dyDescent="0.3">
      <c r="C333" s="11"/>
      <c r="D333" s="32"/>
      <c r="E333" s="11"/>
      <c r="K333" s="15"/>
      <c r="L333" s="47"/>
      <c r="M333" s="76"/>
      <c r="N333" s="76"/>
      <c r="O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P333" s="77"/>
      <c r="Q333" s="32"/>
      <c r="R333" s="32"/>
      <c r="S333" s="32"/>
      <c r="T333" s="32"/>
    </row>
    <row r="334" spans="3:20" x14ac:dyDescent="0.3">
      <c r="C334" s="11"/>
      <c r="D334" s="32"/>
      <c r="E334" s="11"/>
      <c r="K334" s="15"/>
      <c r="L334" s="47"/>
      <c r="M334" s="76"/>
      <c r="N334" s="76"/>
      <c r="O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P334" s="77"/>
      <c r="Q334" s="32"/>
      <c r="R334" s="32"/>
      <c r="S334" s="32"/>
      <c r="T334" s="32"/>
    </row>
    <row r="335" spans="3:20" x14ac:dyDescent="0.3">
      <c r="C335" s="11"/>
      <c r="D335" s="32"/>
      <c r="E335" s="11"/>
      <c r="K335" s="15"/>
      <c r="L335" s="47"/>
      <c r="M335" s="76"/>
      <c r="N335" s="76"/>
      <c r="O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P335" s="77"/>
      <c r="Q335" s="32"/>
      <c r="R335" s="32"/>
      <c r="S335" s="32"/>
      <c r="T335" s="32"/>
    </row>
    <row r="336" spans="3:20" x14ac:dyDescent="0.3">
      <c r="C336" s="11"/>
      <c r="D336" s="32"/>
      <c r="E336" s="11"/>
      <c r="K336" s="15"/>
      <c r="L336" s="47"/>
      <c r="M336" s="76"/>
      <c r="N336" s="76"/>
      <c r="O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P336" s="77"/>
      <c r="Q336" s="32"/>
      <c r="R336" s="32"/>
      <c r="S336" s="32"/>
      <c r="T336" s="32"/>
    </row>
    <row r="337" spans="3:20" x14ac:dyDescent="0.3">
      <c r="C337" s="11"/>
      <c r="D337" s="32"/>
      <c r="E337" s="11"/>
      <c r="K337" s="15"/>
      <c r="L337" s="47"/>
      <c r="M337" s="76"/>
      <c r="N337" s="76"/>
      <c r="O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P337" s="77"/>
      <c r="Q337" s="32"/>
      <c r="R337" s="32"/>
      <c r="S337" s="32"/>
      <c r="T337" s="32"/>
    </row>
    <row r="338" spans="3:20" x14ac:dyDescent="0.3">
      <c r="C338" s="11"/>
      <c r="D338" s="32"/>
      <c r="E338" s="11"/>
      <c r="K338" s="15"/>
      <c r="L338" s="47"/>
      <c r="M338" s="76"/>
      <c r="N338" s="76"/>
      <c r="O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P338" s="77"/>
      <c r="Q338" s="32"/>
      <c r="R338" s="32"/>
      <c r="S338" s="32"/>
      <c r="T338" s="32"/>
    </row>
    <row r="339" spans="3:20" x14ac:dyDescent="0.3">
      <c r="C339" s="11"/>
      <c r="D339" s="32"/>
      <c r="E339" s="11"/>
      <c r="K339" s="15"/>
      <c r="L339" s="47"/>
      <c r="M339" s="76"/>
      <c r="N339" s="76"/>
      <c r="O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P339" s="77"/>
      <c r="Q339" s="32"/>
      <c r="R339" s="32"/>
      <c r="S339" s="32"/>
      <c r="T339" s="32"/>
    </row>
    <row r="340" spans="3:20" x14ac:dyDescent="0.3">
      <c r="C340" s="11"/>
      <c r="D340" s="32"/>
      <c r="E340" s="11"/>
      <c r="K340" s="15"/>
      <c r="L340" s="47"/>
      <c r="M340" s="76"/>
      <c r="N340" s="76"/>
      <c r="O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P340" s="77"/>
      <c r="Q340" s="32"/>
      <c r="R340" s="32"/>
      <c r="S340" s="32"/>
      <c r="T340" s="32"/>
    </row>
    <row r="341" spans="3:20" x14ac:dyDescent="0.3">
      <c r="C341" s="11"/>
      <c r="D341" s="32"/>
      <c r="E341" s="11"/>
      <c r="K341" s="15"/>
      <c r="L341" s="47"/>
      <c r="M341" s="76"/>
      <c r="N341" s="76"/>
      <c r="O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P341" s="77"/>
      <c r="Q341" s="32"/>
      <c r="R341" s="32"/>
      <c r="S341" s="32"/>
      <c r="T341" s="32"/>
    </row>
    <row r="342" spans="3:20" x14ac:dyDescent="0.3">
      <c r="C342" s="11"/>
      <c r="D342" s="32"/>
      <c r="E342" s="11"/>
      <c r="K342" s="15"/>
      <c r="L342" s="47"/>
      <c r="M342" s="76"/>
      <c r="N342" s="76"/>
      <c r="O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P342" s="77"/>
      <c r="Q342" s="32"/>
      <c r="R342" s="32"/>
      <c r="S342" s="32"/>
      <c r="T342" s="32"/>
    </row>
    <row r="343" spans="3:20" x14ac:dyDescent="0.3">
      <c r="C343" s="11"/>
      <c r="D343" s="32"/>
      <c r="E343" s="11"/>
      <c r="K343" s="15"/>
      <c r="L343" s="47"/>
      <c r="M343" s="76"/>
      <c r="N343" s="76"/>
      <c r="O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P343" s="77"/>
      <c r="Q343" s="32"/>
      <c r="R343" s="32"/>
      <c r="S343" s="32"/>
      <c r="T343" s="32"/>
    </row>
    <row r="344" spans="3:20" x14ac:dyDescent="0.3">
      <c r="C344" s="11"/>
      <c r="D344" s="32"/>
      <c r="E344" s="11"/>
      <c r="K344" s="15"/>
      <c r="L344" s="47"/>
      <c r="M344" s="76"/>
      <c r="N344" s="76"/>
      <c r="O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P344" s="77"/>
      <c r="Q344" s="32"/>
      <c r="R344" s="32"/>
      <c r="S344" s="32"/>
      <c r="T344" s="32"/>
    </row>
    <row r="345" spans="3:20" x14ac:dyDescent="0.3">
      <c r="C345" s="11"/>
      <c r="D345" s="32"/>
      <c r="E345" s="11"/>
      <c r="K345" s="15"/>
      <c r="L345" s="47"/>
      <c r="M345" s="76"/>
      <c r="N345" s="76"/>
      <c r="O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P345" s="77"/>
      <c r="Q345" s="32"/>
      <c r="R345" s="32"/>
      <c r="S345" s="32"/>
      <c r="T345" s="32"/>
    </row>
    <row r="346" spans="3:20" x14ac:dyDescent="0.3">
      <c r="C346" s="11"/>
      <c r="D346" s="32"/>
      <c r="E346" s="11"/>
      <c r="K346" s="15"/>
      <c r="L346" s="47"/>
      <c r="M346" s="76"/>
      <c r="N346" s="76"/>
      <c r="O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P346" s="77"/>
      <c r="Q346" s="32"/>
      <c r="R346" s="32"/>
      <c r="S346" s="32"/>
      <c r="T346" s="32"/>
    </row>
    <row r="347" spans="3:20" x14ac:dyDescent="0.3">
      <c r="C347" s="11"/>
      <c r="D347" s="32"/>
      <c r="E347" s="11"/>
      <c r="K347" s="15"/>
      <c r="L347" s="47"/>
      <c r="M347" s="76"/>
      <c r="N347" s="76"/>
      <c r="O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P347" s="77"/>
      <c r="Q347" s="32"/>
      <c r="R347" s="32"/>
      <c r="S347" s="32"/>
      <c r="T347" s="32"/>
    </row>
    <row r="348" spans="3:20" x14ac:dyDescent="0.3">
      <c r="C348" s="11"/>
      <c r="D348" s="32"/>
      <c r="E348" s="11"/>
      <c r="K348" s="15"/>
      <c r="L348" s="47"/>
      <c r="M348" s="76"/>
      <c r="N348" s="76"/>
      <c r="O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P348" s="77"/>
      <c r="Q348" s="32"/>
      <c r="R348" s="32"/>
      <c r="S348" s="32"/>
      <c r="T348" s="32"/>
    </row>
    <row r="349" spans="3:20" x14ac:dyDescent="0.3">
      <c r="C349" s="11"/>
      <c r="D349" s="32"/>
      <c r="E349" s="11"/>
      <c r="K349" s="15"/>
      <c r="L349" s="47"/>
      <c r="M349" s="76"/>
      <c r="N349" s="76"/>
      <c r="O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P349" s="77"/>
      <c r="Q349" s="32"/>
      <c r="R349" s="32"/>
      <c r="S349" s="32"/>
      <c r="T349" s="32"/>
    </row>
    <row r="350" spans="3:20" x14ac:dyDescent="0.3">
      <c r="C350" s="11"/>
      <c r="D350" s="32"/>
      <c r="E350" s="11"/>
      <c r="K350" s="15"/>
      <c r="L350" s="47"/>
      <c r="M350" s="76"/>
      <c r="N350" s="76"/>
      <c r="O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P350" s="77"/>
      <c r="Q350" s="32"/>
      <c r="R350" s="32"/>
      <c r="S350" s="32"/>
      <c r="T350" s="32"/>
    </row>
    <row r="351" spans="3:20" x14ac:dyDescent="0.3">
      <c r="C351" s="11"/>
      <c r="D351" s="32"/>
      <c r="E351" s="11"/>
      <c r="K351" s="15"/>
      <c r="L351" s="47"/>
      <c r="M351" s="76"/>
      <c r="N351" s="76"/>
      <c r="O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P351" s="77"/>
      <c r="Q351" s="32"/>
      <c r="R351" s="32"/>
      <c r="S351" s="32"/>
      <c r="T351" s="32"/>
    </row>
    <row r="352" spans="3:20" x14ac:dyDescent="0.3">
      <c r="C352" s="11"/>
      <c r="D352" s="32"/>
      <c r="E352" s="11"/>
      <c r="K352" s="15"/>
      <c r="L352" s="47"/>
      <c r="M352" s="76"/>
      <c r="N352" s="76"/>
      <c r="O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P352" s="77"/>
      <c r="Q352" s="32"/>
      <c r="R352" s="32"/>
      <c r="S352" s="32"/>
      <c r="T352" s="32"/>
    </row>
    <row r="353" spans="3:20" x14ac:dyDescent="0.3">
      <c r="C353" s="11"/>
      <c r="D353" s="32"/>
      <c r="E353" s="11"/>
      <c r="K353" s="15"/>
      <c r="L353" s="47"/>
      <c r="M353" s="76"/>
      <c r="N353" s="76"/>
      <c r="O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P353" s="77"/>
      <c r="Q353" s="32"/>
      <c r="R353" s="32"/>
      <c r="S353" s="32"/>
      <c r="T353" s="32"/>
    </row>
    <row r="354" spans="3:20" x14ac:dyDescent="0.3">
      <c r="C354" s="11"/>
      <c r="D354" s="32"/>
      <c r="E354" s="11"/>
      <c r="K354" s="15"/>
      <c r="L354" s="47"/>
      <c r="M354" s="76"/>
      <c r="N354" s="76"/>
      <c r="O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P354" s="77"/>
      <c r="Q354" s="32"/>
      <c r="R354" s="32"/>
      <c r="S354" s="32"/>
      <c r="T354" s="32"/>
    </row>
    <row r="355" spans="3:20" x14ac:dyDescent="0.3">
      <c r="C355" s="11"/>
      <c r="D355" s="32"/>
      <c r="E355" s="11"/>
      <c r="K355" s="15"/>
      <c r="L355" s="47"/>
      <c r="M355" s="76"/>
      <c r="N355" s="76"/>
      <c r="O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P355" s="77"/>
      <c r="Q355" s="32"/>
      <c r="R355" s="32"/>
      <c r="S355" s="32"/>
      <c r="T355" s="32"/>
    </row>
    <row r="356" spans="3:20" x14ac:dyDescent="0.3">
      <c r="C356" s="11"/>
      <c r="D356" s="32"/>
      <c r="E356" s="11"/>
      <c r="K356" s="15"/>
      <c r="L356" s="47"/>
      <c r="M356" s="76"/>
      <c r="N356" s="76"/>
      <c r="O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P356" s="77"/>
      <c r="Q356" s="32"/>
      <c r="R356" s="32"/>
      <c r="S356" s="32"/>
      <c r="T356" s="32"/>
    </row>
    <row r="357" spans="3:20" x14ac:dyDescent="0.3">
      <c r="C357" s="11"/>
      <c r="D357" s="32"/>
      <c r="E357" s="11"/>
      <c r="K357" s="15"/>
      <c r="L357" s="47"/>
      <c r="M357" s="76"/>
      <c r="N357" s="76"/>
      <c r="O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P357" s="77"/>
      <c r="Q357" s="32"/>
      <c r="R357" s="32"/>
      <c r="S357" s="32"/>
      <c r="T357" s="32"/>
    </row>
    <row r="358" spans="3:20" x14ac:dyDescent="0.3">
      <c r="C358" s="11"/>
      <c r="D358" s="32"/>
      <c r="E358" s="11"/>
      <c r="K358" s="15"/>
      <c r="L358" s="47"/>
      <c r="M358" s="76"/>
      <c r="N358" s="76"/>
      <c r="O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P358" s="77"/>
      <c r="Q358" s="32"/>
      <c r="R358" s="32"/>
      <c r="S358" s="32"/>
      <c r="T358" s="32"/>
    </row>
    <row r="359" spans="3:20" x14ac:dyDescent="0.3">
      <c r="C359" s="11"/>
      <c r="D359" s="32"/>
      <c r="E359" s="11"/>
      <c r="K359" s="15"/>
      <c r="L359" s="47"/>
      <c r="M359" s="76"/>
      <c r="N359" s="76"/>
      <c r="O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P359" s="77"/>
      <c r="Q359" s="32"/>
      <c r="R359" s="32"/>
      <c r="S359" s="32"/>
      <c r="T359" s="32"/>
    </row>
    <row r="360" spans="3:20" x14ac:dyDescent="0.3">
      <c r="C360" s="11"/>
      <c r="D360" s="32"/>
      <c r="E360" s="11"/>
      <c r="K360" s="15"/>
      <c r="L360" s="47"/>
      <c r="M360" s="76"/>
      <c r="N360" s="76"/>
      <c r="O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P360" s="77"/>
      <c r="Q360" s="32"/>
      <c r="R360" s="32"/>
      <c r="S360" s="32"/>
      <c r="T360" s="32"/>
    </row>
    <row r="361" spans="3:20" x14ac:dyDescent="0.3">
      <c r="C361" s="11"/>
      <c r="D361" s="32"/>
      <c r="E361" s="11"/>
      <c r="K361" s="15"/>
      <c r="L361" s="47"/>
      <c r="M361" s="76"/>
      <c r="N361" s="76"/>
      <c r="O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P361" s="77"/>
      <c r="Q361" s="32"/>
      <c r="R361" s="32"/>
      <c r="S361" s="32"/>
      <c r="T361" s="32"/>
    </row>
    <row r="362" spans="3:20" x14ac:dyDescent="0.3">
      <c r="C362" s="11"/>
      <c r="D362" s="32"/>
      <c r="E362" s="11"/>
      <c r="K362" s="15"/>
      <c r="L362" s="47"/>
      <c r="M362" s="76"/>
      <c r="N362" s="76"/>
      <c r="O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P362" s="77"/>
      <c r="Q362" s="32"/>
      <c r="R362" s="32"/>
      <c r="S362" s="32"/>
      <c r="T362" s="32"/>
    </row>
    <row r="363" spans="3:20" x14ac:dyDescent="0.3">
      <c r="C363" s="11"/>
      <c r="D363" s="32"/>
      <c r="E363" s="11"/>
      <c r="K363" s="15"/>
      <c r="L363" s="47"/>
      <c r="M363" s="76"/>
      <c r="N363" s="76"/>
      <c r="O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P363" s="77"/>
      <c r="Q363" s="32"/>
      <c r="R363" s="32"/>
      <c r="S363" s="32"/>
      <c r="T363" s="32"/>
    </row>
    <row r="364" spans="3:20" x14ac:dyDescent="0.3">
      <c r="C364" s="11"/>
      <c r="D364" s="32"/>
      <c r="E364" s="11"/>
      <c r="K364" s="15"/>
      <c r="L364" s="47"/>
      <c r="M364" s="76"/>
      <c r="N364" s="76"/>
      <c r="O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P364" s="77"/>
      <c r="Q364" s="32"/>
      <c r="R364" s="32"/>
      <c r="S364" s="32"/>
      <c r="T364" s="32"/>
    </row>
    <row r="365" spans="3:20" x14ac:dyDescent="0.3">
      <c r="C365" s="11"/>
      <c r="D365" s="32"/>
      <c r="E365" s="11"/>
      <c r="K365" s="15"/>
      <c r="L365" s="47"/>
      <c r="M365" s="76"/>
      <c r="N365" s="76"/>
      <c r="O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P365" s="77"/>
      <c r="Q365" s="32"/>
      <c r="R365" s="32"/>
      <c r="S365" s="32"/>
      <c r="T365" s="32"/>
    </row>
    <row r="366" spans="3:20" x14ac:dyDescent="0.3">
      <c r="C366" s="11"/>
      <c r="D366" s="32"/>
      <c r="E366" s="11"/>
      <c r="K366" s="15"/>
      <c r="L366" s="47"/>
      <c r="M366" s="76"/>
      <c r="N366" s="76"/>
      <c r="O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P366" s="77"/>
      <c r="Q366" s="32"/>
      <c r="R366" s="32"/>
      <c r="S366" s="32"/>
      <c r="T366" s="32"/>
    </row>
    <row r="367" spans="3:20" x14ac:dyDescent="0.3">
      <c r="C367" s="11"/>
      <c r="D367" s="32"/>
      <c r="E367" s="11"/>
      <c r="K367" s="15"/>
      <c r="L367" s="47"/>
      <c r="M367" s="76"/>
      <c r="N367" s="76"/>
      <c r="O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P367" s="77"/>
      <c r="Q367" s="32"/>
      <c r="R367" s="32"/>
      <c r="S367" s="32"/>
      <c r="T367" s="32"/>
    </row>
    <row r="368" spans="3:20" x14ac:dyDescent="0.3">
      <c r="C368" s="11"/>
      <c r="D368" s="32"/>
      <c r="E368" s="11"/>
      <c r="K368" s="15"/>
      <c r="L368" s="47"/>
      <c r="M368" s="76"/>
      <c r="N368" s="76"/>
      <c r="O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P368" s="77"/>
      <c r="Q368" s="32"/>
      <c r="R368" s="32"/>
      <c r="S368" s="32"/>
      <c r="T368" s="32"/>
    </row>
    <row r="369" spans="3:20" x14ac:dyDescent="0.3">
      <c r="C369" s="11"/>
      <c r="D369" s="32"/>
      <c r="E369" s="11"/>
      <c r="K369" s="15"/>
      <c r="L369" s="47"/>
      <c r="M369" s="76"/>
      <c r="N369" s="76"/>
      <c r="O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P369" s="77"/>
      <c r="Q369" s="32"/>
      <c r="R369" s="32"/>
      <c r="S369" s="32"/>
      <c r="T369" s="32"/>
    </row>
    <row r="370" spans="3:20" x14ac:dyDescent="0.3">
      <c r="C370" s="11"/>
      <c r="D370" s="32"/>
      <c r="E370" s="11"/>
      <c r="K370" s="15"/>
      <c r="L370" s="47"/>
      <c r="M370" s="76"/>
      <c r="N370" s="76"/>
      <c r="O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P370" s="77"/>
      <c r="Q370" s="32"/>
      <c r="R370" s="32"/>
      <c r="S370" s="32"/>
      <c r="T370" s="32"/>
    </row>
    <row r="371" spans="3:20" x14ac:dyDescent="0.3">
      <c r="C371" s="11"/>
      <c r="D371" s="32"/>
      <c r="E371" s="11"/>
      <c r="K371" s="15"/>
      <c r="L371" s="47"/>
      <c r="M371" s="76"/>
      <c r="N371" s="76"/>
      <c r="O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P371" s="77"/>
      <c r="Q371" s="32"/>
      <c r="R371" s="32"/>
      <c r="S371" s="32"/>
      <c r="T371" s="32"/>
    </row>
    <row r="372" spans="3:20" x14ac:dyDescent="0.3">
      <c r="C372" s="11"/>
      <c r="D372" s="32"/>
      <c r="E372" s="11"/>
      <c r="K372" s="15"/>
      <c r="L372" s="47"/>
      <c r="M372" s="76"/>
      <c r="N372" s="76"/>
      <c r="O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P372" s="77"/>
      <c r="Q372" s="32"/>
      <c r="R372" s="32"/>
      <c r="S372" s="32"/>
      <c r="T372" s="32"/>
    </row>
    <row r="373" spans="3:20" x14ac:dyDescent="0.3">
      <c r="C373" s="11"/>
      <c r="D373" s="32"/>
      <c r="E373" s="11"/>
      <c r="K373" s="15"/>
      <c r="L373" s="47"/>
      <c r="M373" s="76"/>
      <c r="N373" s="76"/>
      <c r="O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P373" s="77"/>
      <c r="Q373" s="32"/>
      <c r="R373" s="32"/>
      <c r="S373" s="32"/>
      <c r="T373" s="32"/>
    </row>
    <row r="374" spans="3:20" x14ac:dyDescent="0.3">
      <c r="C374" s="11"/>
      <c r="D374" s="32"/>
      <c r="E374" s="11"/>
      <c r="K374" s="15"/>
      <c r="L374" s="47"/>
      <c r="M374" s="76"/>
      <c r="N374" s="76"/>
      <c r="O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P374" s="77"/>
      <c r="Q374" s="32"/>
      <c r="R374" s="32"/>
      <c r="S374" s="32"/>
      <c r="T374" s="32"/>
    </row>
    <row r="375" spans="3:20" x14ac:dyDescent="0.3">
      <c r="C375" s="11"/>
      <c r="D375" s="32"/>
      <c r="E375" s="11"/>
      <c r="K375" s="15"/>
      <c r="L375" s="47"/>
      <c r="M375" s="76"/>
      <c r="N375" s="76"/>
      <c r="O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P375" s="77"/>
      <c r="Q375" s="32"/>
      <c r="R375" s="32"/>
      <c r="S375" s="32"/>
      <c r="T375" s="32"/>
    </row>
    <row r="376" spans="3:20" x14ac:dyDescent="0.3">
      <c r="C376" s="11"/>
      <c r="D376" s="32"/>
      <c r="E376" s="11"/>
      <c r="K376" s="15"/>
      <c r="L376" s="47"/>
      <c r="M376" s="76"/>
      <c r="N376" s="76"/>
      <c r="O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P376" s="77"/>
      <c r="Q376" s="32"/>
      <c r="R376" s="32"/>
      <c r="S376" s="32"/>
      <c r="T376" s="32"/>
    </row>
    <row r="377" spans="3:20" x14ac:dyDescent="0.3">
      <c r="C377" s="11"/>
      <c r="D377" s="32"/>
      <c r="E377" s="11"/>
      <c r="K377" s="15"/>
      <c r="L377" s="47"/>
      <c r="M377" s="76"/>
      <c r="N377" s="76"/>
      <c r="O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P377" s="77"/>
      <c r="Q377" s="32"/>
      <c r="R377" s="32"/>
      <c r="S377" s="32"/>
      <c r="T377" s="32"/>
    </row>
    <row r="378" spans="3:20" x14ac:dyDescent="0.3">
      <c r="C378" s="11"/>
      <c r="D378" s="32"/>
      <c r="E378" s="11"/>
      <c r="K378" s="15"/>
      <c r="L378" s="47"/>
      <c r="M378" s="76"/>
      <c r="N378" s="76"/>
      <c r="O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P378" s="77"/>
      <c r="Q378" s="32"/>
      <c r="R378" s="32"/>
      <c r="S378" s="32"/>
      <c r="T378" s="32"/>
    </row>
    <row r="379" spans="3:20" x14ac:dyDescent="0.3">
      <c r="C379" s="11"/>
      <c r="D379" s="32"/>
      <c r="E379" s="11"/>
      <c r="K379" s="15"/>
      <c r="L379" s="47"/>
      <c r="M379" s="76"/>
      <c r="N379" s="76"/>
      <c r="O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P379" s="77"/>
      <c r="Q379" s="32"/>
      <c r="R379" s="32"/>
      <c r="S379" s="32"/>
      <c r="T379" s="32"/>
    </row>
    <row r="380" spans="3:20" x14ac:dyDescent="0.3">
      <c r="C380" s="11"/>
      <c r="D380" s="32"/>
      <c r="E380" s="11"/>
      <c r="K380" s="15"/>
      <c r="L380" s="47"/>
      <c r="M380" s="76"/>
      <c r="N380" s="76"/>
      <c r="O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P380" s="77"/>
      <c r="Q380" s="32"/>
      <c r="R380" s="32"/>
      <c r="S380" s="32"/>
      <c r="T380" s="32"/>
    </row>
    <row r="381" spans="3:20" x14ac:dyDescent="0.3">
      <c r="C381" s="11"/>
      <c r="D381" s="32"/>
      <c r="E381" s="11"/>
      <c r="K381" s="15"/>
      <c r="L381" s="47"/>
      <c r="M381" s="76"/>
      <c r="N381" s="76"/>
      <c r="O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P381" s="77"/>
      <c r="Q381" s="32"/>
      <c r="R381" s="32"/>
      <c r="S381" s="32"/>
      <c r="T381" s="32"/>
    </row>
    <row r="382" spans="3:20" x14ac:dyDescent="0.3">
      <c r="C382" s="11"/>
      <c r="D382" s="32"/>
      <c r="E382" s="11"/>
      <c r="K382" s="15"/>
      <c r="L382" s="47"/>
      <c r="M382" s="76"/>
      <c r="N382" s="76"/>
      <c r="O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P382" s="77"/>
      <c r="Q382" s="32"/>
      <c r="R382" s="32"/>
      <c r="S382" s="32"/>
      <c r="T382" s="32"/>
    </row>
    <row r="383" spans="3:20" x14ac:dyDescent="0.3">
      <c r="C383" s="11"/>
      <c r="D383" s="32"/>
      <c r="E383" s="11"/>
      <c r="K383" s="15"/>
      <c r="L383" s="47"/>
      <c r="M383" s="76"/>
      <c r="N383" s="76"/>
      <c r="O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P383" s="77"/>
      <c r="Q383" s="32"/>
      <c r="R383" s="32"/>
      <c r="S383" s="32"/>
      <c r="T383" s="32"/>
    </row>
    <row r="384" spans="3:20" x14ac:dyDescent="0.3">
      <c r="C384" s="11"/>
      <c r="D384" s="32"/>
      <c r="E384" s="11"/>
      <c r="K384" s="15"/>
      <c r="L384" s="47"/>
      <c r="M384" s="76"/>
      <c r="N384" s="76"/>
      <c r="O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P384" s="77"/>
      <c r="Q384" s="32"/>
      <c r="R384" s="32"/>
      <c r="S384" s="32"/>
      <c r="T384" s="32"/>
    </row>
    <row r="385" spans="3:20" x14ac:dyDescent="0.3">
      <c r="C385" s="11"/>
      <c r="D385" s="32"/>
      <c r="E385" s="11"/>
      <c r="K385" s="15"/>
      <c r="L385" s="47"/>
      <c r="M385" s="76"/>
      <c r="N385" s="76"/>
      <c r="O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P385" s="77"/>
      <c r="Q385" s="32"/>
      <c r="R385" s="32"/>
      <c r="S385" s="32"/>
      <c r="T385" s="32"/>
    </row>
    <row r="386" spans="3:20" x14ac:dyDescent="0.3">
      <c r="C386" s="11"/>
      <c r="D386" s="32"/>
      <c r="E386" s="11"/>
      <c r="K386" s="15"/>
      <c r="L386" s="47"/>
      <c r="M386" s="76"/>
      <c r="N386" s="76"/>
      <c r="O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P386" s="77"/>
      <c r="Q386" s="32"/>
      <c r="R386" s="32"/>
      <c r="S386" s="32"/>
      <c r="T386" s="32"/>
    </row>
    <row r="387" spans="3:20" x14ac:dyDescent="0.3">
      <c r="C387" s="11"/>
      <c r="D387" s="32"/>
      <c r="E387" s="11"/>
      <c r="K387" s="15"/>
      <c r="L387" s="47"/>
      <c r="M387" s="76"/>
      <c r="N387" s="76"/>
      <c r="O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P387" s="77"/>
      <c r="Q387" s="32"/>
      <c r="R387" s="32"/>
      <c r="S387" s="32"/>
      <c r="T387" s="32"/>
    </row>
    <row r="388" spans="3:20" x14ac:dyDescent="0.3">
      <c r="C388" s="11"/>
      <c r="D388" s="32"/>
      <c r="E388" s="11"/>
      <c r="K388" s="15"/>
      <c r="L388" s="47"/>
      <c r="M388" s="76"/>
      <c r="N388" s="76"/>
      <c r="O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P388" s="77"/>
      <c r="Q388" s="32"/>
      <c r="R388" s="32"/>
      <c r="S388" s="32"/>
      <c r="T388" s="32"/>
    </row>
    <row r="389" spans="3:20" x14ac:dyDescent="0.3">
      <c r="C389" s="11"/>
      <c r="D389" s="32"/>
      <c r="E389" s="11"/>
      <c r="K389" s="15"/>
      <c r="L389" s="47"/>
      <c r="M389" s="76"/>
      <c r="N389" s="76"/>
      <c r="O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P389" s="77"/>
      <c r="Q389" s="32"/>
      <c r="R389" s="32"/>
      <c r="S389" s="32"/>
      <c r="T389" s="32"/>
    </row>
    <row r="390" spans="3:20" x14ac:dyDescent="0.3">
      <c r="C390" s="11"/>
      <c r="D390" s="32"/>
      <c r="E390" s="11"/>
      <c r="K390" s="15"/>
      <c r="L390" s="47"/>
      <c r="M390" s="76"/>
      <c r="N390" s="76"/>
      <c r="O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P390" s="77"/>
      <c r="Q390" s="32"/>
      <c r="R390" s="32"/>
      <c r="S390" s="32"/>
      <c r="T390" s="32"/>
    </row>
    <row r="391" spans="3:20" x14ac:dyDescent="0.3">
      <c r="C391" s="11"/>
      <c r="D391" s="32"/>
      <c r="E391" s="11"/>
      <c r="K391" s="15"/>
      <c r="L391" s="47"/>
      <c r="M391" s="76"/>
      <c r="N391" s="76"/>
      <c r="O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P391" s="77"/>
      <c r="Q391" s="32"/>
      <c r="R391" s="32"/>
      <c r="S391" s="32"/>
      <c r="T391" s="32"/>
    </row>
    <row r="392" spans="3:20" x14ac:dyDescent="0.3">
      <c r="C392" s="11"/>
      <c r="D392" s="32"/>
      <c r="E392" s="11"/>
      <c r="K392" s="15"/>
      <c r="L392" s="47"/>
      <c r="M392" s="76"/>
      <c r="N392" s="76"/>
      <c r="O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P392" s="77"/>
      <c r="Q392" s="32"/>
      <c r="R392" s="32"/>
      <c r="S392" s="32"/>
      <c r="T392" s="32"/>
    </row>
    <row r="393" spans="3:20" x14ac:dyDescent="0.3">
      <c r="C393" s="11"/>
      <c r="D393" s="32"/>
      <c r="E393" s="11"/>
      <c r="K393" s="15"/>
      <c r="L393" s="47"/>
      <c r="M393" s="76"/>
      <c r="N393" s="76"/>
      <c r="O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P393" s="77"/>
      <c r="Q393" s="32"/>
      <c r="R393" s="32"/>
      <c r="S393" s="32"/>
      <c r="T393" s="32"/>
    </row>
    <row r="394" spans="3:20" x14ac:dyDescent="0.3">
      <c r="C394" s="11"/>
      <c r="D394" s="32"/>
      <c r="E394" s="11"/>
      <c r="K394" s="15"/>
      <c r="L394" s="47"/>
      <c r="M394" s="76"/>
      <c r="N394" s="76"/>
      <c r="O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P394" s="77"/>
      <c r="Q394" s="32"/>
      <c r="R394" s="32"/>
      <c r="S394" s="32"/>
      <c r="T394" s="32"/>
    </row>
    <row r="395" spans="3:20" x14ac:dyDescent="0.3">
      <c r="C395" s="11"/>
      <c r="D395" s="32"/>
      <c r="E395" s="11"/>
      <c r="K395" s="15"/>
      <c r="L395" s="47"/>
      <c r="M395" s="76"/>
      <c r="N395" s="76"/>
      <c r="O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P395" s="77"/>
      <c r="Q395" s="32"/>
      <c r="R395" s="32"/>
      <c r="S395" s="32"/>
      <c r="T395" s="32"/>
    </row>
    <row r="396" spans="3:20" x14ac:dyDescent="0.3">
      <c r="C396" s="11"/>
      <c r="D396" s="32"/>
      <c r="E396" s="11"/>
      <c r="K396" s="15"/>
      <c r="L396" s="47"/>
      <c r="M396" s="76"/>
      <c r="N396" s="76"/>
      <c r="O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P396" s="77"/>
      <c r="Q396" s="32"/>
      <c r="R396" s="32"/>
      <c r="S396" s="32"/>
      <c r="T396" s="32"/>
    </row>
    <row r="397" spans="3:20" x14ac:dyDescent="0.3">
      <c r="C397" s="11"/>
      <c r="D397" s="32"/>
      <c r="E397" s="11"/>
      <c r="K397" s="15"/>
      <c r="L397" s="47"/>
      <c r="M397" s="76"/>
      <c r="N397" s="76"/>
      <c r="O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P397" s="77"/>
      <c r="Q397" s="32"/>
      <c r="R397" s="32"/>
      <c r="S397" s="32"/>
      <c r="T397" s="32"/>
    </row>
    <row r="398" spans="3:20" x14ac:dyDescent="0.3">
      <c r="C398" s="11"/>
      <c r="D398" s="32"/>
      <c r="E398" s="11"/>
      <c r="K398" s="15"/>
      <c r="L398" s="47"/>
      <c r="M398" s="76"/>
      <c r="N398" s="76"/>
      <c r="O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P398" s="77"/>
      <c r="Q398" s="32"/>
      <c r="R398" s="32"/>
      <c r="S398" s="32"/>
      <c r="T398" s="32"/>
    </row>
    <row r="399" spans="3:20" x14ac:dyDescent="0.3">
      <c r="C399" s="11"/>
      <c r="D399" s="32"/>
      <c r="E399" s="11"/>
      <c r="K399" s="15"/>
      <c r="L399" s="47"/>
      <c r="M399" s="76"/>
      <c r="N399" s="76"/>
      <c r="O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P399" s="77"/>
      <c r="Q399" s="32"/>
      <c r="R399" s="32"/>
      <c r="S399" s="32"/>
      <c r="T399" s="32"/>
    </row>
    <row r="400" spans="3:20" x14ac:dyDescent="0.3">
      <c r="C400" s="11"/>
      <c r="D400" s="32"/>
      <c r="E400" s="11"/>
      <c r="K400" s="15"/>
      <c r="L400" s="47"/>
      <c r="M400" s="76"/>
      <c r="N400" s="76"/>
      <c r="O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P400" s="77"/>
      <c r="Q400" s="32"/>
      <c r="R400" s="32"/>
      <c r="S400" s="32"/>
      <c r="T400" s="32"/>
    </row>
    <row r="401" spans="3:20" x14ac:dyDescent="0.3">
      <c r="C401" s="11"/>
      <c r="D401" s="32"/>
      <c r="E401" s="11"/>
      <c r="K401" s="15"/>
      <c r="L401" s="47"/>
      <c r="M401" s="76"/>
      <c r="N401" s="76"/>
      <c r="O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P401" s="77"/>
      <c r="Q401" s="32"/>
      <c r="R401" s="32"/>
      <c r="S401" s="32"/>
      <c r="T401" s="32"/>
    </row>
    <row r="402" spans="3:20" x14ac:dyDescent="0.3">
      <c r="C402" s="11"/>
      <c r="D402" s="32"/>
      <c r="E402" s="11"/>
      <c r="K402" s="15"/>
      <c r="L402" s="47"/>
      <c r="M402" s="76"/>
      <c r="N402" s="76"/>
      <c r="O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P402" s="77"/>
      <c r="Q402" s="32"/>
      <c r="R402" s="32"/>
      <c r="S402" s="32"/>
      <c r="T402" s="32"/>
    </row>
    <row r="403" spans="3:20" x14ac:dyDescent="0.3">
      <c r="C403" s="11"/>
      <c r="D403" s="32"/>
      <c r="E403" s="11"/>
      <c r="K403" s="15"/>
      <c r="L403" s="47"/>
      <c r="M403" s="76"/>
      <c r="N403" s="76"/>
      <c r="O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P403" s="77"/>
      <c r="Q403" s="32"/>
      <c r="R403" s="32"/>
      <c r="S403" s="32"/>
      <c r="T403" s="32"/>
    </row>
    <row r="404" spans="3:20" x14ac:dyDescent="0.3">
      <c r="C404" s="11"/>
      <c r="D404" s="32"/>
      <c r="E404" s="11"/>
      <c r="K404" s="15"/>
      <c r="L404" s="47"/>
      <c r="M404" s="76"/>
      <c r="N404" s="76"/>
      <c r="O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P404" s="77"/>
      <c r="Q404" s="32"/>
      <c r="R404" s="32"/>
      <c r="S404" s="32"/>
      <c r="T404" s="32"/>
    </row>
    <row r="405" spans="3:20" x14ac:dyDescent="0.3">
      <c r="C405" s="11"/>
      <c r="D405" s="32"/>
      <c r="E405" s="11"/>
      <c r="K405" s="15"/>
      <c r="L405" s="47"/>
      <c r="M405" s="76"/>
      <c r="N405" s="76"/>
      <c r="O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P405" s="77"/>
      <c r="Q405" s="32"/>
      <c r="R405" s="32"/>
      <c r="S405" s="32"/>
      <c r="T405" s="32"/>
    </row>
    <row r="406" spans="3:20" x14ac:dyDescent="0.3">
      <c r="C406" s="11"/>
      <c r="D406" s="32"/>
      <c r="E406" s="11"/>
      <c r="K406" s="15"/>
      <c r="L406" s="47"/>
      <c r="M406" s="76"/>
      <c r="N406" s="76"/>
      <c r="O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P406" s="77"/>
      <c r="Q406" s="32"/>
      <c r="R406" s="32"/>
      <c r="S406" s="32"/>
      <c r="T406" s="32"/>
    </row>
    <row r="407" spans="3:20" x14ac:dyDescent="0.3">
      <c r="C407" s="11"/>
      <c r="D407" s="32"/>
      <c r="E407" s="11"/>
      <c r="K407" s="15"/>
      <c r="L407" s="47"/>
      <c r="M407" s="76"/>
      <c r="N407" s="76"/>
      <c r="O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P407" s="77"/>
      <c r="Q407" s="32"/>
      <c r="R407" s="32"/>
      <c r="S407" s="32"/>
      <c r="T407" s="32"/>
    </row>
    <row r="408" spans="3:20" x14ac:dyDescent="0.3">
      <c r="C408" s="11"/>
      <c r="D408" s="32"/>
      <c r="E408" s="11"/>
      <c r="K408" s="15"/>
      <c r="L408" s="47"/>
      <c r="M408" s="76"/>
      <c r="N408" s="76"/>
      <c r="O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P408" s="77"/>
      <c r="Q408" s="32"/>
      <c r="R408" s="32"/>
      <c r="S408" s="32"/>
      <c r="T408" s="32"/>
    </row>
    <row r="409" spans="3:20" x14ac:dyDescent="0.3">
      <c r="C409" s="11"/>
      <c r="D409" s="32"/>
      <c r="E409" s="11"/>
      <c r="K409" s="15"/>
      <c r="L409" s="47"/>
      <c r="M409" s="76"/>
      <c r="N409" s="76"/>
      <c r="O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P409" s="77"/>
      <c r="Q409" s="32"/>
      <c r="R409" s="32"/>
      <c r="S409" s="32"/>
      <c r="T409" s="32"/>
    </row>
    <row r="410" spans="3:20" x14ac:dyDescent="0.3">
      <c r="C410" s="11"/>
      <c r="D410" s="32"/>
      <c r="E410" s="11"/>
      <c r="K410" s="15"/>
      <c r="L410" s="47"/>
      <c r="M410" s="76"/>
      <c r="N410" s="76"/>
      <c r="O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P410" s="77"/>
      <c r="Q410" s="32"/>
      <c r="R410" s="32"/>
      <c r="S410" s="32"/>
      <c r="T410" s="32"/>
    </row>
    <row r="411" spans="3:20" x14ac:dyDescent="0.3">
      <c r="C411" s="11"/>
      <c r="D411" s="32"/>
      <c r="E411" s="11"/>
      <c r="K411" s="15"/>
      <c r="L411" s="47"/>
      <c r="M411" s="76"/>
      <c r="N411" s="76"/>
      <c r="O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P411" s="77"/>
      <c r="Q411" s="32"/>
      <c r="R411" s="32"/>
      <c r="S411" s="32"/>
      <c r="T411" s="32"/>
    </row>
    <row r="412" spans="3:20" x14ac:dyDescent="0.3">
      <c r="C412" s="11"/>
      <c r="D412" s="32"/>
      <c r="E412" s="11"/>
      <c r="K412" s="15"/>
      <c r="L412" s="47"/>
      <c r="M412" s="76"/>
      <c r="N412" s="76"/>
      <c r="O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P412" s="77"/>
      <c r="Q412" s="32"/>
      <c r="R412" s="32"/>
      <c r="S412" s="32"/>
      <c r="T412" s="32"/>
    </row>
    <row r="413" spans="3:20" x14ac:dyDescent="0.3">
      <c r="C413" s="11"/>
      <c r="D413" s="32"/>
      <c r="E413" s="11"/>
      <c r="K413" s="15"/>
      <c r="L413" s="47"/>
      <c r="M413" s="76"/>
      <c r="N413" s="76"/>
      <c r="O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P413" s="77"/>
      <c r="Q413" s="32"/>
      <c r="R413" s="32"/>
      <c r="S413" s="32"/>
      <c r="T413" s="32"/>
    </row>
    <row r="414" spans="3:20" x14ac:dyDescent="0.3">
      <c r="C414" s="11"/>
      <c r="D414" s="32"/>
      <c r="E414" s="11"/>
      <c r="K414" s="15"/>
      <c r="L414" s="47"/>
      <c r="M414" s="76"/>
      <c r="N414" s="76"/>
      <c r="O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P414" s="77"/>
      <c r="Q414" s="32"/>
      <c r="R414" s="32"/>
      <c r="S414" s="32"/>
      <c r="T414" s="32"/>
    </row>
    <row r="415" spans="3:20" x14ac:dyDescent="0.3">
      <c r="C415" s="11"/>
      <c r="D415" s="32"/>
      <c r="E415" s="11"/>
      <c r="K415" s="15"/>
      <c r="L415" s="47"/>
      <c r="M415" s="76"/>
      <c r="N415" s="76"/>
      <c r="O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P415" s="77"/>
      <c r="Q415" s="32"/>
      <c r="R415" s="32"/>
      <c r="S415" s="32"/>
      <c r="T415" s="32"/>
    </row>
    <row r="416" spans="3:20" x14ac:dyDescent="0.3">
      <c r="C416" s="11"/>
      <c r="D416" s="32"/>
      <c r="E416" s="11"/>
      <c r="K416" s="15"/>
      <c r="L416" s="47"/>
      <c r="M416" s="76"/>
      <c r="N416" s="76"/>
      <c r="O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P416" s="77"/>
      <c r="Q416" s="32"/>
      <c r="R416" s="32"/>
      <c r="S416" s="32"/>
      <c r="T416" s="32"/>
    </row>
    <row r="417" spans="3:20" x14ac:dyDescent="0.3">
      <c r="C417" s="11"/>
      <c r="D417" s="32"/>
      <c r="E417" s="11"/>
      <c r="K417" s="15"/>
      <c r="L417" s="47"/>
      <c r="M417" s="76"/>
      <c r="N417" s="76"/>
      <c r="O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P417" s="77"/>
      <c r="Q417" s="32"/>
      <c r="R417" s="32"/>
      <c r="S417" s="32"/>
      <c r="T417" s="32"/>
    </row>
    <row r="418" spans="3:20" x14ac:dyDescent="0.3">
      <c r="C418" s="11"/>
      <c r="D418" s="32"/>
      <c r="E418" s="11"/>
      <c r="K418" s="15"/>
      <c r="L418" s="47"/>
      <c r="M418" s="76"/>
      <c r="N418" s="76"/>
      <c r="O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P418" s="77"/>
      <c r="Q418" s="32"/>
      <c r="R418" s="32"/>
      <c r="S418" s="32"/>
      <c r="T418" s="32"/>
    </row>
    <row r="419" spans="3:20" x14ac:dyDescent="0.3">
      <c r="C419" s="11"/>
      <c r="D419" s="32"/>
      <c r="E419" s="11"/>
      <c r="K419" s="15"/>
      <c r="L419" s="47"/>
      <c r="M419" s="76"/>
      <c r="N419" s="76"/>
      <c r="O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P419" s="77"/>
      <c r="Q419" s="32"/>
      <c r="R419" s="32"/>
      <c r="S419" s="32"/>
      <c r="T419" s="32"/>
    </row>
    <row r="420" spans="3:20" x14ac:dyDescent="0.3">
      <c r="C420" s="11"/>
      <c r="D420" s="32"/>
      <c r="E420" s="11"/>
      <c r="K420" s="15"/>
      <c r="L420" s="47"/>
      <c r="M420" s="76"/>
      <c r="N420" s="76"/>
      <c r="O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P420" s="77"/>
      <c r="Q420" s="32"/>
      <c r="R420" s="32"/>
      <c r="S420" s="32"/>
      <c r="T420" s="32"/>
    </row>
    <row r="421" spans="3:20" x14ac:dyDescent="0.3">
      <c r="C421" s="11"/>
      <c r="D421" s="32"/>
      <c r="E421" s="11"/>
      <c r="K421" s="15"/>
      <c r="L421" s="47"/>
      <c r="M421" s="76"/>
      <c r="N421" s="76"/>
      <c r="O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P421" s="77"/>
      <c r="Q421" s="32"/>
      <c r="R421" s="32"/>
      <c r="S421" s="32"/>
      <c r="T421" s="32"/>
    </row>
    <row r="422" spans="3:20" x14ac:dyDescent="0.3">
      <c r="C422" s="11"/>
      <c r="D422" s="32"/>
      <c r="E422" s="11"/>
      <c r="K422" s="15"/>
      <c r="L422" s="47"/>
      <c r="M422" s="76"/>
      <c r="N422" s="76"/>
      <c r="O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P422" s="77"/>
      <c r="Q422" s="32"/>
      <c r="R422" s="32"/>
      <c r="S422" s="32"/>
      <c r="T422" s="32"/>
    </row>
    <row r="423" spans="3:20" x14ac:dyDescent="0.3">
      <c r="C423" s="11"/>
      <c r="D423" s="32"/>
      <c r="E423" s="11"/>
      <c r="K423" s="15"/>
      <c r="L423" s="47"/>
      <c r="M423" s="76"/>
      <c r="N423" s="76"/>
      <c r="O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P423" s="77"/>
      <c r="Q423" s="32"/>
      <c r="R423" s="32"/>
      <c r="S423" s="32"/>
      <c r="T423" s="32"/>
    </row>
    <row r="424" spans="3:20" x14ac:dyDescent="0.3">
      <c r="C424" s="11"/>
      <c r="D424" s="32"/>
      <c r="E424" s="11"/>
      <c r="K424" s="15"/>
      <c r="L424" s="47"/>
      <c r="M424" s="76"/>
      <c r="N424" s="76"/>
      <c r="O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P424" s="77"/>
      <c r="Q424" s="32"/>
      <c r="R424" s="32"/>
      <c r="S424" s="32"/>
      <c r="T424" s="32"/>
    </row>
    <row r="425" spans="3:20" x14ac:dyDescent="0.3">
      <c r="C425" s="11"/>
      <c r="D425" s="32"/>
      <c r="E425" s="11"/>
      <c r="K425" s="15"/>
      <c r="L425" s="47"/>
      <c r="M425" s="76"/>
      <c r="N425" s="76"/>
      <c r="O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P425" s="77"/>
      <c r="Q425" s="32"/>
      <c r="R425" s="32"/>
      <c r="S425" s="32"/>
      <c r="T425" s="32"/>
    </row>
    <row r="426" spans="3:20" x14ac:dyDescent="0.3">
      <c r="C426" s="11"/>
      <c r="D426" s="32"/>
      <c r="E426" s="11"/>
      <c r="K426" s="15"/>
      <c r="L426" s="47"/>
      <c r="M426" s="76"/>
      <c r="N426" s="76"/>
      <c r="O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P426" s="77"/>
      <c r="Q426" s="32"/>
      <c r="R426" s="32"/>
      <c r="S426" s="32"/>
      <c r="T426" s="32"/>
    </row>
    <row r="427" spans="3:20" x14ac:dyDescent="0.3">
      <c r="C427" s="11"/>
      <c r="D427" s="32"/>
      <c r="E427" s="11"/>
      <c r="K427" s="15"/>
      <c r="L427" s="47"/>
      <c r="M427" s="76"/>
      <c r="N427" s="76"/>
      <c r="O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P427" s="77"/>
      <c r="Q427" s="32"/>
      <c r="R427" s="32"/>
      <c r="S427" s="32"/>
      <c r="T427" s="32"/>
    </row>
    <row r="428" spans="3:20" x14ac:dyDescent="0.3">
      <c r="C428" s="11"/>
      <c r="D428" s="32"/>
      <c r="E428" s="11"/>
      <c r="K428" s="15"/>
      <c r="L428" s="47"/>
      <c r="M428" s="76"/>
      <c r="N428" s="76"/>
      <c r="O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P428" s="77"/>
      <c r="Q428" s="32"/>
      <c r="R428" s="32"/>
      <c r="S428" s="32"/>
      <c r="T428" s="32"/>
    </row>
    <row r="429" spans="3:20" x14ac:dyDescent="0.3">
      <c r="C429" s="11"/>
      <c r="D429" s="32"/>
      <c r="E429" s="11"/>
      <c r="K429" s="15"/>
      <c r="L429" s="47"/>
      <c r="M429" s="76"/>
      <c r="N429" s="76"/>
      <c r="O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P429" s="77"/>
      <c r="Q429" s="32"/>
      <c r="R429" s="32"/>
      <c r="S429" s="32"/>
      <c r="T429" s="32"/>
    </row>
    <row r="430" spans="3:20" x14ac:dyDescent="0.3">
      <c r="C430" s="11"/>
      <c r="D430" s="32"/>
      <c r="E430" s="11"/>
      <c r="K430" s="15"/>
      <c r="L430" s="47"/>
      <c r="M430" s="76"/>
      <c r="N430" s="76"/>
      <c r="O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P430" s="77"/>
      <c r="Q430" s="32"/>
      <c r="R430" s="32"/>
      <c r="S430" s="32"/>
      <c r="T430" s="32"/>
    </row>
    <row r="431" spans="3:20" x14ac:dyDescent="0.3">
      <c r="C431" s="11"/>
      <c r="D431" s="32"/>
      <c r="E431" s="11"/>
      <c r="K431" s="15"/>
      <c r="L431" s="47"/>
      <c r="M431" s="76"/>
      <c r="N431" s="76"/>
      <c r="O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P431" s="77"/>
      <c r="Q431" s="32"/>
      <c r="R431" s="32"/>
      <c r="S431" s="32"/>
      <c r="T431" s="32"/>
    </row>
    <row r="432" spans="3:20" x14ac:dyDescent="0.3">
      <c r="C432" s="11"/>
      <c r="D432" s="32"/>
      <c r="E432" s="11"/>
      <c r="K432" s="15"/>
      <c r="L432" s="47"/>
      <c r="M432" s="76"/>
      <c r="N432" s="76"/>
      <c r="O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P432" s="77"/>
      <c r="Q432" s="32"/>
      <c r="R432" s="32"/>
      <c r="S432" s="32"/>
      <c r="T432" s="32"/>
    </row>
    <row r="433" spans="3:20" x14ac:dyDescent="0.3">
      <c r="C433" s="11"/>
      <c r="D433" s="32"/>
      <c r="E433" s="11"/>
      <c r="K433" s="15"/>
      <c r="L433" s="47"/>
      <c r="M433" s="76"/>
      <c r="N433" s="76"/>
      <c r="O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P433" s="77"/>
      <c r="Q433" s="32"/>
      <c r="R433" s="32"/>
      <c r="S433" s="32"/>
      <c r="T433" s="32"/>
    </row>
    <row r="434" spans="3:20" x14ac:dyDescent="0.3">
      <c r="C434" s="11"/>
      <c r="D434" s="32"/>
      <c r="E434" s="11"/>
      <c r="K434" s="15"/>
      <c r="L434" s="47"/>
      <c r="M434" s="76"/>
      <c r="N434" s="76"/>
      <c r="O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P434" s="77"/>
      <c r="Q434" s="32"/>
      <c r="R434" s="32"/>
      <c r="S434" s="32"/>
      <c r="T434" s="32"/>
    </row>
    <row r="435" spans="3:20" x14ac:dyDescent="0.3">
      <c r="C435" s="11"/>
      <c r="D435" s="32"/>
      <c r="E435" s="11"/>
      <c r="K435" s="15"/>
      <c r="L435" s="47"/>
      <c r="M435" s="76"/>
      <c r="N435" s="76"/>
      <c r="O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P435" s="77"/>
      <c r="Q435" s="32"/>
      <c r="R435" s="32"/>
      <c r="S435" s="32"/>
      <c r="T435" s="32"/>
    </row>
    <row r="436" spans="3:20" x14ac:dyDescent="0.3">
      <c r="C436" s="11"/>
      <c r="D436" s="32"/>
      <c r="E436" s="11"/>
      <c r="K436" s="15"/>
      <c r="L436" s="47"/>
      <c r="M436" s="76"/>
      <c r="N436" s="76"/>
      <c r="O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P436" s="77"/>
      <c r="Q436" s="32"/>
      <c r="R436" s="32"/>
      <c r="S436" s="32"/>
      <c r="T436" s="32"/>
    </row>
    <row r="437" spans="3:20" x14ac:dyDescent="0.3">
      <c r="C437" s="11"/>
      <c r="D437" s="32"/>
      <c r="E437" s="11"/>
      <c r="K437" s="15"/>
      <c r="L437" s="47"/>
      <c r="M437" s="76"/>
      <c r="N437" s="76"/>
      <c r="O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P437" s="77"/>
      <c r="Q437" s="32"/>
      <c r="R437" s="32"/>
      <c r="S437" s="32"/>
      <c r="T437" s="32"/>
    </row>
    <row r="438" spans="3:20" x14ac:dyDescent="0.3">
      <c r="C438" s="11"/>
      <c r="D438" s="32"/>
      <c r="E438" s="11"/>
      <c r="K438" s="15"/>
      <c r="L438" s="47"/>
      <c r="M438" s="76"/>
      <c r="N438" s="76"/>
      <c r="O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P438" s="77"/>
      <c r="Q438" s="32"/>
      <c r="R438" s="32"/>
      <c r="S438" s="32"/>
      <c r="T438" s="32"/>
    </row>
    <row r="439" spans="3:20" x14ac:dyDescent="0.3">
      <c r="C439" s="11"/>
      <c r="D439" s="32"/>
      <c r="E439" s="11"/>
      <c r="K439" s="15"/>
      <c r="L439" s="47"/>
      <c r="M439" s="76"/>
      <c r="N439" s="76"/>
      <c r="O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P439" s="77"/>
      <c r="Q439" s="32"/>
      <c r="R439" s="32"/>
      <c r="S439" s="32"/>
      <c r="T439" s="32"/>
    </row>
    <row r="440" spans="3:20" x14ac:dyDescent="0.3">
      <c r="C440" s="11"/>
      <c r="D440" s="32"/>
      <c r="E440" s="11"/>
      <c r="K440" s="15"/>
      <c r="L440" s="47"/>
      <c r="M440" s="76"/>
      <c r="N440" s="76"/>
      <c r="O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P440" s="77"/>
      <c r="Q440" s="32"/>
      <c r="R440" s="32"/>
      <c r="S440" s="32"/>
      <c r="T440" s="32"/>
    </row>
    <row r="441" spans="3:20" x14ac:dyDescent="0.3">
      <c r="C441" s="11"/>
      <c r="D441" s="32"/>
      <c r="E441" s="11"/>
      <c r="K441" s="15"/>
      <c r="L441" s="47"/>
      <c r="M441" s="76"/>
      <c r="N441" s="76"/>
      <c r="O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P441" s="77"/>
      <c r="Q441" s="32"/>
      <c r="R441" s="32"/>
      <c r="S441" s="32"/>
      <c r="T441" s="32"/>
    </row>
    <row r="442" spans="3:20" x14ac:dyDescent="0.3">
      <c r="C442" s="11"/>
      <c r="D442" s="32"/>
      <c r="E442" s="11"/>
      <c r="K442" s="15"/>
      <c r="L442" s="47"/>
      <c r="M442" s="76"/>
      <c r="N442" s="76"/>
      <c r="O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P442" s="77"/>
      <c r="Q442" s="32"/>
      <c r="R442" s="32"/>
      <c r="S442" s="32"/>
      <c r="T442" s="32"/>
    </row>
    <row r="443" spans="3:20" x14ac:dyDescent="0.3">
      <c r="C443" s="11"/>
      <c r="D443" s="32"/>
      <c r="E443" s="11"/>
      <c r="K443" s="15"/>
      <c r="L443" s="47"/>
      <c r="M443" s="76"/>
      <c r="N443" s="76"/>
      <c r="O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P443" s="77"/>
      <c r="Q443" s="32"/>
      <c r="R443" s="32"/>
      <c r="S443" s="32"/>
      <c r="T443" s="32"/>
    </row>
    <row r="444" spans="3:20" x14ac:dyDescent="0.3">
      <c r="C444" s="11"/>
      <c r="D444" s="32"/>
      <c r="E444" s="11"/>
      <c r="K444" s="15"/>
      <c r="L444" s="47"/>
      <c r="M444" s="76"/>
      <c r="N444" s="76"/>
      <c r="O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P444" s="77"/>
      <c r="Q444" s="32"/>
      <c r="R444" s="32"/>
      <c r="S444" s="32"/>
      <c r="T444" s="32"/>
    </row>
    <row r="445" spans="3:20" x14ac:dyDescent="0.3">
      <c r="C445" s="11"/>
      <c r="D445" s="32"/>
      <c r="E445" s="11"/>
      <c r="K445" s="15"/>
      <c r="L445" s="47"/>
      <c r="M445" s="76"/>
      <c r="N445" s="76"/>
      <c r="O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P445" s="77"/>
      <c r="Q445" s="32"/>
      <c r="R445" s="32"/>
      <c r="S445" s="32"/>
      <c r="T445" s="32"/>
    </row>
    <row r="446" spans="3:20" x14ac:dyDescent="0.3">
      <c r="C446" s="11"/>
      <c r="D446" s="32"/>
      <c r="E446" s="11"/>
      <c r="K446" s="15"/>
      <c r="L446" s="47"/>
      <c r="M446" s="76"/>
      <c r="N446" s="76"/>
      <c r="O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P446" s="77"/>
      <c r="Q446" s="32"/>
      <c r="R446" s="32"/>
      <c r="S446" s="32"/>
      <c r="T446" s="32"/>
    </row>
    <row r="447" spans="3:20" x14ac:dyDescent="0.3">
      <c r="C447" s="11"/>
      <c r="D447" s="32"/>
      <c r="E447" s="11"/>
      <c r="K447" s="15"/>
      <c r="L447" s="47"/>
      <c r="M447" s="76"/>
      <c r="N447" s="76"/>
      <c r="O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P447" s="77"/>
      <c r="Q447" s="32"/>
      <c r="R447" s="32"/>
      <c r="S447" s="32"/>
      <c r="T447" s="32"/>
    </row>
    <row r="448" spans="3:20" x14ac:dyDescent="0.3">
      <c r="C448" s="11"/>
      <c r="D448" s="32"/>
      <c r="E448" s="11"/>
      <c r="K448" s="15"/>
      <c r="L448" s="47"/>
      <c r="M448" s="76"/>
      <c r="N448" s="76"/>
      <c r="O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P448" s="77"/>
      <c r="Q448" s="32"/>
      <c r="R448" s="32"/>
      <c r="S448" s="32"/>
      <c r="T448" s="32"/>
    </row>
    <row r="449" spans="3:20" x14ac:dyDescent="0.3">
      <c r="C449" s="11"/>
      <c r="D449" s="32"/>
      <c r="E449" s="11"/>
      <c r="K449" s="15"/>
      <c r="L449" s="47"/>
      <c r="M449" s="76"/>
      <c r="N449" s="76"/>
      <c r="O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P449" s="77"/>
      <c r="Q449" s="32"/>
      <c r="R449" s="32"/>
      <c r="S449" s="32"/>
      <c r="T449" s="32"/>
    </row>
    <row r="450" spans="3:20" x14ac:dyDescent="0.3">
      <c r="C450" s="11"/>
      <c r="D450" s="32"/>
      <c r="E450" s="11"/>
      <c r="K450" s="15"/>
      <c r="L450" s="47"/>
      <c r="M450" s="76"/>
      <c r="N450" s="76"/>
      <c r="O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P450" s="77"/>
      <c r="Q450" s="32"/>
      <c r="R450" s="32"/>
      <c r="S450" s="32"/>
      <c r="T450" s="32"/>
    </row>
    <row r="451" spans="3:20" x14ac:dyDescent="0.3">
      <c r="C451" s="11"/>
      <c r="D451" s="32"/>
      <c r="E451" s="11"/>
      <c r="K451" s="15"/>
      <c r="L451" s="47"/>
      <c r="M451" s="76"/>
      <c r="N451" s="76"/>
      <c r="O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P451" s="77"/>
      <c r="Q451" s="32"/>
      <c r="R451" s="32"/>
      <c r="S451" s="32"/>
      <c r="T451" s="32"/>
    </row>
    <row r="452" spans="3:20" x14ac:dyDescent="0.3">
      <c r="C452" s="11"/>
      <c r="D452" s="32"/>
      <c r="E452" s="11"/>
      <c r="K452" s="15"/>
      <c r="L452" s="47"/>
      <c r="M452" s="76"/>
      <c r="N452" s="76"/>
      <c r="O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P452" s="77"/>
      <c r="Q452" s="32"/>
      <c r="R452" s="32"/>
      <c r="S452" s="32"/>
      <c r="T452" s="32"/>
    </row>
    <row r="453" spans="3:20" x14ac:dyDescent="0.3">
      <c r="C453" s="11"/>
      <c r="D453" s="32"/>
      <c r="E453" s="11"/>
      <c r="K453" s="15"/>
      <c r="L453" s="47"/>
      <c r="M453" s="76"/>
      <c r="N453" s="76"/>
      <c r="O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P453" s="77"/>
      <c r="Q453" s="32"/>
      <c r="R453" s="32"/>
      <c r="S453" s="32"/>
      <c r="T453" s="32"/>
    </row>
    <row r="454" spans="3:20" x14ac:dyDescent="0.3">
      <c r="C454" s="11"/>
      <c r="D454" s="32"/>
      <c r="E454" s="11"/>
      <c r="K454" s="15"/>
      <c r="L454" s="47"/>
      <c r="M454" s="76"/>
      <c r="N454" s="76"/>
      <c r="O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P454" s="77"/>
      <c r="Q454" s="32"/>
      <c r="R454" s="32"/>
      <c r="S454" s="32"/>
      <c r="T454" s="32"/>
    </row>
    <row r="455" spans="3:20" x14ac:dyDescent="0.3">
      <c r="C455" s="11"/>
      <c r="D455" s="32"/>
      <c r="E455" s="11"/>
      <c r="K455" s="15"/>
      <c r="L455" s="47"/>
      <c r="M455" s="76"/>
      <c r="N455" s="76"/>
      <c r="O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P455" s="77"/>
      <c r="Q455" s="32"/>
      <c r="R455" s="32"/>
      <c r="S455" s="32"/>
      <c r="T455" s="32"/>
    </row>
    <row r="456" spans="3:20" x14ac:dyDescent="0.3">
      <c r="C456" s="11"/>
      <c r="D456" s="32"/>
      <c r="E456" s="11"/>
      <c r="K456" s="15"/>
      <c r="L456" s="47"/>
      <c r="M456" s="76"/>
      <c r="N456" s="76"/>
      <c r="O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P456" s="77"/>
      <c r="Q456" s="32"/>
      <c r="R456" s="32"/>
      <c r="S456" s="32"/>
      <c r="T456" s="32"/>
    </row>
    <row r="457" spans="3:20" x14ac:dyDescent="0.3">
      <c r="C457" s="11"/>
      <c r="D457" s="32"/>
      <c r="E457" s="11"/>
      <c r="K457" s="15"/>
      <c r="L457" s="47"/>
      <c r="M457" s="76"/>
      <c r="N457" s="76"/>
      <c r="O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P457" s="77"/>
      <c r="Q457" s="32"/>
      <c r="R457" s="32"/>
      <c r="S457" s="32"/>
      <c r="T457" s="32"/>
    </row>
    <row r="458" spans="3:20" x14ac:dyDescent="0.3">
      <c r="C458" s="11"/>
      <c r="D458" s="32"/>
      <c r="E458" s="11"/>
      <c r="K458" s="15"/>
      <c r="L458" s="47"/>
      <c r="M458" s="76"/>
      <c r="N458" s="76"/>
      <c r="O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P458" s="77"/>
      <c r="Q458" s="32"/>
      <c r="R458" s="32"/>
      <c r="S458" s="32"/>
      <c r="T458" s="32"/>
    </row>
    <row r="459" spans="3:20" x14ac:dyDescent="0.3">
      <c r="C459" s="11"/>
      <c r="D459" s="32"/>
      <c r="E459" s="11"/>
      <c r="K459" s="15"/>
      <c r="L459" s="47"/>
      <c r="M459" s="76"/>
      <c r="N459" s="76"/>
      <c r="O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P459" s="77"/>
      <c r="Q459" s="32"/>
      <c r="R459" s="32"/>
      <c r="S459" s="32"/>
      <c r="T459" s="32"/>
    </row>
    <row r="460" spans="3:20" x14ac:dyDescent="0.3">
      <c r="C460" s="11"/>
      <c r="D460" s="32"/>
      <c r="E460" s="11"/>
      <c r="K460" s="15"/>
      <c r="L460" s="47"/>
      <c r="M460" s="76"/>
      <c r="N460" s="76"/>
      <c r="O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P460" s="77"/>
      <c r="Q460" s="32"/>
      <c r="R460" s="32"/>
      <c r="S460" s="32"/>
      <c r="T460" s="32"/>
    </row>
    <row r="461" spans="3:20" x14ac:dyDescent="0.3">
      <c r="C461" s="11"/>
      <c r="D461" s="32"/>
      <c r="E461" s="11"/>
      <c r="K461" s="15"/>
      <c r="L461" s="47"/>
      <c r="M461" s="76"/>
      <c r="N461" s="76"/>
      <c r="O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P461" s="77"/>
      <c r="Q461" s="32"/>
      <c r="R461" s="32"/>
      <c r="S461" s="32"/>
      <c r="T461" s="32"/>
    </row>
    <row r="462" spans="3:20" x14ac:dyDescent="0.3">
      <c r="C462" s="11"/>
      <c r="D462" s="32"/>
      <c r="E462" s="11"/>
      <c r="K462" s="15"/>
      <c r="L462" s="47"/>
      <c r="M462" s="76"/>
      <c r="N462" s="76"/>
      <c r="O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P462" s="77"/>
      <c r="Q462" s="32"/>
      <c r="R462" s="32"/>
      <c r="S462" s="32"/>
      <c r="T462" s="32"/>
    </row>
    <row r="463" spans="3:20" x14ac:dyDescent="0.3">
      <c r="C463" s="11"/>
      <c r="D463" s="32"/>
      <c r="E463" s="11"/>
      <c r="K463" s="15"/>
      <c r="L463" s="47"/>
      <c r="M463" s="76"/>
      <c r="N463" s="76"/>
      <c r="O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P463" s="77"/>
      <c r="Q463" s="32"/>
      <c r="R463" s="32"/>
      <c r="S463" s="32"/>
      <c r="T463" s="32"/>
    </row>
    <row r="464" spans="3:20" x14ac:dyDescent="0.3">
      <c r="C464" s="11"/>
      <c r="D464" s="32"/>
      <c r="E464" s="11"/>
      <c r="K464" s="15"/>
      <c r="L464" s="47"/>
      <c r="M464" s="76"/>
      <c r="N464" s="76"/>
      <c r="O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P464" s="77"/>
      <c r="Q464" s="32"/>
      <c r="R464" s="32"/>
      <c r="S464" s="32"/>
      <c r="T464" s="32"/>
    </row>
    <row r="465" spans="3:20" x14ac:dyDescent="0.3">
      <c r="C465" s="11"/>
      <c r="D465" s="32"/>
      <c r="E465" s="11"/>
      <c r="K465" s="15"/>
      <c r="L465" s="47"/>
      <c r="M465" s="76"/>
      <c r="N465" s="76"/>
      <c r="O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P465" s="77"/>
      <c r="Q465" s="32"/>
      <c r="R465" s="32"/>
      <c r="S465" s="32"/>
      <c r="T465" s="32"/>
    </row>
    <row r="466" spans="3:20" x14ac:dyDescent="0.3">
      <c r="C466" s="11"/>
      <c r="D466" s="32"/>
      <c r="E466" s="11"/>
      <c r="K466" s="15"/>
      <c r="L466" s="47"/>
      <c r="M466" s="76"/>
      <c r="N466" s="76"/>
      <c r="O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P466" s="77"/>
      <c r="Q466" s="32"/>
      <c r="R466" s="32"/>
      <c r="S466" s="32"/>
      <c r="T466" s="32"/>
    </row>
    <row r="467" spans="3:20" x14ac:dyDescent="0.3">
      <c r="C467" s="11"/>
      <c r="D467" s="32"/>
      <c r="E467" s="11"/>
      <c r="K467" s="15"/>
      <c r="L467" s="47"/>
      <c r="M467" s="76"/>
      <c r="N467" s="76"/>
      <c r="O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P467" s="77"/>
      <c r="Q467" s="32"/>
      <c r="R467" s="32"/>
      <c r="S467" s="32"/>
      <c r="T467" s="32"/>
    </row>
    <row r="468" spans="3:20" x14ac:dyDescent="0.3">
      <c r="C468" s="11"/>
      <c r="D468" s="32"/>
      <c r="E468" s="11"/>
      <c r="K468" s="15"/>
      <c r="L468" s="47"/>
      <c r="M468" s="76"/>
      <c r="N468" s="76"/>
      <c r="O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P468" s="77"/>
      <c r="Q468" s="32"/>
      <c r="R468" s="32"/>
      <c r="S468" s="32"/>
      <c r="T468" s="32"/>
    </row>
    <row r="469" spans="3:20" x14ac:dyDescent="0.3">
      <c r="C469" s="11"/>
      <c r="D469" s="32"/>
      <c r="E469" s="11"/>
      <c r="K469" s="15"/>
      <c r="L469" s="47"/>
      <c r="M469" s="76"/>
      <c r="N469" s="76"/>
      <c r="O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P469" s="77"/>
      <c r="Q469" s="32"/>
      <c r="R469" s="32"/>
      <c r="S469" s="32"/>
      <c r="T469" s="32"/>
    </row>
    <row r="470" spans="3:20" x14ac:dyDescent="0.3">
      <c r="C470" s="11"/>
      <c r="D470" s="32"/>
      <c r="E470" s="11"/>
      <c r="K470" s="15"/>
      <c r="L470" s="47"/>
      <c r="M470" s="76"/>
      <c r="N470" s="76"/>
      <c r="O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P470" s="77"/>
      <c r="Q470" s="32"/>
      <c r="R470" s="32"/>
      <c r="S470" s="32"/>
      <c r="T470" s="32"/>
    </row>
    <row r="471" spans="3:20" x14ac:dyDescent="0.3">
      <c r="C471" s="11"/>
      <c r="D471" s="32"/>
      <c r="E471" s="11"/>
      <c r="K471" s="15"/>
      <c r="L471" s="47"/>
      <c r="M471" s="76"/>
      <c r="N471" s="76"/>
      <c r="O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P471" s="77"/>
      <c r="Q471" s="32"/>
      <c r="R471" s="32"/>
      <c r="S471" s="32"/>
      <c r="T471" s="32"/>
    </row>
    <row r="472" spans="3:20" x14ac:dyDescent="0.3">
      <c r="C472" s="11"/>
      <c r="D472" s="32"/>
      <c r="E472" s="11"/>
      <c r="K472" s="15"/>
      <c r="L472" s="47"/>
      <c r="M472" s="76"/>
      <c r="N472" s="76"/>
      <c r="O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P472" s="77"/>
      <c r="Q472" s="32"/>
      <c r="R472" s="32"/>
      <c r="S472" s="32"/>
      <c r="T472" s="32"/>
    </row>
    <row r="473" spans="3:20" x14ac:dyDescent="0.3">
      <c r="C473" s="11"/>
      <c r="D473" s="32"/>
      <c r="E473" s="11"/>
      <c r="K473" s="15"/>
      <c r="L473" s="47"/>
      <c r="M473" s="76"/>
      <c r="N473" s="76"/>
      <c r="O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P473" s="77"/>
      <c r="Q473" s="32"/>
      <c r="R473" s="32"/>
      <c r="S473" s="32"/>
      <c r="T473" s="32"/>
    </row>
    <row r="474" spans="3:20" x14ac:dyDescent="0.3">
      <c r="C474" s="11"/>
      <c r="D474" s="32"/>
      <c r="E474" s="11"/>
      <c r="K474" s="15"/>
      <c r="L474" s="47"/>
      <c r="M474" s="76"/>
      <c r="N474" s="76"/>
      <c r="O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P474" s="77"/>
      <c r="Q474" s="32"/>
      <c r="R474" s="32"/>
      <c r="S474" s="32"/>
      <c r="T474" s="32"/>
    </row>
    <row r="475" spans="3:20" x14ac:dyDescent="0.3">
      <c r="C475" s="11"/>
      <c r="D475" s="32"/>
      <c r="E475" s="11"/>
      <c r="K475" s="15"/>
      <c r="L475" s="47"/>
      <c r="M475" s="76"/>
      <c r="N475" s="76"/>
      <c r="O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P475" s="77"/>
      <c r="Q475" s="32"/>
      <c r="R475" s="32"/>
      <c r="S475" s="32"/>
      <c r="T475" s="32"/>
    </row>
    <row r="476" spans="3:20" x14ac:dyDescent="0.3">
      <c r="C476" s="11"/>
      <c r="D476" s="32"/>
      <c r="E476" s="11"/>
      <c r="K476" s="15"/>
      <c r="L476" s="47"/>
      <c r="M476" s="76"/>
      <c r="N476" s="76"/>
      <c r="O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P476" s="77"/>
      <c r="Q476" s="32"/>
      <c r="R476" s="32"/>
      <c r="S476" s="32"/>
      <c r="T476" s="32"/>
    </row>
    <row r="477" spans="3:20" x14ac:dyDescent="0.3">
      <c r="C477" s="11"/>
      <c r="D477" s="32"/>
      <c r="E477" s="11"/>
      <c r="K477" s="15"/>
      <c r="L477" s="47"/>
      <c r="M477" s="76"/>
      <c r="N477" s="76"/>
      <c r="O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P477" s="77"/>
      <c r="Q477" s="32"/>
      <c r="R477" s="32"/>
      <c r="S477" s="32"/>
      <c r="T477" s="32"/>
    </row>
    <row r="478" spans="3:20" x14ac:dyDescent="0.3">
      <c r="C478" s="11"/>
      <c r="D478" s="32"/>
      <c r="E478" s="11"/>
      <c r="K478" s="15"/>
      <c r="L478" s="47"/>
      <c r="M478" s="76"/>
      <c r="N478" s="76"/>
      <c r="O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P478" s="77"/>
      <c r="Q478" s="32"/>
      <c r="R478" s="32"/>
      <c r="S478" s="32"/>
      <c r="T478" s="32"/>
    </row>
    <row r="479" spans="3:20" x14ac:dyDescent="0.3">
      <c r="C479" s="11"/>
      <c r="D479" s="32"/>
      <c r="E479" s="11"/>
      <c r="K479" s="15"/>
      <c r="L479" s="47"/>
      <c r="M479" s="76"/>
      <c r="N479" s="76"/>
      <c r="O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P479" s="77"/>
      <c r="Q479" s="32"/>
      <c r="R479" s="32"/>
      <c r="S479" s="32"/>
      <c r="T479" s="32"/>
    </row>
    <row r="480" spans="3:20" x14ac:dyDescent="0.3">
      <c r="C480" s="11"/>
      <c r="D480" s="32"/>
      <c r="E480" s="11"/>
      <c r="K480" s="15"/>
      <c r="L480" s="47"/>
      <c r="M480" s="76"/>
      <c r="N480" s="76"/>
      <c r="O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P480" s="77"/>
      <c r="Q480" s="32"/>
      <c r="R480" s="32"/>
      <c r="S480" s="32"/>
      <c r="T480" s="32"/>
    </row>
    <row r="481" spans="3:20" x14ac:dyDescent="0.3">
      <c r="C481" s="11"/>
      <c r="D481" s="32"/>
      <c r="E481" s="11"/>
      <c r="K481" s="15"/>
      <c r="L481" s="47"/>
      <c r="M481" s="76"/>
      <c r="N481" s="76"/>
      <c r="O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P481" s="77"/>
      <c r="Q481" s="32"/>
      <c r="R481" s="32"/>
      <c r="S481" s="32"/>
      <c r="T481" s="32"/>
    </row>
    <row r="482" spans="3:20" x14ac:dyDescent="0.3">
      <c r="C482" s="11"/>
      <c r="D482" s="32"/>
      <c r="E482" s="11"/>
      <c r="K482" s="15"/>
      <c r="L482" s="47"/>
      <c r="M482" s="76"/>
      <c r="N482" s="76"/>
      <c r="O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P482" s="77"/>
      <c r="Q482" s="32"/>
      <c r="R482" s="32"/>
      <c r="S482" s="32"/>
      <c r="T482" s="32"/>
    </row>
    <row r="483" spans="3:20" x14ac:dyDescent="0.3">
      <c r="C483" s="11"/>
      <c r="D483" s="32"/>
      <c r="E483" s="11"/>
      <c r="K483" s="15"/>
      <c r="L483" s="47"/>
      <c r="M483" s="76"/>
      <c r="N483" s="76"/>
      <c r="O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P483" s="77"/>
      <c r="Q483" s="32"/>
      <c r="R483" s="32"/>
      <c r="S483" s="32"/>
      <c r="T483" s="32"/>
    </row>
    <row r="484" spans="3:20" x14ac:dyDescent="0.3">
      <c r="C484" s="11"/>
      <c r="D484" s="32"/>
      <c r="E484" s="11"/>
      <c r="K484" s="15"/>
      <c r="L484" s="47"/>
      <c r="M484" s="76"/>
      <c r="N484" s="76"/>
      <c r="O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P484" s="77"/>
      <c r="Q484" s="32"/>
      <c r="R484" s="32"/>
      <c r="S484" s="32"/>
      <c r="T484" s="32"/>
    </row>
    <row r="485" spans="3:20" x14ac:dyDescent="0.3">
      <c r="C485" s="11"/>
      <c r="D485" s="32"/>
      <c r="E485" s="11"/>
      <c r="K485" s="15"/>
      <c r="L485" s="47"/>
      <c r="M485" s="76"/>
      <c r="N485" s="76"/>
      <c r="O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P485" s="77"/>
      <c r="Q485" s="32"/>
      <c r="R485" s="32"/>
      <c r="S485" s="32"/>
      <c r="T485" s="32"/>
    </row>
    <row r="486" spans="3:20" x14ac:dyDescent="0.3">
      <c r="C486" s="11"/>
      <c r="D486" s="32"/>
      <c r="E486" s="11"/>
      <c r="K486" s="15"/>
      <c r="L486" s="47"/>
      <c r="M486" s="76"/>
      <c r="N486" s="76"/>
      <c r="O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P486" s="77"/>
      <c r="Q486" s="32"/>
      <c r="R486" s="32"/>
      <c r="S486" s="32"/>
      <c r="T486" s="32"/>
    </row>
    <row r="487" spans="3:20" x14ac:dyDescent="0.3">
      <c r="C487" s="11"/>
      <c r="D487" s="32"/>
      <c r="E487" s="11"/>
      <c r="K487" s="15"/>
      <c r="L487" s="47"/>
      <c r="M487" s="76"/>
      <c r="N487" s="76"/>
      <c r="O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P487" s="77"/>
      <c r="Q487" s="32"/>
      <c r="R487" s="32"/>
      <c r="S487" s="32"/>
      <c r="T487" s="32"/>
    </row>
    <row r="488" spans="3:20" x14ac:dyDescent="0.3">
      <c r="C488" s="11"/>
      <c r="D488" s="32"/>
      <c r="E488" s="11"/>
      <c r="K488" s="15"/>
      <c r="L488" s="47"/>
      <c r="M488" s="76"/>
      <c r="N488" s="76"/>
      <c r="O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P488" s="77"/>
      <c r="Q488" s="32"/>
      <c r="R488" s="32"/>
      <c r="S488" s="32"/>
      <c r="T488" s="32"/>
    </row>
    <row r="489" spans="3:20" x14ac:dyDescent="0.3">
      <c r="C489" s="11"/>
      <c r="D489" s="32"/>
      <c r="E489" s="11"/>
      <c r="K489" s="15"/>
      <c r="L489" s="47"/>
      <c r="M489" s="76"/>
      <c r="N489" s="76"/>
      <c r="O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P489" s="77"/>
      <c r="Q489" s="32"/>
      <c r="R489" s="32"/>
      <c r="S489" s="32"/>
      <c r="T489" s="32"/>
    </row>
    <row r="490" spans="3:20" x14ac:dyDescent="0.3">
      <c r="C490" s="11"/>
      <c r="D490" s="32"/>
      <c r="E490" s="11"/>
      <c r="K490" s="15"/>
      <c r="L490" s="47"/>
      <c r="M490" s="76"/>
      <c r="N490" s="76"/>
      <c r="O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P490" s="77"/>
      <c r="Q490" s="32"/>
      <c r="R490" s="32"/>
      <c r="S490" s="32"/>
      <c r="T490" s="32"/>
    </row>
    <row r="491" spans="3:20" x14ac:dyDescent="0.3">
      <c r="C491" s="11"/>
      <c r="D491" s="32"/>
      <c r="E491" s="11"/>
      <c r="K491" s="15"/>
      <c r="L491" s="47"/>
      <c r="M491" s="76"/>
      <c r="N491" s="76"/>
      <c r="O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P491" s="77"/>
      <c r="Q491" s="32"/>
      <c r="R491" s="32"/>
      <c r="S491" s="32"/>
      <c r="T491" s="32"/>
    </row>
    <row r="492" spans="3:20" x14ac:dyDescent="0.3">
      <c r="C492" s="11"/>
      <c r="D492" s="32"/>
      <c r="E492" s="11"/>
      <c r="K492" s="15"/>
      <c r="L492" s="47"/>
      <c r="M492" s="76"/>
      <c r="N492" s="76"/>
      <c r="O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P492" s="77"/>
      <c r="Q492" s="32"/>
      <c r="R492" s="32"/>
      <c r="S492" s="32"/>
      <c r="T492" s="32"/>
    </row>
    <row r="493" spans="3:20" x14ac:dyDescent="0.3">
      <c r="C493" s="11"/>
      <c r="D493" s="32"/>
      <c r="E493" s="11"/>
      <c r="K493" s="15"/>
      <c r="L493" s="47"/>
      <c r="M493" s="76"/>
      <c r="N493" s="76"/>
      <c r="O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P493" s="77"/>
      <c r="Q493" s="32"/>
      <c r="R493" s="32"/>
      <c r="S493" s="32"/>
      <c r="T493" s="32"/>
    </row>
    <row r="494" spans="3:20" x14ac:dyDescent="0.3">
      <c r="C494" s="11"/>
      <c r="D494" s="32"/>
      <c r="E494" s="11"/>
      <c r="K494" s="15"/>
      <c r="L494" s="47"/>
      <c r="M494" s="76"/>
      <c r="N494" s="76"/>
      <c r="O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P494" s="77"/>
      <c r="Q494" s="32"/>
      <c r="R494" s="32"/>
      <c r="S494" s="32"/>
      <c r="T494" s="32"/>
    </row>
    <row r="495" spans="3:20" x14ac:dyDescent="0.3">
      <c r="C495" s="11"/>
      <c r="D495" s="32"/>
      <c r="E495" s="11"/>
      <c r="K495" s="15"/>
      <c r="L495" s="47"/>
      <c r="M495" s="76"/>
      <c r="N495" s="76"/>
      <c r="O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P495" s="77"/>
      <c r="Q495" s="32"/>
      <c r="R495" s="32"/>
      <c r="S495" s="32"/>
      <c r="T495" s="32"/>
    </row>
    <row r="496" spans="3:20" x14ac:dyDescent="0.3">
      <c r="C496" s="11"/>
      <c r="D496" s="32"/>
      <c r="E496" s="11"/>
      <c r="K496" s="15"/>
      <c r="L496" s="47"/>
      <c r="M496" s="76"/>
      <c r="N496" s="76"/>
      <c r="O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P496" s="77"/>
      <c r="Q496" s="32"/>
      <c r="R496" s="32"/>
      <c r="S496" s="32"/>
      <c r="T496" s="32"/>
    </row>
    <row r="497" spans="3:20" x14ac:dyDescent="0.3">
      <c r="C497" s="11"/>
      <c r="D497" s="32"/>
      <c r="E497" s="11"/>
      <c r="K497" s="15"/>
      <c r="L497" s="47"/>
      <c r="M497" s="76"/>
      <c r="N497" s="76"/>
      <c r="O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P497" s="77"/>
      <c r="Q497" s="32"/>
      <c r="R497" s="32"/>
      <c r="S497" s="32"/>
      <c r="T497" s="32"/>
    </row>
    <row r="498" spans="3:20" x14ac:dyDescent="0.3">
      <c r="C498" s="11"/>
      <c r="D498" s="32"/>
      <c r="E498" s="11"/>
      <c r="K498" s="15"/>
      <c r="L498" s="47"/>
      <c r="M498" s="76"/>
      <c r="N498" s="76"/>
      <c r="O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P498" s="77"/>
      <c r="Q498" s="32"/>
      <c r="R498" s="32"/>
      <c r="S498" s="32"/>
      <c r="T498" s="32"/>
    </row>
    <row r="499" spans="3:20" x14ac:dyDescent="0.3">
      <c r="C499" s="11"/>
      <c r="D499" s="32"/>
      <c r="E499" s="11"/>
      <c r="K499" s="15"/>
      <c r="L499" s="47"/>
      <c r="M499" s="76"/>
      <c r="N499" s="76"/>
      <c r="O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P499" s="77"/>
      <c r="Q499" s="32"/>
      <c r="R499" s="32"/>
      <c r="S499" s="32"/>
      <c r="T499" s="32"/>
    </row>
    <row r="500" spans="3:20" x14ac:dyDescent="0.3">
      <c r="C500" s="11"/>
      <c r="D500" s="32"/>
      <c r="E500" s="11"/>
      <c r="K500" s="15"/>
      <c r="L500" s="47"/>
      <c r="M500" s="76"/>
      <c r="N500" s="76"/>
      <c r="O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P500" s="77"/>
      <c r="Q500" s="32"/>
      <c r="R500" s="32"/>
      <c r="S500" s="32"/>
      <c r="T500" s="32"/>
    </row>
    <row r="501" spans="3:20" x14ac:dyDescent="0.3">
      <c r="C501" s="11"/>
      <c r="D501" s="32"/>
      <c r="E501" s="11"/>
      <c r="K501" s="15"/>
      <c r="L501" s="47"/>
      <c r="M501" s="76"/>
      <c r="N501" s="76"/>
      <c r="O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P501" s="77"/>
      <c r="Q501" s="32"/>
      <c r="R501" s="32"/>
      <c r="S501" s="32"/>
      <c r="T501" s="32"/>
    </row>
    <row r="502" spans="3:20" x14ac:dyDescent="0.3">
      <c r="C502" s="11"/>
      <c r="D502" s="32"/>
      <c r="E502" s="11"/>
      <c r="K502" s="15"/>
      <c r="L502" s="47"/>
      <c r="M502" s="76"/>
      <c r="N502" s="76"/>
      <c r="O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P502" s="77"/>
      <c r="Q502" s="32"/>
      <c r="R502" s="32"/>
      <c r="S502" s="32"/>
      <c r="T502" s="32"/>
    </row>
    <row r="503" spans="3:20" x14ac:dyDescent="0.3">
      <c r="C503" s="11"/>
      <c r="D503" s="32"/>
      <c r="E503" s="11"/>
      <c r="K503" s="15"/>
      <c r="L503" s="47"/>
      <c r="M503" s="76"/>
      <c r="N503" s="76"/>
      <c r="O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P503" s="77"/>
      <c r="Q503" s="32"/>
      <c r="R503" s="32"/>
      <c r="S503" s="32"/>
      <c r="T503" s="32"/>
    </row>
    <row r="504" spans="3:20" x14ac:dyDescent="0.3">
      <c r="C504" s="11"/>
      <c r="D504" s="32"/>
      <c r="E504" s="11"/>
      <c r="K504" s="15"/>
      <c r="L504" s="47"/>
      <c r="M504" s="76"/>
      <c r="N504" s="76"/>
      <c r="O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P504" s="77"/>
      <c r="Q504" s="32"/>
      <c r="R504" s="32"/>
      <c r="S504" s="32"/>
      <c r="T504" s="32"/>
    </row>
    <row r="505" spans="3:20" x14ac:dyDescent="0.3">
      <c r="C505" s="11"/>
      <c r="D505" s="32"/>
      <c r="E505" s="11"/>
      <c r="K505" s="15"/>
      <c r="L505" s="47"/>
      <c r="M505" s="76"/>
      <c r="N505" s="76"/>
      <c r="O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P505" s="77"/>
      <c r="Q505" s="32"/>
      <c r="R505" s="32"/>
      <c r="S505" s="32"/>
      <c r="T505" s="32"/>
    </row>
    <row r="506" spans="3:20" x14ac:dyDescent="0.3">
      <c r="C506" s="11"/>
      <c r="D506" s="32"/>
      <c r="E506" s="11"/>
      <c r="K506" s="15"/>
      <c r="L506" s="47"/>
      <c r="M506" s="76"/>
      <c r="N506" s="76"/>
      <c r="O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P506" s="77"/>
      <c r="Q506" s="32"/>
      <c r="R506" s="32"/>
      <c r="S506" s="32"/>
      <c r="T506" s="32"/>
    </row>
    <row r="507" spans="3:20" x14ac:dyDescent="0.3">
      <c r="C507" s="11"/>
      <c r="D507" s="32"/>
      <c r="E507" s="11"/>
      <c r="K507" s="15"/>
      <c r="L507" s="47"/>
      <c r="M507" s="76"/>
      <c r="N507" s="76"/>
      <c r="O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P507" s="77"/>
      <c r="Q507" s="32"/>
      <c r="R507" s="32"/>
      <c r="S507" s="32"/>
      <c r="T507" s="32"/>
    </row>
    <row r="508" spans="3:20" x14ac:dyDescent="0.3">
      <c r="C508" s="11"/>
      <c r="D508" s="32"/>
      <c r="E508" s="11"/>
      <c r="K508" s="15"/>
      <c r="L508" s="47"/>
      <c r="M508" s="76"/>
      <c r="N508" s="76"/>
      <c r="O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P508" s="77"/>
      <c r="Q508" s="32"/>
      <c r="R508" s="32"/>
      <c r="S508" s="32"/>
      <c r="T508" s="32"/>
    </row>
    <row r="509" spans="3:20" x14ac:dyDescent="0.3">
      <c r="C509" s="11"/>
      <c r="D509" s="32"/>
      <c r="E509" s="11"/>
      <c r="K509" s="15"/>
      <c r="L509" s="47"/>
      <c r="M509" s="76"/>
      <c r="N509" s="76"/>
      <c r="O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P509" s="77"/>
      <c r="Q509" s="32"/>
      <c r="R509" s="32"/>
      <c r="S509" s="32"/>
      <c r="T509" s="32"/>
    </row>
    <row r="510" spans="3:20" x14ac:dyDescent="0.3">
      <c r="C510" s="11"/>
      <c r="D510" s="32"/>
      <c r="E510" s="11"/>
      <c r="K510" s="15"/>
      <c r="L510" s="47"/>
      <c r="M510" s="76"/>
      <c r="N510" s="76"/>
      <c r="O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P510" s="77"/>
      <c r="Q510" s="32"/>
      <c r="R510" s="32"/>
      <c r="S510" s="32"/>
      <c r="T510" s="32"/>
    </row>
    <row r="511" spans="3:20" x14ac:dyDescent="0.3">
      <c r="C511" s="11"/>
      <c r="D511" s="32"/>
      <c r="E511" s="11"/>
      <c r="K511" s="15"/>
      <c r="L511" s="47"/>
      <c r="M511" s="76"/>
      <c r="N511" s="76"/>
      <c r="O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P511" s="77"/>
      <c r="Q511" s="32"/>
      <c r="R511" s="32"/>
      <c r="S511" s="32"/>
      <c r="T511" s="32"/>
    </row>
    <row r="512" spans="3:20" x14ac:dyDescent="0.3">
      <c r="C512" s="11"/>
      <c r="D512" s="32"/>
      <c r="E512" s="11"/>
      <c r="K512" s="15"/>
      <c r="L512" s="47"/>
      <c r="M512" s="76"/>
      <c r="N512" s="76"/>
      <c r="O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P512" s="77"/>
      <c r="Q512" s="32"/>
      <c r="R512" s="32"/>
      <c r="S512" s="32"/>
      <c r="T512" s="32"/>
    </row>
    <row r="513" spans="3:20" x14ac:dyDescent="0.3">
      <c r="C513" s="11"/>
      <c r="D513" s="32"/>
      <c r="E513" s="11"/>
      <c r="K513" s="15"/>
      <c r="L513" s="47"/>
      <c r="M513" s="76"/>
      <c r="N513" s="76"/>
      <c r="O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P513" s="77"/>
      <c r="Q513" s="32"/>
      <c r="R513" s="32"/>
      <c r="S513" s="32"/>
      <c r="T513" s="32"/>
    </row>
    <row r="514" spans="3:20" x14ac:dyDescent="0.3">
      <c r="C514" s="11"/>
      <c r="D514" s="32"/>
      <c r="E514" s="11"/>
      <c r="K514" s="15"/>
      <c r="L514" s="47"/>
      <c r="M514" s="76"/>
      <c r="N514" s="76"/>
      <c r="O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P514" s="77"/>
      <c r="Q514" s="32"/>
      <c r="R514" s="32"/>
      <c r="S514" s="32"/>
      <c r="T514" s="32"/>
    </row>
    <row r="515" spans="3:20" x14ac:dyDescent="0.3">
      <c r="C515" s="11"/>
      <c r="D515" s="32"/>
      <c r="E515" s="11"/>
      <c r="K515" s="15"/>
      <c r="L515" s="47"/>
      <c r="M515" s="76"/>
      <c r="N515" s="76"/>
      <c r="O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P515" s="77"/>
      <c r="Q515" s="32"/>
      <c r="R515" s="32"/>
      <c r="S515" s="32"/>
      <c r="T515" s="32"/>
    </row>
    <row r="516" spans="3:20" x14ac:dyDescent="0.3">
      <c r="C516" s="11"/>
      <c r="D516" s="32"/>
      <c r="E516" s="11"/>
      <c r="K516" s="15"/>
      <c r="L516" s="47"/>
      <c r="M516" s="76"/>
      <c r="N516" s="76"/>
      <c r="O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P516" s="77"/>
      <c r="Q516" s="32"/>
      <c r="R516" s="32"/>
      <c r="S516" s="32"/>
      <c r="T516" s="32"/>
    </row>
    <row r="517" spans="3:20" x14ac:dyDescent="0.3">
      <c r="C517" s="11"/>
      <c r="D517" s="32"/>
      <c r="E517" s="11"/>
      <c r="K517" s="15"/>
      <c r="L517" s="47"/>
      <c r="M517" s="76"/>
      <c r="N517" s="76"/>
      <c r="O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P517" s="77"/>
      <c r="Q517" s="32"/>
      <c r="R517" s="32"/>
      <c r="S517" s="32"/>
      <c r="T517" s="32"/>
    </row>
    <row r="518" spans="3:20" x14ac:dyDescent="0.3">
      <c r="C518" s="11"/>
      <c r="D518" s="32"/>
      <c r="E518" s="11"/>
      <c r="K518" s="15"/>
      <c r="L518" s="47"/>
      <c r="M518" s="76"/>
      <c r="N518" s="76"/>
      <c r="O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P518" s="77"/>
      <c r="Q518" s="32"/>
      <c r="R518" s="32"/>
      <c r="S518" s="32"/>
      <c r="T518" s="32"/>
    </row>
    <row r="519" spans="3:20" x14ac:dyDescent="0.3">
      <c r="C519" s="11"/>
      <c r="D519" s="32"/>
      <c r="E519" s="11"/>
      <c r="K519" s="15"/>
      <c r="L519" s="47"/>
      <c r="M519" s="76"/>
      <c r="N519" s="76"/>
      <c r="O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P519" s="77"/>
      <c r="Q519" s="32"/>
      <c r="R519" s="32"/>
      <c r="S519" s="32"/>
      <c r="T519" s="32"/>
    </row>
    <row r="520" spans="3:20" x14ac:dyDescent="0.3">
      <c r="C520" s="11"/>
      <c r="D520" s="32"/>
      <c r="E520" s="11"/>
      <c r="K520" s="15"/>
      <c r="L520" s="47"/>
      <c r="M520" s="76"/>
      <c r="N520" s="76"/>
      <c r="O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P520" s="77"/>
      <c r="Q520" s="32"/>
      <c r="R520" s="32"/>
      <c r="S520" s="32"/>
      <c r="T520" s="32"/>
    </row>
    <row r="521" spans="3:20" x14ac:dyDescent="0.3">
      <c r="C521" s="11"/>
      <c r="D521" s="32"/>
      <c r="E521" s="11"/>
      <c r="K521" s="15"/>
      <c r="L521" s="47"/>
      <c r="M521" s="76"/>
      <c r="N521" s="76"/>
      <c r="O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P521" s="77"/>
      <c r="Q521" s="32"/>
      <c r="R521" s="32"/>
      <c r="S521" s="32"/>
      <c r="T521" s="32"/>
    </row>
    <row r="522" spans="3:20" x14ac:dyDescent="0.3">
      <c r="C522" s="11"/>
      <c r="D522" s="32"/>
      <c r="E522" s="11"/>
      <c r="K522" s="15"/>
      <c r="L522" s="47"/>
      <c r="M522" s="76"/>
      <c r="N522" s="76"/>
      <c r="O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P522" s="77"/>
      <c r="Q522" s="32"/>
      <c r="R522" s="32"/>
      <c r="S522" s="32"/>
      <c r="T522" s="32"/>
    </row>
    <row r="523" spans="3:20" x14ac:dyDescent="0.3">
      <c r="C523" s="11"/>
      <c r="D523" s="32"/>
      <c r="E523" s="11"/>
      <c r="K523" s="15"/>
      <c r="L523" s="47"/>
      <c r="M523" s="76"/>
      <c r="N523" s="76"/>
      <c r="O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P523" s="77"/>
      <c r="Q523" s="32"/>
      <c r="R523" s="32"/>
      <c r="S523" s="32"/>
      <c r="T523" s="32"/>
    </row>
    <row r="524" spans="3:20" x14ac:dyDescent="0.3">
      <c r="C524" s="11"/>
      <c r="D524" s="32"/>
      <c r="E524" s="11"/>
      <c r="K524" s="15"/>
      <c r="L524" s="47"/>
      <c r="M524" s="76"/>
      <c r="N524" s="76"/>
      <c r="O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P524" s="77"/>
      <c r="Q524" s="32"/>
      <c r="R524" s="32"/>
      <c r="S524" s="32"/>
      <c r="T524" s="32"/>
    </row>
    <row r="525" spans="3:20" x14ac:dyDescent="0.3">
      <c r="C525" s="11"/>
      <c r="D525" s="32"/>
      <c r="E525" s="11"/>
      <c r="K525" s="15"/>
      <c r="L525" s="47"/>
      <c r="M525" s="76"/>
      <c r="N525" s="76"/>
      <c r="O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P525" s="77"/>
      <c r="Q525" s="32"/>
      <c r="R525" s="32"/>
      <c r="S525" s="32"/>
      <c r="T525" s="32"/>
    </row>
    <row r="526" spans="3:20" x14ac:dyDescent="0.3">
      <c r="C526" s="11"/>
      <c r="D526" s="32"/>
      <c r="E526" s="11"/>
      <c r="K526" s="15"/>
      <c r="L526" s="47"/>
      <c r="M526" s="76"/>
      <c r="N526" s="76"/>
      <c r="O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P526" s="77"/>
      <c r="Q526" s="32"/>
      <c r="R526" s="32"/>
      <c r="S526" s="32"/>
      <c r="T526" s="32"/>
    </row>
    <row r="527" spans="3:20" x14ac:dyDescent="0.3">
      <c r="C527" s="11"/>
      <c r="D527" s="32"/>
      <c r="E527" s="11"/>
      <c r="K527" s="15"/>
      <c r="L527" s="47"/>
      <c r="M527" s="76"/>
      <c r="N527" s="76"/>
      <c r="O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P527" s="77"/>
      <c r="Q527" s="32"/>
      <c r="R527" s="32"/>
      <c r="S527" s="32"/>
      <c r="T527" s="32"/>
    </row>
    <row r="528" spans="3:20" x14ac:dyDescent="0.3">
      <c r="C528" s="11"/>
      <c r="D528" s="32"/>
      <c r="E528" s="11"/>
      <c r="K528" s="15"/>
      <c r="L528" s="47"/>
      <c r="M528" s="76"/>
      <c r="N528" s="76"/>
      <c r="O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P528" s="77"/>
      <c r="Q528" s="32"/>
      <c r="R528" s="32"/>
      <c r="S528" s="32"/>
      <c r="T528" s="32"/>
    </row>
    <row r="529" spans="3:20" x14ac:dyDescent="0.3">
      <c r="C529" s="11"/>
      <c r="D529" s="32"/>
      <c r="E529" s="11"/>
      <c r="K529" s="15"/>
      <c r="L529" s="47"/>
      <c r="M529" s="76"/>
      <c r="N529" s="76"/>
      <c r="O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P529" s="77"/>
      <c r="Q529" s="32"/>
      <c r="R529" s="32"/>
      <c r="S529" s="32"/>
      <c r="T529" s="32"/>
    </row>
    <row r="530" spans="3:20" x14ac:dyDescent="0.3">
      <c r="C530" s="11"/>
      <c r="D530" s="32"/>
      <c r="E530" s="11"/>
      <c r="K530" s="15"/>
      <c r="L530" s="47"/>
      <c r="M530" s="76"/>
      <c r="N530" s="76"/>
      <c r="O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P530" s="77"/>
      <c r="Q530" s="32"/>
      <c r="R530" s="32"/>
      <c r="S530" s="32"/>
      <c r="T530" s="32"/>
    </row>
    <row r="531" spans="3:20" x14ac:dyDescent="0.3">
      <c r="C531" s="11"/>
      <c r="D531" s="32"/>
      <c r="E531" s="11"/>
      <c r="K531" s="15"/>
      <c r="L531" s="47"/>
      <c r="M531" s="76"/>
      <c r="N531" s="76"/>
      <c r="O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P531" s="77"/>
      <c r="Q531" s="32"/>
      <c r="R531" s="32"/>
      <c r="S531" s="32"/>
      <c r="T531" s="32"/>
    </row>
    <row r="532" spans="3:20" x14ac:dyDescent="0.3">
      <c r="C532" s="11"/>
      <c r="D532" s="32"/>
      <c r="E532" s="11"/>
      <c r="K532" s="15"/>
      <c r="L532" s="47"/>
      <c r="M532" s="76"/>
      <c r="N532" s="76"/>
      <c r="O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P532" s="77"/>
      <c r="Q532" s="32"/>
      <c r="R532" s="32"/>
      <c r="S532" s="32"/>
      <c r="T532" s="32"/>
    </row>
    <row r="533" spans="3:20" x14ac:dyDescent="0.3">
      <c r="C533" s="11"/>
      <c r="D533" s="32"/>
      <c r="E533" s="11"/>
      <c r="K533" s="15"/>
      <c r="L533" s="47"/>
      <c r="M533" s="76"/>
      <c r="N533" s="76"/>
      <c r="O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P533" s="77"/>
      <c r="Q533" s="32"/>
      <c r="R533" s="32"/>
      <c r="S533" s="32"/>
      <c r="T533" s="32"/>
    </row>
    <row r="534" spans="3:20" x14ac:dyDescent="0.3">
      <c r="C534" s="11"/>
      <c r="D534" s="32"/>
      <c r="E534" s="11"/>
      <c r="K534" s="15"/>
      <c r="L534" s="78"/>
      <c r="M534" s="76"/>
      <c r="N534" s="76"/>
      <c r="O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P534" s="77"/>
      <c r="Q534" s="32"/>
      <c r="R534" s="32"/>
      <c r="S534" s="32"/>
      <c r="T534" s="32"/>
    </row>
    <row r="535" spans="3:20" x14ac:dyDescent="0.3">
      <c r="C535" s="11"/>
      <c r="D535" s="32"/>
      <c r="E535" s="11"/>
      <c r="K535" s="15"/>
      <c r="L535" s="47"/>
      <c r="M535" s="76"/>
      <c r="N535" s="76"/>
      <c r="O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P535" s="77"/>
      <c r="Q535" s="32"/>
      <c r="R535" s="32"/>
      <c r="S535" s="32"/>
      <c r="T535" s="32"/>
    </row>
    <row r="536" spans="3:20" x14ac:dyDescent="0.3">
      <c r="C536" s="11"/>
      <c r="D536" s="32"/>
      <c r="E536" s="11"/>
      <c r="K536" s="15"/>
      <c r="L536" s="47"/>
      <c r="M536" s="76"/>
      <c r="N536" s="76"/>
      <c r="O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P536" s="77"/>
      <c r="Q536" s="32"/>
      <c r="R536" s="32"/>
      <c r="S536" s="32"/>
      <c r="T536" s="32"/>
    </row>
    <row r="537" spans="3:20" x14ac:dyDescent="0.3">
      <c r="C537" s="11"/>
      <c r="D537" s="32"/>
      <c r="E537" s="11"/>
      <c r="K537" s="15"/>
      <c r="L537" s="47"/>
      <c r="M537" s="76"/>
      <c r="N537" s="76"/>
      <c r="O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P537" s="77"/>
      <c r="Q537" s="32"/>
      <c r="R537" s="32"/>
      <c r="S537" s="32"/>
      <c r="T537" s="32"/>
    </row>
    <row r="538" spans="3:20" x14ac:dyDescent="0.3">
      <c r="C538" s="11"/>
      <c r="D538" s="32"/>
      <c r="E538" s="11"/>
      <c r="K538" s="15"/>
      <c r="L538" s="47"/>
      <c r="M538" s="76"/>
      <c r="N538" s="76"/>
      <c r="O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P538" s="77"/>
      <c r="Q538" s="32"/>
      <c r="R538" s="32"/>
      <c r="S538" s="32"/>
      <c r="T538" s="32"/>
    </row>
    <row r="539" spans="3:20" x14ac:dyDescent="0.3">
      <c r="C539" s="11"/>
      <c r="D539" s="32"/>
      <c r="E539" s="11"/>
      <c r="K539" s="15"/>
      <c r="L539" s="47"/>
      <c r="M539" s="76"/>
      <c r="N539" s="76"/>
      <c r="O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P539" s="77"/>
      <c r="Q539" s="32"/>
      <c r="R539" s="32"/>
      <c r="S539" s="32"/>
      <c r="T539" s="32"/>
    </row>
    <row r="540" spans="3:20" x14ac:dyDescent="0.3">
      <c r="C540" s="11"/>
      <c r="D540" s="32"/>
      <c r="E540" s="11"/>
      <c r="K540" s="15"/>
      <c r="L540" s="47"/>
      <c r="M540" s="76"/>
      <c r="N540" s="76"/>
      <c r="O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P540" s="77"/>
      <c r="Q540" s="32"/>
      <c r="R540" s="32"/>
      <c r="S540" s="32"/>
      <c r="T540" s="32"/>
    </row>
    <row r="541" spans="3:20" x14ac:dyDescent="0.3">
      <c r="C541" s="11"/>
      <c r="D541" s="32"/>
      <c r="E541" s="11"/>
      <c r="K541" s="15"/>
      <c r="L541" s="47"/>
      <c r="M541" s="76"/>
      <c r="N541" s="76"/>
      <c r="O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P541" s="77"/>
      <c r="Q541" s="32"/>
      <c r="R541" s="32"/>
      <c r="S541" s="32"/>
      <c r="T541" s="32"/>
    </row>
    <row r="542" spans="3:20" x14ac:dyDescent="0.3">
      <c r="C542" s="11"/>
      <c r="D542" s="32"/>
      <c r="E542" s="11"/>
      <c r="K542" s="15"/>
      <c r="L542" s="47"/>
      <c r="M542" s="76"/>
      <c r="N542" s="76"/>
      <c r="O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P542" s="77"/>
      <c r="Q542" s="32"/>
      <c r="R542" s="32"/>
      <c r="S542" s="32"/>
      <c r="T542" s="32"/>
    </row>
    <row r="543" spans="3:20" x14ac:dyDescent="0.3">
      <c r="C543" s="11"/>
      <c r="D543" s="32"/>
      <c r="E543" s="11"/>
      <c r="K543" s="15"/>
      <c r="L543" s="47"/>
      <c r="M543" s="76"/>
      <c r="N543" s="76"/>
      <c r="O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P543" s="77"/>
      <c r="Q543" s="32"/>
      <c r="R543" s="32"/>
      <c r="S543" s="32"/>
      <c r="T543" s="32"/>
    </row>
    <row r="544" spans="3:20" x14ac:dyDescent="0.3">
      <c r="C544" s="11"/>
      <c r="D544" s="32"/>
      <c r="E544" s="11"/>
      <c r="K544" s="15"/>
      <c r="L544" s="47"/>
      <c r="M544" s="76"/>
      <c r="N544" s="76"/>
      <c r="O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P544" s="77"/>
      <c r="Q544" s="32"/>
      <c r="R544" s="32"/>
      <c r="S544" s="32"/>
      <c r="T544" s="32"/>
    </row>
    <row r="545" spans="3:20" x14ac:dyDescent="0.3">
      <c r="C545" s="11"/>
      <c r="D545" s="32"/>
      <c r="E545" s="11"/>
      <c r="K545" s="15"/>
      <c r="L545" s="47"/>
      <c r="M545" s="76"/>
      <c r="N545" s="76"/>
      <c r="O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P545" s="77"/>
      <c r="Q545" s="32"/>
      <c r="R545" s="32"/>
      <c r="S545" s="32"/>
      <c r="T545" s="32"/>
    </row>
    <row r="546" spans="3:20" x14ac:dyDescent="0.3">
      <c r="C546" s="11"/>
      <c r="D546" s="32"/>
      <c r="E546" s="11"/>
      <c r="K546" s="15"/>
      <c r="L546" s="47"/>
      <c r="M546" s="76"/>
      <c r="N546" s="76"/>
      <c r="O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P546" s="77"/>
      <c r="Q546" s="32"/>
      <c r="R546" s="32"/>
      <c r="S546" s="32"/>
      <c r="T546" s="32"/>
    </row>
    <row r="547" spans="3:20" x14ac:dyDescent="0.3">
      <c r="C547" s="11"/>
      <c r="D547" s="32"/>
      <c r="E547" s="11"/>
      <c r="K547" s="15"/>
      <c r="L547" s="47"/>
      <c r="M547" s="76"/>
      <c r="N547" s="76"/>
      <c r="O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P547" s="77"/>
      <c r="Q547" s="32"/>
      <c r="R547" s="32"/>
      <c r="S547" s="32"/>
      <c r="T547" s="32"/>
    </row>
    <row r="548" spans="3:20" x14ac:dyDescent="0.3">
      <c r="C548" s="11"/>
      <c r="D548" s="32"/>
      <c r="E548" s="11"/>
      <c r="K548" s="15"/>
      <c r="L548" s="47"/>
      <c r="M548" s="76"/>
      <c r="N548" s="76"/>
      <c r="O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P548" s="77"/>
      <c r="Q548" s="32"/>
      <c r="R548" s="32"/>
      <c r="S548" s="32"/>
      <c r="T548" s="32"/>
    </row>
    <row r="549" spans="3:20" x14ac:dyDescent="0.3">
      <c r="C549" s="11"/>
      <c r="D549" s="32"/>
      <c r="E549" s="11"/>
      <c r="K549" s="15"/>
      <c r="L549" s="47"/>
      <c r="M549" s="76"/>
      <c r="N549" s="76"/>
      <c r="O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P549" s="77"/>
      <c r="Q549" s="32"/>
      <c r="R549" s="32"/>
      <c r="S549" s="32"/>
      <c r="T549" s="32"/>
    </row>
    <row r="550" spans="3:20" x14ac:dyDescent="0.3">
      <c r="C550" s="11"/>
      <c r="D550" s="32"/>
      <c r="E550" s="11"/>
      <c r="K550" s="15"/>
      <c r="L550" s="47"/>
      <c r="M550" s="76"/>
      <c r="N550" s="76"/>
      <c r="O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P550" s="77"/>
      <c r="Q550" s="32"/>
      <c r="R550" s="32"/>
      <c r="S550" s="32"/>
      <c r="T550" s="32"/>
    </row>
    <row r="551" spans="3:20" x14ac:dyDescent="0.3">
      <c r="C551" s="11"/>
      <c r="D551" s="32"/>
      <c r="E551" s="11"/>
      <c r="K551" s="15"/>
      <c r="L551" s="47"/>
      <c r="M551" s="76"/>
      <c r="N551" s="76"/>
      <c r="O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P551" s="77"/>
      <c r="Q551" s="32"/>
      <c r="R551" s="32"/>
      <c r="S551" s="32"/>
      <c r="T551" s="32"/>
    </row>
    <row r="552" spans="3:20" x14ac:dyDescent="0.3">
      <c r="C552" s="11"/>
      <c r="D552" s="32"/>
      <c r="E552" s="11"/>
      <c r="K552" s="15"/>
      <c r="L552" s="47"/>
      <c r="M552" s="76"/>
      <c r="N552" s="76"/>
      <c r="O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P552" s="77"/>
      <c r="Q552" s="32"/>
      <c r="R552" s="32"/>
      <c r="S552" s="32"/>
      <c r="T552" s="32"/>
    </row>
    <row r="553" spans="3:20" x14ac:dyDescent="0.3">
      <c r="C553" s="11"/>
      <c r="D553" s="32"/>
      <c r="E553" s="11"/>
      <c r="K553" s="15"/>
      <c r="L553" s="47"/>
      <c r="M553" s="76"/>
      <c r="N553" s="76"/>
      <c r="O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P553" s="77"/>
      <c r="Q553" s="32"/>
      <c r="R553" s="32"/>
      <c r="S553" s="32"/>
      <c r="T553" s="32"/>
    </row>
    <row r="554" spans="3:20" x14ac:dyDescent="0.3">
      <c r="C554" s="11"/>
      <c r="D554" s="32"/>
      <c r="E554" s="11"/>
      <c r="K554" s="15"/>
      <c r="L554" s="47"/>
      <c r="M554" s="76"/>
      <c r="N554" s="76"/>
      <c r="O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P554" s="77"/>
      <c r="Q554" s="32"/>
      <c r="R554" s="32"/>
      <c r="S554" s="32"/>
      <c r="T554" s="32"/>
    </row>
    <row r="555" spans="3:20" x14ac:dyDescent="0.3">
      <c r="C555" s="11"/>
      <c r="D555" s="32"/>
      <c r="E555" s="11"/>
      <c r="K555" s="15"/>
      <c r="L555" s="47"/>
      <c r="M555" s="76"/>
      <c r="N555" s="76"/>
      <c r="O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P555" s="77"/>
      <c r="Q555" s="32"/>
      <c r="R555" s="32"/>
      <c r="S555" s="32"/>
      <c r="T555" s="32"/>
    </row>
    <row r="556" spans="3:20" x14ac:dyDescent="0.3">
      <c r="C556" s="11"/>
      <c r="D556" s="32"/>
      <c r="E556" s="11"/>
      <c r="K556" s="15"/>
      <c r="L556" s="47"/>
      <c r="M556" s="76"/>
      <c r="N556" s="76"/>
      <c r="O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P556" s="77"/>
      <c r="Q556" s="32"/>
      <c r="R556" s="32"/>
      <c r="S556" s="32"/>
      <c r="T556" s="32"/>
    </row>
    <row r="557" spans="3:20" x14ac:dyDescent="0.3">
      <c r="C557" s="11"/>
      <c r="D557" s="32"/>
      <c r="E557" s="11"/>
      <c r="K557" s="15"/>
      <c r="L557" s="47"/>
      <c r="M557" s="76"/>
      <c r="N557" s="76"/>
      <c r="O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P557" s="77"/>
      <c r="Q557" s="32"/>
      <c r="R557" s="32"/>
      <c r="S557" s="32"/>
      <c r="T557" s="32"/>
    </row>
    <row r="558" spans="3:20" x14ac:dyDescent="0.3">
      <c r="C558" s="11"/>
      <c r="D558" s="32"/>
      <c r="E558" s="11"/>
      <c r="K558" s="15"/>
      <c r="L558" s="47"/>
      <c r="M558" s="76"/>
      <c r="N558" s="76"/>
      <c r="O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P558" s="77"/>
      <c r="Q558" s="32"/>
      <c r="R558" s="32"/>
      <c r="S558" s="32"/>
      <c r="T558" s="32"/>
    </row>
    <row r="559" spans="3:20" x14ac:dyDescent="0.3">
      <c r="C559" s="11"/>
      <c r="D559" s="32"/>
      <c r="E559" s="11"/>
      <c r="K559" s="15"/>
      <c r="L559" s="47"/>
      <c r="M559" s="76"/>
      <c r="N559" s="76"/>
      <c r="O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P559" s="77"/>
      <c r="Q559" s="32"/>
      <c r="R559" s="32"/>
      <c r="S559" s="32"/>
      <c r="T559" s="32"/>
    </row>
    <row r="560" spans="3:20" x14ac:dyDescent="0.3">
      <c r="C560" s="11"/>
      <c r="D560" s="32"/>
      <c r="E560" s="11"/>
      <c r="K560" s="15"/>
      <c r="L560" s="47"/>
      <c r="M560" s="76"/>
      <c r="N560" s="76"/>
      <c r="O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P560" s="77"/>
      <c r="Q560" s="32"/>
      <c r="R560" s="32"/>
      <c r="S560" s="32"/>
      <c r="T560" s="32"/>
    </row>
    <row r="561" spans="3:20" x14ac:dyDescent="0.3">
      <c r="C561" s="11"/>
      <c r="D561" s="32"/>
      <c r="E561" s="11"/>
      <c r="K561" s="15"/>
      <c r="L561" s="47"/>
      <c r="M561" s="76"/>
      <c r="N561" s="76"/>
      <c r="O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P561" s="77"/>
      <c r="Q561" s="32"/>
      <c r="R561" s="32"/>
      <c r="S561" s="32"/>
      <c r="T561" s="32"/>
    </row>
    <row r="562" spans="3:20" x14ac:dyDescent="0.3">
      <c r="C562" s="11"/>
      <c r="D562" s="32"/>
      <c r="E562" s="11"/>
      <c r="K562" s="15"/>
      <c r="L562" s="47"/>
      <c r="M562" s="76"/>
      <c r="N562" s="76"/>
      <c r="O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P562" s="77"/>
      <c r="Q562" s="32"/>
      <c r="R562" s="32"/>
      <c r="S562" s="32"/>
      <c r="T562" s="32"/>
    </row>
    <row r="563" spans="3:20" x14ac:dyDescent="0.3">
      <c r="C563" s="11"/>
      <c r="D563" s="32"/>
      <c r="E563" s="11"/>
      <c r="K563" s="15"/>
      <c r="L563" s="47"/>
      <c r="M563" s="76"/>
      <c r="N563" s="76"/>
      <c r="O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P563" s="77"/>
      <c r="Q563" s="32"/>
      <c r="R563" s="32"/>
      <c r="S563" s="32"/>
      <c r="T563" s="32"/>
    </row>
    <row r="564" spans="3:20" x14ac:dyDescent="0.3">
      <c r="C564" s="11"/>
      <c r="D564" s="32"/>
      <c r="E564" s="11"/>
      <c r="K564" s="15"/>
      <c r="L564" s="47"/>
      <c r="M564" s="76"/>
      <c r="N564" s="76"/>
      <c r="O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P564" s="77"/>
      <c r="Q564" s="32"/>
      <c r="R564" s="32"/>
      <c r="S564" s="32"/>
      <c r="T564" s="32"/>
    </row>
    <row r="565" spans="3:20" x14ac:dyDescent="0.3">
      <c r="C565" s="11"/>
      <c r="D565" s="32"/>
      <c r="E565" s="11"/>
      <c r="K565" s="15"/>
      <c r="L565" s="47"/>
      <c r="M565" s="76"/>
      <c r="N565" s="76"/>
      <c r="O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P565" s="77"/>
      <c r="Q565" s="32"/>
      <c r="R565" s="32"/>
      <c r="S565" s="32"/>
      <c r="T565" s="32"/>
    </row>
    <row r="566" spans="3:20" x14ac:dyDescent="0.3">
      <c r="C566" s="11"/>
      <c r="D566" s="32"/>
      <c r="E566" s="11"/>
      <c r="K566" s="15"/>
      <c r="L566" s="47"/>
      <c r="M566" s="76"/>
      <c r="N566" s="76"/>
      <c r="O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P566" s="77"/>
      <c r="Q566" s="32"/>
      <c r="R566" s="32"/>
      <c r="S566" s="32"/>
      <c r="T566" s="32"/>
    </row>
    <row r="567" spans="3:20" x14ac:dyDescent="0.3">
      <c r="C567" s="11"/>
      <c r="D567" s="32"/>
      <c r="E567" s="11"/>
      <c r="K567" s="15"/>
      <c r="L567" s="47"/>
      <c r="M567" s="76"/>
      <c r="N567" s="76"/>
      <c r="O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P567" s="77"/>
      <c r="Q567" s="32"/>
      <c r="R567" s="32"/>
      <c r="S567" s="32"/>
      <c r="T567" s="32"/>
    </row>
    <row r="568" spans="3:20" x14ac:dyDescent="0.3">
      <c r="C568" s="11"/>
      <c r="D568" s="32"/>
      <c r="E568" s="11"/>
      <c r="K568" s="15"/>
      <c r="L568" s="47"/>
      <c r="M568" s="76"/>
      <c r="N568" s="76"/>
      <c r="O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P568" s="77"/>
      <c r="Q568" s="32"/>
      <c r="R568" s="32"/>
      <c r="S568" s="32"/>
      <c r="T568" s="32"/>
    </row>
    <row r="569" spans="3:20" x14ac:dyDescent="0.3">
      <c r="C569" s="11"/>
      <c r="D569" s="32"/>
      <c r="E569" s="11"/>
      <c r="K569" s="15"/>
      <c r="L569" s="47"/>
      <c r="M569" s="76"/>
      <c r="N569" s="76"/>
      <c r="O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P569" s="77"/>
      <c r="Q569" s="32"/>
      <c r="R569" s="32"/>
      <c r="S569" s="32"/>
      <c r="T569" s="32"/>
    </row>
    <row r="570" spans="3:20" x14ac:dyDescent="0.3">
      <c r="C570" s="11"/>
      <c r="D570" s="32"/>
      <c r="E570" s="11"/>
      <c r="K570" s="15"/>
      <c r="L570" s="47"/>
      <c r="M570" s="76"/>
      <c r="N570" s="76"/>
      <c r="O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P570" s="77"/>
      <c r="Q570" s="32"/>
      <c r="R570" s="32"/>
      <c r="S570" s="32"/>
      <c r="T570" s="32"/>
    </row>
    <row r="571" spans="3:20" x14ac:dyDescent="0.3">
      <c r="C571" s="11"/>
      <c r="D571" s="32"/>
      <c r="E571" s="11"/>
      <c r="K571" s="15"/>
      <c r="L571" s="47"/>
      <c r="M571" s="76"/>
      <c r="N571" s="76"/>
      <c r="O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P571" s="77"/>
      <c r="Q571" s="32"/>
      <c r="R571" s="32"/>
      <c r="S571" s="32"/>
      <c r="T571" s="32"/>
    </row>
    <row r="572" spans="3:20" x14ac:dyDescent="0.3">
      <c r="C572" s="11"/>
      <c r="D572" s="32"/>
      <c r="E572" s="11"/>
      <c r="K572" s="15"/>
      <c r="L572" s="47"/>
      <c r="M572" s="76"/>
      <c r="N572" s="76"/>
      <c r="O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P572" s="77"/>
      <c r="Q572" s="32"/>
      <c r="R572" s="32"/>
      <c r="S572" s="32"/>
      <c r="T572" s="32"/>
    </row>
    <row r="573" spans="3:20" x14ac:dyDescent="0.3">
      <c r="C573" s="11"/>
      <c r="D573" s="32"/>
      <c r="E573" s="11"/>
      <c r="K573" s="15"/>
      <c r="L573" s="47"/>
      <c r="M573" s="76"/>
      <c r="N573" s="76"/>
      <c r="O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P573" s="77"/>
      <c r="Q573" s="32"/>
      <c r="R573" s="32"/>
      <c r="S573" s="32"/>
      <c r="T573" s="32"/>
    </row>
    <row r="574" spans="3:20" x14ac:dyDescent="0.3">
      <c r="C574" s="11"/>
      <c r="D574" s="32"/>
      <c r="E574" s="11"/>
      <c r="K574" s="15"/>
      <c r="L574" s="47"/>
      <c r="M574" s="76"/>
      <c r="N574" s="76"/>
      <c r="O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P574" s="77"/>
      <c r="Q574" s="32"/>
      <c r="R574" s="32"/>
      <c r="S574" s="32"/>
      <c r="T574" s="32"/>
    </row>
    <row r="575" spans="3:20" x14ac:dyDescent="0.3">
      <c r="C575" s="11"/>
      <c r="D575" s="32"/>
      <c r="E575" s="11"/>
      <c r="K575" s="15"/>
      <c r="L575" s="47"/>
      <c r="M575" s="76"/>
      <c r="N575" s="76"/>
      <c r="O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P575" s="77"/>
      <c r="Q575" s="32"/>
      <c r="R575" s="32"/>
      <c r="S575" s="32"/>
      <c r="T575" s="32"/>
    </row>
    <row r="576" spans="3:20" x14ac:dyDescent="0.3">
      <c r="C576" s="11"/>
      <c r="D576" s="32"/>
      <c r="E576" s="11"/>
      <c r="K576" s="15"/>
      <c r="L576" s="47"/>
      <c r="M576" s="76"/>
      <c r="N576" s="76"/>
      <c r="O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P576" s="77"/>
      <c r="Q576" s="32"/>
      <c r="R576" s="32"/>
      <c r="S576" s="32"/>
      <c r="T576" s="32"/>
    </row>
    <row r="577" spans="3:20" x14ac:dyDescent="0.3">
      <c r="C577" s="11"/>
      <c r="D577" s="32"/>
      <c r="E577" s="11"/>
      <c r="K577" s="15"/>
      <c r="L577" s="47"/>
      <c r="M577" s="76"/>
      <c r="N577" s="76"/>
      <c r="O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P577" s="77"/>
      <c r="Q577" s="32"/>
      <c r="R577" s="32"/>
      <c r="S577" s="32"/>
      <c r="T577" s="32"/>
    </row>
    <row r="578" spans="3:20" x14ac:dyDescent="0.3">
      <c r="C578" s="11"/>
      <c r="D578" s="32"/>
      <c r="E578" s="11"/>
      <c r="K578" s="15"/>
      <c r="L578" s="47"/>
      <c r="M578" s="76"/>
      <c r="N578" s="76"/>
      <c r="O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P578" s="77"/>
      <c r="Q578" s="32"/>
      <c r="R578" s="32"/>
      <c r="S578" s="32"/>
      <c r="T578" s="32"/>
    </row>
    <row r="579" spans="3:20" x14ac:dyDescent="0.3">
      <c r="C579" s="11"/>
      <c r="D579" s="32"/>
      <c r="E579" s="11"/>
      <c r="K579" s="15"/>
      <c r="L579" s="47"/>
      <c r="M579" s="76"/>
      <c r="N579" s="76"/>
      <c r="O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P579" s="77"/>
      <c r="Q579" s="32"/>
      <c r="R579" s="32"/>
      <c r="S579" s="32"/>
      <c r="T579" s="32"/>
    </row>
    <row r="580" spans="3:20" x14ac:dyDescent="0.3">
      <c r="C580" s="11"/>
      <c r="D580" s="32"/>
      <c r="E580" s="11"/>
      <c r="K580" s="15"/>
      <c r="L580" s="47"/>
      <c r="M580" s="76"/>
      <c r="N580" s="76"/>
      <c r="O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P580" s="77"/>
      <c r="Q580" s="32"/>
      <c r="R580" s="32"/>
      <c r="S580" s="32"/>
      <c r="T580" s="32"/>
    </row>
    <row r="581" spans="3:20" x14ac:dyDescent="0.3">
      <c r="C581" s="11"/>
      <c r="D581" s="32"/>
      <c r="E581" s="11"/>
      <c r="K581" s="15"/>
      <c r="L581" s="47"/>
      <c r="M581" s="76"/>
      <c r="N581" s="76"/>
      <c r="O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P581" s="77"/>
      <c r="Q581" s="32"/>
      <c r="R581" s="32"/>
      <c r="S581" s="32"/>
      <c r="T581" s="32"/>
    </row>
    <row r="582" spans="3:20" x14ac:dyDescent="0.3">
      <c r="C582" s="11"/>
      <c r="D582" s="32"/>
      <c r="E582" s="11"/>
      <c r="K582" s="15"/>
      <c r="L582" s="47"/>
      <c r="M582" s="76"/>
      <c r="N582" s="76"/>
      <c r="O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P582" s="77"/>
      <c r="Q582" s="32"/>
      <c r="R582" s="32"/>
      <c r="S582" s="32"/>
      <c r="T582" s="32"/>
    </row>
    <row r="583" spans="3:20" x14ac:dyDescent="0.3">
      <c r="C583" s="11"/>
      <c r="D583" s="32"/>
      <c r="E583" s="11"/>
      <c r="K583" s="15"/>
      <c r="L583" s="47"/>
      <c r="M583" s="76"/>
      <c r="N583" s="76"/>
      <c r="O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P583" s="77"/>
      <c r="Q583" s="32"/>
      <c r="R583" s="32"/>
      <c r="S583" s="32"/>
      <c r="T583" s="32"/>
    </row>
    <row r="584" spans="3:20" x14ac:dyDescent="0.3">
      <c r="C584" s="11"/>
      <c r="D584" s="32"/>
      <c r="E584" s="11"/>
      <c r="K584" s="15"/>
      <c r="L584" s="47"/>
      <c r="M584" s="76"/>
      <c r="N584" s="76"/>
      <c r="O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P584" s="77"/>
      <c r="Q584" s="32"/>
      <c r="R584" s="32"/>
      <c r="S584" s="32"/>
      <c r="T584" s="32"/>
    </row>
    <row r="585" spans="3:20" x14ac:dyDescent="0.3">
      <c r="C585" s="11"/>
      <c r="D585" s="32"/>
      <c r="E585" s="11"/>
      <c r="K585" s="15"/>
      <c r="L585" s="47"/>
      <c r="M585" s="76"/>
      <c r="N585" s="76"/>
      <c r="O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P585" s="77"/>
      <c r="Q585" s="32"/>
      <c r="R585" s="32"/>
      <c r="S585" s="32"/>
      <c r="T585" s="32"/>
    </row>
    <row r="586" spans="3:20" x14ac:dyDescent="0.3">
      <c r="C586" s="11"/>
      <c r="D586" s="32"/>
      <c r="E586" s="11"/>
      <c r="K586" s="15"/>
      <c r="L586" s="47"/>
      <c r="M586" s="76"/>
      <c r="N586" s="76"/>
      <c r="O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P586" s="77"/>
      <c r="Q586" s="32"/>
      <c r="R586" s="32"/>
      <c r="S586" s="32"/>
      <c r="T586" s="32"/>
    </row>
    <row r="587" spans="3:20" x14ac:dyDescent="0.3">
      <c r="C587" s="11"/>
      <c r="D587" s="32"/>
      <c r="E587" s="11"/>
      <c r="K587" s="15"/>
      <c r="L587" s="47"/>
      <c r="M587" s="76"/>
      <c r="N587" s="76"/>
      <c r="O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P587" s="77"/>
      <c r="Q587" s="32"/>
      <c r="R587" s="32"/>
      <c r="S587" s="32"/>
      <c r="T587" s="32"/>
    </row>
    <row r="588" spans="3:20" x14ac:dyDescent="0.3">
      <c r="C588" s="11"/>
      <c r="D588" s="32"/>
      <c r="E588" s="11"/>
      <c r="K588" s="15"/>
      <c r="L588" s="47"/>
      <c r="M588" s="76"/>
      <c r="N588" s="76"/>
      <c r="O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P588" s="77"/>
      <c r="Q588" s="32"/>
      <c r="R588" s="32"/>
      <c r="S588" s="32"/>
      <c r="T588" s="32"/>
    </row>
    <row r="589" spans="3:20" x14ac:dyDescent="0.3">
      <c r="C589" s="11"/>
      <c r="D589" s="32"/>
      <c r="E589" s="11"/>
      <c r="K589" s="15"/>
      <c r="L589" s="47"/>
      <c r="M589" s="76"/>
      <c r="N589" s="76"/>
      <c r="O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P589" s="77"/>
      <c r="Q589" s="32"/>
      <c r="R589" s="32"/>
      <c r="S589" s="32"/>
      <c r="T589" s="32"/>
    </row>
    <row r="590" spans="3:20" x14ac:dyDescent="0.3">
      <c r="C590" s="11"/>
      <c r="D590" s="32"/>
      <c r="E590" s="11"/>
      <c r="K590" s="15"/>
      <c r="L590" s="47"/>
      <c r="M590" s="76"/>
      <c r="N590" s="76"/>
      <c r="O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P590" s="77"/>
      <c r="Q590" s="32"/>
      <c r="R590" s="32"/>
      <c r="S590" s="32"/>
      <c r="T590" s="32"/>
    </row>
    <row r="591" spans="3:20" x14ac:dyDescent="0.3">
      <c r="C591" s="11"/>
      <c r="D591" s="32"/>
      <c r="E591" s="11"/>
      <c r="K591" s="15"/>
      <c r="L591" s="47"/>
      <c r="M591" s="76"/>
      <c r="N591" s="76"/>
      <c r="O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P591" s="77"/>
      <c r="Q591" s="32"/>
      <c r="R591" s="32"/>
      <c r="S591" s="32"/>
      <c r="T591" s="32"/>
    </row>
    <row r="592" spans="3:20" x14ac:dyDescent="0.3">
      <c r="C592" s="11"/>
      <c r="D592" s="32"/>
      <c r="E592" s="11"/>
      <c r="K592" s="15"/>
      <c r="L592" s="47"/>
      <c r="M592" s="76"/>
      <c r="N592" s="76"/>
      <c r="O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P592" s="77"/>
      <c r="Q592" s="32"/>
      <c r="R592" s="32"/>
      <c r="S592" s="32"/>
      <c r="T592" s="32"/>
    </row>
    <row r="593" spans="3:20" x14ac:dyDescent="0.3">
      <c r="C593" s="11"/>
      <c r="D593" s="32"/>
      <c r="E593" s="11"/>
      <c r="K593" s="15"/>
      <c r="L593" s="47"/>
      <c r="M593" s="76"/>
      <c r="N593" s="76"/>
      <c r="O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P593" s="77"/>
      <c r="Q593" s="32"/>
      <c r="R593" s="32"/>
      <c r="S593" s="32"/>
      <c r="T593" s="32"/>
    </row>
    <row r="594" spans="3:20" x14ac:dyDescent="0.3">
      <c r="C594" s="11"/>
      <c r="D594" s="32"/>
      <c r="E594" s="11"/>
      <c r="K594" s="15"/>
      <c r="L594" s="47"/>
      <c r="M594" s="76"/>
      <c r="N594" s="76"/>
      <c r="O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P594" s="77"/>
      <c r="Q594" s="32"/>
      <c r="R594" s="32"/>
      <c r="S594" s="32"/>
      <c r="T594" s="32"/>
    </row>
    <row r="595" spans="3:20" x14ac:dyDescent="0.3">
      <c r="C595" s="11"/>
      <c r="D595" s="32"/>
      <c r="E595" s="11"/>
      <c r="K595" s="15"/>
      <c r="L595" s="47"/>
      <c r="M595" s="76"/>
      <c r="N595" s="76"/>
      <c r="O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P595" s="77"/>
      <c r="Q595" s="32"/>
      <c r="R595" s="32"/>
      <c r="S595" s="32"/>
      <c r="T595" s="32"/>
    </row>
    <row r="596" spans="3:20" x14ac:dyDescent="0.3">
      <c r="C596" s="11"/>
      <c r="D596" s="32"/>
      <c r="E596" s="11"/>
      <c r="K596" s="15"/>
      <c r="L596" s="47"/>
      <c r="M596" s="76"/>
      <c r="N596" s="76"/>
      <c r="O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P596" s="77"/>
      <c r="Q596" s="32"/>
      <c r="R596" s="32"/>
      <c r="S596" s="32"/>
      <c r="T596" s="32"/>
    </row>
    <row r="597" spans="3:20" x14ac:dyDescent="0.3">
      <c r="C597" s="11"/>
      <c r="D597" s="32"/>
      <c r="E597" s="11"/>
      <c r="K597" s="15"/>
      <c r="L597" s="47"/>
      <c r="M597" s="76"/>
      <c r="N597" s="76"/>
      <c r="O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P597" s="77"/>
      <c r="Q597" s="32"/>
      <c r="R597" s="32"/>
      <c r="S597" s="32"/>
      <c r="T597" s="32"/>
    </row>
    <row r="598" spans="3:20" x14ac:dyDescent="0.3">
      <c r="C598" s="11"/>
      <c r="D598" s="32"/>
      <c r="E598" s="11"/>
      <c r="K598" s="15"/>
      <c r="L598" s="47"/>
      <c r="M598" s="76"/>
      <c r="N598" s="76"/>
      <c r="O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P598" s="77"/>
      <c r="Q598" s="32"/>
      <c r="R598" s="32"/>
      <c r="S598" s="32"/>
      <c r="T598" s="32"/>
    </row>
    <row r="599" spans="3:20" x14ac:dyDescent="0.3">
      <c r="C599" s="11"/>
      <c r="D599" s="32"/>
      <c r="E599" s="11"/>
      <c r="K599" s="15"/>
      <c r="L599" s="47"/>
      <c r="M599" s="76"/>
      <c r="N599" s="76"/>
      <c r="O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P599" s="77"/>
      <c r="Q599" s="32"/>
      <c r="R599" s="32"/>
      <c r="S599" s="32"/>
      <c r="T599" s="32"/>
    </row>
    <row r="600" spans="3:20" x14ac:dyDescent="0.3">
      <c r="C600" s="11"/>
      <c r="D600" s="32"/>
      <c r="E600" s="11"/>
      <c r="K600" s="15"/>
      <c r="L600" s="47"/>
      <c r="M600" s="76"/>
      <c r="N600" s="76"/>
      <c r="O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P600" s="77"/>
      <c r="Q600" s="32"/>
      <c r="R600" s="32"/>
      <c r="S600" s="32"/>
      <c r="T600" s="32"/>
    </row>
    <row r="601" spans="3:20" x14ac:dyDescent="0.3">
      <c r="C601" s="11"/>
      <c r="D601" s="32"/>
      <c r="E601" s="11"/>
      <c r="K601" s="15"/>
      <c r="L601" s="47"/>
      <c r="M601" s="76"/>
      <c r="N601" s="76"/>
      <c r="O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P601" s="77"/>
      <c r="Q601" s="32"/>
      <c r="R601" s="32"/>
      <c r="S601" s="32"/>
      <c r="T601" s="32"/>
    </row>
    <row r="602" spans="3:20" x14ac:dyDescent="0.3">
      <c r="C602" s="11"/>
      <c r="D602" s="32"/>
      <c r="E602" s="11"/>
      <c r="K602" s="15"/>
      <c r="L602" s="47"/>
      <c r="M602" s="76"/>
      <c r="N602" s="76"/>
      <c r="O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P602" s="77"/>
      <c r="Q602" s="32"/>
      <c r="R602" s="32"/>
      <c r="S602" s="32"/>
      <c r="T602" s="32"/>
    </row>
    <row r="603" spans="3:20" x14ac:dyDescent="0.3">
      <c r="C603" s="11"/>
      <c r="D603" s="32"/>
      <c r="E603" s="11"/>
      <c r="K603" s="15"/>
      <c r="L603" s="47"/>
      <c r="M603" s="76"/>
      <c r="N603" s="76"/>
      <c r="O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P603" s="77"/>
      <c r="Q603" s="32"/>
      <c r="R603" s="32"/>
      <c r="S603" s="32"/>
      <c r="T603" s="32"/>
    </row>
    <row r="604" spans="3:20" x14ac:dyDescent="0.3">
      <c r="C604" s="11"/>
      <c r="D604" s="32"/>
      <c r="E604" s="11"/>
      <c r="K604" s="15"/>
      <c r="L604" s="47"/>
      <c r="M604" s="76"/>
      <c r="N604" s="76"/>
      <c r="O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P604" s="77"/>
      <c r="Q604" s="32"/>
      <c r="R604" s="32"/>
      <c r="S604" s="32"/>
      <c r="T604" s="32"/>
    </row>
    <row r="605" spans="3:20" x14ac:dyDescent="0.3">
      <c r="C605" s="11"/>
      <c r="D605" s="32"/>
      <c r="E605" s="11"/>
      <c r="K605" s="15"/>
      <c r="L605" s="47"/>
      <c r="M605" s="76"/>
      <c r="N605" s="76"/>
      <c r="O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P605" s="77"/>
      <c r="Q605" s="32"/>
      <c r="R605" s="32"/>
      <c r="S605" s="32"/>
      <c r="T605" s="32"/>
    </row>
    <row r="606" spans="3:20" x14ac:dyDescent="0.3">
      <c r="C606" s="11"/>
      <c r="D606" s="32"/>
      <c r="E606" s="11"/>
      <c r="K606" s="15"/>
      <c r="L606" s="47"/>
      <c r="M606" s="76"/>
      <c r="N606" s="76"/>
      <c r="O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P606" s="77"/>
      <c r="Q606" s="32"/>
      <c r="R606" s="32"/>
      <c r="S606" s="32"/>
      <c r="T606" s="32"/>
    </row>
    <row r="607" spans="3:20" x14ac:dyDescent="0.3">
      <c r="C607" s="11"/>
      <c r="D607" s="32"/>
      <c r="E607" s="11"/>
      <c r="K607" s="15"/>
      <c r="L607" s="47"/>
      <c r="M607" s="76"/>
      <c r="N607" s="76"/>
      <c r="O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P607" s="77"/>
      <c r="Q607" s="32"/>
      <c r="R607" s="32"/>
      <c r="S607" s="32"/>
      <c r="T607" s="32"/>
    </row>
    <row r="608" spans="3:20" x14ac:dyDescent="0.3">
      <c r="C608" s="11"/>
      <c r="D608" s="32"/>
      <c r="E608" s="11"/>
      <c r="K608" s="15"/>
      <c r="L608" s="47"/>
      <c r="M608" s="76"/>
      <c r="N608" s="76"/>
      <c r="O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P608" s="77"/>
      <c r="Q608" s="32"/>
      <c r="R608" s="32"/>
      <c r="S608" s="32"/>
      <c r="T608" s="32"/>
    </row>
    <row r="609" spans="3:20" x14ac:dyDescent="0.3">
      <c r="C609" s="11"/>
      <c r="D609" s="32"/>
      <c r="E609" s="11"/>
      <c r="K609" s="15"/>
      <c r="L609" s="47"/>
      <c r="M609" s="76"/>
      <c r="N609" s="76"/>
      <c r="O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P609" s="77"/>
      <c r="Q609" s="32"/>
      <c r="R609" s="32"/>
      <c r="S609" s="32"/>
      <c r="T609" s="32"/>
    </row>
    <row r="610" spans="3:20" x14ac:dyDescent="0.3">
      <c r="C610" s="11"/>
      <c r="D610" s="32"/>
      <c r="E610" s="11"/>
      <c r="K610" s="15"/>
      <c r="L610" s="47"/>
      <c r="M610" s="76"/>
      <c r="N610" s="76"/>
      <c r="O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P610" s="77"/>
      <c r="Q610" s="32"/>
      <c r="R610" s="32"/>
      <c r="S610" s="32"/>
      <c r="T610" s="32"/>
    </row>
    <row r="611" spans="3:20" x14ac:dyDescent="0.3">
      <c r="C611" s="11"/>
      <c r="D611" s="32"/>
      <c r="E611" s="11"/>
      <c r="K611" s="15"/>
      <c r="L611" s="47"/>
      <c r="M611" s="76"/>
      <c r="N611" s="76"/>
      <c r="O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P611" s="77"/>
      <c r="Q611" s="32"/>
      <c r="R611" s="32"/>
      <c r="S611" s="32"/>
      <c r="T611" s="32"/>
    </row>
    <row r="612" spans="3:20" x14ac:dyDescent="0.3">
      <c r="C612" s="11"/>
    </row>
    <row r="613" spans="3:20" x14ac:dyDescent="0.3">
      <c r="C613" s="11"/>
    </row>
    <row r="614" spans="3:20" x14ac:dyDescent="0.3">
      <c r="C614" s="11"/>
    </row>
    <row r="615" spans="3:20" x14ac:dyDescent="0.3">
      <c r="C615" s="11"/>
    </row>
    <row r="616" spans="3:20" x14ac:dyDescent="0.3">
      <c r="C616" s="11"/>
    </row>
    <row r="617" spans="3:20" x14ac:dyDescent="0.3">
      <c r="C617" s="11"/>
    </row>
    <row r="618" spans="3:20" x14ac:dyDescent="0.3">
      <c r="C618" s="11"/>
    </row>
  </sheetData>
  <phoneticPr fontId="15" type="noConversion"/>
  <dataValidations count="9">
    <dataValidation type="list" allowBlank="1" showInputMessage="1" showErrorMessage="1" sqref="S2:S611" xr:uid="{9CB9FC40-F991-417D-B3DB-186DB76C23C1}">
      <formula1>$Z$2:$Z$4</formula1>
    </dataValidation>
    <dataValidation type="whole" allowBlank="1" showInputMessage="1" showErrorMessage="1" sqref="D2:D139" xr:uid="{F9443BFA-0AE5-49F5-9748-7EA250C716DF}">
      <formula1>1</formula1>
      <formula2>100</formula2>
    </dataValidation>
    <dataValidation type="list" allowBlank="1" showInputMessage="1" promptTitle="Guia" prompt="Si tiene dudas sobre que dato colocar consulte las siguientes tablas y no olvide revisar los comentarios_x000a__x000a_" sqref="F2:J139" xr:uid="{A550A7F1-9949-4C08-8AF7-C5E7FC6837AE}">
      <formula1>INDIRECT($E$2:$E$611)</formula1>
    </dataValidation>
    <dataValidation type="list" allowBlank="1" showInputMessage="1" showErrorMessage="1" sqref="R2:R611" xr:uid="{7123CE13-1CB8-4141-815D-E55B3B95D05C}">
      <formula1>$AB$10:$AB$12</formula1>
    </dataValidation>
    <dataValidation allowBlank="1" showInputMessage="1" showErrorMessage="1" sqref="D140:D618" xr:uid="{92BE9E2E-AF5E-453D-80B4-5BA0DED22F2D}"/>
    <dataValidation type="list" allowBlank="1" showInputMessage="1" showErrorMessage="1" sqref="C2:C618" xr:uid="{055BF85A-5D7E-4EE2-B707-E67FDF35A95E}">
      <formula1>$W$2:$W$12</formula1>
    </dataValidation>
    <dataValidation type="list" allowBlank="1" showInputMessage="1" showErrorMessage="1" sqref="E204:E615" xr:uid="{36B8803C-E23F-45B2-A01E-84379E32E0D2}">
      <formula1>$AC$2:$AC$7</formula1>
    </dataValidation>
    <dataValidation type="list" allowBlank="1" showInputMessage="1" promptTitle="Guia" prompt="puede realizar Las siguientes opciones_x000a_si eligio electricos tiene las siguientes opciones de una posible sublista_x000a_" sqref="F140:J611" xr:uid="{A76BEC4F-2F5E-4073-811B-E8676135ED79}">
      <formula1>INDIRECT($E$2:$E$611)</formula1>
    </dataValidation>
    <dataValidation type="list" allowBlank="1" showInputMessage="1" showErrorMessage="1" sqref="E2:E203" xr:uid="{D51D082A-871C-4A9F-976C-3B42313D4AF4}">
      <formula1>$AF$1:$AM$1</formula1>
    </dataValidation>
  </dataValidations>
  <pageMargins left="0.7" right="0.7" top="0.75" bottom="0.75" header="0.3" footer="0.3"/>
  <legacyDrawing r:id="rId1"/>
  <tableParts count="4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84DD54E-4448-4C2A-8209-15D36CAD7CF8}">
          <x14:formula1>
            <xm:f>Hoja2!$B$3:$B$79</xm:f>
          </x14:formula1>
          <xm:sqref>B11:B34</xm:sqref>
        </x14:dataValidation>
        <x14:dataValidation type="list" allowBlank="1" showInputMessage="1" showErrorMessage="1" xr:uid="{EB649582-27E8-47F2-8563-CF6F0E079349}">
          <x14:formula1>
            <xm:f>Hoja2!$B$3:$B$78</xm:f>
          </x14:formula1>
          <xm:sqref>B35:B611</xm:sqref>
        </x14:dataValidation>
        <x14:dataValidation type="list" allowBlank="1" showInputMessage="1" showErrorMessage="1" xr:uid="{9613EB08-F1F9-4F96-9772-F3C57ED7A28A}">
          <x14:formula1>
            <xm:f>Hoja2!$B$3:$B$80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B7068-BCD4-4C84-85BE-83F0AA8E1E4A}">
  <dimension ref="B1:BP618"/>
  <sheetViews>
    <sheetView zoomScale="85" zoomScaleNormal="85" workbookViewId="0">
      <pane xSplit="3" topLeftCell="G1" activePane="topRight" state="frozen"/>
      <selection pane="topRight" activeCell="H43" sqref="H43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9" width="36.33203125" customWidth="1"/>
    <col min="10" max="10" width="18.88671875" customWidth="1"/>
    <col min="11" max="11" width="13.88671875" customWidth="1"/>
    <col min="12" max="12" width="15.109375" customWidth="1"/>
    <col min="13" max="13" width="22.6640625" customWidth="1"/>
    <col min="14" max="14" width="21.33203125" customWidth="1"/>
    <col min="15" max="15" width="23.109375" customWidth="1"/>
    <col min="16" max="16" width="17.44140625" customWidth="1"/>
    <col min="17" max="17" width="24.109375" customWidth="1"/>
    <col min="18" max="18" width="18.6640625" customWidth="1"/>
    <col min="19" max="19" width="43.6640625" customWidth="1"/>
    <col min="20" max="20" width="15.6640625" customWidth="1"/>
    <col min="21" max="21" width="11.6640625" customWidth="1"/>
    <col min="22" max="22" width="18.6640625" customWidth="1"/>
    <col min="25" max="25" width="11.33203125" customWidth="1"/>
    <col min="27" max="27" width="19.5546875" customWidth="1"/>
    <col min="28" max="28" width="23.44140625" bestFit="1" customWidth="1"/>
    <col min="29" max="29" width="21.33203125" customWidth="1"/>
    <col min="30" max="30" width="22.33203125" customWidth="1"/>
    <col min="31" max="31" width="24" customWidth="1"/>
    <col min="32" max="32" width="24.44140625" customWidth="1"/>
    <col min="33" max="33" width="26.109375" customWidth="1"/>
    <col min="34" max="34" width="23.6640625" customWidth="1"/>
    <col min="35" max="35" width="24" customWidth="1"/>
    <col min="36" max="36" width="21.33203125" customWidth="1"/>
    <col min="37" max="37" width="21.109375" customWidth="1"/>
    <col min="38" max="38" width="19.44140625" bestFit="1" customWidth="1"/>
    <col min="39" max="39" width="22.5546875" customWidth="1"/>
    <col min="40" max="40" width="29.6640625" customWidth="1"/>
    <col min="41" max="41" width="25" customWidth="1"/>
    <col min="42" max="42" width="26.6640625" customWidth="1"/>
    <col min="43" max="43" width="28.33203125" customWidth="1"/>
    <col min="44" max="44" width="27.109375" customWidth="1"/>
    <col min="45" max="47" width="33.6640625" customWidth="1"/>
    <col min="48" max="48" width="22.5546875" customWidth="1"/>
    <col min="49" max="49" width="26.109375" customWidth="1"/>
    <col min="50" max="50" width="25.33203125" customWidth="1"/>
    <col min="51" max="51" width="21.109375" customWidth="1"/>
    <col min="52" max="52" width="19" customWidth="1"/>
    <col min="53" max="53" width="15.5546875" customWidth="1"/>
    <col min="54" max="54" width="18.33203125" customWidth="1"/>
    <col min="55" max="55" width="18.109375" customWidth="1"/>
  </cols>
  <sheetData>
    <row r="1" spans="2:68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7" t="s">
        <v>567</v>
      </c>
      <c r="H1" s="37" t="s">
        <v>570</v>
      </c>
      <c r="I1" s="37" t="s">
        <v>571</v>
      </c>
      <c r="J1" s="36" t="s">
        <v>205</v>
      </c>
      <c r="K1" s="36" t="s">
        <v>206</v>
      </c>
      <c r="L1" s="36" t="s">
        <v>342</v>
      </c>
      <c r="M1" s="37" t="s">
        <v>207</v>
      </c>
      <c r="N1" s="37" t="s">
        <v>343</v>
      </c>
      <c r="O1" s="37" t="s">
        <v>208</v>
      </c>
      <c r="P1" s="37" t="s">
        <v>209</v>
      </c>
      <c r="Q1" s="37" t="s">
        <v>210</v>
      </c>
      <c r="R1" s="38" t="s">
        <v>211</v>
      </c>
      <c r="S1" s="37" t="s">
        <v>212</v>
      </c>
      <c r="T1" s="39"/>
      <c r="U1" s="40" t="s">
        <v>213</v>
      </c>
      <c r="V1" s="41" t="s">
        <v>201</v>
      </c>
      <c r="X1" s="42" t="s">
        <v>213</v>
      </c>
      <c r="Y1" s="43" t="s">
        <v>211</v>
      </c>
      <c r="AA1" s="44" t="s">
        <v>213</v>
      </c>
      <c r="AB1" s="45" t="s">
        <v>214</v>
      </c>
      <c r="AD1" s="46"/>
      <c r="AE1" s="1" t="s">
        <v>4</v>
      </c>
      <c r="AF1" s="2" t="s">
        <v>5</v>
      </c>
      <c r="AG1" s="3" t="s">
        <v>6</v>
      </c>
      <c r="AH1" s="2" t="s">
        <v>7</v>
      </c>
      <c r="AI1" s="3" t="s">
        <v>8</v>
      </c>
      <c r="AJ1" s="3" t="s">
        <v>160</v>
      </c>
      <c r="AK1" s="2" t="s">
        <v>9</v>
      </c>
      <c r="AL1" s="4" t="s">
        <v>10</v>
      </c>
      <c r="AM1" t="s">
        <v>11</v>
      </c>
      <c r="AN1" t="s">
        <v>12</v>
      </c>
      <c r="AQ1" t="s">
        <v>215</v>
      </c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</row>
    <row r="2" spans="2:68" ht="26.4" customHeight="1" x14ac:dyDescent="0.3">
      <c r="B2" t="s">
        <v>49</v>
      </c>
      <c r="C2" s="11" t="s">
        <v>177</v>
      </c>
      <c r="D2">
        <v>1</v>
      </c>
      <c r="E2" s="11" t="str" cm="1">
        <f t="array" ref="E2">_xlfn.IFS(
    COUNTIF(Herramientas_eléctricas1862106149192321[Herramientas_eléctricas], B2) &gt; 0, Herramientas_eléctricas1862106149192321[[#Headers],[Herramientas_eléctricas]],
    COUNTIF(Herramientas_neumáticas1963107150193322[Herramientas_neumáticas], B2) &gt; 0, Herramientas_neumáticas1963107150193322[[#Headers],[Herramientas_neumáticas]],
    COUNTIF(Herramientas_de_medición2064108151194323[Herramientas_de_medición], B2) &gt; 0, Herramientas_de_medición2064108151194323[[#Headers],[Herramientas_de_medición]],
    COUNTIF(Herrramientas_mecánicas2165109152195324[Herramientas_mecánicas], B2) &gt; 0, Herrramientas_mecánicas2165109152195324[[#Headers],[Herramientas_mecánicas]],
    COUNTIF(AI2:AI8, B2) &gt; 0, Herramientas_hidráulicas2266110153196325[[#Headers],[Herramientas_hidráulicas]],
    COUNTIF(EPP_2367111154197326[SPCC], B2) &gt; 0, EPP_2367111154197326[[#Headers],[SPCC]],
   COUNTIF(Herramientas_de_izaje2468112155198327[Herramientas_de_izaje], B2) &gt; 0, Herramientas_de_izaje2468112155198327[[#Headers],[Herramientas_de_izaje]],
COUNTIF(Tabla162670114157200329[Equipos], B2) &gt; 0, Tabla162670114157200329[[#Headers],[Equipos]],
    TRUE, "Sin clasificación"
)</f>
        <v>Herramientas_eléctricas</v>
      </c>
      <c r="F2" s="15"/>
      <c r="G2" s="15"/>
      <c r="H2" s="15" t="s">
        <v>573</v>
      </c>
      <c r="I2" s="15" t="s">
        <v>573</v>
      </c>
      <c r="J2" s="15" t="s">
        <v>572</v>
      </c>
      <c r="K2" s="47" t="s">
        <v>573</v>
      </c>
      <c r="M2" s="47">
        <v>309000096</v>
      </c>
      <c r="N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ZE-TA-INS-0001</v>
      </c>
      <c r="P2" s="15"/>
      <c r="R2" s="48"/>
      <c r="U2" s="49">
        <v>1</v>
      </c>
      <c r="V2" s="50" t="s">
        <v>171</v>
      </c>
      <c r="X2" s="51">
        <v>1</v>
      </c>
      <c r="Y2" s="52" t="s">
        <v>216</v>
      </c>
      <c r="AA2" s="51">
        <v>1</v>
      </c>
      <c r="AB2" s="52" t="s">
        <v>4</v>
      </c>
      <c r="AE2" s="5" t="s">
        <v>13</v>
      </c>
      <c r="AF2" t="s">
        <v>14</v>
      </c>
      <c r="AG2" t="s">
        <v>15</v>
      </c>
      <c r="AH2" t="s">
        <v>16</v>
      </c>
      <c r="AI2" s="6" t="s">
        <v>17</v>
      </c>
      <c r="AJ2" t="s">
        <v>18</v>
      </c>
      <c r="AK2" t="s">
        <v>19</v>
      </c>
      <c r="AL2" s="6" t="s">
        <v>20</v>
      </c>
      <c r="AM2" t="s">
        <v>21</v>
      </c>
      <c r="AN2" s="7" t="s">
        <v>22</v>
      </c>
      <c r="AQ2" s="25" t="s">
        <v>217</v>
      </c>
      <c r="AR2" t="s">
        <v>218</v>
      </c>
      <c r="AS2" t="s">
        <v>219</v>
      </c>
      <c r="AT2" s="25" t="s">
        <v>220</v>
      </c>
      <c r="AU2" t="s">
        <v>221</v>
      </c>
      <c r="BA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2:68" ht="29.25" customHeight="1" x14ac:dyDescent="0.3">
      <c r="B3" t="s">
        <v>49</v>
      </c>
      <c r="C3" s="11" t="s">
        <v>177</v>
      </c>
      <c r="D3">
        <v>1</v>
      </c>
      <c r="E3" s="11" t="str" cm="1">
        <f t="array" ref="E3">_xlfn.IFS(
    COUNTIF(Herramientas_eléctricas1862106149192321[Herramientas_eléctricas], B3) &gt; 0, Herramientas_eléctricas1862106149192321[[#Headers],[Herramientas_eléctricas]],
    COUNTIF(Herramientas_neumáticas1963107150193322[Herramientas_neumáticas], B3) &gt; 0, Herramientas_neumáticas1963107150193322[[#Headers],[Herramientas_neumáticas]],
    COUNTIF(Herramientas_de_medición2064108151194323[Herramientas_de_medición], B3) &gt; 0, Herramientas_de_medición2064108151194323[[#Headers],[Herramientas_de_medición]],
    COUNTIF(Herrramientas_mecánicas2165109152195324[Herramientas_mecánicas], B3) &gt; 0, Herrramientas_mecánicas2165109152195324[[#Headers],[Herramientas_mecánicas]],
    COUNTIF(AI3:AI9, B3) &gt; 0, Herramientas_hidráulicas2266110153196325[[#Headers],[Herramientas_hidráulicas]],
    COUNTIF(EPP_2367111154197326[SPCC], B3) &gt; 0, EPP_2367111154197326[[#Headers],[SPCC]],
   COUNTIF(Herramientas_de_izaje2468112155198327[Herramientas_de_izaje], B3) &gt; 0, Herramientas_de_izaje2468112155198327[[#Headers],[Herramientas_de_izaje]],
COUNTIF(Tabla162670114157200329[Equipos], B3) &gt; 0, Tabla162670114157200329[[#Headers],[Equipos]],
    TRUE, "Sin clasificación"
)</f>
        <v>Herramientas_eléctricas</v>
      </c>
      <c r="F3" s="15"/>
      <c r="G3" s="15"/>
      <c r="H3" s="15" t="s">
        <v>576</v>
      </c>
      <c r="I3" s="15"/>
      <c r="J3" s="15" t="s">
        <v>574</v>
      </c>
      <c r="K3" s="47" t="s">
        <v>575</v>
      </c>
      <c r="M3" s="47">
        <v>787612</v>
      </c>
      <c r="N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ZE-TA-INS-0002</v>
      </c>
      <c r="P3" s="15"/>
      <c r="R3" s="48"/>
      <c r="U3" s="49">
        <v>2</v>
      </c>
      <c r="V3" s="50" t="s">
        <v>172</v>
      </c>
      <c r="X3" s="51">
        <v>2</v>
      </c>
      <c r="Y3" s="52" t="s">
        <v>222</v>
      </c>
      <c r="AA3" s="51">
        <v>2</v>
      </c>
      <c r="AB3" s="53" t="s">
        <v>5</v>
      </c>
      <c r="AE3" s="6" t="s">
        <v>23</v>
      </c>
      <c r="AF3" t="s">
        <v>24</v>
      </c>
      <c r="AG3" t="s">
        <v>25</v>
      </c>
      <c r="AH3" t="s">
        <v>26</v>
      </c>
      <c r="AI3" s="6" t="s">
        <v>27</v>
      </c>
      <c r="AJ3" t="s">
        <v>28</v>
      </c>
      <c r="AK3" t="s">
        <v>29</v>
      </c>
      <c r="AM3" s="8" t="s">
        <v>30</v>
      </c>
      <c r="AN3" s="9" t="s">
        <v>31</v>
      </c>
      <c r="AQ3" s="25" t="s">
        <v>223</v>
      </c>
      <c r="AR3" t="s">
        <v>70</v>
      </c>
      <c r="BA3" s="11"/>
      <c r="BB3" s="11"/>
      <c r="BC3" s="11"/>
      <c r="BD3" s="11"/>
      <c r="BE3" s="11"/>
      <c r="BF3" s="11"/>
      <c r="BG3" s="11"/>
      <c r="BH3" s="11"/>
      <c r="BI3" s="54"/>
      <c r="BJ3" s="54"/>
      <c r="BK3" s="11"/>
      <c r="BL3" s="11"/>
      <c r="BM3" s="11"/>
      <c r="BN3" s="11"/>
      <c r="BO3" s="11"/>
      <c r="BP3" s="11"/>
    </row>
    <row r="4" spans="2:68" ht="33" customHeight="1" x14ac:dyDescent="0.3">
      <c r="B4" t="s">
        <v>49</v>
      </c>
      <c r="C4" s="11" t="s">
        <v>177</v>
      </c>
      <c r="D4">
        <v>1</v>
      </c>
      <c r="E4" s="11" t="str" cm="1">
        <f t="array" ref="E4">_xlfn.IFS(
    COUNTIF(Herramientas_eléctricas1862106149192321[Herramientas_eléctricas], B4) &gt; 0, Herramientas_eléctricas1862106149192321[[#Headers],[Herramientas_eléctricas]],
    COUNTIF(Herramientas_neumáticas1963107150193322[Herramientas_neumáticas], B4) &gt; 0, Herramientas_neumáticas1963107150193322[[#Headers],[Herramientas_neumáticas]],
    COUNTIF(Herramientas_de_medición2064108151194323[Herramientas_de_medición], B4) &gt; 0, Herramientas_de_medición2064108151194323[[#Headers],[Herramientas_de_medición]],
    COUNTIF(Herrramientas_mecánicas2165109152195324[Herramientas_mecánicas], B4) &gt; 0, Herrramientas_mecánicas2165109152195324[[#Headers],[Herramientas_mecánicas]],
    COUNTIF(AI4:AI10, B4) &gt; 0, Herramientas_hidráulicas2266110153196325[[#Headers],[Herramientas_hidráulicas]],
    COUNTIF(EPP_2367111154197326[SPCC], B4) &gt; 0, EPP_2367111154197326[[#Headers],[SPCC]],
   COUNTIF(Herramientas_de_izaje2468112155198327[Herramientas_de_izaje], B4) &gt; 0, Herramientas_de_izaje2468112155198327[[#Headers],[Herramientas_de_izaje]],
COUNTIF(Tabla162670114157200329[Equipos], B4) &gt; 0, Tabla162670114157200329[[#Headers],[Equipos]],
    TRUE, "Sin clasificación"
)</f>
        <v>Herramientas_eléctricas</v>
      </c>
      <c r="F4" s="15"/>
      <c r="G4" s="15"/>
      <c r="H4" s="15" t="s">
        <v>578</v>
      </c>
      <c r="I4" s="15" t="s">
        <v>579</v>
      </c>
      <c r="J4" s="15" t="s">
        <v>572</v>
      </c>
      <c r="K4" s="47" t="s">
        <v>577</v>
      </c>
      <c r="M4" s="47">
        <v>791004131</v>
      </c>
      <c r="N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ZE-TA-INS-0003</v>
      </c>
      <c r="P4" s="15"/>
      <c r="R4" s="48"/>
      <c r="S4" t="s">
        <v>580</v>
      </c>
      <c r="U4" s="49">
        <v>3</v>
      </c>
      <c r="V4" s="50" t="s">
        <v>173</v>
      </c>
      <c r="X4" s="55">
        <v>3</v>
      </c>
      <c r="Y4" s="56" t="s">
        <v>224</v>
      </c>
      <c r="AA4" s="51">
        <v>3</v>
      </c>
      <c r="AB4" s="53" t="s">
        <v>6</v>
      </c>
      <c r="AE4" s="10" t="s">
        <v>32</v>
      </c>
      <c r="AF4" t="s">
        <v>33</v>
      </c>
      <c r="AG4" t="s">
        <v>34</v>
      </c>
      <c r="AH4" t="s">
        <v>35</v>
      </c>
      <c r="AI4" s="5" t="s">
        <v>36</v>
      </c>
      <c r="AJ4" s="11" t="s">
        <v>37</v>
      </c>
      <c r="AK4" t="s">
        <v>38</v>
      </c>
      <c r="AM4" s="11" t="s">
        <v>39</v>
      </c>
      <c r="AN4" s="7" t="s">
        <v>40</v>
      </c>
      <c r="AQ4" s="25" t="s">
        <v>225</v>
      </c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2:68" ht="28.8" x14ac:dyDescent="0.3">
      <c r="B5" t="s">
        <v>49</v>
      </c>
      <c r="C5" s="11" t="s">
        <v>177</v>
      </c>
      <c r="D5">
        <v>1</v>
      </c>
      <c r="E5" s="11" t="str" cm="1">
        <f t="array" ref="E5">_xlfn.IFS(
    COUNTIF(Herramientas_eléctricas1862106149192321[Herramientas_eléctricas], B5) &gt; 0, Herramientas_eléctricas1862106149192321[[#Headers],[Herramientas_eléctricas]],
    COUNTIF(Herramientas_neumáticas1963107150193322[Herramientas_neumáticas], B5) &gt; 0, Herramientas_neumáticas1963107150193322[[#Headers],[Herramientas_neumáticas]],
    COUNTIF(Herramientas_de_medición2064108151194323[Herramientas_de_medición], B5) &gt; 0, Herramientas_de_medición2064108151194323[[#Headers],[Herramientas_de_medición]],
    COUNTIF(Herrramientas_mecánicas2165109152195324[Herramientas_mecánicas], B5) &gt; 0, Herrramientas_mecánicas2165109152195324[[#Headers],[Herramientas_mecánicas]],
    COUNTIF(AI5:AI11, B5) &gt; 0, Herramientas_hidráulicas2266110153196325[[#Headers],[Herramientas_hidráulicas]],
    COUNTIF(EPP_2367111154197326[SPCC], B5) &gt; 0, EPP_2367111154197326[[#Headers],[SPCC]],
   COUNTIF(Herramientas_de_izaje2468112155198327[Herramientas_de_izaje], B5) &gt; 0, Herramientas_de_izaje2468112155198327[[#Headers],[Herramientas_de_izaje]],
COUNTIF(Tabla162670114157200329[Equipos], B5) &gt; 0, Tabla162670114157200329[[#Headers],[Equipos]],
    TRUE, "Sin clasificación"
)</f>
        <v>Herramientas_eléctricas</v>
      </c>
      <c r="F5" s="15"/>
      <c r="G5" s="15" t="s">
        <v>581</v>
      </c>
      <c r="H5" s="15">
        <v>240</v>
      </c>
      <c r="I5" s="15">
        <v>3.15</v>
      </c>
      <c r="J5" s="15" t="s">
        <v>572</v>
      </c>
      <c r="K5" s="47" t="s">
        <v>583</v>
      </c>
      <c r="M5" s="47">
        <v>68900206</v>
      </c>
      <c r="N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ZE-TA-INS-0004</v>
      </c>
      <c r="P5" s="15"/>
      <c r="R5" s="48"/>
      <c r="S5" t="s">
        <v>582</v>
      </c>
      <c r="U5" s="49">
        <v>4</v>
      </c>
      <c r="V5" s="50" t="s">
        <v>174</v>
      </c>
      <c r="AA5" s="51">
        <v>4</v>
      </c>
      <c r="AB5" s="53" t="s">
        <v>7</v>
      </c>
      <c r="AE5" t="s">
        <v>41</v>
      </c>
      <c r="AF5" t="s">
        <v>42</v>
      </c>
      <c r="AG5" t="s">
        <v>43</v>
      </c>
      <c r="AH5" t="s">
        <v>44</v>
      </c>
      <c r="AI5" s="5" t="s">
        <v>45</v>
      </c>
      <c r="AK5" t="s">
        <v>46</v>
      </c>
      <c r="AM5" s="12" t="s">
        <v>47</v>
      </c>
      <c r="AN5" s="9" t="s">
        <v>48</v>
      </c>
      <c r="AQ5" s="25" t="s">
        <v>226</v>
      </c>
      <c r="AR5" t="s">
        <v>80</v>
      </c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2:68" ht="30" customHeight="1" x14ac:dyDescent="0.3">
      <c r="B6" t="s">
        <v>49</v>
      </c>
      <c r="C6" s="11" t="s">
        <v>177</v>
      </c>
      <c r="D6">
        <v>1</v>
      </c>
      <c r="E6" s="11" t="str" cm="1">
        <f t="array" ref="E6">_xlfn.IFS(
    COUNTIF(Herramientas_eléctricas1862106149192321[Herramientas_eléctricas], B6) &gt; 0, Herramientas_eléctricas1862106149192321[[#Headers],[Herramientas_eléctricas]],
    COUNTIF(Herramientas_neumáticas1963107150193322[Herramientas_neumáticas], B6) &gt; 0, Herramientas_neumáticas1963107150193322[[#Headers],[Herramientas_neumáticas]],
    COUNTIF(Herramientas_de_medición2064108151194323[Herramientas_de_medición], B6) &gt; 0, Herramientas_de_medición2064108151194323[[#Headers],[Herramientas_de_medición]],
    COUNTIF(Herrramientas_mecánicas2165109152195324[Herramientas_mecánicas], B6) &gt; 0, Herrramientas_mecánicas2165109152195324[[#Headers],[Herramientas_mecánicas]],
    COUNTIF(AI6:AI12, B6) &gt; 0, Herramientas_hidráulicas2266110153196325[[#Headers],[Herramientas_hidráulicas]],
    COUNTIF(EPP_2367111154197326[SPCC], B6) &gt; 0, EPP_2367111154197326[[#Headers],[SPCC]],
   COUNTIF(Herramientas_de_izaje2468112155198327[Herramientas_de_izaje], B6) &gt; 0, Herramientas_de_izaje2468112155198327[[#Headers],[Herramientas_de_izaje]],
COUNTIF(Tabla162670114157200329[Equipos], B6) &gt; 0, Tabla162670114157200329[[#Headers],[Equipos]],
    TRUE, "Sin clasificación"
)</f>
        <v>Herramientas_eléctricas</v>
      </c>
      <c r="F6" s="15"/>
      <c r="G6" s="15"/>
      <c r="H6" s="15" t="s">
        <v>576</v>
      </c>
      <c r="I6" s="15"/>
      <c r="J6" s="15" t="s">
        <v>574</v>
      </c>
      <c r="K6" s="47" t="s">
        <v>584</v>
      </c>
      <c r="M6" s="47">
        <v>913388</v>
      </c>
      <c r="N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ZE-TA-INS-0005</v>
      </c>
      <c r="P6" s="15"/>
      <c r="R6" s="48"/>
      <c r="S6" t="s">
        <v>585</v>
      </c>
      <c r="U6" s="49">
        <v>5</v>
      </c>
      <c r="V6" s="50" t="s">
        <v>175</v>
      </c>
      <c r="AA6" s="51">
        <v>5</v>
      </c>
      <c r="AB6" s="53" t="s">
        <v>8</v>
      </c>
      <c r="AE6" t="s">
        <v>49</v>
      </c>
      <c r="AF6" t="s">
        <v>36</v>
      </c>
      <c r="AG6" t="s">
        <v>50</v>
      </c>
      <c r="AH6" t="s">
        <v>51</v>
      </c>
      <c r="AI6" s="5" t="s">
        <v>52</v>
      </c>
      <c r="AM6" t="s">
        <v>53</v>
      </c>
      <c r="AN6" s="7" t="s">
        <v>54</v>
      </c>
      <c r="AQ6" s="25" t="s">
        <v>227</v>
      </c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2:68" ht="30" customHeight="1" x14ac:dyDescent="0.3">
      <c r="B7" t="s">
        <v>49</v>
      </c>
      <c r="C7" s="11" t="s">
        <v>177</v>
      </c>
      <c r="D7">
        <v>1</v>
      </c>
      <c r="E7" s="11" t="str" cm="1">
        <f t="array" ref="E7">_xlfn.IFS(
    COUNTIF(Herramientas_eléctricas1862106149192321[Herramientas_eléctricas], B7) &gt; 0, Herramientas_eléctricas1862106149192321[[#Headers],[Herramientas_eléctricas]],
    COUNTIF(Herramientas_neumáticas1963107150193322[Herramientas_neumáticas], B7) &gt; 0, Herramientas_neumáticas1963107150193322[[#Headers],[Herramientas_neumáticas]],
    COUNTIF(Herramientas_de_medición2064108151194323[Herramientas_de_medición], B7) &gt; 0, Herramientas_de_medición2064108151194323[[#Headers],[Herramientas_de_medición]],
    COUNTIF(Herrramientas_mecánicas2165109152195324[Herramientas_mecánicas], B7) &gt; 0, Herrramientas_mecánicas2165109152195324[[#Headers],[Herramientas_mecánicas]],
    COUNTIF(AI7:AI13, B7) &gt; 0, Herramientas_hidráulicas2266110153196325[[#Headers],[Herramientas_hidráulicas]],
    COUNTIF(EPP_2367111154197326[SPCC], B7) &gt; 0, EPP_2367111154197326[[#Headers],[SPCC]],
   COUNTIF(Herramientas_de_izaje2468112155198327[Herramientas_de_izaje], B7) &gt; 0, Herramientas_de_izaje2468112155198327[[#Headers],[Herramientas_de_izaje]],
COUNTIF(Tabla162670114157200329[Equipos], B7) &gt; 0, Tabla162670114157200329[[#Headers],[Equipos]],
    TRUE, "Sin clasificación"
)</f>
        <v>Herramientas_eléctricas</v>
      </c>
      <c r="F7" s="15"/>
      <c r="G7" s="15"/>
      <c r="H7" s="15">
        <v>120</v>
      </c>
      <c r="I7" s="15">
        <v>8.5</v>
      </c>
      <c r="J7" s="15" t="s">
        <v>572</v>
      </c>
      <c r="K7" s="47" t="s">
        <v>577</v>
      </c>
      <c r="M7" s="47">
        <v>783002518</v>
      </c>
      <c r="N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ZE-TA-INS-0006</v>
      </c>
      <c r="P7" s="15"/>
      <c r="R7" s="48"/>
      <c r="S7" t="s">
        <v>586</v>
      </c>
      <c r="U7" s="49">
        <v>6</v>
      </c>
      <c r="V7" s="50" t="s">
        <v>176</v>
      </c>
      <c r="AA7" s="55">
        <v>6</v>
      </c>
      <c r="AB7" s="56" t="s">
        <v>10</v>
      </c>
      <c r="AE7" t="s">
        <v>55</v>
      </c>
      <c r="AG7" s="11" t="s">
        <v>56</v>
      </c>
      <c r="AH7" s="5" t="s">
        <v>57</v>
      </c>
      <c r="AI7" t="s">
        <v>58</v>
      </c>
      <c r="AN7" s="13" t="s">
        <v>59</v>
      </c>
      <c r="AQ7" s="15" t="s">
        <v>228</v>
      </c>
      <c r="AR7" s="15" t="s">
        <v>229</v>
      </c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2:68" ht="33.6" customHeight="1" x14ac:dyDescent="0.3">
      <c r="B8" t="s">
        <v>49</v>
      </c>
      <c r="C8" s="11" t="s">
        <v>177</v>
      </c>
      <c r="D8">
        <v>1</v>
      </c>
      <c r="E8" s="11" t="str" cm="1">
        <f t="array" ref="E8">_xlfn.IFS(
    COUNTIF(Herramientas_eléctricas1862106149192321[Herramientas_eléctricas], B8) &gt; 0, Herramientas_eléctricas1862106149192321[[#Headers],[Herramientas_eléctricas]],
    COUNTIF(Herramientas_neumáticas1963107150193322[Herramientas_neumáticas], B8) &gt; 0, Herramientas_neumáticas1963107150193322[[#Headers],[Herramientas_neumáticas]],
    COUNTIF(Herramientas_de_medición2064108151194323[Herramientas_de_medición], B8) &gt; 0, Herramientas_de_medición2064108151194323[[#Headers],[Herramientas_de_medición]],
    COUNTIF(Herrramientas_mecánicas2165109152195324[Herramientas_mecánicas], B8) &gt; 0, Herrramientas_mecánicas2165109152195324[[#Headers],[Herramientas_mecánicas]],
    COUNTIF(AI8:AI14, B8) &gt; 0, Herramientas_hidráulicas2266110153196325[[#Headers],[Herramientas_hidráulicas]],
    COUNTIF(EPP_2367111154197326[SPCC], B8) &gt; 0, EPP_2367111154197326[[#Headers],[SPCC]],
   COUNTIF(Herramientas_de_izaje2468112155198327[Herramientas_de_izaje], B8) &gt; 0, Herramientas_de_izaje2468112155198327[[#Headers],[Herramientas_de_izaje]],
COUNTIF(Tabla162670114157200329[Equipos], B8) &gt; 0, Tabla162670114157200329[[#Headers],[Equipos]],
    TRUE, "Sin clasificación"
)</f>
        <v>Herramientas_eléctricas</v>
      </c>
      <c r="F8" s="15"/>
      <c r="G8" s="15">
        <v>650</v>
      </c>
      <c r="H8" s="15">
        <v>230</v>
      </c>
      <c r="I8" s="15">
        <v>2.8</v>
      </c>
      <c r="J8" s="15" t="s">
        <v>587</v>
      </c>
      <c r="K8" s="47" t="s">
        <v>588</v>
      </c>
      <c r="M8" s="47">
        <v>203147</v>
      </c>
      <c r="N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ZE-TA-INS-0007</v>
      </c>
      <c r="P8" s="15"/>
      <c r="R8" s="48"/>
      <c r="S8" t="s">
        <v>589</v>
      </c>
      <c r="U8" s="49">
        <v>7</v>
      </c>
      <c r="V8" s="50" t="s">
        <v>177</v>
      </c>
      <c r="AE8" t="s">
        <v>60</v>
      </c>
      <c r="AG8" s="11" t="s">
        <v>61</v>
      </c>
      <c r="AH8" t="s">
        <v>62</v>
      </c>
      <c r="AI8" t="s">
        <v>35</v>
      </c>
      <c r="AN8" s="14" t="s">
        <v>63</v>
      </c>
      <c r="AQ8" s="25" t="s">
        <v>230</v>
      </c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2:68" ht="30" customHeight="1" x14ac:dyDescent="0.3">
      <c r="B9" t="s">
        <v>49</v>
      </c>
      <c r="C9" s="11" t="s">
        <v>177</v>
      </c>
      <c r="D9">
        <v>1</v>
      </c>
      <c r="E9" s="11" t="str" cm="1">
        <f t="array" ref="E9">_xlfn.IFS(
    COUNTIF(Herramientas_eléctricas1862106149192321[Herramientas_eléctricas], B9) &gt; 0, Herramientas_eléctricas1862106149192321[[#Headers],[Herramientas_eléctricas]],
    COUNTIF(Herramientas_neumáticas1963107150193322[Herramientas_neumáticas], B9) &gt; 0, Herramientas_neumáticas1963107150193322[[#Headers],[Herramientas_neumáticas]],
    COUNTIF(Herramientas_de_medición2064108151194323[Herramientas_de_medición], B9) &gt; 0, Herramientas_de_medición2064108151194323[[#Headers],[Herramientas_de_medición]],
    COUNTIF(Herrramientas_mecánicas2165109152195324[Herramientas_mecánicas], B9) &gt; 0, Herrramientas_mecánicas2165109152195324[[#Headers],[Herramientas_mecánicas]],
    COUNTIF(AI9:AI15, B9) &gt; 0, Herramientas_hidráulicas2266110153196325[[#Headers],[Herramientas_hidráulicas]],
    COUNTIF(EPP_2367111154197326[SPCC], B9) &gt; 0, EPP_2367111154197326[[#Headers],[SPCC]],
   COUNTIF(Herramientas_de_izaje2468112155198327[Herramientas_de_izaje], B9) &gt; 0, Herramientas_de_izaje2468112155198327[[#Headers],[Herramientas_de_izaje]],
COUNTIF(Tabla162670114157200329[Equipos], B9) &gt; 0, Tabla162670114157200329[[#Headers],[Equipos]],
    TRUE, "Sin clasificación"
)</f>
        <v>Herramientas_eléctricas</v>
      </c>
      <c r="F9" s="15"/>
      <c r="G9" s="15">
        <v>900</v>
      </c>
      <c r="H9" s="15">
        <v>220</v>
      </c>
      <c r="I9" s="15">
        <v>4.4000000000000004</v>
      </c>
      <c r="J9" s="15" t="s">
        <v>572</v>
      </c>
      <c r="K9" s="47" t="s">
        <v>597</v>
      </c>
      <c r="M9" s="47">
        <v>407000025</v>
      </c>
      <c r="N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ZE-TA-INS-0008</v>
      </c>
      <c r="P9" s="15"/>
      <c r="R9" s="48"/>
      <c r="S9" t="s">
        <v>598</v>
      </c>
      <c r="U9" s="49">
        <v>8</v>
      </c>
      <c r="V9" s="57" t="s">
        <v>178</v>
      </c>
      <c r="AA9" s="58" t="s">
        <v>210</v>
      </c>
      <c r="AE9" t="s">
        <v>64</v>
      </c>
      <c r="AG9" s="15" t="s">
        <v>65</v>
      </c>
      <c r="AH9" t="s">
        <v>66</v>
      </c>
      <c r="AI9" s="16"/>
      <c r="AN9" s="9" t="s">
        <v>67</v>
      </c>
      <c r="AQ9" s="25" t="s">
        <v>231</v>
      </c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2:68" ht="26.4" customHeight="1" x14ac:dyDescent="0.3">
      <c r="B10" t="s">
        <v>49</v>
      </c>
      <c r="C10" s="11" t="s">
        <v>177</v>
      </c>
      <c r="D10">
        <v>1</v>
      </c>
      <c r="E10" s="11" t="str" cm="1">
        <f t="array" ref="E10">_xlfn.IFS(
    COUNTIF(Herramientas_eléctricas1862106149192321[Herramientas_eléctricas], B10) &gt; 0, Herramientas_eléctricas1862106149192321[[#Headers],[Herramientas_eléctricas]],
    COUNTIF(Herramientas_neumáticas1963107150193322[Herramientas_neumáticas], B10) &gt; 0, Herramientas_neumáticas1963107150193322[[#Headers],[Herramientas_neumáticas]],
    COUNTIF(Herramientas_de_medición2064108151194323[Herramientas_de_medición], B10) &gt; 0, Herramientas_de_medición2064108151194323[[#Headers],[Herramientas_de_medición]],
    COUNTIF(Herrramientas_mecánicas2165109152195324[Herramientas_mecánicas], B10) &gt; 0, Herrramientas_mecánicas2165109152195324[[#Headers],[Herramientas_mecánicas]],
    COUNTIF(AI10:AI16, B10) &gt; 0, Herramientas_hidráulicas2266110153196325[[#Headers],[Herramientas_hidráulicas]],
    COUNTIF(EPP_2367111154197326[SPCC], B10) &gt; 0, EPP_2367111154197326[[#Headers],[SPCC]],
   COUNTIF(Herramientas_de_izaje2468112155198327[Herramientas_de_izaje], B10) &gt; 0, Herramientas_de_izaje2468112155198327[[#Headers],[Herramientas_de_izaje]],
COUNTIF(Tabla162670114157200329[Equipos], B10) &gt; 0, Tabla162670114157200329[[#Headers],[Equipos]],
    TRUE, "Sin clasificación"
)</f>
        <v>Herramientas_eléctricas</v>
      </c>
      <c r="F10" s="15"/>
      <c r="G10" s="15">
        <v>800</v>
      </c>
      <c r="H10" s="15">
        <v>220</v>
      </c>
      <c r="I10" s="15">
        <v>3.9</v>
      </c>
      <c r="J10" s="15" t="s">
        <v>572</v>
      </c>
      <c r="K10" s="47" t="s">
        <v>583</v>
      </c>
      <c r="L10" t="s">
        <v>600</v>
      </c>
      <c r="M10" s="47">
        <v>5124900040</v>
      </c>
      <c r="N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ZE-TA-INS-0009</v>
      </c>
      <c r="P10" s="15"/>
      <c r="R10" s="48"/>
      <c r="S10" t="s">
        <v>599</v>
      </c>
      <c r="U10" s="49">
        <v>9</v>
      </c>
      <c r="V10" s="57" t="s">
        <v>179</v>
      </c>
      <c r="AA10" s="59" t="s">
        <v>232</v>
      </c>
      <c r="AE10" s="17" t="s">
        <v>68</v>
      </c>
      <c r="AG10" s="15" t="s">
        <v>69</v>
      </c>
      <c r="AH10" t="s">
        <v>70</v>
      </c>
      <c r="AN10" s="18" t="s">
        <v>71</v>
      </c>
      <c r="AQ10" s="15" t="s">
        <v>95</v>
      </c>
    </row>
    <row r="11" spans="2:68" ht="33.6" customHeight="1" x14ac:dyDescent="0.3">
      <c r="B11" t="s">
        <v>49</v>
      </c>
      <c r="C11" s="11" t="s">
        <v>177</v>
      </c>
      <c r="E11" s="11" t="str" cm="1">
        <f t="array" ref="E11">_xlfn.IFS(
    COUNTIF(Herramientas_eléctricas1862106149192321[Herramientas_eléctricas], B11) &gt; 0, Herramientas_eléctricas1862106149192321[[#Headers],[Herramientas_eléctricas]],
    COUNTIF(Herramientas_neumáticas1963107150193322[Herramientas_neumáticas], B11) &gt; 0, Herramientas_neumáticas1963107150193322[[#Headers],[Herramientas_neumáticas]],
    COUNTIF(Herramientas_de_medición2064108151194323[Herramientas_de_medición], B11) &gt; 0, Herramientas_de_medición2064108151194323[[#Headers],[Herramientas_de_medición]],
    COUNTIF(Herrramientas_mecánicas2165109152195324[Herramientas_mecánicas], B11) &gt; 0, Herrramientas_mecánicas2165109152195324[[#Headers],[Herramientas_mecánicas]],
    COUNTIF(AI11:AI17, B11) &gt; 0, Herramientas_hidráulicas2266110153196325[[#Headers],[Herramientas_hidráulicas]],
    COUNTIF(EPP_2367111154197326[SPCC], B11) &gt; 0, EPP_2367111154197326[[#Headers],[SPCC]],
   COUNTIF(Herramientas_de_izaje2468112155198327[Herramientas_de_izaje], B11) &gt; 0, Herramientas_de_izaje2468112155198327[[#Headers],[Herramientas_de_izaje]],
COUNTIF(Tabla162670114157200329[Equipos], B11) &gt; 0, Tabla162670114157200329[[#Headers],[Equipos]],
    TRUE, "Sin clasificación"
)</f>
        <v>Herramientas_eléctricas</v>
      </c>
      <c r="F11" s="15"/>
      <c r="G11" s="15">
        <v>800</v>
      </c>
      <c r="H11" s="15">
        <v>230</v>
      </c>
      <c r="I11" s="15">
        <v>3.7</v>
      </c>
      <c r="J11" s="15" t="s">
        <v>572</v>
      </c>
      <c r="K11" s="85" t="s">
        <v>601</v>
      </c>
      <c r="M11" s="47">
        <v>807000299</v>
      </c>
      <c r="N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ZE-TA-INS-0010</v>
      </c>
      <c r="P11" s="15"/>
      <c r="R11" s="48"/>
      <c r="S11" t="s">
        <v>602</v>
      </c>
      <c r="U11" s="60">
        <v>10</v>
      </c>
      <c r="V11" s="61" t="s">
        <v>180</v>
      </c>
      <c r="AA11" s="59" t="s">
        <v>233</v>
      </c>
      <c r="AE11" s="8" t="s">
        <v>72</v>
      </c>
      <c r="AG11" s="15" t="s">
        <v>73</v>
      </c>
      <c r="AH11" t="s">
        <v>74</v>
      </c>
      <c r="AN11" s="18" t="s">
        <v>75</v>
      </c>
      <c r="BB11" s="62"/>
    </row>
    <row r="12" spans="2:68" ht="28.8" x14ac:dyDescent="0.3">
      <c r="B12" t="s">
        <v>49</v>
      </c>
      <c r="C12" s="11" t="s">
        <v>177</v>
      </c>
      <c r="E12" s="11" t="str" cm="1">
        <f t="array" ref="E12">_xlfn.IFS(
    COUNTIF(Herramientas_eléctricas1862106149192321[Herramientas_eléctricas], B12) &gt; 0, Herramientas_eléctricas1862106149192321[[#Headers],[Herramientas_eléctricas]],
    COUNTIF(Herramientas_neumáticas1963107150193322[Herramientas_neumáticas], B12) &gt; 0, Herramientas_neumáticas1963107150193322[[#Headers],[Herramientas_neumáticas]],
    COUNTIF(Herramientas_de_medición2064108151194323[Herramientas_de_medición], B12) &gt; 0, Herramientas_de_medición2064108151194323[[#Headers],[Herramientas_de_medición]],
    COUNTIF(Herrramientas_mecánicas2165109152195324[Herramientas_mecánicas], B12) &gt; 0, Herrramientas_mecánicas2165109152195324[[#Headers],[Herramientas_mecánicas]],
    COUNTIF(AI12:AI18, B12) &gt; 0, Herramientas_hidráulicas2266110153196325[[#Headers],[Herramientas_hidráulicas]],
    COUNTIF(EPP_2367111154197326[SPCC], B12) &gt; 0, EPP_2367111154197326[[#Headers],[SPCC]],
   COUNTIF(Herramientas_de_izaje2468112155198327[Herramientas_de_izaje], B12) &gt; 0, Herramientas_de_izaje2468112155198327[[#Headers],[Herramientas_de_izaje]],
COUNTIF(Tabla162670114157200329[Equipos], B12) &gt; 0, Tabla162670114157200329[[#Headers],[Equipos]],
    TRUE, "Sin clasificación"
)</f>
        <v>Herramientas_eléctricas</v>
      </c>
      <c r="F12" s="15"/>
      <c r="G12" s="15">
        <v>710</v>
      </c>
      <c r="H12" s="15" t="s">
        <v>605</v>
      </c>
      <c r="I12" s="15">
        <v>3.4</v>
      </c>
      <c r="J12" s="15" t="s">
        <v>587</v>
      </c>
      <c r="K12" s="47" t="s">
        <v>604</v>
      </c>
      <c r="L12" t="s">
        <v>603</v>
      </c>
      <c r="M12" s="47">
        <v>258581</v>
      </c>
      <c r="N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ZE-TA-INS-0011</v>
      </c>
      <c r="P12" s="15"/>
      <c r="R12" s="48"/>
      <c r="U12" s="60">
        <v>11</v>
      </c>
      <c r="V12" s="61" t="s">
        <v>181</v>
      </c>
      <c r="AA12" s="33" t="s">
        <v>234</v>
      </c>
      <c r="AE12" t="s">
        <v>19</v>
      </c>
      <c r="AF12" t="s">
        <v>76</v>
      </c>
      <c r="AG12" s="15" t="s">
        <v>77</v>
      </c>
      <c r="AH12" t="s">
        <v>78</v>
      </c>
      <c r="AN12" s="19" t="s">
        <v>79</v>
      </c>
      <c r="AQ12" s="11"/>
    </row>
    <row r="13" spans="2:68" ht="28.8" x14ac:dyDescent="0.3">
      <c r="B13" t="s">
        <v>49</v>
      </c>
      <c r="C13" s="11" t="s">
        <v>177</v>
      </c>
      <c r="E13" s="11" t="str" cm="1">
        <f t="array" ref="E13">_xlfn.IFS(
    COUNTIF(Herramientas_eléctricas1862106149192321[Herramientas_eléctricas], B13) &gt; 0, Herramientas_eléctricas1862106149192321[[#Headers],[Herramientas_eléctricas]],
    COUNTIF(Herramientas_neumáticas1963107150193322[Herramientas_neumáticas], B13) &gt; 0, Herramientas_neumáticas1963107150193322[[#Headers],[Herramientas_neumáticas]],
    COUNTIF(Herramientas_de_medición2064108151194323[Herramientas_de_medición], B13) &gt; 0, Herramientas_de_medición2064108151194323[[#Headers],[Herramientas_de_medición]],
    COUNTIF(Herrramientas_mecánicas2165109152195324[Herramientas_mecánicas], B13) &gt; 0, Herrramientas_mecánicas2165109152195324[[#Headers],[Herramientas_mecánicas]],
    COUNTIF(AI13:AI19, B13) &gt; 0, Herramientas_hidráulicas2266110153196325[[#Headers],[Herramientas_hidráulicas]],
    COUNTIF(EPP_2367111154197326[SPCC], B13) &gt; 0, EPP_2367111154197326[[#Headers],[SPCC]],
   COUNTIF(Herramientas_de_izaje2468112155198327[Herramientas_de_izaje], B13) &gt; 0, Herramientas_de_izaje2468112155198327[[#Headers],[Herramientas_de_izaje]],
COUNTIF(Tabla162670114157200329[Equipos], B13) &gt; 0, Tabla162670114157200329[[#Headers],[Equipos]],
    TRUE, "Sin clasificación"
)</f>
        <v>Herramientas_eléctricas</v>
      </c>
      <c r="F13" s="15"/>
      <c r="G13" s="15"/>
      <c r="H13" s="15">
        <v>18</v>
      </c>
      <c r="I13" s="15"/>
      <c r="J13" s="15" t="s">
        <v>572</v>
      </c>
      <c r="K13" s="47" t="s">
        <v>606</v>
      </c>
      <c r="L13" t="s">
        <v>607</v>
      </c>
      <c r="M13" s="47">
        <v>503000012</v>
      </c>
      <c r="N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ZE-TA-INS-0012</v>
      </c>
      <c r="P13" s="15"/>
      <c r="R13" s="48"/>
      <c r="AE13" t="s">
        <v>80</v>
      </c>
      <c r="AG13" s="15" t="s">
        <v>81</v>
      </c>
      <c r="AH13" t="s">
        <v>82</v>
      </c>
      <c r="AN13" s="20" t="s">
        <v>83</v>
      </c>
      <c r="AQ13" s="11"/>
      <c r="AV13" s="11"/>
    </row>
    <row r="14" spans="2:68" ht="28.8" x14ac:dyDescent="0.3">
      <c r="B14" t="s">
        <v>49</v>
      </c>
      <c r="C14" s="11" t="s">
        <v>177</v>
      </c>
      <c r="E14" s="11" t="str" cm="1">
        <f t="array" ref="E14">_xlfn.IFS(
    COUNTIF(Herramientas_eléctricas1862106149192321[Herramientas_eléctricas], B14) &gt; 0, Herramientas_eléctricas1862106149192321[[#Headers],[Herramientas_eléctricas]],
    COUNTIF(Herramientas_neumáticas1963107150193322[Herramientas_neumáticas], B14) &gt; 0, Herramientas_neumáticas1963107150193322[[#Headers],[Herramientas_neumáticas]],
    COUNTIF(Herramientas_de_medición2064108151194323[Herramientas_de_medición], B14) &gt; 0, Herramientas_de_medición2064108151194323[[#Headers],[Herramientas_de_medición]],
    COUNTIF(Herrramientas_mecánicas2165109152195324[Herramientas_mecánicas], B14) &gt; 0, Herrramientas_mecánicas2165109152195324[[#Headers],[Herramientas_mecánicas]],
    COUNTIF(AI14:AI20, B14) &gt; 0, Herramientas_hidráulicas2266110153196325[[#Headers],[Herramientas_hidráulicas]],
    COUNTIF(EPP_2367111154197326[SPCC], B14) &gt; 0, EPP_2367111154197326[[#Headers],[SPCC]],
   COUNTIF(Herramientas_de_izaje2468112155198327[Herramientas_de_izaje], B14) &gt; 0, Herramientas_de_izaje2468112155198327[[#Headers],[Herramientas_de_izaje]],
COUNTIF(Tabla162670114157200329[Equipos], B14) &gt; 0, Tabla162670114157200329[[#Headers],[Equipos]],
    TRUE, "Sin clasificación"
)</f>
        <v>Herramientas_eléctricas</v>
      </c>
      <c r="F14" s="15"/>
      <c r="G14" s="15"/>
      <c r="H14" s="15">
        <v>18</v>
      </c>
      <c r="I14" s="15"/>
      <c r="J14" s="15" t="s">
        <v>572</v>
      </c>
      <c r="K14" s="47" t="s">
        <v>609</v>
      </c>
      <c r="L14" t="s">
        <v>608</v>
      </c>
      <c r="M14" s="47">
        <v>704000665</v>
      </c>
      <c r="N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ZE-TA-INS-0013</v>
      </c>
      <c r="P14" s="15"/>
      <c r="R14" s="48"/>
      <c r="AE14" t="s">
        <v>84</v>
      </c>
      <c r="AG14" s="15" t="s">
        <v>85</v>
      </c>
      <c r="AH14" t="s">
        <v>86</v>
      </c>
      <c r="AN14" s="18" t="s">
        <v>87</v>
      </c>
    </row>
    <row r="15" spans="2:68" ht="43.95" customHeight="1" x14ac:dyDescent="0.3">
      <c r="B15" t="s">
        <v>49</v>
      </c>
      <c r="C15" s="11" t="s">
        <v>177</v>
      </c>
      <c r="E15" s="11" t="str" cm="1">
        <f t="array" ref="E15">_xlfn.IFS(
    COUNTIF(Herramientas_eléctricas1862106149192321[Herramientas_eléctricas], B15) &gt; 0, Herramientas_eléctricas1862106149192321[[#Headers],[Herramientas_eléctricas]],
    COUNTIF(Herramientas_neumáticas1963107150193322[Herramientas_neumáticas], B15) &gt; 0, Herramientas_neumáticas1963107150193322[[#Headers],[Herramientas_neumáticas]],
    COUNTIF(Herramientas_de_medición2064108151194323[Herramientas_de_medición], B15) &gt; 0, Herramientas_de_medición2064108151194323[[#Headers],[Herramientas_de_medición]],
    COUNTIF(Herrramientas_mecánicas2165109152195324[Herramientas_mecánicas], B15) &gt; 0, Herrramientas_mecánicas2165109152195324[[#Headers],[Herramientas_mecánicas]],
    COUNTIF(AI15:AI21, B15) &gt; 0, Herramientas_hidráulicas2266110153196325[[#Headers],[Herramientas_hidráulicas]],
    COUNTIF(EPP_2367111154197326[SPCC], B15) &gt; 0, EPP_2367111154197326[[#Headers],[SPCC]],
   COUNTIF(Herramientas_de_izaje2468112155198327[Herramientas_de_izaje], B15) &gt; 0, Herramientas_de_izaje2468112155198327[[#Headers],[Herramientas_de_izaje]],
COUNTIF(Tabla162670114157200329[Equipos], B15) &gt; 0, Tabla162670114157200329[[#Headers],[Equipos]],
    TRUE, "Sin clasificación"
)</f>
        <v>Herramientas_eléctricas</v>
      </c>
      <c r="F15" s="15"/>
      <c r="G15" s="15"/>
      <c r="H15" s="15">
        <v>12</v>
      </c>
      <c r="I15" s="15"/>
      <c r="J15" s="15" t="s">
        <v>572</v>
      </c>
      <c r="K15" s="47" t="s">
        <v>610</v>
      </c>
      <c r="M15">
        <v>526000169</v>
      </c>
      <c r="N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ZE-TA-INS-0014</v>
      </c>
      <c r="P15" s="15"/>
      <c r="R15" s="48"/>
      <c r="AE15" t="s">
        <v>88</v>
      </c>
      <c r="AG15" t="s">
        <v>89</v>
      </c>
      <c r="AH15" t="s">
        <v>90</v>
      </c>
      <c r="AN15" s="21" t="s">
        <v>91</v>
      </c>
      <c r="AQ15" s="11"/>
    </row>
    <row r="16" spans="2:68" ht="28.8" x14ac:dyDescent="0.3">
      <c r="B16" t="s">
        <v>49</v>
      </c>
      <c r="C16" s="11" t="s">
        <v>177</v>
      </c>
      <c r="E16" s="11" t="str" cm="1">
        <f t="array" ref="E16">_xlfn.IFS(
    COUNTIF(Herramientas_eléctricas1862106149192321[Herramientas_eléctricas], B16) &gt; 0, Herramientas_eléctricas1862106149192321[[#Headers],[Herramientas_eléctricas]],
    COUNTIF(Herramientas_neumáticas1963107150193322[Herramientas_neumáticas], B16) &gt; 0, Herramientas_neumáticas1963107150193322[[#Headers],[Herramientas_neumáticas]],
    COUNTIF(Herramientas_de_medición2064108151194323[Herramientas_de_medición], B16) &gt; 0, Herramientas_de_medición2064108151194323[[#Headers],[Herramientas_de_medición]],
    COUNTIF(Herrramientas_mecánicas2165109152195324[Herramientas_mecánicas], B16) &gt; 0, Herrramientas_mecánicas2165109152195324[[#Headers],[Herramientas_mecánicas]],
    COUNTIF(AI16:AI22, B16) &gt; 0, Herramientas_hidráulicas2266110153196325[[#Headers],[Herramientas_hidráulicas]],
    COUNTIF(EPP_2367111154197326[SPCC], B16) &gt; 0, EPP_2367111154197326[[#Headers],[SPCC]],
   COUNTIF(Herramientas_de_izaje2468112155198327[Herramientas_de_izaje], B16) &gt; 0, Herramientas_de_izaje2468112155198327[[#Headers],[Herramientas_de_izaje]],
COUNTIF(Tabla162670114157200329[Equipos], B16) &gt; 0, Tabla162670114157200329[[#Headers],[Equipos]],
    TRUE, "Sin clasificación"
)</f>
        <v>Herramientas_eléctricas</v>
      </c>
      <c r="F16" s="15"/>
      <c r="G16" s="15"/>
      <c r="H16" s="15">
        <v>220</v>
      </c>
      <c r="I16" s="15"/>
      <c r="J16" s="15" t="s">
        <v>572</v>
      </c>
      <c r="K16" s="47" t="s">
        <v>624</v>
      </c>
      <c r="M16" s="47" t="s">
        <v>625</v>
      </c>
      <c r="N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ZE-TA-INS-0015</v>
      </c>
      <c r="P16" s="15"/>
      <c r="R16" s="48"/>
      <c r="AE16" t="s">
        <v>41</v>
      </c>
      <c r="AG16" t="s">
        <v>62</v>
      </c>
      <c r="AH16" s="11" t="s">
        <v>92</v>
      </c>
      <c r="AI16" s="22"/>
      <c r="AN16" s="23" t="s">
        <v>93</v>
      </c>
    </row>
    <row r="17" spans="2:43" x14ac:dyDescent="0.3">
      <c r="B17" t="s">
        <v>49</v>
      </c>
      <c r="C17" s="11" t="s">
        <v>176</v>
      </c>
      <c r="E17" s="11" t="str" cm="1">
        <f t="array" ref="E17">_xlfn.IFS(
    COUNTIF(Herramientas_eléctricas1862106149192321[Herramientas_eléctricas], B17) &gt; 0, Herramientas_eléctricas1862106149192321[[#Headers],[Herramientas_eléctricas]],
    COUNTIF(Herramientas_neumáticas1963107150193322[Herramientas_neumáticas], B17) &gt; 0, Herramientas_neumáticas1963107150193322[[#Headers],[Herramientas_neumáticas]],
    COUNTIF(Herramientas_de_medición2064108151194323[Herramientas_de_medición], B17) &gt; 0, Herramientas_de_medición2064108151194323[[#Headers],[Herramientas_de_medición]],
    COUNTIF(Herrramientas_mecánicas2165109152195324[Herramientas_mecánicas], B17) &gt; 0, Herrramientas_mecánicas2165109152195324[[#Headers],[Herramientas_mecánicas]],
    COUNTIF(AI17:AI23, B17) &gt; 0, Herramientas_hidráulicas2266110153196325[[#Headers],[Herramientas_hidráulicas]],
    COUNTIF(EPP_2367111154197326[SPCC], B17) &gt; 0, EPP_2367111154197326[[#Headers],[SPCC]],
   COUNTIF(Herramientas_de_izaje2468112155198327[Herramientas_de_izaje], B17) &gt; 0, Herramientas_de_izaje2468112155198327[[#Headers],[Herramientas_de_izaje]],
COUNTIF(Tabla162670114157200329[Equipos], B17) &gt; 0, Tabla162670114157200329[[#Headers],[Equipos]],
    TRUE, "Sin clasificación"
)</f>
        <v>Herramientas_eléctricas</v>
      </c>
      <c r="F17" s="15"/>
      <c r="G17" s="15"/>
      <c r="H17" s="15">
        <v>18</v>
      </c>
      <c r="I17" s="15"/>
      <c r="J17" s="15" t="s">
        <v>572</v>
      </c>
      <c r="K17" s="47" t="s">
        <v>657</v>
      </c>
      <c r="L17" t="s">
        <v>658</v>
      </c>
      <c r="M17">
        <v>808101621</v>
      </c>
      <c r="N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ZE-TA-ELT-0001</v>
      </c>
      <c r="P17" s="15"/>
      <c r="R17" s="48"/>
      <c r="S17" t="s">
        <v>659</v>
      </c>
      <c r="AE17" s="24" t="s">
        <v>94</v>
      </c>
      <c r="AH17" s="15" t="s">
        <v>95</v>
      </c>
      <c r="AI17" s="14"/>
      <c r="AN17" s="25" t="s">
        <v>96</v>
      </c>
      <c r="AQ17" s="11"/>
    </row>
    <row r="18" spans="2:43" x14ac:dyDescent="0.3">
      <c r="B18" t="s">
        <v>49</v>
      </c>
      <c r="C18" s="11" t="s">
        <v>176</v>
      </c>
      <c r="E18" s="11" t="str" cm="1">
        <f t="array" ref="E18">_xlfn.IFS(
    COUNTIF(Herramientas_eléctricas1862106149192321[Herramientas_eléctricas], B18) &gt; 0, Herramientas_eléctricas1862106149192321[[#Headers],[Herramientas_eléctricas]],
    COUNTIF(Herramientas_neumáticas1963107150193322[Herramientas_neumáticas], B18) &gt; 0, Herramientas_neumáticas1963107150193322[[#Headers],[Herramientas_neumáticas]],
    COUNTIF(Herramientas_de_medición2064108151194323[Herramientas_de_medición], B18) &gt; 0, Herramientas_de_medición2064108151194323[[#Headers],[Herramientas_de_medición]],
    COUNTIF(Herrramientas_mecánicas2165109152195324[Herramientas_mecánicas], B18) &gt; 0, Herrramientas_mecánicas2165109152195324[[#Headers],[Herramientas_mecánicas]],
    COUNTIF(AI18:AI24, B18) &gt; 0, Herramientas_hidráulicas2266110153196325[[#Headers],[Herramientas_hidráulicas]],
    COUNTIF(EPP_2367111154197326[SPCC], B18) &gt; 0, EPP_2367111154197326[[#Headers],[SPCC]],
   COUNTIF(Herramientas_de_izaje2468112155198327[Herramientas_de_izaje], B18) &gt; 0, Herramientas_de_izaje2468112155198327[[#Headers],[Herramientas_de_izaje]],
COUNTIF(Tabla162670114157200329[Equipos], B18) &gt; 0, Tabla162670114157200329[[#Headers],[Equipos]],
    TRUE, "Sin clasificación"
)</f>
        <v>Herramientas_eléctricas</v>
      </c>
      <c r="F18" s="15"/>
      <c r="G18" s="15">
        <v>750</v>
      </c>
      <c r="H18" s="15">
        <v>220</v>
      </c>
      <c r="I18" s="15"/>
      <c r="J18" s="15" t="s">
        <v>572</v>
      </c>
      <c r="K18" s="47" t="s">
        <v>660</v>
      </c>
      <c r="M18" s="47">
        <v>327280074</v>
      </c>
      <c r="N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ZE-TA-ELT-0002</v>
      </c>
      <c r="P18" s="15"/>
      <c r="R18" s="48"/>
      <c r="S18" t="s">
        <v>661</v>
      </c>
      <c r="AE18" t="s">
        <v>97</v>
      </c>
      <c r="AH18" t="s">
        <v>98</v>
      </c>
      <c r="AN18" s="25" t="s">
        <v>99</v>
      </c>
    </row>
    <row r="19" spans="2:43" x14ac:dyDescent="0.3">
      <c r="B19" t="s">
        <v>49</v>
      </c>
      <c r="C19" s="11" t="s">
        <v>176</v>
      </c>
      <c r="E19" s="11" t="str" cm="1">
        <f t="array" ref="E19">_xlfn.IFS(
    COUNTIF(Herramientas_eléctricas1862106149192321[Herramientas_eléctricas], B19) &gt; 0, Herramientas_eléctricas1862106149192321[[#Headers],[Herramientas_eléctricas]],
    COUNTIF(Herramientas_neumáticas1963107150193322[Herramientas_neumáticas], B19) &gt; 0, Herramientas_neumáticas1963107150193322[[#Headers],[Herramientas_neumáticas]],
    COUNTIF(Herramientas_de_medición2064108151194323[Herramientas_de_medición], B19) &gt; 0, Herramientas_de_medición2064108151194323[[#Headers],[Herramientas_de_medición]],
    COUNTIF(Herrramientas_mecánicas2165109152195324[Herramientas_mecánicas], B19) &gt; 0, Herrramientas_mecánicas2165109152195324[[#Headers],[Herramientas_mecánicas]],
    COUNTIF(AI19:AI25, B19) &gt; 0, Herramientas_hidráulicas2266110153196325[[#Headers],[Herramientas_hidráulicas]],
    COUNTIF(EPP_2367111154197326[SPCC], B19) &gt; 0, EPP_2367111154197326[[#Headers],[SPCC]],
   COUNTIF(Herramientas_de_izaje2468112155198327[Herramientas_de_izaje], B19) &gt; 0, Herramientas_de_izaje2468112155198327[[#Headers],[Herramientas_de_izaje]],
COUNTIF(Tabla162670114157200329[Equipos], B19) &gt; 0, Tabla162670114157200329[[#Headers],[Equipos]],
    TRUE, "Sin clasificación"
)</f>
        <v>Herramientas_eléctricas</v>
      </c>
      <c r="F19" s="15"/>
      <c r="G19" s="15"/>
      <c r="H19" s="15"/>
      <c r="I19" s="15"/>
      <c r="J19" s="15" t="s">
        <v>572</v>
      </c>
      <c r="K19" s="47"/>
      <c r="L19" t="s">
        <v>662</v>
      </c>
      <c r="M19" s="47"/>
      <c r="N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ZE-TA-ELT-0003</v>
      </c>
      <c r="P19" s="15"/>
      <c r="R19" s="48"/>
      <c r="S19" t="s">
        <v>663</v>
      </c>
      <c r="AE19" t="s">
        <v>42</v>
      </c>
      <c r="AH19" s="11" t="s">
        <v>41</v>
      </c>
      <c r="AN19" t="s">
        <v>100</v>
      </c>
    </row>
    <row r="20" spans="2:43" x14ac:dyDescent="0.3">
      <c r="B20" t="s">
        <v>49</v>
      </c>
      <c r="C20" s="11" t="s">
        <v>176</v>
      </c>
      <c r="E20" s="11" t="str" cm="1">
        <f t="array" ref="E20">_xlfn.IFS(
    COUNTIF(Herramientas_eléctricas1862106149192321[Herramientas_eléctricas], B20) &gt; 0, Herramientas_eléctricas1862106149192321[[#Headers],[Herramientas_eléctricas]],
    COUNTIF(Herramientas_neumáticas1963107150193322[Herramientas_neumáticas], B20) &gt; 0, Herramientas_neumáticas1963107150193322[[#Headers],[Herramientas_neumáticas]],
    COUNTIF(Herramientas_de_medición2064108151194323[Herramientas_de_medición], B20) &gt; 0, Herramientas_de_medición2064108151194323[[#Headers],[Herramientas_de_medición]],
    COUNTIF(Herrramientas_mecánicas2165109152195324[Herramientas_mecánicas], B20) &gt; 0, Herrramientas_mecánicas2165109152195324[[#Headers],[Herramientas_mecánicas]],
    COUNTIF(AI20:AI26, B20) &gt; 0, Herramientas_hidráulicas2266110153196325[[#Headers],[Herramientas_hidráulicas]],
    COUNTIF(EPP_2367111154197326[SPCC], B20) &gt; 0, EPP_2367111154197326[[#Headers],[SPCC]],
   COUNTIF(Herramientas_de_izaje2468112155198327[Herramientas_de_izaje], B20) &gt; 0, Herramientas_de_izaje2468112155198327[[#Headers],[Herramientas_de_izaje]],
COUNTIF(Tabla162670114157200329[Equipos], B20) &gt; 0, Tabla162670114157200329[[#Headers],[Equipos]],
    TRUE, "Sin clasificación"
)</f>
        <v>Herramientas_eléctricas</v>
      </c>
      <c r="F20" s="15"/>
      <c r="G20" s="15">
        <v>701</v>
      </c>
      <c r="H20" s="15">
        <v>230</v>
      </c>
      <c r="I20" s="15">
        <v>3.25</v>
      </c>
      <c r="J20" s="15" t="s">
        <v>572</v>
      </c>
      <c r="K20" s="47" t="s">
        <v>664</v>
      </c>
      <c r="L20" t="s">
        <v>665</v>
      </c>
      <c r="M20" s="47">
        <v>88900435</v>
      </c>
      <c r="N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ZE-TA-ELT-0004</v>
      </c>
      <c r="P20" s="15"/>
      <c r="R20" s="48" t="s">
        <v>224</v>
      </c>
      <c r="S20" t="s">
        <v>666</v>
      </c>
      <c r="AE20" t="s">
        <v>101</v>
      </c>
      <c r="AH20" t="s">
        <v>102</v>
      </c>
      <c r="AN20" s="26" t="s">
        <v>103</v>
      </c>
    </row>
    <row r="21" spans="2:43" x14ac:dyDescent="0.3">
      <c r="B21" t="s">
        <v>49</v>
      </c>
      <c r="C21" s="11" t="s">
        <v>176</v>
      </c>
      <c r="E21" s="11" t="str" cm="1">
        <f t="array" ref="E21">_xlfn.IFS(
    COUNTIF(Herramientas_eléctricas1862106149192321[Herramientas_eléctricas], B21) &gt; 0, Herramientas_eléctricas1862106149192321[[#Headers],[Herramientas_eléctricas]],
    COUNTIF(Herramientas_neumáticas1963107150193322[Herramientas_neumáticas], B21) &gt; 0, Herramientas_neumáticas1963107150193322[[#Headers],[Herramientas_neumáticas]],
    COUNTIF(Herramientas_de_medición2064108151194323[Herramientas_de_medición], B21) &gt; 0, Herramientas_de_medición2064108151194323[[#Headers],[Herramientas_de_medición]],
    COUNTIF(Herrramientas_mecánicas2165109152195324[Herramientas_mecánicas], B21) &gt; 0, Herrramientas_mecánicas2165109152195324[[#Headers],[Herramientas_mecánicas]],
    COUNTIF(AI21:AI27, B21) &gt; 0, Herramientas_hidráulicas2266110153196325[[#Headers],[Herramientas_hidráulicas]],
    COUNTIF(EPP_2367111154197326[SPCC], B21) &gt; 0, EPP_2367111154197326[[#Headers],[SPCC]],
   COUNTIF(Herramientas_de_izaje2468112155198327[Herramientas_de_izaje], B21) &gt; 0, Herramientas_de_izaje2468112155198327[[#Headers],[Herramientas_de_izaje]],
COUNTIF(Tabla162670114157200329[Equipos], B21) &gt; 0, Tabla162670114157200329[[#Headers],[Equipos]],
    TRUE, "Sin clasificación"
)</f>
        <v>Herramientas_eléctricas</v>
      </c>
      <c r="F21" s="15"/>
      <c r="G21" s="15">
        <v>870</v>
      </c>
      <c r="H21" s="15">
        <v>220</v>
      </c>
      <c r="I21" s="15"/>
      <c r="J21" s="15" t="s">
        <v>572</v>
      </c>
      <c r="K21" s="47" t="s">
        <v>583</v>
      </c>
      <c r="L21" t="s">
        <v>667</v>
      </c>
      <c r="M21" s="47">
        <v>331450558</v>
      </c>
      <c r="N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ZE-TA-ELT-0005</v>
      </c>
      <c r="P21" s="15"/>
      <c r="R21" s="48"/>
      <c r="S21" t="s">
        <v>668</v>
      </c>
      <c r="AE21" s="6"/>
      <c r="AH21" s="6" t="s">
        <v>20</v>
      </c>
    </row>
    <row r="22" spans="2:43" x14ac:dyDescent="0.3">
      <c r="B22" t="s">
        <v>49</v>
      </c>
      <c r="C22" s="11" t="s">
        <v>176</v>
      </c>
      <c r="E22" s="11" t="str" cm="1">
        <f t="array" ref="E22">_xlfn.IFS(
    COUNTIF(Herramientas_eléctricas1862106149192321[Herramientas_eléctricas], B22) &gt; 0, Herramientas_eléctricas1862106149192321[[#Headers],[Herramientas_eléctricas]],
    COUNTIF(Herramientas_neumáticas1963107150193322[Herramientas_neumáticas], B22) &gt; 0, Herramientas_neumáticas1963107150193322[[#Headers],[Herramientas_neumáticas]],
    COUNTIF(Herramientas_de_medición2064108151194323[Herramientas_de_medición], B22) &gt; 0, Herramientas_de_medición2064108151194323[[#Headers],[Herramientas_de_medición]],
    COUNTIF(Herrramientas_mecánicas2165109152195324[Herramientas_mecánicas], B22) &gt; 0, Herrramientas_mecánicas2165109152195324[[#Headers],[Herramientas_mecánicas]],
    COUNTIF(AI22:AI28, B22) &gt; 0, Herramientas_hidráulicas2266110153196325[[#Headers],[Herramientas_hidráulicas]],
    COUNTIF(EPP_2367111154197326[SPCC], B22) &gt; 0, EPP_2367111154197326[[#Headers],[SPCC]],
   COUNTIF(Herramientas_de_izaje2468112155198327[Herramientas_de_izaje], B22) &gt; 0, Herramientas_de_izaje2468112155198327[[#Headers],[Herramientas_de_izaje]],
COUNTIF(Tabla162670114157200329[Equipos], B22) &gt; 0, Tabla162670114157200329[[#Headers],[Equipos]],
    TRUE, "Sin clasificación"
)</f>
        <v>Herramientas_eléctricas</v>
      </c>
      <c r="F22" s="15"/>
      <c r="G22" s="15">
        <v>750</v>
      </c>
      <c r="H22" s="15">
        <v>220</v>
      </c>
      <c r="I22" s="15">
        <v>3.4</v>
      </c>
      <c r="J22" s="15" t="s">
        <v>572</v>
      </c>
      <c r="K22" s="47" t="s">
        <v>624</v>
      </c>
      <c r="L22" t="s">
        <v>669</v>
      </c>
      <c r="M22" s="47">
        <v>123002510</v>
      </c>
      <c r="N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ZE-TA-ELT-0006</v>
      </c>
      <c r="P22" s="15"/>
      <c r="R22" s="48"/>
      <c r="S22" t="s">
        <v>670</v>
      </c>
    </row>
    <row r="23" spans="2:43" x14ac:dyDescent="0.3">
      <c r="B23" t="s">
        <v>49</v>
      </c>
      <c r="C23" s="11" t="s">
        <v>176</v>
      </c>
      <c r="E23" s="11" t="str" cm="1">
        <f t="array" ref="E23">_xlfn.IFS(
    COUNTIF(Herramientas_eléctricas1862106149192321[Herramientas_eléctricas], B23) &gt; 0, Herramientas_eléctricas1862106149192321[[#Headers],[Herramientas_eléctricas]],
    COUNTIF(Herramientas_neumáticas1963107150193322[Herramientas_neumáticas], B23) &gt; 0, Herramientas_neumáticas1963107150193322[[#Headers],[Herramientas_neumáticas]],
    COUNTIF(Herramientas_de_medición2064108151194323[Herramientas_de_medición], B23) &gt; 0, Herramientas_de_medición2064108151194323[[#Headers],[Herramientas_de_medición]],
    COUNTIF(Herrramientas_mecánicas2165109152195324[Herramientas_mecánicas], B23) &gt; 0, Herrramientas_mecánicas2165109152195324[[#Headers],[Herramientas_mecánicas]],
    COUNTIF(AI23:AI29, B23) &gt; 0, Herramientas_hidráulicas2266110153196325[[#Headers],[Herramientas_hidráulicas]],
    COUNTIF(EPP_2367111154197326[SPCC], B23) &gt; 0, EPP_2367111154197326[[#Headers],[SPCC]],
   COUNTIF(Herramientas_de_izaje2468112155198327[Herramientas_de_izaje], B23) &gt; 0, Herramientas_de_izaje2468112155198327[[#Headers],[Herramientas_de_izaje]],
COUNTIF(Tabla162670114157200329[Equipos], B23) &gt; 0, Tabla162670114157200329[[#Headers],[Equipos]],
    TRUE, "Sin clasificación"
)</f>
        <v>Herramientas_eléctricas</v>
      </c>
      <c r="F23" s="15"/>
      <c r="G23" s="15"/>
      <c r="H23" s="15">
        <v>18</v>
      </c>
      <c r="I23" s="15"/>
      <c r="J23" s="15" t="s">
        <v>572</v>
      </c>
      <c r="K23" s="47" t="s">
        <v>674</v>
      </c>
      <c r="L23" t="s">
        <v>675</v>
      </c>
      <c r="M23" s="47" t="s">
        <v>645</v>
      </c>
      <c r="N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ZE-TA-ELT-0007</v>
      </c>
      <c r="P23" s="15"/>
      <c r="R23" s="48"/>
      <c r="S23" t="s">
        <v>676</v>
      </c>
    </row>
    <row r="24" spans="2:43" x14ac:dyDescent="0.3">
      <c r="B24" t="s">
        <v>49</v>
      </c>
      <c r="C24" s="11" t="s">
        <v>176</v>
      </c>
      <c r="E24" s="11" t="str" cm="1">
        <f t="array" ref="E24">_xlfn.IFS(
    COUNTIF(Herramientas_eléctricas1862106149192321[Herramientas_eléctricas], B24) &gt; 0, Herramientas_eléctricas1862106149192321[[#Headers],[Herramientas_eléctricas]],
    COUNTIF(Herramientas_neumáticas1963107150193322[Herramientas_neumáticas], B24) &gt; 0, Herramientas_neumáticas1963107150193322[[#Headers],[Herramientas_neumáticas]],
    COUNTIF(Herramientas_de_medición2064108151194323[Herramientas_de_medición], B24) &gt; 0, Herramientas_de_medición2064108151194323[[#Headers],[Herramientas_de_medición]],
    COUNTIF(Herrramientas_mecánicas2165109152195324[Herramientas_mecánicas], B24) &gt; 0, Herrramientas_mecánicas2165109152195324[[#Headers],[Herramientas_mecánicas]],
    COUNTIF(AI24:AI30, B24) &gt; 0, Herramientas_hidráulicas2266110153196325[[#Headers],[Herramientas_hidráulicas]],
    COUNTIF(EPP_2367111154197326[SPCC], B24) &gt; 0, EPP_2367111154197326[[#Headers],[SPCC]],
   COUNTIF(Herramientas_de_izaje2468112155198327[Herramientas_de_izaje], B24) &gt; 0, Herramientas_de_izaje2468112155198327[[#Headers],[Herramientas_de_izaje]],
COUNTIF(Tabla162670114157200329[Equipos], B24) &gt; 0, Tabla162670114157200329[[#Headers],[Equipos]],
    TRUE, "Sin clasificación"
)</f>
        <v>Herramientas_eléctricas</v>
      </c>
      <c r="F24" s="15"/>
      <c r="G24" s="15"/>
      <c r="H24" s="15">
        <v>18</v>
      </c>
      <c r="I24" s="15"/>
      <c r="J24" s="15" t="s">
        <v>572</v>
      </c>
      <c r="K24" s="47" t="s">
        <v>674</v>
      </c>
      <c r="L24" t="s">
        <v>694</v>
      </c>
      <c r="M24" s="47">
        <v>525190264</v>
      </c>
      <c r="N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ZE-TA-ELT-0008</v>
      </c>
      <c r="P24" s="15"/>
      <c r="R24" s="48" t="s">
        <v>224</v>
      </c>
      <c r="S24" t="s">
        <v>676</v>
      </c>
      <c r="AO24" s="18"/>
    </row>
    <row r="25" spans="2:43" x14ac:dyDescent="0.3">
      <c r="B25" t="s">
        <v>49</v>
      </c>
      <c r="C25" s="11" t="s">
        <v>176</v>
      </c>
      <c r="E25" s="11" t="str" cm="1">
        <f t="array" ref="E25">_xlfn.IFS(
    COUNTIF(Herramientas_eléctricas1862106149192321[Herramientas_eléctricas], B25) &gt; 0, Herramientas_eléctricas1862106149192321[[#Headers],[Herramientas_eléctricas]],
    COUNTIF(Herramientas_neumáticas1963107150193322[Herramientas_neumáticas], B25) &gt; 0, Herramientas_neumáticas1963107150193322[[#Headers],[Herramientas_neumáticas]],
    COUNTIF(Herramientas_de_medición2064108151194323[Herramientas_de_medición], B25) &gt; 0, Herramientas_de_medición2064108151194323[[#Headers],[Herramientas_de_medición]],
    COUNTIF(Herrramientas_mecánicas2165109152195324[Herramientas_mecánicas], B25) &gt; 0, Herrramientas_mecánicas2165109152195324[[#Headers],[Herramientas_mecánicas]],
    COUNTIF(AI25:AI31, B25) &gt; 0, Herramientas_hidráulicas2266110153196325[[#Headers],[Herramientas_hidráulicas]],
    COUNTIF(EPP_2367111154197326[SPCC], B25) &gt; 0, EPP_2367111154197326[[#Headers],[SPCC]],
   COUNTIF(Herramientas_de_izaje2468112155198327[Herramientas_de_izaje], B25) &gt; 0, Herramientas_de_izaje2468112155198327[[#Headers],[Herramientas_de_izaje]],
COUNTIF(Tabla162670114157200329[Equipos], B25) &gt; 0, Tabla162670114157200329[[#Headers],[Equipos]],
    TRUE, "Sin clasificación"
)</f>
        <v>Herramientas_eléctricas</v>
      </c>
      <c r="F25" s="15"/>
      <c r="G25" s="15"/>
      <c r="H25" s="15">
        <v>18</v>
      </c>
      <c r="I25" s="15"/>
      <c r="J25" s="15" t="s">
        <v>572</v>
      </c>
      <c r="K25" s="47" t="s">
        <v>674</v>
      </c>
      <c r="L25" t="s">
        <v>695</v>
      </c>
      <c r="M25" s="47">
        <v>524160030</v>
      </c>
      <c r="N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ZE-TA-ELT-0009</v>
      </c>
      <c r="P25" s="15"/>
      <c r="R25" s="48"/>
      <c r="S25" t="s">
        <v>676</v>
      </c>
      <c r="AO25" s="22"/>
    </row>
    <row r="26" spans="2:43" x14ac:dyDescent="0.3">
      <c r="C26" s="11"/>
      <c r="E26" s="11" t="str" cm="1">
        <f t="array" ref="E26">_xlfn.IFS(
    COUNTIF(Herramientas_eléctricas1862106149192321[Herramientas_eléctricas], B26) &gt; 0, Herramientas_eléctricas1862106149192321[[#Headers],[Herramientas_eléctricas]],
    COUNTIF(Herramientas_neumáticas1963107150193322[Herramientas_neumáticas], B26) &gt; 0, Herramientas_neumáticas1963107150193322[[#Headers],[Herramientas_neumáticas]],
    COUNTIF(Herramientas_de_medición2064108151194323[Herramientas_de_medición], B26) &gt; 0, Herramientas_de_medición2064108151194323[[#Headers],[Herramientas_de_medición]],
    COUNTIF(Herrramientas_mecánicas2165109152195324[Herramientas_mecánicas], B26) &gt; 0, Herrramientas_mecánicas2165109152195324[[#Headers],[Herramientas_mecánicas]],
    COUNTIF(AI26:AI32, B26) &gt; 0, Herramientas_hidráulicas2266110153196325[[#Headers],[Herramientas_hidráulicas]],
    COUNTIF(EPP_2367111154197326[SPCC], B26) &gt; 0, EPP_2367111154197326[[#Headers],[SPCC]],
   COUNTIF(Herramientas_de_izaje2468112155198327[Herramientas_de_izaje], B26) &gt; 0, Herramientas_de_izaje2468112155198327[[#Headers],[Herramientas_de_izaje]],
COUNTIF(Tabla162670114157200329[Equipos], B26) &gt; 0, Tabla162670114157200329[[#Headers],[Equipos]],
    TRUE, "Sin clasificación"
)</f>
        <v>Sin clasificación</v>
      </c>
      <c r="F26" s="15"/>
      <c r="G26" s="15"/>
      <c r="H26" s="15"/>
      <c r="I26" s="15"/>
      <c r="J26" s="15"/>
      <c r="K26" s="47"/>
      <c r="M26" s="47"/>
      <c r="N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-SinArea-0000</v>
      </c>
      <c r="P26" s="15"/>
      <c r="R26" s="48" t="s">
        <v>224</v>
      </c>
      <c r="AF26" s="18"/>
      <c r="AP26" t="s">
        <v>235</v>
      </c>
    </row>
    <row r="27" spans="2:43" ht="28.8" x14ac:dyDescent="0.3">
      <c r="C27" s="11"/>
      <c r="E27" s="11" t="str" cm="1">
        <f t="array" ref="E27">_xlfn.IFS(
    COUNTIF(Herramientas_eléctricas1862106149192321[Herramientas_eléctricas], B27) &gt; 0, Herramientas_eléctricas1862106149192321[[#Headers],[Herramientas_eléctricas]],
    COUNTIF(Herramientas_neumáticas1963107150193322[Herramientas_neumáticas], B27) &gt; 0, Herramientas_neumáticas1963107150193322[[#Headers],[Herramientas_neumáticas]],
    COUNTIF(Herramientas_de_medición2064108151194323[Herramientas_de_medición], B27) &gt; 0, Herramientas_de_medición2064108151194323[[#Headers],[Herramientas_de_medición]],
    COUNTIF(Herrramientas_mecánicas2165109152195324[Herramientas_mecánicas], B27) &gt; 0, Herrramientas_mecánicas2165109152195324[[#Headers],[Herramientas_mecánicas]],
    COUNTIF(AI27:AI33, B27) &gt; 0, Herramientas_hidráulicas2266110153196325[[#Headers],[Herramientas_hidráulicas]],
    COUNTIF(EPP_2367111154197326[SPCC], B27) &gt; 0, EPP_2367111154197326[[#Headers],[SPCC]],
   COUNTIF(Herramientas_de_izaje2468112155198327[Herramientas_de_izaje], B27) &gt; 0, Herramientas_de_izaje2468112155198327[[#Headers],[Herramientas_de_izaje]],
COUNTIF(Tabla162670114157200329[Equipos], B27) &gt; 0, Tabla162670114157200329[[#Headers],[Equipos]],
    TRUE, "Sin clasificación"
)</f>
        <v>Sin clasificación</v>
      </c>
      <c r="F27" s="15"/>
      <c r="G27" s="15"/>
      <c r="H27" s="15"/>
      <c r="I27" s="15"/>
      <c r="J27" s="15"/>
      <c r="K27" s="47"/>
      <c r="M27" s="47"/>
      <c r="N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-SinArea-0000</v>
      </c>
      <c r="P27" s="15"/>
      <c r="R27" s="48"/>
      <c r="AE27" s="11" t="s">
        <v>236</v>
      </c>
      <c r="AF27" s="11" t="s">
        <v>237</v>
      </c>
      <c r="AG27" s="11" t="s">
        <v>238</v>
      </c>
      <c r="AH27" s="11" t="s">
        <v>239</v>
      </c>
      <c r="AI27" s="11" t="s">
        <v>240</v>
      </c>
      <c r="AJ27" s="11" t="s">
        <v>241</v>
      </c>
      <c r="AK27" s="11" t="s">
        <v>242</v>
      </c>
      <c r="AL27" s="11" t="s">
        <v>243</v>
      </c>
      <c r="AM27" s="11" t="s">
        <v>244</v>
      </c>
      <c r="AN27" s="11" t="s">
        <v>245</v>
      </c>
    </row>
    <row r="28" spans="2:43" x14ac:dyDescent="0.3">
      <c r="C28" s="11"/>
      <c r="E28" s="11" t="str" cm="1">
        <f t="array" ref="E28">_xlfn.IFS(
    COUNTIF(Herramientas_eléctricas1862106149192321[Herramientas_eléctricas], B28) &gt; 0, Herramientas_eléctricas1862106149192321[[#Headers],[Herramientas_eléctricas]],
    COUNTIF(Herramientas_neumáticas1963107150193322[Herramientas_neumáticas], B28) &gt; 0, Herramientas_neumáticas1963107150193322[[#Headers],[Herramientas_neumáticas]],
    COUNTIF(Herramientas_de_medición2064108151194323[Herramientas_de_medición], B28) &gt; 0, Herramientas_de_medición2064108151194323[[#Headers],[Herramientas_de_medición]],
    COUNTIF(Herrramientas_mecánicas2165109152195324[Herramientas_mecánicas], B28) &gt; 0, Herrramientas_mecánicas2165109152195324[[#Headers],[Herramientas_mecánicas]],
    COUNTIF(AI28:AI34, B28) &gt; 0, Herramientas_hidráulicas2266110153196325[[#Headers],[Herramientas_hidráulicas]],
    COUNTIF(EPP_2367111154197326[SPCC], B28) &gt; 0, EPP_2367111154197326[[#Headers],[SPCC]],
   COUNTIF(Herramientas_de_izaje2468112155198327[Herramientas_de_izaje], B28) &gt; 0, Herramientas_de_izaje2468112155198327[[#Headers],[Herramientas_de_izaje]],
COUNTIF(Tabla162670114157200329[Equipos], B28) &gt; 0, Tabla162670114157200329[[#Headers],[Equipos]],
    TRUE, "Sin clasificación"
)</f>
        <v>Sin clasificación</v>
      </c>
      <c r="F28" s="15"/>
      <c r="G28" s="15"/>
      <c r="H28" s="15"/>
      <c r="I28" s="15"/>
      <c r="J28" s="15"/>
      <c r="K28" s="47"/>
      <c r="M28" s="47"/>
      <c r="N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-SinArea-0000</v>
      </c>
      <c r="P28" s="15"/>
      <c r="R28" s="48"/>
    </row>
    <row r="29" spans="2:43" x14ac:dyDescent="0.3">
      <c r="C29" s="11"/>
      <c r="E29" s="11" t="str" cm="1">
        <f t="array" ref="E29">_xlfn.IFS(
    COUNTIF(Herramientas_eléctricas1862106149192321[Herramientas_eléctricas], B29) &gt; 0, Herramientas_eléctricas1862106149192321[[#Headers],[Herramientas_eléctricas]],
    COUNTIF(Herramientas_neumáticas1963107150193322[Herramientas_neumáticas], B29) &gt; 0, Herramientas_neumáticas1963107150193322[[#Headers],[Herramientas_neumáticas]],
    COUNTIF(Herramientas_de_medición2064108151194323[Herramientas_de_medición], B29) &gt; 0, Herramientas_de_medición2064108151194323[[#Headers],[Herramientas_de_medición]],
    COUNTIF(Herrramientas_mecánicas2165109152195324[Herramientas_mecánicas], B29) &gt; 0, Herrramientas_mecánicas2165109152195324[[#Headers],[Herramientas_mecánicas]],
    COUNTIF(AI29:AI35, B29) &gt; 0, Herramientas_hidráulicas2266110153196325[[#Headers],[Herramientas_hidráulicas]],
    COUNTIF(EPP_2367111154197326[SPCC], B29) &gt; 0, EPP_2367111154197326[[#Headers],[SPCC]],
   COUNTIF(Herramientas_de_izaje2468112155198327[Herramientas_de_izaje], B29) &gt; 0, Herramientas_de_izaje2468112155198327[[#Headers],[Herramientas_de_izaje]],
COUNTIF(Tabla162670114157200329[Equipos], B29) &gt; 0, Tabla162670114157200329[[#Headers],[Equipos]],
    TRUE, "Sin clasificación"
)</f>
        <v>Sin clasificación</v>
      </c>
      <c r="F29" s="15"/>
      <c r="G29" s="15"/>
      <c r="H29" s="15"/>
      <c r="I29" s="15"/>
      <c r="J29" s="15"/>
      <c r="K29" s="47"/>
      <c r="M29" s="47"/>
      <c r="N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-SinArea-0000</v>
      </c>
      <c r="P29" s="15"/>
      <c r="R29" s="48"/>
      <c r="AE29" t="s">
        <v>246</v>
      </c>
      <c r="AF29" t="s">
        <v>97</v>
      </c>
      <c r="AG29" t="s">
        <v>34</v>
      </c>
      <c r="AH29" t="s">
        <v>66</v>
      </c>
      <c r="AI29" s="63" t="s">
        <v>247</v>
      </c>
      <c r="AK29" t="s">
        <v>19</v>
      </c>
      <c r="AN29" t="s">
        <v>75</v>
      </c>
    </row>
    <row r="30" spans="2:43" ht="28.8" x14ac:dyDescent="0.3">
      <c r="C30" s="11"/>
      <c r="E30" s="11" t="str" cm="1">
        <f t="array" ref="E30">_xlfn.IFS(
    COUNTIF(Herramientas_eléctricas1862106149192321[Herramientas_eléctricas], B30) &gt; 0, Herramientas_eléctricas1862106149192321[[#Headers],[Herramientas_eléctricas]],
    COUNTIF(Herramientas_neumáticas1963107150193322[Herramientas_neumáticas], B30) &gt; 0, Herramientas_neumáticas1963107150193322[[#Headers],[Herramientas_neumáticas]],
    COUNTIF(Herramientas_de_medición2064108151194323[Herramientas_de_medición], B30) &gt; 0, Herramientas_de_medición2064108151194323[[#Headers],[Herramientas_de_medición]],
    COUNTIF(Herrramientas_mecánicas2165109152195324[Herramientas_mecánicas], B30) &gt; 0, Herrramientas_mecánicas2165109152195324[[#Headers],[Herramientas_mecánicas]],
    COUNTIF(AI30:AI36, B30) &gt; 0, Herramientas_hidráulicas2266110153196325[[#Headers],[Herramientas_hidráulicas]],
    COUNTIF(EPP_2367111154197326[SPCC], B30) &gt; 0, EPP_2367111154197326[[#Headers],[SPCC]],
   COUNTIF(Herramientas_de_izaje2468112155198327[Herramientas_de_izaje], B30) &gt; 0, Herramientas_de_izaje2468112155198327[[#Headers],[Herramientas_de_izaje]],
COUNTIF(Tabla162670114157200329[Equipos], B30) &gt; 0, Tabla162670114157200329[[#Headers],[Equipos]],
    TRUE, "Sin clasificación"
)</f>
        <v>Sin clasificación</v>
      </c>
      <c r="F30" s="15"/>
      <c r="G30" s="15"/>
      <c r="H30" s="15"/>
      <c r="I30" s="15"/>
      <c r="J30" s="15"/>
      <c r="K30" s="47"/>
      <c r="M30" s="47"/>
      <c r="N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-SinArea-0000</v>
      </c>
      <c r="P30" s="15"/>
      <c r="R30" s="48" t="s">
        <v>224</v>
      </c>
      <c r="AE30" s="22" t="s">
        <v>248</v>
      </c>
      <c r="AF30" t="s">
        <v>17</v>
      </c>
      <c r="AG30" s="18" t="s">
        <v>249</v>
      </c>
      <c r="AH30" t="s">
        <v>250</v>
      </c>
      <c r="AI30" s="64" t="s">
        <v>251</v>
      </c>
      <c r="AK30" t="s">
        <v>252</v>
      </c>
      <c r="AN30" s="18" t="s">
        <v>253</v>
      </c>
    </row>
    <row r="31" spans="2:43" x14ac:dyDescent="0.3">
      <c r="C31" s="11"/>
      <c r="E31" s="11" t="str" cm="1">
        <f t="array" ref="E31">_xlfn.IFS(
    COUNTIF(Herramientas_eléctricas1862106149192321[Herramientas_eléctricas], B31) &gt; 0, Herramientas_eléctricas1862106149192321[[#Headers],[Herramientas_eléctricas]],
    COUNTIF(Herramientas_neumáticas1963107150193322[Herramientas_neumáticas], B31) &gt; 0, Herramientas_neumáticas1963107150193322[[#Headers],[Herramientas_neumáticas]],
    COUNTIF(Herramientas_de_medición2064108151194323[Herramientas_de_medición], B31) &gt; 0, Herramientas_de_medición2064108151194323[[#Headers],[Herramientas_de_medición]],
    COUNTIF(Herrramientas_mecánicas2165109152195324[Herramientas_mecánicas], B31) &gt; 0, Herrramientas_mecánicas2165109152195324[[#Headers],[Herramientas_mecánicas]],
    COUNTIF(AI31:AI37, B31) &gt; 0, Herramientas_hidráulicas2266110153196325[[#Headers],[Herramientas_hidráulicas]],
    COUNTIF(EPP_2367111154197326[SPCC], B31) &gt; 0, EPP_2367111154197326[[#Headers],[SPCC]],
   COUNTIF(Herramientas_de_izaje2468112155198327[Herramientas_de_izaje], B31) &gt; 0, Herramientas_de_izaje2468112155198327[[#Headers],[Herramientas_de_izaje]],
COUNTIF(Tabla162670114157200329[Equipos], B31) &gt; 0, Tabla162670114157200329[[#Headers],[Equipos]],
    TRUE, "Sin clasificación"
)</f>
        <v>Sin clasificación</v>
      </c>
      <c r="F31" s="15"/>
      <c r="G31" s="15"/>
      <c r="H31" s="15"/>
      <c r="I31" s="15"/>
      <c r="J31" s="15"/>
      <c r="K31" s="47"/>
      <c r="M31" s="47"/>
      <c r="N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-SinArea-0000</v>
      </c>
      <c r="P31" s="15"/>
      <c r="R31" s="48"/>
      <c r="AE31" s="65" t="s">
        <v>254</v>
      </c>
      <c r="AG31" t="s">
        <v>255</v>
      </c>
      <c r="AN31" s="26" t="s">
        <v>256</v>
      </c>
    </row>
    <row r="32" spans="2:43" ht="28.5" customHeight="1" x14ac:dyDescent="0.3">
      <c r="C32" s="11"/>
      <c r="E32" s="11" t="str" cm="1">
        <f t="array" ref="E32">_xlfn.IFS(
    COUNTIF(Herramientas_eléctricas1862106149192321[Herramientas_eléctricas], B32) &gt; 0, Herramientas_eléctricas1862106149192321[[#Headers],[Herramientas_eléctricas]],
    COUNTIF(Herramientas_neumáticas1963107150193322[Herramientas_neumáticas], B32) &gt; 0, Herramientas_neumáticas1963107150193322[[#Headers],[Herramientas_neumáticas]],
    COUNTIF(Herramientas_de_medición2064108151194323[Herramientas_de_medición], B32) &gt; 0, Herramientas_de_medición2064108151194323[[#Headers],[Herramientas_de_medición]],
    COUNTIF(Herrramientas_mecánicas2165109152195324[Herramientas_mecánicas], B32) &gt; 0, Herrramientas_mecánicas2165109152195324[[#Headers],[Herramientas_mecánicas]],
    COUNTIF(AI32:AI38, B32) &gt; 0, Herramientas_hidráulicas2266110153196325[[#Headers],[Herramientas_hidráulicas]],
    COUNTIF(EPP_2367111154197326[SPCC], B32) &gt; 0, EPP_2367111154197326[[#Headers],[SPCC]],
   COUNTIF(Herramientas_de_izaje2468112155198327[Herramientas_de_izaje], B32) &gt; 0, Herramientas_de_izaje2468112155198327[[#Headers],[Herramientas_de_izaje]],
COUNTIF(Tabla162670114157200329[Equipos], B32) &gt; 0, Tabla162670114157200329[[#Headers],[Equipos]],
    TRUE, "Sin clasificación"
)</f>
        <v>Sin clasificación</v>
      </c>
      <c r="F32" s="15"/>
      <c r="G32" s="15"/>
      <c r="H32" s="15"/>
      <c r="I32" s="15"/>
      <c r="J32" s="15"/>
      <c r="K32" s="47"/>
      <c r="M32" s="47"/>
      <c r="N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-SinArea-0000</v>
      </c>
      <c r="P32" s="15"/>
      <c r="R32" s="48"/>
    </row>
    <row r="33" spans="3:43" x14ac:dyDescent="0.3">
      <c r="C33" s="11"/>
      <c r="E33" s="11" t="str" cm="1">
        <f t="array" ref="E33">_xlfn.IFS(
    COUNTIF(Herramientas_eléctricas1862106149192321[Herramientas_eléctricas], B33) &gt; 0, Herramientas_eléctricas1862106149192321[[#Headers],[Herramientas_eléctricas]],
    COUNTIF(Herramientas_neumáticas1963107150193322[Herramientas_neumáticas], B33) &gt; 0, Herramientas_neumáticas1963107150193322[[#Headers],[Herramientas_neumáticas]],
    COUNTIF(Herramientas_de_medición2064108151194323[Herramientas_de_medición], B33) &gt; 0, Herramientas_de_medición2064108151194323[[#Headers],[Herramientas_de_medición]],
    COUNTIF(Herrramientas_mecánicas2165109152195324[Herramientas_mecánicas], B33) &gt; 0, Herrramientas_mecánicas2165109152195324[[#Headers],[Herramientas_mecánicas]],
    COUNTIF(AI33:AI39, B33) &gt; 0, Herramientas_hidráulicas2266110153196325[[#Headers],[Herramientas_hidráulicas]],
    COUNTIF(EPP_2367111154197326[SPCC], B33) &gt; 0, EPP_2367111154197326[[#Headers],[SPCC]],
   COUNTIF(Herramientas_de_izaje2468112155198327[Herramientas_de_izaje], B33) &gt; 0, Herramientas_de_izaje2468112155198327[[#Headers],[Herramientas_de_izaje]],
COUNTIF(Tabla162670114157200329[Equipos], B33) &gt; 0, Tabla162670114157200329[[#Headers],[Equipos]],
    TRUE, "Sin clasificación"
)</f>
        <v>Sin clasificación</v>
      </c>
      <c r="F33" s="15"/>
      <c r="G33" s="15"/>
      <c r="H33" s="15"/>
      <c r="I33" s="15"/>
      <c r="J33" s="15"/>
      <c r="K33" s="47"/>
      <c r="M33" s="47"/>
      <c r="N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-SinArea-0000</v>
      </c>
      <c r="P33" s="15"/>
      <c r="R33" s="48"/>
      <c r="AE33" t="s">
        <v>68</v>
      </c>
      <c r="AF33" t="s">
        <v>36</v>
      </c>
      <c r="AG33" t="s">
        <v>257</v>
      </c>
      <c r="AH33" t="s">
        <v>258</v>
      </c>
    </row>
    <row r="34" spans="3:43" x14ac:dyDescent="0.3">
      <c r="C34" s="11"/>
      <c r="E34" s="11" t="str" cm="1">
        <f t="array" ref="E34">_xlfn.IFS(
    COUNTIF(Herramientas_eléctricas1862106149192321[Herramientas_eléctricas], B34) &gt; 0, Herramientas_eléctricas1862106149192321[[#Headers],[Herramientas_eléctricas]],
    COUNTIF(Herramientas_neumáticas1963107150193322[Herramientas_neumáticas], B34) &gt; 0, Herramientas_neumáticas1963107150193322[[#Headers],[Herramientas_neumáticas]],
    COUNTIF(Herramientas_de_medición2064108151194323[Herramientas_de_medición], B34) &gt; 0, Herramientas_de_medición2064108151194323[[#Headers],[Herramientas_de_medición]],
    COUNTIF(Herrramientas_mecánicas2165109152195324[Herramientas_mecánicas], B34) &gt; 0, Herrramientas_mecánicas2165109152195324[[#Headers],[Herramientas_mecánicas]],
    COUNTIF(AI34:AI40, B34) &gt; 0, Herramientas_hidráulicas2266110153196325[[#Headers],[Herramientas_hidráulicas]],
    COUNTIF(EPP_2367111154197326[SPCC], B34) &gt; 0, EPP_2367111154197326[[#Headers],[SPCC]],
   COUNTIF(Herramientas_de_izaje2468112155198327[Herramientas_de_izaje], B34) &gt; 0, Herramientas_de_izaje2468112155198327[[#Headers],[Herramientas_de_izaje]],
COUNTIF(Tabla162670114157200329[Equipos], B34) &gt; 0, Tabla162670114157200329[[#Headers],[Equipos]],
    TRUE, "Sin clasificación"
)</f>
        <v>Sin clasificación</v>
      </c>
      <c r="F34" s="15"/>
      <c r="G34" s="15"/>
      <c r="H34" s="15"/>
      <c r="I34" s="15"/>
      <c r="J34" s="15"/>
      <c r="K34" s="47"/>
      <c r="M34" s="47"/>
      <c r="N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-SinArea-0000</v>
      </c>
      <c r="P34" s="15"/>
      <c r="R34" s="48"/>
      <c r="AE34" s="20" t="s">
        <v>259</v>
      </c>
      <c r="AF34" t="s">
        <v>260</v>
      </c>
      <c r="AG34" s="19" t="s">
        <v>261</v>
      </c>
      <c r="AH34" s="22" t="s">
        <v>262</v>
      </c>
    </row>
    <row r="35" spans="3:43" ht="28.8" x14ac:dyDescent="0.3">
      <c r="C35" s="11"/>
      <c r="E35" s="11" t="str" cm="1">
        <f t="array" ref="E35">_xlfn.IFS(
    COUNTIF(Herramientas_eléctricas1862106149192321[Herramientas_eléctricas], B35) &gt; 0, Herramientas_eléctricas1862106149192321[[#Headers],[Herramientas_eléctricas]],
    COUNTIF(Herramientas_neumáticas1963107150193322[Herramientas_neumáticas], B35) &gt; 0, Herramientas_neumáticas1963107150193322[[#Headers],[Herramientas_neumáticas]],
    COUNTIF(Herramientas_de_medición2064108151194323[Herramientas_de_medición], B35) &gt; 0, Herramientas_de_medición2064108151194323[[#Headers],[Herramientas_de_medición]],
    COUNTIF(Herrramientas_mecánicas2165109152195324[Herramientas_mecánicas], B35) &gt; 0, Herrramientas_mecánicas2165109152195324[[#Headers],[Herramientas_mecánicas]],
    COUNTIF(AI35:AI41, B35) &gt; 0, Herramientas_hidráulicas2266110153196325[[#Headers],[Herramientas_hidráulicas]],
    COUNTIF(EPP_2367111154197326[SPCC], B35) &gt; 0, EPP_2367111154197326[[#Headers],[SPCC]],
   COUNTIF(Herramientas_de_izaje2468112155198327[Herramientas_de_izaje], B35) &gt; 0, Herramientas_de_izaje2468112155198327[[#Headers],[Herramientas_de_izaje]],
COUNTIF(Tabla162670114157200329[Equipos], B35) &gt; 0, Tabla162670114157200329[[#Headers],[Equipos]],
    TRUE, "Sin clasificación"
)</f>
        <v>Sin clasificación</v>
      </c>
      <c r="F35" s="15"/>
      <c r="G35" s="15"/>
      <c r="H35" s="15"/>
      <c r="I35" s="15"/>
      <c r="J35" s="15"/>
      <c r="K35" s="47"/>
      <c r="M35" s="47"/>
      <c r="N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-SinArea-0000</v>
      </c>
      <c r="P35" s="15"/>
      <c r="R35" s="48"/>
      <c r="AE35" s="66" t="s">
        <v>263</v>
      </c>
      <c r="AG35" s="13" t="s">
        <v>264</v>
      </c>
      <c r="AH35" s="67" t="s">
        <v>265</v>
      </c>
    </row>
    <row r="36" spans="3:43" x14ac:dyDescent="0.3">
      <c r="C36" s="11"/>
      <c r="E36" s="11"/>
      <c r="F36" s="15"/>
      <c r="G36" s="15"/>
      <c r="H36" s="15"/>
      <c r="I36" s="15"/>
      <c r="J36" s="15"/>
      <c r="K36" s="47"/>
      <c r="M36" s="47"/>
      <c r="N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-SinArea-0000</v>
      </c>
      <c r="P36" s="15"/>
      <c r="R36" s="48"/>
      <c r="AG36" s="68" t="s">
        <v>266</v>
      </c>
      <c r="AH36" s="22" t="s">
        <v>267</v>
      </c>
    </row>
    <row r="37" spans="3:43" x14ac:dyDescent="0.3">
      <c r="C37" s="11"/>
      <c r="E37" s="11"/>
      <c r="F37" s="15"/>
      <c r="G37" s="15"/>
      <c r="H37" s="15"/>
      <c r="I37" s="15"/>
      <c r="J37" s="15"/>
      <c r="K37" s="47"/>
      <c r="M37" s="47"/>
      <c r="N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-SinArea-0000</v>
      </c>
      <c r="P37" s="15"/>
      <c r="R37" s="48"/>
      <c r="AH37" s="18" t="s">
        <v>268</v>
      </c>
    </row>
    <row r="38" spans="3:43" x14ac:dyDescent="0.3">
      <c r="C38" s="11"/>
      <c r="E38" s="11"/>
      <c r="F38" s="15"/>
      <c r="G38" s="15"/>
      <c r="H38" s="15"/>
      <c r="I38" s="15"/>
      <c r="J38" s="15"/>
      <c r="K38" s="47"/>
      <c r="M38" s="47"/>
      <c r="N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-SinArea-0000</v>
      </c>
      <c r="P38" s="15"/>
      <c r="R38" s="48"/>
      <c r="AE38" s="69" t="s">
        <v>24</v>
      </c>
      <c r="AG38" t="s">
        <v>269</v>
      </c>
      <c r="AH38" s="18" t="s">
        <v>270</v>
      </c>
    </row>
    <row r="39" spans="3:43" ht="22.8" x14ac:dyDescent="0.3">
      <c r="C39" s="11"/>
      <c r="E39" s="11"/>
      <c r="F39" s="15"/>
      <c r="G39" s="15"/>
      <c r="H39" s="15"/>
      <c r="I39" s="15"/>
      <c r="J39" s="15"/>
      <c r="K39" s="47"/>
      <c r="M39" s="47"/>
      <c r="N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-SinArea-0000</v>
      </c>
      <c r="P39" s="15"/>
      <c r="R39" s="48"/>
      <c r="AE39" s="62" t="s">
        <v>271</v>
      </c>
      <c r="AG39" s="68" t="s">
        <v>272</v>
      </c>
      <c r="AH39" s="22" t="s">
        <v>273</v>
      </c>
    </row>
    <row r="40" spans="3:43" x14ac:dyDescent="0.3">
      <c r="C40" s="11"/>
      <c r="E40" s="11"/>
      <c r="F40" s="15"/>
      <c r="G40" s="15"/>
      <c r="H40" s="15"/>
      <c r="I40" s="15"/>
      <c r="J40" s="15"/>
      <c r="K40" s="47"/>
      <c r="M40" s="47"/>
      <c r="N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-SinArea-0000</v>
      </c>
      <c r="P40" s="15"/>
      <c r="R40" s="48"/>
      <c r="AE40" s="70" t="s">
        <v>17</v>
      </c>
      <c r="AH40" t="s">
        <v>274</v>
      </c>
    </row>
    <row r="41" spans="3:43" x14ac:dyDescent="0.3">
      <c r="C41" s="11"/>
      <c r="E41" s="11"/>
      <c r="F41" s="15"/>
      <c r="G41" s="15"/>
      <c r="H41" s="15"/>
      <c r="I41" s="15"/>
      <c r="J41" s="15"/>
      <c r="K41" s="47"/>
      <c r="M41" s="47"/>
      <c r="N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-SinArea-0000</v>
      </c>
      <c r="P41" s="15"/>
      <c r="R41" s="48"/>
      <c r="AG41" t="s">
        <v>61</v>
      </c>
    </row>
    <row r="42" spans="3:43" x14ac:dyDescent="0.3">
      <c r="C42" s="11"/>
      <c r="E42" s="11"/>
      <c r="F42" s="15"/>
      <c r="G42" s="15"/>
      <c r="H42" s="15"/>
      <c r="I42" s="15"/>
      <c r="J42" s="15"/>
      <c r="K42" s="47"/>
      <c r="M42" s="47"/>
      <c r="N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-SinArea-0000</v>
      </c>
      <c r="P42" s="15"/>
      <c r="R42" s="48"/>
      <c r="AE42" s="71" t="s">
        <v>94</v>
      </c>
      <c r="AG42" t="s">
        <v>275</v>
      </c>
    </row>
    <row r="43" spans="3:43" ht="28.8" x14ac:dyDescent="0.3">
      <c r="C43" s="11"/>
      <c r="E43" s="11"/>
      <c r="F43" s="15"/>
      <c r="G43" s="15"/>
      <c r="H43" s="15"/>
      <c r="I43" s="15"/>
      <c r="J43" s="15"/>
      <c r="K43" s="47"/>
      <c r="M43" s="47"/>
      <c r="N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-SinArea-0000</v>
      </c>
      <c r="P43" s="15"/>
      <c r="R43" s="48"/>
      <c r="AE43" s="72" t="s">
        <v>276</v>
      </c>
      <c r="AG43" s="20" t="s">
        <v>277</v>
      </c>
      <c r="AH43" t="s">
        <v>98</v>
      </c>
    </row>
    <row r="44" spans="3:43" x14ac:dyDescent="0.3">
      <c r="C44" s="11"/>
      <c r="E44" s="11"/>
      <c r="F44" s="15"/>
      <c r="G44" s="15"/>
      <c r="H44" s="15"/>
      <c r="I44" s="15"/>
      <c r="J44" s="15"/>
      <c r="K44" s="47"/>
      <c r="M44" s="47"/>
      <c r="N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-SinArea-0000</v>
      </c>
      <c r="P44" s="15"/>
      <c r="R44" s="48"/>
      <c r="AE44" s="73" t="s">
        <v>278</v>
      </c>
      <c r="AG44" s="18" t="s">
        <v>279</v>
      </c>
      <c r="AH44" s="26" t="s">
        <v>280</v>
      </c>
    </row>
    <row r="45" spans="3:43" x14ac:dyDescent="0.3">
      <c r="C45" s="11"/>
      <c r="E45" s="11"/>
      <c r="F45" s="15"/>
      <c r="G45" s="15"/>
      <c r="H45" s="15"/>
      <c r="I45" s="15"/>
      <c r="J45" s="15"/>
      <c r="K45" s="47"/>
      <c r="M45" s="47"/>
      <c r="N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-SinArea-0000</v>
      </c>
      <c r="P45" s="15"/>
      <c r="R45" s="48"/>
      <c r="AE45" t="s">
        <v>42</v>
      </c>
      <c r="AG45" s="26" t="s">
        <v>281</v>
      </c>
    </row>
    <row r="46" spans="3:43" x14ac:dyDescent="0.3">
      <c r="C46" s="11"/>
      <c r="E46" s="11"/>
      <c r="F46" s="15"/>
      <c r="G46" s="15"/>
      <c r="H46" s="15"/>
      <c r="I46" s="15"/>
      <c r="J46" s="15"/>
      <c r="K46" s="47"/>
      <c r="M46" s="47"/>
      <c r="N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-SinArea-0000</v>
      </c>
      <c r="P46" s="15"/>
      <c r="R46" s="48"/>
    </row>
    <row r="47" spans="3:43" x14ac:dyDescent="0.3">
      <c r="C47" s="11"/>
      <c r="E47" s="11"/>
      <c r="F47" s="15"/>
      <c r="G47" s="15"/>
      <c r="H47" s="15"/>
      <c r="I47" s="15"/>
      <c r="J47" s="15"/>
      <c r="K47" s="47"/>
      <c r="M47" s="47"/>
      <c r="N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-SinArea-0000</v>
      </c>
      <c r="P47" s="15"/>
      <c r="R47" s="48"/>
      <c r="AE47" t="s">
        <v>41</v>
      </c>
      <c r="AH47" t="s">
        <v>282</v>
      </c>
    </row>
    <row r="48" spans="3:43" ht="28.8" x14ac:dyDescent="0.3">
      <c r="C48" s="11"/>
      <c r="E48" s="11"/>
      <c r="F48" s="15"/>
      <c r="G48" s="15"/>
      <c r="H48" s="15"/>
      <c r="I48" s="15"/>
      <c r="J48" s="15"/>
      <c r="K48" s="47"/>
      <c r="M48" s="47"/>
      <c r="N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-SinArea-0000</v>
      </c>
      <c r="P48" s="15"/>
      <c r="R48" s="48"/>
      <c r="AE48" t="s">
        <v>41</v>
      </c>
      <c r="AG48" t="s">
        <v>283</v>
      </c>
      <c r="AH48" s="74" t="s">
        <v>284</v>
      </c>
      <c r="AQ48" t="s">
        <v>74</v>
      </c>
    </row>
    <row r="49" spans="3:43" x14ac:dyDescent="0.3">
      <c r="C49" s="11"/>
      <c r="E49" s="11"/>
      <c r="F49" s="15"/>
      <c r="G49" s="15"/>
      <c r="H49" s="15"/>
      <c r="I49" s="15"/>
      <c r="J49" s="15"/>
      <c r="K49" s="47"/>
      <c r="M49" s="47"/>
      <c r="N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-SinArea-0000</v>
      </c>
      <c r="P49" s="15"/>
      <c r="R49" s="48"/>
      <c r="AE49" t="s">
        <v>285</v>
      </c>
      <c r="AG49" t="s">
        <v>286</v>
      </c>
      <c r="AQ49" s="22" t="s">
        <v>74</v>
      </c>
    </row>
    <row r="50" spans="3:43" x14ac:dyDescent="0.3">
      <c r="C50" s="11"/>
      <c r="E50" s="11"/>
      <c r="F50" s="15"/>
      <c r="G50" s="15"/>
      <c r="H50" s="15"/>
      <c r="I50" s="15"/>
      <c r="J50" s="15"/>
      <c r="K50" s="47"/>
      <c r="M50" s="47"/>
      <c r="N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-SinArea-0000</v>
      </c>
      <c r="P50" s="15"/>
      <c r="R50" s="48"/>
      <c r="AE50" t="s">
        <v>287</v>
      </c>
      <c r="AG50" t="s">
        <v>288</v>
      </c>
      <c r="AH50" t="s">
        <v>289</v>
      </c>
      <c r="AQ50" s="18" t="s">
        <v>290</v>
      </c>
    </row>
    <row r="51" spans="3:43" x14ac:dyDescent="0.3">
      <c r="C51" s="11"/>
      <c r="E51" s="11"/>
      <c r="F51" s="15"/>
      <c r="G51" s="15"/>
      <c r="H51" s="15"/>
      <c r="I51" s="15"/>
      <c r="J51" s="15"/>
      <c r="K51" s="47"/>
      <c r="M51" s="47"/>
      <c r="N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-SinArea-0000</v>
      </c>
      <c r="P51" s="15"/>
      <c r="R51" s="48"/>
      <c r="AH51" s="22" t="s">
        <v>291</v>
      </c>
    </row>
    <row r="52" spans="3:43" x14ac:dyDescent="0.3">
      <c r="C52" s="11"/>
      <c r="E52" s="11"/>
      <c r="F52" s="15"/>
      <c r="G52" s="15"/>
      <c r="H52" s="15"/>
      <c r="I52" s="15"/>
      <c r="J52" s="15"/>
      <c r="K52" s="47"/>
      <c r="M52" s="47"/>
      <c r="N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-SinArea-0000</v>
      </c>
      <c r="P52" s="15"/>
      <c r="R52" s="48"/>
      <c r="AE52" t="s">
        <v>60</v>
      </c>
      <c r="AH52" s="67" t="s">
        <v>292</v>
      </c>
    </row>
    <row r="53" spans="3:43" x14ac:dyDescent="0.3">
      <c r="C53" s="11"/>
      <c r="E53" s="11"/>
      <c r="F53" s="15"/>
      <c r="G53" s="15"/>
      <c r="H53" s="15"/>
      <c r="I53" s="15"/>
      <c r="J53" s="15"/>
      <c r="K53" s="47"/>
      <c r="M53" s="47"/>
      <c r="N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-SinArea-0000</v>
      </c>
      <c r="P53" s="15"/>
      <c r="R53" s="48"/>
      <c r="AE53" s="70" t="s">
        <v>293</v>
      </c>
      <c r="AH53" s="22" t="s">
        <v>294</v>
      </c>
    </row>
    <row r="54" spans="3:43" x14ac:dyDescent="0.3">
      <c r="C54" s="11"/>
      <c r="E54" s="11"/>
      <c r="F54" s="15"/>
      <c r="G54" s="15"/>
      <c r="H54" s="15"/>
      <c r="I54" s="15"/>
      <c r="J54" s="15"/>
      <c r="K54" s="47"/>
      <c r="M54" s="47"/>
      <c r="N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-SinArea-0000</v>
      </c>
      <c r="P54" s="15"/>
      <c r="R54" s="48"/>
      <c r="AH54" s="22" t="s">
        <v>295</v>
      </c>
    </row>
    <row r="55" spans="3:43" x14ac:dyDescent="0.3">
      <c r="C55" s="11"/>
      <c r="E55" s="11"/>
      <c r="F55" s="15"/>
      <c r="G55" s="15"/>
      <c r="H55" s="15"/>
      <c r="I55" s="15"/>
      <c r="J55" s="15"/>
      <c r="K55" s="47"/>
      <c r="M55" s="47"/>
      <c r="N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-SinArea-0000</v>
      </c>
      <c r="P55" s="15"/>
      <c r="R55" s="48"/>
      <c r="AH55" s="22" t="s">
        <v>296</v>
      </c>
    </row>
    <row r="56" spans="3:43" x14ac:dyDescent="0.3">
      <c r="C56" s="11"/>
      <c r="E56" s="11"/>
      <c r="F56" s="15"/>
      <c r="G56" s="15"/>
      <c r="H56" s="15"/>
      <c r="I56" s="15"/>
      <c r="J56" s="15"/>
      <c r="K56" s="47"/>
      <c r="M56" s="47"/>
      <c r="N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-SinArea-0000</v>
      </c>
      <c r="P56" s="15"/>
      <c r="R56" s="48"/>
      <c r="AG56" t="s">
        <v>297</v>
      </c>
      <c r="AH56" s="18" t="s">
        <v>298</v>
      </c>
    </row>
    <row r="57" spans="3:43" x14ac:dyDescent="0.3">
      <c r="C57" s="11"/>
      <c r="E57" s="11"/>
      <c r="F57" s="15"/>
      <c r="G57" s="15"/>
      <c r="H57" s="15"/>
      <c r="I57" s="15"/>
      <c r="J57" s="15"/>
      <c r="K57" s="47"/>
      <c r="M57" s="47"/>
      <c r="N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-SinArea-0000</v>
      </c>
      <c r="P57" s="15"/>
      <c r="R57" s="48"/>
      <c r="AG57" t="s">
        <v>299</v>
      </c>
      <c r="AH57" s="22" t="s">
        <v>300</v>
      </c>
    </row>
    <row r="58" spans="3:43" x14ac:dyDescent="0.3">
      <c r="C58" s="11"/>
      <c r="E58" s="11"/>
      <c r="F58" s="15"/>
      <c r="G58" s="15"/>
      <c r="H58" s="15"/>
      <c r="I58" s="15"/>
      <c r="J58" s="15"/>
      <c r="K58" s="47"/>
      <c r="M58" s="47"/>
      <c r="N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-SinArea-0000</v>
      </c>
      <c r="P58" s="15"/>
      <c r="R58" s="48"/>
      <c r="AE58" t="s">
        <v>23</v>
      </c>
      <c r="AH58" s="18" t="s">
        <v>301</v>
      </c>
    </row>
    <row r="59" spans="3:43" x14ac:dyDescent="0.3">
      <c r="C59" s="11"/>
      <c r="E59" s="11"/>
      <c r="F59" s="15"/>
      <c r="G59" s="15"/>
      <c r="H59" s="15"/>
      <c r="I59" s="15"/>
      <c r="J59" s="15"/>
      <c r="K59" s="47"/>
      <c r="M59" s="47"/>
      <c r="N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-SinArea-0000</v>
      </c>
      <c r="P59" s="15"/>
      <c r="R59" s="48"/>
      <c r="AE59" t="s">
        <v>302</v>
      </c>
      <c r="AH59" s="70" t="s">
        <v>303</v>
      </c>
    </row>
    <row r="60" spans="3:43" x14ac:dyDescent="0.3">
      <c r="C60" s="11"/>
      <c r="E60" s="11"/>
      <c r="F60" s="15"/>
      <c r="G60" s="15"/>
      <c r="H60" s="15"/>
      <c r="I60" s="15"/>
      <c r="J60" s="15"/>
      <c r="K60" s="47"/>
      <c r="M60" s="47"/>
      <c r="N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-SinArea-0000</v>
      </c>
      <c r="P60" s="15"/>
      <c r="R60" s="48"/>
      <c r="AG60" t="s">
        <v>62</v>
      </c>
    </row>
    <row r="61" spans="3:43" x14ac:dyDescent="0.3">
      <c r="C61" s="11"/>
      <c r="E61" s="11"/>
      <c r="F61" s="15"/>
      <c r="G61" s="15"/>
      <c r="H61" s="15"/>
      <c r="I61" s="15"/>
      <c r="J61" s="15"/>
      <c r="K61" s="47"/>
      <c r="M61" s="47"/>
      <c r="N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-SinArea-0000</v>
      </c>
      <c r="P61" s="15"/>
      <c r="R61" s="48"/>
      <c r="AG61" s="70" t="s">
        <v>304</v>
      </c>
      <c r="AH61" t="s">
        <v>305</v>
      </c>
    </row>
    <row r="62" spans="3:43" x14ac:dyDescent="0.3">
      <c r="C62" s="11"/>
      <c r="E62" s="11"/>
      <c r="F62" s="15"/>
      <c r="G62" s="15"/>
      <c r="H62" s="15"/>
      <c r="I62" s="15"/>
      <c r="J62" s="15"/>
      <c r="K62" s="47"/>
      <c r="M62" s="47"/>
      <c r="N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-SinArea-0000</v>
      </c>
      <c r="P62" s="15"/>
      <c r="R62" s="48"/>
      <c r="AE62" t="s">
        <v>64</v>
      </c>
      <c r="AH62" t="s">
        <v>306</v>
      </c>
    </row>
    <row r="63" spans="3:43" x14ac:dyDescent="0.3">
      <c r="C63" s="11"/>
      <c r="E63" s="11"/>
      <c r="F63" s="15"/>
      <c r="G63" s="15"/>
      <c r="H63" s="15"/>
      <c r="I63" s="15"/>
      <c r="J63" s="15"/>
      <c r="K63" s="47"/>
      <c r="M63" s="47"/>
      <c r="N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-SinArea-0000</v>
      </c>
      <c r="P63" s="15"/>
      <c r="R63" s="48"/>
      <c r="AE63" s="75" t="s">
        <v>307</v>
      </c>
      <c r="AG63" t="s">
        <v>89</v>
      </c>
    </row>
    <row r="64" spans="3:43" ht="28.8" x14ac:dyDescent="0.3">
      <c r="C64" s="11"/>
      <c r="E64" s="11"/>
      <c r="F64" s="15"/>
      <c r="G64" s="15"/>
      <c r="H64" s="15"/>
      <c r="I64" s="15"/>
      <c r="J64" s="15"/>
      <c r="K64" s="47"/>
      <c r="M64" s="47"/>
      <c r="N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-SinArea-0000</v>
      </c>
      <c r="P64" s="15"/>
      <c r="R64" s="48"/>
      <c r="AE64" s="70" t="s">
        <v>308</v>
      </c>
      <c r="AG64" s="12" t="s">
        <v>309</v>
      </c>
      <c r="AH64" t="s">
        <v>102</v>
      </c>
    </row>
    <row r="65" spans="3:34" x14ac:dyDescent="0.3">
      <c r="C65" s="11"/>
      <c r="E65" s="11"/>
      <c r="F65" s="15"/>
      <c r="G65" s="15"/>
      <c r="H65" s="15"/>
      <c r="I65" s="15"/>
      <c r="J65" s="15"/>
      <c r="K65" s="47"/>
      <c r="M65" s="47"/>
      <c r="N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-SinArea-0000</v>
      </c>
      <c r="P65" s="15"/>
      <c r="R65" s="48"/>
      <c r="AH65" t="s">
        <v>310</v>
      </c>
    </row>
    <row r="66" spans="3:34" x14ac:dyDescent="0.3">
      <c r="C66" s="11"/>
      <c r="E66" s="11"/>
      <c r="F66" s="15"/>
      <c r="G66" s="15"/>
      <c r="H66" s="15"/>
      <c r="I66" s="15"/>
      <c r="J66" s="15"/>
      <c r="K66" s="47"/>
      <c r="M66" s="47"/>
      <c r="N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-SinArea-0000</v>
      </c>
      <c r="P66" s="15"/>
      <c r="R66" s="48"/>
      <c r="AE66" t="s">
        <v>101</v>
      </c>
      <c r="AG66" s="34" t="s">
        <v>73</v>
      </c>
    </row>
    <row r="67" spans="3:34" x14ac:dyDescent="0.3">
      <c r="C67" s="11"/>
      <c r="E67" s="11"/>
      <c r="F67" s="15"/>
      <c r="G67" s="15"/>
      <c r="H67" s="15"/>
      <c r="I67" s="15"/>
      <c r="J67" s="15"/>
      <c r="K67" s="47"/>
      <c r="M67" s="47"/>
      <c r="N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-SinArea-0000</v>
      </c>
      <c r="P67" s="15"/>
      <c r="R67" s="48"/>
      <c r="AE67" t="s">
        <v>311</v>
      </c>
      <c r="AG67" s="22" t="s">
        <v>312</v>
      </c>
      <c r="AH67" t="s">
        <v>313</v>
      </c>
    </row>
    <row r="68" spans="3:34" x14ac:dyDescent="0.3">
      <c r="C68" s="11"/>
      <c r="E68" s="11"/>
      <c r="F68" s="15"/>
      <c r="G68" s="15"/>
      <c r="H68" s="15"/>
      <c r="I68" s="15"/>
      <c r="J68" s="15"/>
      <c r="K68" s="47"/>
      <c r="M68" s="47"/>
      <c r="N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-SinArea-0000</v>
      </c>
      <c r="P68" s="15"/>
      <c r="R68" s="48"/>
      <c r="AH68" s="21" t="s">
        <v>314</v>
      </c>
    </row>
    <row r="69" spans="3:34" x14ac:dyDescent="0.3">
      <c r="C69" s="11"/>
      <c r="E69" s="11"/>
      <c r="F69" s="15"/>
      <c r="G69" s="15"/>
      <c r="H69" s="15"/>
      <c r="I69" s="15"/>
      <c r="J69" s="15"/>
      <c r="K69" s="47"/>
      <c r="M69" s="47"/>
      <c r="N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-SinArea-0000</v>
      </c>
      <c r="P69" s="15"/>
      <c r="R69" s="48"/>
      <c r="AH69" s="70" t="s">
        <v>315</v>
      </c>
    </row>
    <row r="70" spans="3:34" x14ac:dyDescent="0.3">
      <c r="C70" s="11"/>
      <c r="E70" s="11"/>
      <c r="F70" s="15"/>
      <c r="G70" s="15"/>
      <c r="H70" s="15"/>
      <c r="I70" s="15"/>
      <c r="J70" s="15"/>
      <c r="K70" s="47"/>
      <c r="M70" s="47"/>
      <c r="N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-SinArea-0000</v>
      </c>
      <c r="P70" s="15"/>
      <c r="R70" s="48"/>
    </row>
    <row r="71" spans="3:34" x14ac:dyDescent="0.3">
      <c r="C71" s="11"/>
      <c r="E71" s="11"/>
      <c r="F71" s="15"/>
      <c r="G71" s="15"/>
      <c r="H71" s="15"/>
      <c r="I71" s="15"/>
      <c r="J71" s="15"/>
      <c r="K71" s="47"/>
      <c r="M71" s="47"/>
      <c r="N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-SinArea-0000</v>
      </c>
      <c r="P71" s="15"/>
      <c r="R71" s="48"/>
    </row>
    <row r="72" spans="3:34" x14ac:dyDescent="0.3">
      <c r="C72" s="11"/>
      <c r="E72" s="11"/>
      <c r="F72" s="15"/>
      <c r="G72" s="15"/>
      <c r="H72" s="15"/>
      <c r="I72" s="15"/>
      <c r="J72" s="15"/>
      <c r="K72" s="47"/>
      <c r="M72" s="47"/>
      <c r="N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-SinArea-0000</v>
      </c>
      <c r="P72" s="15"/>
      <c r="R72" s="48"/>
    </row>
    <row r="73" spans="3:34" x14ac:dyDescent="0.3">
      <c r="C73" s="11"/>
      <c r="E73" s="11"/>
      <c r="F73" s="15"/>
      <c r="G73" s="15"/>
      <c r="H73" s="15"/>
      <c r="I73" s="15"/>
      <c r="J73" s="15"/>
      <c r="K73" s="47"/>
      <c r="M73" s="47"/>
      <c r="N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-SinArea-0000</v>
      </c>
      <c r="P73" s="15"/>
      <c r="R73" s="48"/>
    </row>
    <row r="74" spans="3:34" x14ac:dyDescent="0.3">
      <c r="C74" s="11"/>
      <c r="E74" s="11"/>
      <c r="F74" s="15"/>
      <c r="G74" s="15"/>
      <c r="H74" s="15"/>
      <c r="I74" s="15"/>
      <c r="J74" s="15"/>
      <c r="K74" s="47"/>
      <c r="M74" s="47"/>
      <c r="N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-SinArea-0000</v>
      </c>
      <c r="P74" s="15"/>
      <c r="R74" s="48"/>
    </row>
    <row r="75" spans="3:34" ht="57.6" x14ac:dyDescent="0.3">
      <c r="C75" s="11"/>
      <c r="E75" s="11"/>
      <c r="F75" s="15"/>
      <c r="G75" s="15"/>
      <c r="H75" s="15"/>
      <c r="I75" s="15"/>
      <c r="J75" s="15"/>
      <c r="K75" s="47"/>
      <c r="M75" s="47"/>
      <c r="N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-SinArea-0000</v>
      </c>
      <c r="P75" s="15"/>
      <c r="R75" s="48"/>
      <c r="AE75" s="11" t="s">
        <v>316</v>
      </c>
    </row>
    <row r="76" spans="3:34" x14ac:dyDescent="0.3">
      <c r="C76" s="11"/>
      <c r="E76" s="11"/>
      <c r="F76" s="15"/>
      <c r="G76" s="15"/>
      <c r="H76" s="15"/>
      <c r="I76" s="15"/>
      <c r="J76" s="15"/>
      <c r="K76" s="47"/>
      <c r="M76" s="47"/>
      <c r="N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-SinArea-0000</v>
      </c>
      <c r="P76" s="15"/>
      <c r="R76" s="48"/>
    </row>
    <row r="77" spans="3:34" x14ac:dyDescent="0.3">
      <c r="C77" s="11"/>
      <c r="E77" s="11"/>
      <c r="F77" s="15"/>
      <c r="G77" s="15"/>
      <c r="H77" s="15"/>
      <c r="I77" s="15"/>
      <c r="J77" s="15"/>
      <c r="K77" s="47"/>
      <c r="M77" s="47"/>
      <c r="N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-SinArea-0000</v>
      </c>
      <c r="P77" s="15"/>
      <c r="R77" s="48"/>
    </row>
    <row r="78" spans="3:34" x14ac:dyDescent="0.3">
      <c r="C78" s="11"/>
      <c r="E78" s="11"/>
      <c r="F78" s="15"/>
      <c r="G78" s="15"/>
      <c r="H78" s="15"/>
      <c r="I78" s="15"/>
      <c r="J78" s="15"/>
      <c r="K78" s="47"/>
      <c r="M78" s="47"/>
      <c r="N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-SinArea-0000</v>
      </c>
      <c r="P78" s="15"/>
      <c r="R78" s="48"/>
    </row>
    <row r="79" spans="3:34" x14ac:dyDescent="0.3">
      <c r="C79" s="11"/>
      <c r="E79" s="11"/>
      <c r="F79" s="15"/>
      <c r="G79" s="15"/>
      <c r="H79" s="15"/>
      <c r="I79" s="15"/>
      <c r="J79" s="15"/>
      <c r="K79" s="47"/>
      <c r="M79" s="47"/>
      <c r="N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-SinArea-0000</v>
      </c>
      <c r="P79" s="15"/>
      <c r="R79" s="48"/>
    </row>
    <row r="80" spans="3:34" x14ac:dyDescent="0.3">
      <c r="C80" s="11"/>
      <c r="E80" s="11"/>
      <c r="F80" s="15"/>
      <c r="G80" s="15"/>
      <c r="H80" s="15"/>
      <c r="I80" s="15"/>
      <c r="J80" s="15"/>
      <c r="K80" s="47"/>
      <c r="M80" s="47"/>
      <c r="N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-SinArea-0000</v>
      </c>
      <c r="P80" s="15"/>
      <c r="R80" s="48"/>
    </row>
    <row r="81" spans="3:18" x14ac:dyDescent="0.3">
      <c r="C81" s="11"/>
      <c r="E81" s="11"/>
      <c r="F81" s="15"/>
      <c r="G81" s="15"/>
      <c r="H81" s="15"/>
      <c r="I81" s="15"/>
      <c r="J81" s="15"/>
      <c r="K81" s="47"/>
      <c r="M81" s="47"/>
      <c r="N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-SinArea-0000</v>
      </c>
      <c r="P81" s="15"/>
      <c r="R81" s="48"/>
    </row>
    <row r="82" spans="3:18" x14ac:dyDescent="0.3">
      <c r="C82" s="11"/>
      <c r="E82" s="11"/>
      <c r="F82" s="15"/>
      <c r="G82" s="15"/>
      <c r="H82" s="15"/>
      <c r="I82" s="15"/>
      <c r="J82" s="15"/>
      <c r="K82" s="47"/>
      <c r="M82" s="47"/>
      <c r="N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-SinArea-0000</v>
      </c>
      <c r="P82" s="15"/>
      <c r="R82" s="48"/>
    </row>
    <row r="83" spans="3:18" x14ac:dyDescent="0.3">
      <c r="C83" s="11"/>
      <c r="E83" s="11"/>
      <c r="F83" s="15"/>
      <c r="G83" s="15"/>
      <c r="H83" s="15"/>
      <c r="I83" s="15"/>
      <c r="J83" s="15"/>
      <c r="K83" s="47"/>
      <c r="M83" s="47"/>
      <c r="N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-SinArea-0000</v>
      </c>
      <c r="P83" s="15"/>
      <c r="R83" s="48"/>
    </row>
    <row r="84" spans="3:18" x14ac:dyDescent="0.3">
      <c r="C84" s="11"/>
      <c r="E84" s="11"/>
      <c r="F84" s="15"/>
      <c r="G84" s="15"/>
      <c r="H84" s="15"/>
      <c r="I84" s="15"/>
      <c r="J84" s="15"/>
      <c r="K84" s="47"/>
      <c r="M84" s="47"/>
      <c r="N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-SinArea-0000</v>
      </c>
      <c r="P84" s="15"/>
      <c r="R84" s="48"/>
    </row>
    <row r="85" spans="3:18" x14ac:dyDescent="0.3">
      <c r="C85" s="11"/>
      <c r="E85" s="11"/>
      <c r="F85" s="15"/>
      <c r="G85" s="15"/>
      <c r="H85" s="15"/>
      <c r="I85" s="15"/>
      <c r="J85" s="15"/>
      <c r="K85" s="47"/>
      <c r="M85" s="47"/>
      <c r="N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-SinArea-0000</v>
      </c>
      <c r="P85" s="15"/>
      <c r="R85" s="48"/>
    </row>
    <row r="86" spans="3:18" x14ac:dyDescent="0.3">
      <c r="C86" s="11"/>
      <c r="E86" s="11"/>
      <c r="F86" s="15"/>
      <c r="G86" s="15"/>
      <c r="H86" s="15"/>
      <c r="I86" s="15"/>
      <c r="J86" s="15"/>
      <c r="K86" s="47"/>
      <c r="M86" s="47"/>
      <c r="N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-SinArea-0000</v>
      </c>
      <c r="P86" s="15"/>
      <c r="R86" s="48"/>
    </row>
    <row r="87" spans="3:18" x14ac:dyDescent="0.3">
      <c r="C87" s="11"/>
      <c r="E87" s="11"/>
      <c r="F87" s="15"/>
      <c r="G87" s="15"/>
      <c r="H87" s="15"/>
      <c r="I87" s="15"/>
      <c r="J87" s="15"/>
      <c r="K87" s="47"/>
      <c r="M87" s="47"/>
      <c r="N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-SinArea-0000</v>
      </c>
      <c r="P87" s="15"/>
      <c r="R87" s="48"/>
    </row>
    <row r="88" spans="3:18" x14ac:dyDescent="0.3">
      <c r="C88" s="11"/>
      <c r="E88" s="11"/>
      <c r="F88" s="15"/>
      <c r="G88" s="15"/>
      <c r="H88" s="15"/>
      <c r="I88" s="15"/>
      <c r="J88" s="15"/>
      <c r="K88" s="47"/>
      <c r="M88" s="47"/>
      <c r="N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-SinArea-0000</v>
      </c>
      <c r="P88" s="15"/>
      <c r="R88" s="48"/>
    </row>
    <row r="89" spans="3:18" x14ac:dyDescent="0.3">
      <c r="C89" s="11"/>
      <c r="E89" s="11"/>
      <c r="F89" s="15"/>
      <c r="G89" s="15"/>
      <c r="H89" s="15"/>
      <c r="I89" s="15"/>
      <c r="J89" s="15"/>
      <c r="K89" s="47"/>
      <c r="M89" s="47"/>
      <c r="N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-SinArea-0000</v>
      </c>
      <c r="P89" s="15"/>
      <c r="R89" s="48"/>
    </row>
    <row r="90" spans="3:18" x14ac:dyDescent="0.3">
      <c r="C90" s="11"/>
      <c r="E90" s="11"/>
      <c r="F90" s="15"/>
      <c r="G90" s="15"/>
      <c r="H90" s="15"/>
      <c r="I90" s="15"/>
      <c r="J90" s="15"/>
      <c r="K90" s="47"/>
      <c r="M90" s="47"/>
      <c r="N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-SinArea-0000</v>
      </c>
      <c r="P90" s="15"/>
      <c r="R90" s="48"/>
    </row>
    <row r="91" spans="3:18" x14ac:dyDescent="0.3">
      <c r="C91" s="11"/>
      <c r="E91" s="11"/>
      <c r="F91" s="15"/>
      <c r="G91" s="15"/>
      <c r="H91" s="15"/>
      <c r="I91" s="15"/>
      <c r="J91" s="15"/>
      <c r="K91" s="47"/>
      <c r="M91" s="47"/>
      <c r="N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-SinArea-0000</v>
      </c>
      <c r="P91" s="15"/>
      <c r="R91" s="48"/>
    </row>
    <row r="92" spans="3:18" x14ac:dyDescent="0.3">
      <c r="C92" s="11"/>
      <c r="E92" s="11"/>
      <c r="F92" s="15"/>
      <c r="G92" s="15"/>
      <c r="H92" s="15"/>
      <c r="I92" s="15"/>
      <c r="J92" s="15"/>
      <c r="K92" s="47"/>
      <c r="M92" s="47"/>
      <c r="N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-SinArea-0000</v>
      </c>
      <c r="P92" s="15"/>
      <c r="R92" s="48"/>
    </row>
    <row r="93" spans="3:18" x14ac:dyDescent="0.3">
      <c r="C93" s="11"/>
      <c r="E93" s="11"/>
      <c r="F93" s="15"/>
      <c r="G93" s="15"/>
      <c r="H93" s="15"/>
      <c r="I93" s="15"/>
      <c r="J93" s="15"/>
      <c r="K93" s="47"/>
      <c r="M93" s="47"/>
      <c r="N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-SinArea-0000</v>
      </c>
      <c r="P93" s="15"/>
      <c r="R93" s="48"/>
    </row>
    <row r="94" spans="3:18" x14ac:dyDescent="0.3">
      <c r="C94" s="11"/>
      <c r="E94" s="11"/>
      <c r="F94" s="15"/>
      <c r="G94" s="15"/>
      <c r="H94" s="15"/>
      <c r="I94" s="15"/>
      <c r="J94" s="15"/>
      <c r="K94" s="47"/>
      <c r="M94" s="47"/>
      <c r="N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-SinArea-0000</v>
      </c>
      <c r="P94" s="15"/>
      <c r="R94" s="48"/>
    </row>
    <row r="95" spans="3:18" x14ac:dyDescent="0.3">
      <c r="C95" s="11"/>
      <c r="E95" s="11"/>
      <c r="F95" s="15"/>
      <c r="G95" s="15"/>
      <c r="H95" s="15"/>
      <c r="I95" s="15"/>
      <c r="J95" s="15"/>
      <c r="K95" s="47"/>
      <c r="M95" s="47"/>
      <c r="N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-SinArea-0000</v>
      </c>
      <c r="P95" s="15"/>
      <c r="R95" s="48"/>
    </row>
    <row r="96" spans="3:18" x14ac:dyDescent="0.3">
      <c r="C96" s="11"/>
      <c r="E96" s="11"/>
      <c r="F96" s="15"/>
      <c r="G96" s="15"/>
      <c r="H96" s="15"/>
      <c r="I96" s="15"/>
      <c r="J96" s="15"/>
      <c r="K96" s="47"/>
      <c r="M96" s="47"/>
      <c r="N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-SinArea-0000</v>
      </c>
      <c r="P96" s="15"/>
      <c r="R96" s="48"/>
    </row>
    <row r="97" spans="3:18" x14ac:dyDescent="0.3">
      <c r="C97" s="11"/>
      <c r="E97" s="11"/>
      <c r="F97" s="15"/>
      <c r="G97" s="15"/>
      <c r="H97" s="15"/>
      <c r="I97" s="15"/>
      <c r="J97" s="15"/>
      <c r="K97" s="47"/>
      <c r="M97" s="47"/>
      <c r="N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-SinArea-0000</v>
      </c>
      <c r="P97" s="15"/>
      <c r="R97" s="48"/>
    </row>
    <row r="98" spans="3:18" x14ac:dyDescent="0.3">
      <c r="C98" s="11"/>
      <c r="E98" s="11"/>
      <c r="F98" s="15"/>
      <c r="G98" s="15"/>
      <c r="H98" s="15"/>
      <c r="I98" s="15"/>
      <c r="J98" s="15"/>
      <c r="K98" s="47"/>
      <c r="M98" s="47"/>
      <c r="N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-SinArea-0000</v>
      </c>
      <c r="P98" s="15"/>
      <c r="R98" s="48"/>
    </row>
    <row r="99" spans="3:18" x14ac:dyDescent="0.3">
      <c r="C99" s="11"/>
      <c r="E99" s="11"/>
      <c r="F99" s="15"/>
      <c r="G99" s="15"/>
      <c r="H99" s="15"/>
      <c r="I99" s="15"/>
      <c r="J99" s="15"/>
      <c r="K99" s="47"/>
      <c r="M99" s="47"/>
      <c r="N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-SinArea-0000</v>
      </c>
      <c r="P99" s="15"/>
      <c r="R99" s="48"/>
    </row>
    <row r="100" spans="3:18" x14ac:dyDescent="0.3">
      <c r="C100" s="11"/>
      <c r="E100" s="11"/>
      <c r="F100" s="15"/>
      <c r="G100" s="15"/>
      <c r="H100" s="15"/>
      <c r="I100" s="15"/>
      <c r="J100" s="15"/>
      <c r="K100" s="47"/>
      <c r="M100" s="47"/>
      <c r="N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-SinArea-0000</v>
      </c>
      <c r="P100" s="15"/>
      <c r="R100" s="48"/>
    </row>
    <row r="101" spans="3:18" x14ac:dyDescent="0.3">
      <c r="C101" s="11"/>
      <c r="E101" s="11"/>
      <c r="F101" s="15"/>
      <c r="G101" s="15"/>
      <c r="H101" s="15"/>
      <c r="I101" s="15"/>
      <c r="J101" s="15"/>
      <c r="K101" s="47"/>
      <c r="M101" s="47"/>
      <c r="N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-SinArea-0000</v>
      </c>
      <c r="P101" s="15"/>
      <c r="R101" s="48"/>
    </row>
    <row r="102" spans="3:18" x14ac:dyDescent="0.3">
      <c r="C102" s="11"/>
      <c r="E102" s="11"/>
      <c r="F102" s="15"/>
      <c r="G102" s="15"/>
      <c r="H102" s="15"/>
      <c r="I102" s="15"/>
      <c r="J102" s="15"/>
      <c r="K102" s="47"/>
      <c r="M102" s="47"/>
      <c r="N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-SinArea-0000</v>
      </c>
      <c r="P102" s="15"/>
      <c r="R102" s="48"/>
    </row>
    <row r="103" spans="3:18" x14ac:dyDescent="0.3">
      <c r="C103" s="11"/>
      <c r="E103" s="11"/>
      <c r="F103" s="15"/>
      <c r="G103" s="15"/>
      <c r="H103" s="15"/>
      <c r="I103" s="15"/>
      <c r="J103" s="15"/>
      <c r="K103" s="47"/>
      <c r="M103" s="47"/>
      <c r="N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-SinArea-0000</v>
      </c>
      <c r="P103" s="15"/>
      <c r="R103" s="48"/>
    </row>
    <row r="104" spans="3:18" x14ac:dyDescent="0.3">
      <c r="C104" s="11"/>
      <c r="E104" s="11"/>
      <c r="F104" s="15"/>
      <c r="G104" s="15"/>
      <c r="H104" s="15"/>
      <c r="I104" s="15"/>
      <c r="J104" s="15"/>
      <c r="K104" s="47"/>
      <c r="M104" s="47"/>
      <c r="N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-SinArea-0000</v>
      </c>
      <c r="P104" s="15"/>
      <c r="R104" s="48"/>
    </row>
    <row r="105" spans="3:18" x14ac:dyDescent="0.3">
      <c r="C105" s="11"/>
      <c r="E105" s="11"/>
      <c r="F105" s="15"/>
      <c r="G105" s="15"/>
      <c r="H105" s="15"/>
      <c r="I105" s="15"/>
      <c r="J105" s="15"/>
      <c r="K105" s="47"/>
      <c r="M105" s="47"/>
      <c r="N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-SinArea-0000</v>
      </c>
      <c r="P105" s="15"/>
      <c r="R105" s="48"/>
    </row>
    <row r="106" spans="3:18" x14ac:dyDescent="0.3">
      <c r="C106" s="11"/>
      <c r="E106" s="11"/>
      <c r="F106" s="15"/>
      <c r="G106" s="15"/>
      <c r="H106" s="15"/>
      <c r="I106" s="15"/>
      <c r="J106" s="15"/>
      <c r="K106" s="47"/>
      <c r="M106" s="47"/>
      <c r="N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-SinArea-0000</v>
      </c>
      <c r="P106" s="15"/>
      <c r="R106" s="48"/>
    </row>
    <row r="107" spans="3:18" x14ac:dyDescent="0.3">
      <c r="C107" s="11"/>
      <c r="E107" s="11"/>
      <c r="F107" s="15"/>
      <c r="G107" s="15"/>
      <c r="H107" s="15"/>
      <c r="I107" s="15"/>
      <c r="J107" s="15"/>
      <c r="K107" s="47"/>
      <c r="M107" s="47"/>
      <c r="N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-SinArea-0000</v>
      </c>
      <c r="P107" s="15"/>
      <c r="R107" s="48"/>
    </row>
    <row r="108" spans="3:18" x14ac:dyDescent="0.3">
      <c r="C108" s="11"/>
      <c r="E108" s="11"/>
      <c r="F108" s="15"/>
      <c r="G108" s="15"/>
      <c r="H108" s="15"/>
      <c r="I108" s="15"/>
      <c r="J108" s="15"/>
      <c r="K108" s="47"/>
      <c r="M108" s="47"/>
      <c r="N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-SinArea-0000</v>
      </c>
      <c r="P108" s="15"/>
      <c r="R108" s="48"/>
    </row>
    <row r="109" spans="3:18" x14ac:dyDescent="0.3">
      <c r="C109" s="11"/>
      <c r="E109" s="11"/>
      <c r="F109" s="15"/>
      <c r="G109" s="15"/>
      <c r="H109" s="15"/>
      <c r="I109" s="15"/>
      <c r="J109" s="15"/>
      <c r="K109" s="47"/>
      <c r="M109" s="47"/>
      <c r="N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-SinArea-0000</v>
      </c>
      <c r="P109" s="15"/>
      <c r="R109" s="48"/>
    </row>
    <row r="110" spans="3:18" x14ac:dyDescent="0.3">
      <c r="C110" s="11"/>
      <c r="E110" s="11"/>
      <c r="F110" s="15"/>
      <c r="G110" s="15"/>
      <c r="H110" s="15"/>
      <c r="I110" s="15"/>
      <c r="J110" s="15"/>
      <c r="K110" s="47"/>
      <c r="M110" s="47"/>
      <c r="N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-SinArea-0000</v>
      </c>
      <c r="P110" s="15"/>
      <c r="R110" s="48"/>
    </row>
    <row r="111" spans="3:18" x14ac:dyDescent="0.3">
      <c r="C111" s="11"/>
      <c r="E111" s="11"/>
      <c r="F111" s="15"/>
      <c r="G111" s="15"/>
      <c r="H111" s="15"/>
      <c r="I111" s="15"/>
      <c r="J111" s="15"/>
      <c r="K111" s="47"/>
      <c r="M111" s="47"/>
      <c r="N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-SinArea-0000</v>
      </c>
      <c r="P111" s="15"/>
      <c r="R111" s="48"/>
    </row>
    <row r="112" spans="3:18" x14ac:dyDescent="0.3">
      <c r="C112" s="11"/>
      <c r="E112" s="11"/>
      <c r="F112" s="15"/>
      <c r="G112" s="15"/>
      <c r="H112" s="15"/>
      <c r="I112" s="15"/>
      <c r="J112" s="15"/>
      <c r="K112" s="47"/>
      <c r="M112" s="47"/>
      <c r="N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-SinArea-0000</v>
      </c>
      <c r="P112" s="15"/>
      <c r="R112" s="48"/>
    </row>
    <row r="113" spans="3:18" x14ac:dyDescent="0.3">
      <c r="C113" s="11"/>
      <c r="E113" s="11"/>
      <c r="F113" s="15"/>
      <c r="G113" s="15"/>
      <c r="H113" s="15"/>
      <c r="I113" s="15"/>
      <c r="J113" s="15"/>
      <c r="K113" s="47"/>
      <c r="M113" s="47"/>
      <c r="N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-SinArea-0000</v>
      </c>
      <c r="P113" s="15"/>
      <c r="R113" s="48"/>
    </row>
    <row r="114" spans="3:18" x14ac:dyDescent="0.3">
      <c r="C114" s="11"/>
      <c r="E114" s="11"/>
      <c r="F114" s="15"/>
      <c r="G114" s="15"/>
      <c r="H114" s="15"/>
      <c r="I114" s="15"/>
      <c r="J114" s="15"/>
      <c r="K114" s="47"/>
      <c r="M114" s="47"/>
      <c r="N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-SinArea-0000</v>
      </c>
      <c r="P114" s="15"/>
      <c r="R114" s="48"/>
    </row>
    <row r="115" spans="3:18" x14ac:dyDescent="0.3">
      <c r="C115" s="11"/>
      <c r="E115" s="11"/>
      <c r="F115" s="15"/>
      <c r="G115" s="15"/>
      <c r="H115" s="15"/>
      <c r="I115" s="15"/>
      <c r="J115" s="15"/>
      <c r="K115" s="47"/>
      <c r="M115" s="47"/>
      <c r="N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-SinArea-0000</v>
      </c>
      <c r="P115" s="15"/>
      <c r="R115" s="48"/>
    </row>
    <row r="116" spans="3:18" x14ac:dyDescent="0.3">
      <c r="C116" s="11"/>
      <c r="E116" s="11"/>
      <c r="F116" s="15"/>
      <c r="G116" s="15"/>
      <c r="H116" s="15"/>
      <c r="I116" s="15"/>
      <c r="J116" s="15"/>
      <c r="K116" s="47"/>
      <c r="M116" s="47"/>
      <c r="N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-SinArea-0000</v>
      </c>
      <c r="P116" s="15"/>
      <c r="R116" s="48"/>
    </row>
    <row r="117" spans="3:18" x14ac:dyDescent="0.3">
      <c r="C117" s="11"/>
      <c r="E117" s="11"/>
      <c r="F117" s="15"/>
      <c r="G117" s="15"/>
      <c r="H117" s="15"/>
      <c r="I117" s="15"/>
      <c r="J117" s="15"/>
      <c r="K117" s="47"/>
      <c r="M117" s="47"/>
      <c r="N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-SinArea-0000</v>
      </c>
      <c r="P117" s="15"/>
      <c r="R117" s="48"/>
    </row>
    <row r="118" spans="3:18" x14ac:dyDescent="0.3">
      <c r="C118" s="11"/>
      <c r="E118" s="11"/>
      <c r="F118" s="15"/>
      <c r="G118" s="15"/>
      <c r="H118" s="15"/>
      <c r="I118" s="15"/>
      <c r="J118" s="15"/>
      <c r="K118" s="47"/>
      <c r="M118" s="47"/>
      <c r="N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-SinArea-0000</v>
      </c>
      <c r="P118" s="15"/>
      <c r="R118" s="48"/>
    </row>
    <row r="119" spans="3:18" x14ac:dyDescent="0.3">
      <c r="C119" s="11"/>
      <c r="E119" s="11"/>
      <c r="F119" s="15"/>
      <c r="G119" s="15"/>
      <c r="H119" s="15"/>
      <c r="I119" s="15"/>
      <c r="J119" s="15"/>
      <c r="K119" s="47"/>
      <c r="M119" s="47"/>
      <c r="N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-SinArea-0000</v>
      </c>
      <c r="P119" s="15"/>
      <c r="R119" s="48"/>
    </row>
    <row r="120" spans="3:18" x14ac:dyDescent="0.3">
      <c r="C120" s="11"/>
      <c r="E120" s="11"/>
      <c r="F120" s="15"/>
      <c r="G120" s="15"/>
      <c r="H120" s="15"/>
      <c r="I120" s="15"/>
      <c r="J120" s="15"/>
      <c r="K120" s="47"/>
      <c r="M120" s="47"/>
      <c r="N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-SinArea-0000</v>
      </c>
      <c r="P120" s="15"/>
      <c r="R120" s="48"/>
    </row>
    <row r="121" spans="3:18" x14ac:dyDescent="0.3">
      <c r="C121" s="11"/>
      <c r="E121" s="11"/>
      <c r="F121" s="15"/>
      <c r="G121" s="15"/>
      <c r="H121" s="15"/>
      <c r="I121" s="15"/>
      <c r="J121" s="15"/>
      <c r="K121" s="47"/>
      <c r="M121" s="47"/>
      <c r="N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-SinArea-0000</v>
      </c>
      <c r="P121" s="15"/>
      <c r="R121" s="48"/>
    </row>
    <row r="122" spans="3:18" x14ac:dyDescent="0.3">
      <c r="C122" s="11"/>
      <c r="E122" s="11"/>
      <c r="F122" s="15"/>
      <c r="G122" s="15"/>
      <c r="H122" s="15"/>
      <c r="I122" s="15"/>
      <c r="J122" s="15"/>
      <c r="K122" s="47"/>
      <c r="M122" s="47"/>
      <c r="N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-SinArea-0000</v>
      </c>
      <c r="P122" s="15"/>
      <c r="R122" s="48"/>
    </row>
    <row r="123" spans="3:18" x14ac:dyDescent="0.3">
      <c r="C123" s="11"/>
      <c r="E123" s="11"/>
      <c r="F123" s="15"/>
      <c r="G123" s="15"/>
      <c r="H123" s="15"/>
      <c r="I123" s="15"/>
      <c r="J123" s="15"/>
      <c r="K123" s="47"/>
      <c r="M123" s="47"/>
      <c r="N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-SinArea-0000</v>
      </c>
      <c r="P123" s="15"/>
      <c r="R123" s="48"/>
    </row>
    <row r="124" spans="3:18" x14ac:dyDescent="0.3">
      <c r="C124" s="11"/>
      <c r="E124" s="11"/>
      <c r="F124" s="15"/>
      <c r="G124" s="15"/>
      <c r="H124" s="15"/>
      <c r="I124" s="15"/>
      <c r="J124" s="15"/>
      <c r="K124" s="47"/>
      <c r="M124" s="47"/>
      <c r="N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-SinArea-0000</v>
      </c>
      <c r="P124" s="15"/>
      <c r="R124" s="48"/>
    </row>
    <row r="125" spans="3:18" x14ac:dyDescent="0.3">
      <c r="C125" s="11"/>
      <c r="E125" s="11"/>
      <c r="F125" s="15"/>
      <c r="G125" s="15"/>
      <c r="H125" s="15"/>
      <c r="I125" s="15"/>
      <c r="J125" s="15"/>
      <c r="K125" s="47"/>
      <c r="M125" s="47"/>
      <c r="N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-SinArea-0000</v>
      </c>
      <c r="P125" s="15"/>
      <c r="R125" s="48"/>
    </row>
    <row r="126" spans="3:18" x14ac:dyDescent="0.3">
      <c r="C126" s="11"/>
      <c r="E126" s="11"/>
      <c r="F126" s="15"/>
      <c r="G126" s="15"/>
      <c r="H126" s="15"/>
      <c r="I126" s="15"/>
      <c r="J126" s="15"/>
      <c r="K126" s="47"/>
      <c r="M126" s="47"/>
      <c r="N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-SinArea-0000</v>
      </c>
      <c r="P126" s="15"/>
      <c r="R126" s="48"/>
    </row>
    <row r="127" spans="3:18" x14ac:dyDescent="0.3">
      <c r="C127" s="11"/>
      <c r="E127" s="11"/>
      <c r="F127" s="15"/>
      <c r="G127" s="15"/>
      <c r="H127" s="15"/>
      <c r="I127" s="15"/>
      <c r="J127" s="15"/>
      <c r="K127" s="47"/>
      <c r="M127" s="47"/>
      <c r="N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-SinArea-0000</v>
      </c>
      <c r="P127" s="15"/>
      <c r="R127" s="48"/>
    </row>
    <row r="128" spans="3:18" x14ac:dyDescent="0.3">
      <c r="C128" s="11"/>
      <c r="E128" s="11"/>
      <c r="F128" s="15"/>
      <c r="G128" s="15"/>
      <c r="H128" s="15"/>
      <c r="I128" s="15"/>
      <c r="J128" s="15"/>
      <c r="K128" s="47"/>
      <c r="M128" s="47"/>
      <c r="N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-SinArea-0000</v>
      </c>
      <c r="P128" s="15"/>
      <c r="R128" s="48"/>
    </row>
    <row r="129" spans="3:19" x14ac:dyDescent="0.3">
      <c r="C129" s="11"/>
      <c r="E129" s="11"/>
      <c r="F129" s="15"/>
      <c r="G129" s="15"/>
      <c r="H129" s="15"/>
      <c r="I129" s="15"/>
      <c r="J129" s="15"/>
      <c r="K129" s="47"/>
      <c r="M129" s="47"/>
      <c r="N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-SinArea-0000</v>
      </c>
      <c r="P129" s="15"/>
      <c r="R129" s="48"/>
    </row>
    <row r="130" spans="3:19" x14ac:dyDescent="0.3">
      <c r="C130" s="11"/>
      <c r="E130" s="11"/>
      <c r="F130" s="15"/>
      <c r="G130" s="15"/>
      <c r="H130" s="15"/>
      <c r="I130" s="15"/>
      <c r="J130" s="15"/>
      <c r="K130" s="47"/>
      <c r="M130" s="47"/>
      <c r="N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-SinArea-0000</v>
      </c>
      <c r="P130" s="15"/>
      <c r="R130" s="48"/>
    </row>
    <row r="131" spans="3:19" x14ac:dyDescent="0.3">
      <c r="C131" s="11"/>
      <c r="E131" s="11"/>
      <c r="F131" s="15"/>
      <c r="G131" s="15"/>
      <c r="H131" s="15"/>
      <c r="I131" s="15"/>
      <c r="J131" s="15"/>
      <c r="K131" s="47"/>
      <c r="M131" s="47"/>
      <c r="N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-SinArea-0000</v>
      </c>
      <c r="P131" s="15"/>
      <c r="R131" s="48"/>
    </row>
    <row r="132" spans="3:19" x14ac:dyDescent="0.3">
      <c r="C132" s="11"/>
      <c r="E132" s="11"/>
      <c r="F132" s="15"/>
      <c r="G132" s="15"/>
      <c r="H132" s="15"/>
      <c r="I132" s="15"/>
      <c r="J132" s="15"/>
      <c r="K132" s="47"/>
      <c r="M132" s="47"/>
      <c r="N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-SinArea-0000</v>
      </c>
      <c r="P132" s="15"/>
      <c r="R132" s="48"/>
    </row>
    <row r="133" spans="3:19" x14ac:dyDescent="0.3">
      <c r="C133" s="11"/>
      <c r="E133" s="11"/>
      <c r="F133" s="15"/>
      <c r="G133" s="15"/>
      <c r="H133" s="15"/>
      <c r="I133" s="15"/>
      <c r="J133" s="15"/>
      <c r="K133" s="47"/>
      <c r="M133" s="47"/>
      <c r="N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-SinArea-0000</v>
      </c>
      <c r="P133" s="15"/>
      <c r="R133" s="48"/>
    </row>
    <row r="134" spans="3:19" x14ac:dyDescent="0.3">
      <c r="C134" s="11"/>
      <c r="E134" s="11"/>
      <c r="F134" s="15"/>
      <c r="G134" s="15"/>
      <c r="H134" s="15"/>
      <c r="I134" s="15"/>
      <c r="J134" s="15"/>
      <c r="K134" s="47"/>
      <c r="M134" s="47"/>
      <c r="N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-SinArea-0000</v>
      </c>
      <c r="P134" s="15"/>
      <c r="R134" s="48"/>
    </row>
    <row r="135" spans="3:19" x14ac:dyDescent="0.3">
      <c r="C135" s="11"/>
      <c r="E135" s="11"/>
      <c r="F135" s="15"/>
      <c r="G135" s="15"/>
      <c r="H135" s="15"/>
      <c r="I135" s="15"/>
      <c r="J135" s="15"/>
      <c r="K135" s="47"/>
      <c r="M135" s="47"/>
      <c r="N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-SinArea-0000</v>
      </c>
      <c r="P135" s="15"/>
      <c r="R135" s="48"/>
    </row>
    <row r="136" spans="3:19" x14ac:dyDescent="0.3">
      <c r="C136" s="11"/>
      <c r="E136" s="11"/>
      <c r="F136" s="15"/>
      <c r="G136" s="15"/>
      <c r="H136" s="15"/>
      <c r="I136" s="15"/>
      <c r="J136" s="15"/>
      <c r="K136" s="47"/>
      <c r="M136" s="47"/>
      <c r="N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-SinArea-0000</v>
      </c>
      <c r="P136" s="15"/>
      <c r="R136" s="48"/>
    </row>
    <row r="137" spans="3:19" x14ac:dyDescent="0.3">
      <c r="C137" s="11"/>
      <c r="E137" s="11"/>
      <c r="F137" s="15"/>
      <c r="G137" s="15"/>
      <c r="H137" s="15"/>
      <c r="I137" s="15"/>
      <c r="J137" s="15"/>
      <c r="K137" s="47"/>
      <c r="M137" s="47"/>
      <c r="N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-SinArea-0000</v>
      </c>
      <c r="P137" s="15"/>
      <c r="R137" s="48"/>
    </row>
    <row r="138" spans="3:19" x14ac:dyDescent="0.3">
      <c r="C138" s="11"/>
      <c r="E138" s="11"/>
      <c r="F138" s="15"/>
      <c r="G138" s="15"/>
      <c r="H138" s="15"/>
      <c r="I138" s="15"/>
      <c r="J138" s="15"/>
      <c r="K138" s="47"/>
      <c r="M138" s="47"/>
      <c r="N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-SinArea-0000</v>
      </c>
      <c r="P138" s="15"/>
      <c r="R138" s="48"/>
    </row>
    <row r="139" spans="3:19" x14ac:dyDescent="0.3">
      <c r="C139" s="11"/>
      <c r="E139" s="11"/>
      <c r="F139" s="15"/>
      <c r="G139" s="15"/>
      <c r="H139" s="15"/>
      <c r="I139" s="15"/>
      <c r="J139" s="15"/>
      <c r="K139" s="47"/>
      <c r="M139" s="47"/>
      <c r="N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-SinArea-0000</v>
      </c>
      <c r="P139" s="15"/>
      <c r="R139" s="48"/>
    </row>
    <row r="140" spans="3:19" x14ac:dyDescent="0.3">
      <c r="C140" s="11"/>
      <c r="D140" s="32"/>
      <c r="E140" s="11"/>
      <c r="F140" s="15"/>
      <c r="G140" s="15"/>
      <c r="H140" s="15"/>
      <c r="I140" s="15"/>
      <c r="J140" s="15"/>
      <c r="K140" s="47"/>
      <c r="L140" s="76"/>
      <c r="M140" s="47"/>
      <c r="N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-SinArea-0000</v>
      </c>
      <c r="O140" s="77"/>
      <c r="P140" s="15"/>
      <c r="Q140" s="32"/>
      <c r="R140" s="48"/>
    </row>
    <row r="141" spans="3:19" x14ac:dyDescent="0.3">
      <c r="C141" s="11"/>
      <c r="D141" s="32"/>
      <c r="E141" s="11"/>
      <c r="J141" s="15"/>
      <c r="K141" s="47"/>
      <c r="L141" s="76"/>
      <c r="M141" s="76"/>
      <c r="N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-SinArea-0000</v>
      </c>
      <c r="O141" s="77"/>
      <c r="P141" s="32"/>
      <c r="Q141" s="32"/>
      <c r="R141" s="32"/>
      <c r="S141" s="32"/>
    </row>
    <row r="142" spans="3:19" x14ac:dyDescent="0.3">
      <c r="C142" s="11"/>
      <c r="D142" s="32"/>
      <c r="E142" s="11"/>
      <c r="J142" s="15"/>
      <c r="K142" s="47"/>
      <c r="L142" s="76"/>
      <c r="M142" s="76"/>
      <c r="N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-SinArea-0000</v>
      </c>
      <c r="O142" s="77"/>
      <c r="P142" s="32"/>
      <c r="Q142" s="32"/>
      <c r="R142" s="32"/>
      <c r="S142" s="32"/>
    </row>
    <row r="143" spans="3:19" x14ac:dyDescent="0.3">
      <c r="C143" s="11"/>
      <c r="D143" s="32"/>
      <c r="E143" s="11"/>
      <c r="J143" s="15"/>
      <c r="K143" s="47"/>
      <c r="L143" s="76"/>
      <c r="M143" s="76"/>
      <c r="N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-SinArea-0000</v>
      </c>
      <c r="O143" s="77"/>
      <c r="P143" s="32"/>
      <c r="Q143" s="32"/>
      <c r="R143" s="32"/>
      <c r="S143" s="32"/>
    </row>
    <row r="144" spans="3:19" x14ac:dyDescent="0.3">
      <c r="C144" s="11"/>
      <c r="D144" s="32"/>
      <c r="E144" s="11"/>
      <c r="J144" s="15"/>
      <c r="K144" s="47"/>
      <c r="L144" s="76"/>
      <c r="M144" s="76"/>
      <c r="N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-SinArea-0000</v>
      </c>
      <c r="O144" s="77"/>
      <c r="P144" s="32"/>
      <c r="Q144" s="32"/>
      <c r="R144" s="32"/>
      <c r="S144" s="32"/>
    </row>
    <row r="145" spans="3:19" x14ac:dyDescent="0.3">
      <c r="C145" s="11"/>
      <c r="D145" s="32"/>
      <c r="E145" s="11"/>
      <c r="J145" s="15"/>
      <c r="K145" s="47"/>
      <c r="L145" s="76"/>
      <c r="M145" s="76"/>
      <c r="N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-SinArea-0000</v>
      </c>
      <c r="O145" s="77"/>
      <c r="P145" s="32"/>
      <c r="Q145" s="32"/>
      <c r="R145" s="32"/>
      <c r="S145" s="32"/>
    </row>
    <row r="146" spans="3:19" x14ac:dyDescent="0.3">
      <c r="C146" s="11"/>
      <c r="D146" s="32"/>
      <c r="E146" s="11"/>
      <c r="J146" s="15"/>
      <c r="K146" s="47"/>
      <c r="L146" s="76"/>
      <c r="M146" s="76"/>
      <c r="N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-SinArea-0000</v>
      </c>
      <c r="O146" s="77"/>
      <c r="P146" s="32"/>
      <c r="Q146" s="32"/>
      <c r="R146" s="32"/>
      <c r="S146" s="32"/>
    </row>
    <row r="147" spans="3:19" x14ac:dyDescent="0.3">
      <c r="C147" s="11"/>
      <c r="D147" s="32"/>
      <c r="E147" s="11"/>
      <c r="J147" s="15"/>
      <c r="K147" s="47"/>
      <c r="L147" s="76"/>
      <c r="M147" s="76"/>
      <c r="N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-SinArea-0000</v>
      </c>
      <c r="O147" s="77"/>
      <c r="P147" s="32"/>
      <c r="Q147" s="32"/>
      <c r="R147" s="32"/>
      <c r="S147" s="32"/>
    </row>
    <row r="148" spans="3:19" x14ac:dyDescent="0.3">
      <c r="C148" s="11"/>
      <c r="D148" s="32"/>
      <c r="E148" s="11"/>
      <c r="J148" s="15"/>
      <c r="K148" s="47"/>
      <c r="L148" s="76"/>
      <c r="M148" s="76"/>
      <c r="N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-SinArea-0000</v>
      </c>
      <c r="O148" s="77"/>
      <c r="P148" s="32"/>
      <c r="Q148" s="32"/>
      <c r="R148" s="32"/>
      <c r="S148" s="32"/>
    </row>
    <row r="149" spans="3:19" x14ac:dyDescent="0.3">
      <c r="C149" s="11"/>
      <c r="D149" s="32"/>
      <c r="E149" s="11"/>
      <c r="J149" s="15"/>
      <c r="K149" s="47"/>
      <c r="L149" s="76"/>
      <c r="M149" s="76"/>
      <c r="N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-SinArea-0000</v>
      </c>
      <c r="O149" s="77"/>
      <c r="P149" s="32"/>
      <c r="Q149" s="32"/>
      <c r="R149" s="32"/>
      <c r="S149" s="32"/>
    </row>
    <row r="150" spans="3:19" x14ac:dyDescent="0.3">
      <c r="C150" s="11"/>
      <c r="D150" s="32"/>
      <c r="E150" s="11"/>
      <c r="J150" s="15"/>
      <c r="K150" s="47"/>
      <c r="L150" s="76"/>
      <c r="M150" s="76"/>
      <c r="N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-SinArea-0000</v>
      </c>
      <c r="O150" s="77"/>
      <c r="P150" s="32"/>
      <c r="Q150" s="32"/>
      <c r="R150" s="32"/>
      <c r="S150" s="32"/>
    </row>
    <row r="151" spans="3:19" x14ac:dyDescent="0.3">
      <c r="C151" s="11"/>
      <c r="D151" s="32"/>
      <c r="E151" s="11"/>
      <c r="J151" s="15"/>
      <c r="K151" s="47"/>
      <c r="L151" s="76"/>
      <c r="M151" s="76"/>
      <c r="N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-SinArea-0000</v>
      </c>
      <c r="O151" s="77"/>
      <c r="P151" s="32"/>
      <c r="Q151" s="32"/>
      <c r="R151" s="32"/>
      <c r="S151" s="32"/>
    </row>
    <row r="152" spans="3:19" x14ac:dyDescent="0.3">
      <c r="C152" s="11"/>
      <c r="D152" s="32"/>
      <c r="E152" s="11"/>
      <c r="J152" s="15"/>
      <c r="K152" s="47"/>
      <c r="L152" s="76"/>
      <c r="M152" s="76"/>
      <c r="N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-SinArea-0000</v>
      </c>
      <c r="O152" s="77"/>
      <c r="P152" s="32"/>
      <c r="Q152" s="32"/>
      <c r="R152" s="32"/>
      <c r="S152" s="32"/>
    </row>
    <row r="153" spans="3:19" x14ac:dyDescent="0.3">
      <c r="C153" s="11"/>
      <c r="D153" s="32"/>
      <c r="E153" s="11"/>
      <c r="J153" s="15"/>
      <c r="K153" s="47"/>
      <c r="L153" s="76"/>
      <c r="M153" s="76"/>
      <c r="N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-SinArea-0000</v>
      </c>
      <c r="O153" s="77"/>
      <c r="P153" s="32"/>
      <c r="Q153" s="32"/>
      <c r="R153" s="32"/>
      <c r="S153" s="32"/>
    </row>
    <row r="154" spans="3:19" x14ac:dyDescent="0.3">
      <c r="C154" s="11"/>
      <c r="D154" s="32"/>
      <c r="E154" s="11"/>
      <c r="J154" s="15"/>
      <c r="K154" s="47"/>
      <c r="L154" s="76"/>
      <c r="M154" s="76"/>
      <c r="N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-SinArea-0000</v>
      </c>
      <c r="O154" s="77"/>
      <c r="P154" s="32"/>
      <c r="Q154" s="32"/>
      <c r="R154" s="32"/>
      <c r="S154" s="32"/>
    </row>
    <row r="155" spans="3:19" x14ac:dyDescent="0.3">
      <c r="C155" s="11"/>
      <c r="D155" s="32"/>
      <c r="E155" s="11"/>
      <c r="J155" s="15"/>
      <c r="K155" s="47"/>
      <c r="L155" s="76"/>
      <c r="M155" s="76"/>
      <c r="N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-SinArea-0000</v>
      </c>
      <c r="O155" s="77"/>
      <c r="P155" s="32"/>
      <c r="Q155" s="32"/>
      <c r="R155" s="32"/>
      <c r="S155" s="32"/>
    </row>
    <row r="156" spans="3:19" x14ac:dyDescent="0.3">
      <c r="C156" s="11"/>
      <c r="D156" s="32"/>
      <c r="E156" s="11"/>
      <c r="J156" s="15"/>
      <c r="K156" s="47"/>
      <c r="L156" s="76"/>
      <c r="M156" s="76"/>
      <c r="N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-SinArea-0000</v>
      </c>
      <c r="O156" s="77"/>
      <c r="P156" s="32"/>
      <c r="Q156" s="32"/>
      <c r="R156" s="32"/>
      <c r="S156" s="32"/>
    </row>
    <row r="157" spans="3:19" x14ac:dyDescent="0.3">
      <c r="C157" s="11"/>
      <c r="D157" s="32"/>
      <c r="E157" s="11"/>
      <c r="J157" s="15"/>
      <c r="K157" s="47"/>
      <c r="L157" s="76"/>
      <c r="M157" s="76"/>
      <c r="N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O157" s="77"/>
      <c r="P157" s="32"/>
      <c r="Q157" s="32"/>
      <c r="R157" s="32"/>
      <c r="S157" s="32"/>
    </row>
    <row r="158" spans="3:19" x14ac:dyDescent="0.3">
      <c r="C158" s="11"/>
      <c r="D158" s="32"/>
      <c r="E158" s="11"/>
      <c r="J158" s="15"/>
      <c r="K158" s="47"/>
      <c r="L158" s="76"/>
      <c r="M158" s="76"/>
      <c r="N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O158" s="77"/>
      <c r="P158" s="32"/>
      <c r="Q158" s="32"/>
      <c r="R158" s="32"/>
      <c r="S158" s="32"/>
    </row>
    <row r="159" spans="3:19" x14ac:dyDescent="0.3">
      <c r="C159" s="11"/>
      <c r="D159" s="32"/>
      <c r="E159" s="11"/>
      <c r="J159" s="15"/>
      <c r="K159" s="47"/>
      <c r="L159" s="76"/>
      <c r="M159" s="76"/>
      <c r="N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O159" s="77"/>
      <c r="P159" s="32"/>
      <c r="Q159" s="32"/>
      <c r="R159" s="32"/>
      <c r="S159" s="32"/>
    </row>
    <row r="160" spans="3:19" x14ac:dyDescent="0.3">
      <c r="C160" s="11"/>
      <c r="D160" s="32"/>
      <c r="E160" s="11"/>
      <c r="J160" s="15"/>
      <c r="K160" s="47"/>
      <c r="L160" s="76"/>
      <c r="M160" s="76"/>
      <c r="N160" s="78" t="str">
        <f>_xlfn.LET(
    _xlpm.itemBuscado, B160,
    _xlpm.areaBuscada, C160,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TEXT(COUNTIF($C$2:C160, _xlpm.areaBuscada), "0000"),
    _xlpm.codItem &amp; "-" &amp; _xlpm.codArea &amp; "-" &amp; _xlpm.secuencia
)</f>
        <v>-SinArea-0000</v>
      </c>
      <c r="O160" s="77"/>
      <c r="P160" s="32"/>
      <c r="Q160" s="32"/>
      <c r="R160" s="32"/>
      <c r="S160" s="32"/>
    </row>
    <row r="161" spans="3:19" x14ac:dyDescent="0.3">
      <c r="C161" s="11"/>
      <c r="D161" s="32"/>
      <c r="E161" s="11"/>
      <c r="J161" s="15"/>
      <c r="K161" s="47"/>
      <c r="L161" s="76"/>
      <c r="M161" s="76"/>
      <c r="N161" s="78" t="str">
        <f>_xlfn.LET(
    _xlpm.itemBuscado, B161,
    _xlpm.areaBuscada, C161,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TEXT(COUNTIF($C$2:C161, _xlpm.areaBuscada), "0000"),
    _xlpm.codItem &amp; "-" &amp; _xlpm.codArea &amp; "-" &amp; _xlpm.secuencia
)</f>
        <v>-SinArea-0000</v>
      </c>
      <c r="O161" s="77"/>
      <c r="P161" s="32"/>
      <c r="Q161" s="32"/>
      <c r="R161" s="32"/>
      <c r="S161" s="32"/>
    </row>
    <row r="162" spans="3:19" x14ac:dyDescent="0.3">
      <c r="C162" s="11"/>
      <c r="D162" s="32"/>
      <c r="E162" s="11"/>
      <c r="J162" s="15"/>
      <c r="K162" s="47"/>
      <c r="L162" s="76"/>
      <c r="M162" s="76"/>
      <c r="N162" s="78" t="str">
        <f>_xlfn.LET(
    _xlpm.itemBuscado, B162,
    _xlpm.areaBuscada, C162,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TEXT(COUNTIF($C$2:C162, _xlpm.areaBuscada), "0000"),
    _xlpm.codItem &amp; "-" &amp; _xlpm.codArea &amp; "-" &amp; _xlpm.secuencia
)</f>
        <v>-SinArea-0000</v>
      </c>
      <c r="O162" s="77"/>
      <c r="P162" s="32"/>
      <c r="Q162" s="32"/>
      <c r="R162" s="32"/>
      <c r="S162" s="32"/>
    </row>
    <row r="163" spans="3:19" x14ac:dyDescent="0.3">
      <c r="C163" s="11"/>
      <c r="D163" s="32"/>
      <c r="E163" s="11"/>
      <c r="J163" s="15"/>
      <c r="K163" s="47"/>
      <c r="L163" s="76"/>
      <c r="M163" s="76"/>
      <c r="N163" s="78" t="str">
        <f>_xlfn.LET(
    _xlpm.itemBuscado, B163,
    _xlpm.areaBuscada, C163,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TEXT(COUNTIF($C$2:C163, _xlpm.areaBuscada), "0000"),
    _xlpm.codItem &amp; "-" &amp; _xlpm.codArea &amp; "-" &amp; _xlpm.secuencia
)</f>
        <v>-SinArea-0000</v>
      </c>
      <c r="O163" s="77"/>
      <c r="P163" s="32"/>
      <c r="Q163" s="32"/>
      <c r="R163" s="32"/>
      <c r="S163" s="32"/>
    </row>
    <row r="164" spans="3:19" x14ac:dyDescent="0.3">
      <c r="C164" s="11"/>
      <c r="D164" s="32"/>
      <c r="E164" s="11"/>
      <c r="J164" s="15"/>
      <c r="K164" s="47"/>
      <c r="L164" s="76"/>
      <c r="M164" s="76"/>
      <c r="N164" s="78" t="str">
        <f>_xlfn.LET(
    _xlpm.itemBuscado, B164,
    _xlpm.areaBuscada, C164,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TEXT(COUNTIF($C$2:C164, _xlpm.areaBuscada), "0000"),
    _xlpm.codItem &amp; "-" &amp; _xlpm.codArea &amp; "-" &amp; _xlpm.secuencia
)</f>
        <v>-SinArea-0000</v>
      </c>
      <c r="O164" s="77"/>
      <c r="P164" s="32"/>
      <c r="Q164" s="32"/>
      <c r="R164" s="32"/>
      <c r="S164" s="32"/>
    </row>
    <row r="165" spans="3:19" x14ac:dyDescent="0.3">
      <c r="C165" s="11"/>
      <c r="D165" s="32"/>
      <c r="E165" s="11"/>
      <c r="J165" s="15"/>
      <c r="K165" s="47"/>
      <c r="L165" s="76"/>
      <c r="M165" s="76"/>
      <c r="N165" s="78" t="str">
        <f>_xlfn.LET(
    _xlpm.itemBuscado, B165,
    _xlpm.areaBuscada, C165,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TEXT(COUNTIF($C$2:C165, _xlpm.areaBuscada), "0000"),
    _xlpm.codItem &amp; "-" &amp; _xlpm.codArea &amp; "-" &amp; _xlpm.secuencia
)</f>
        <v>-SinArea-0000</v>
      </c>
      <c r="O165" s="77"/>
      <c r="P165" s="32"/>
      <c r="Q165" s="32"/>
      <c r="R165" s="32"/>
      <c r="S165" s="32"/>
    </row>
    <row r="166" spans="3:19" x14ac:dyDescent="0.3">
      <c r="C166" s="11"/>
      <c r="D166" s="32"/>
      <c r="E166" s="11"/>
      <c r="J166" s="15"/>
      <c r="K166" s="47"/>
      <c r="L166" s="76"/>
      <c r="M166" s="76"/>
      <c r="N166" s="78" t="str">
        <f>_xlfn.LET(
    _xlpm.itemBuscado, B166,
    _xlpm.areaBuscada, C166,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TEXT(COUNTIF($C$2:C166, _xlpm.areaBuscada), "0000"),
    _xlpm.codItem &amp; "-" &amp; _xlpm.codArea &amp; "-" &amp; _xlpm.secuencia
)</f>
        <v>-SinArea-0000</v>
      </c>
      <c r="O166" s="77"/>
      <c r="P166" s="32"/>
      <c r="Q166" s="32"/>
      <c r="R166" s="32"/>
      <c r="S166" s="32"/>
    </row>
    <row r="167" spans="3:19" x14ac:dyDescent="0.3">
      <c r="C167" s="11"/>
      <c r="D167" s="32"/>
      <c r="E167" s="11"/>
      <c r="J167" s="15"/>
      <c r="K167" s="47"/>
      <c r="L167" s="76"/>
      <c r="M167" s="76"/>
      <c r="N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O167" s="77"/>
      <c r="P167" s="32"/>
      <c r="Q167" s="32"/>
      <c r="R167" s="32"/>
      <c r="S167" s="32"/>
    </row>
    <row r="168" spans="3:19" x14ac:dyDescent="0.3">
      <c r="C168" s="11"/>
      <c r="D168" s="32"/>
      <c r="E168" s="11"/>
      <c r="J168" s="15"/>
      <c r="K168" s="47"/>
      <c r="L168" s="76"/>
      <c r="M168" s="76"/>
      <c r="N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O168" s="77"/>
      <c r="P168" s="32"/>
      <c r="Q168" s="32"/>
      <c r="R168" s="32"/>
      <c r="S168" s="32"/>
    </row>
    <row r="169" spans="3:19" x14ac:dyDescent="0.3">
      <c r="C169" s="11"/>
      <c r="D169" s="32"/>
      <c r="E169" s="11"/>
      <c r="J169" s="15"/>
      <c r="K169" s="47"/>
      <c r="L169" s="76"/>
      <c r="M169" s="76"/>
      <c r="N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O169" s="77"/>
      <c r="P169" s="32"/>
      <c r="Q169" s="32"/>
      <c r="R169" s="32"/>
      <c r="S169" s="32"/>
    </row>
    <row r="170" spans="3:19" x14ac:dyDescent="0.3">
      <c r="C170" s="11"/>
      <c r="D170" s="32"/>
      <c r="E170" s="11"/>
      <c r="J170" s="15"/>
      <c r="K170" s="47"/>
      <c r="L170" s="76"/>
      <c r="M170" s="76"/>
      <c r="N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O170" s="77"/>
      <c r="P170" s="32"/>
      <c r="Q170" s="32"/>
      <c r="R170" s="32"/>
      <c r="S170" s="32"/>
    </row>
    <row r="171" spans="3:19" x14ac:dyDescent="0.3">
      <c r="C171" s="11"/>
      <c r="D171" s="32"/>
      <c r="E171" s="11"/>
      <c r="J171" s="15"/>
      <c r="K171" s="47"/>
      <c r="L171" s="76"/>
      <c r="M171" s="76"/>
      <c r="N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O171" s="77"/>
      <c r="P171" s="32"/>
      <c r="Q171" s="32"/>
      <c r="R171" s="32"/>
      <c r="S171" s="32"/>
    </row>
    <row r="172" spans="3:19" x14ac:dyDescent="0.3">
      <c r="C172" s="11"/>
      <c r="D172" s="32"/>
      <c r="E172" s="11"/>
      <c r="J172" s="15"/>
      <c r="K172" s="47"/>
      <c r="L172" s="76"/>
      <c r="M172" s="76"/>
      <c r="N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O172" s="77"/>
      <c r="P172" s="32"/>
      <c r="Q172" s="32"/>
      <c r="R172" s="32"/>
      <c r="S172" s="32"/>
    </row>
    <row r="173" spans="3:19" x14ac:dyDescent="0.3">
      <c r="C173" s="11"/>
      <c r="D173" s="32"/>
      <c r="E173" s="11"/>
      <c r="J173" s="15"/>
      <c r="K173" s="47"/>
      <c r="L173" s="76"/>
      <c r="M173" s="76"/>
      <c r="N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O173" s="77"/>
      <c r="P173" s="32"/>
      <c r="Q173" s="32"/>
      <c r="R173" s="32"/>
      <c r="S173" s="32"/>
    </row>
    <row r="174" spans="3:19" x14ac:dyDescent="0.3">
      <c r="C174" s="11"/>
      <c r="D174" s="32"/>
      <c r="E174" s="11"/>
      <c r="J174" s="15"/>
      <c r="K174" s="47"/>
      <c r="L174" s="76"/>
      <c r="M174" s="76"/>
      <c r="N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O174" s="77"/>
      <c r="P174" s="32"/>
      <c r="Q174" s="32"/>
      <c r="R174" s="32"/>
      <c r="S174" s="32"/>
    </row>
    <row r="175" spans="3:19" x14ac:dyDescent="0.3">
      <c r="C175" s="11"/>
      <c r="D175" s="32"/>
      <c r="E175" s="11"/>
      <c r="J175" s="15"/>
      <c r="K175" s="47"/>
      <c r="L175" s="76"/>
      <c r="M175" s="76"/>
      <c r="N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O175" s="77"/>
      <c r="P175" s="32"/>
      <c r="Q175" s="32"/>
      <c r="R175" s="32"/>
      <c r="S175" s="32"/>
    </row>
    <row r="176" spans="3:19" x14ac:dyDescent="0.3">
      <c r="C176" s="11"/>
      <c r="D176" s="32"/>
      <c r="E176" s="11"/>
      <c r="J176" s="15"/>
      <c r="K176" s="47"/>
      <c r="L176" s="76"/>
      <c r="M176" s="76"/>
      <c r="N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O176" s="77"/>
      <c r="P176" s="32"/>
      <c r="Q176" s="32"/>
      <c r="R176" s="32"/>
      <c r="S176" s="32"/>
    </row>
    <row r="177" spans="3:19" x14ac:dyDescent="0.3">
      <c r="C177" s="11"/>
      <c r="D177" s="32"/>
      <c r="E177" s="11"/>
      <c r="J177" s="15"/>
      <c r="K177" s="47"/>
      <c r="L177" s="76"/>
      <c r="M177" s="76"/>
      <c r="N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O177" s="77"/>
      <c r="P177" s="32"/>
      <c r="Q177" s="32"/>
      <c r="R177" s="32"/>
      <c r="S177" s="32"/>
    </row>
    <row r="178" spans="3:19" x14ac:dyDescent="0.3">
      <c r="C178" s="11"/>
      <c r="D178" s="32"/>
      <c r="E178" s="11"/>
      <c r="J178" s="15"/>
      <c r="K178" s="47"/>
      <c r="L178" s="76"/>
      <c r="M178" s="76"/>
      <c r="N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O178" s="77"/>
      <c r="P178" s="32"/>
      <c r="Q178" s="32"/>
      <c r="R178" s="32"/>
      <c r="S178" s="32"/>
    </row>
    <row r="179" spans="3:19" x14ac:dyDescent="0.3">
      <c r="C179" s="11"/>
      <c r="D179" s="32"/>
      <c r="E179" s="11"/>
      <c r="J179" s="15"/>
      <c r="K179" s="47"/>
      <c r="L179" s="76"/>
      <c r="M179" s="76"/>
      <c r="N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O179" s="77"/>
      <c r="P179" s="32"/>
      <c r="Q179" s="32"/>
      <c r="R179" s="32"/>
      <c r="S179" s="32"/>
    </row>
    <row r="180" spans="3:19" x14ac:dyDescent="0.3">
      <c r="C180" s="11"/>
      <c r="D180" s="32"/>
      <c r="E180" s="11"/>
      <c r="J180" s="15"/>
      <c r="K180" s="47"/>
      <c r="L180" s="76"/>
      <c r="M180" s="76"/>
      <c r="N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O180" s="77"/>
      <c r="P180" s="32"/>
      <c r="Q180" s="32"/>
      <c r="R180" s="32"/>
      <c r="S180" s="32"/>
    </row>
    <row r="181" spans="3:19" x14ac:dyDescent="0.3">
      <c r="C181" s="11"/>
      <c r="D181" s="32"/>
      <c r="E181" s="11"/>
      <c r="J181" s="15"/>
      <c r="K181" s="47"/>
      <c r="L181" s="76"/>
      <c r="M181" s="76"/>
      <c r="N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O181" s="77"/>
      <c r="P181" s="32"/>
      <c r="Q181" s="32"/>
      <c r="R181" s="32"/>
      <c r="S181" s="32"/>
    </row>
    <row r="182" spans="3:19" x14ac:dyDescent="0.3">
      <c r="C182" s="11"/>
      <c r="D182" s="32"/>
      <c r="E182" s="11"/>
      <c r="J182" s="15"/>
      <c r="K182" s="47"/>
      <c r="L182" s="76"/>
      <c r="M182" s="76"/>
      <c r="N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O182" s="77"/>
      <c r="P182" s="32"/>
      <c r="Q182" s="32"/>
      <c r="R182" s="32"/>
      <c r="S182" s="32"/>
    </row>
    <row r="183" spans="3:19" x14ac:dyDescent="0.3">
      <c r="C183" s="11"/>
      <c r="D183" s="32"/>
      <c r="E183" s="11"/>
      <c r="J183" s="15"/>
      <c r="K183" s="47"/>
      <c r="L183" s="76"/>
      <c r="M183" s="76"/>
      <c r="N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O183" s="77"/>
      <c r="P183" s="32"/>
      <c r="Q183" s="32"/>
      <c r="R183" s="32"/>
      <c r="S183" s="32"/>
    </row>
    <row r="184" spans="3:19" x14ac:dyDescent="0.3">
      <c r="C184" s="11"/>
      <c r="D184" s="32"/>
      <c r="E184" s="11"/>
      <c r="J184" s="15"/>
      <c r="K184" s="47"/>
      <c r="L184" s="76"/>
      <c r="M184" s="76"/>
      <c r="N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O184" s="77"/>
      <c r="P184" s="32"/>
      <c r="Q184" s="32"/>
      <c r="R184" s="32"/>
      <c r="S184" s="32"/>
    </row>
    <row r="185" spans="3:19" x14ac:dyDescent="0.3">
      <c r="C185" s="11"/>
      <c r="D185" s="32"/>
      <c r="E185" s="11"/>
      <c r="J185" s="15"/>
      <c r="K185" s="47"/>
      <c r="L185" s="76"/>
      <c r="M185" s="76"/>
      <c r="N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O185" s="77"/>
      <c r="P185" s="32"/>
      <c r="Q185" s="32"/>
      <c r="R185" s="32"/>
      <c r="S185" s="32"/>
    </row>
    <row r="186" spans="3:19" x14ac:dyDescent="0.3">
      <c r="C186" s="11"/>
      <c r="D186" s="32"/>
      <c r="E186" s="11"/>
      <c r="J186" s="15"/>
      <c r="K186" s="47"/>
      <c r="L186" s="76"/>
      <c r="M186" s="76"/>
      <c r="N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O186" s="77"/>
      <c r="P186" s="32"/>
      <c r="Q186" s="32"/>
      <c r="R186" s="32"/>
      <c r="S186" s="32"/>
    </row>
    <row r="187" spans="3:19" x14ac:dyDescent="0.3">
      <c r="C187" s="11"/>
      <c r="D187" s="32"/>
      <c r="E187" s="11"/>
      <c r="J187" s="15"/>
      <c r="K187" s="47"/>
      <c r="L187" s="76"/>
      <c r="M187" s="76"/>
      <c r="N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O187" s="77"/>
      <c r="P187" s="32"/>
      <c r="Q187" s="32"/>
      <c r="R187" s="32"/>
      <c r="S187" s="32"/>
    </row>
    <row r="188" spans="3:19" x14ac:dyDescent="0.3">
      <c r="C188" s="11"/>
      <c r="D188" s="32"/>
      <c r="E188" s="11"/>
      <c r="J188" s="15"/>
      <c r="K188" s="47"/>
      <c r="L188" s="76"/>
      <c r="M188" s="76"/>
      <c r="N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O188" s="77"/>
      <c r="P188" s="32"/>
      <c r="Q188" s="32"/>
      <c r="R188" s="32"/>
      <c r="S188" s="32"/>
    </row>
    <row r="189" spans="3:19" x14ac:dyDescent="0.3">
      <c r="C189" s="11"/>
      <c r="D189" s="32"/>
      <c r="E189" s="11"/>
      <c r="J189" s="15"/>
      <c r="K189" s="47"/>
      <c r="L189" s="76"/>
      <c r="M189" s="76"/>
      <c r="N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O189" s="77"/>
      <c r="P189" s="32"/>
      <c r="Q189" s="32"/>
      <c r="R189" s="32"/>
      <c r="S189" s="32"/>
    </row>
    <row r="190" spans="3:19" x14ac:dyDescent="0.3">
      <c r="C190" s="11"/>
      <c r="D190" s="32"/>
      <c r="E190" s="11"/>
      <c r="J190" s="15"/>
      <c r="K190" s="47"/>
      <c r="L190" s="76"/>
      <c r="M190" s="76"/>
      <c r="N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O190" s="77"/>
      <c r="P190" s="32"/>
      <c r="Q190" s="32"/>
      <c r="R190" s="32"/>
      <c r="S190" s="32"/>
    </row>
    <row r="191" spans="3:19" x14ac:dyDescent="0.3">
      <c r="C191" s="11"/>
      <c r="D191" s="32"/>
      <c r="E191" s="11"/>
      <c r="J191" s="15"/>
      <c r="K191" s="47"/>
      <c r="L191" s="76"/>
      <c r="M191" s="76"/>
      <c r="N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O191" s="77"/>
      <c r="P191" s="32"/>
      <c r="Q191" s="32"/>
      <c r="R191" s="32"/>
      <c r="S191" s="32"/>
    </row>
    <row r="192" spans="3:19" x14ac:dyDescent="0.3">
      <c r="C192" s="11"/>
      <c r="D192" s="32"/>
      <c r="E192" s="11"/>
      <c r="J192" s="15"/>
      <c r="K192" s="47"/>
      <c r="L192" s="76"/>
      <c r="M192" s="76"/>
      <c r="N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O192" s="77"/>
      <c r="P192" s="32"/>
      <c r="Q192" s="32"/>
      <c r="R192" s="32"/>
      <c r="S192" s="32"/>
    </row>
    <row r="193" spans="3:19" x14ac:dyDescent="0.3">
      <c r="C193" s="11"/>
      <c r="D193" s="32"/>
      <c r="E193" s="11"/>
      <c r="J193" s="15"/>
      <c r="K193" s="47"/>
      <c r="L193" s="76"/>
      <c r="M193" s="76"/>
      <c r="N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O193" s="77"/>
      <c r="P193" s="32"/>
      <c r="Q193" s="32"/>
      <c r="R193" s="32"/>
      <c r="S193" s="32"/>
    </row>
    <row r="194" spans="3:19" x14ac:dyDescent="0.3">
      <c r="C194" s="11"/>
      <c r="D194" s="32"/>
      <c r="E194" s="11"/>
      <c r="J194" s="15"/>
      <c r="K194" s="47"/>
      <c r="L194" s="76"/>
      <c r="M194" s="76"/>
      <c r="N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O194" s="77"/>
      <c r="P194" s="32"/>
      <c r="Q194" s="32"/>
      <c r="R194" s="32"/>
      <c r="S194" s="32"/>
    </row>
    <row r="195" spans="3:19" x14ac:dyDescent="0.3">
      <c r="C195" s="11"/>
      <c r="D195" s="32"/>
      <c r="E195" s="11"/>
      <c r="J195" s="15"/>
      <c r="K195" s="47"/>
      <c r="L195" s="76"/>
      <c r="M195" s="76"/>
      <c r="N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O195" s="77"/>
      <c r="P195" s="32"/>
      <c r="Q195" s="32"/>
      <c r="R195" s="32"/>
      <c r="S195" s="32"/>
    </row>
    <row r="196" spans="3:19" x14ac:dyDescent="0.3">
      <c r="C196" s="11"/>
      <c r="D196" s="32"/>
      <c r="E196" s="11"/>
      <c r="J196" s="15"/>
      <c r="K196" s="47"/>
      <c r="L196" s="76"/>
      <c r="M196" s="76"/>
      <c r="N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O196" s="77"/>
      <c r="P196" s="32"/>
      <c r="Q196" s="32"/>
      <c r="R196" s="32"/>
      <c r="S196" s="32"/>
    </row>
    <row r="197" spans="3:19" x14ac:dyDescent="0.3">
      <c r="C197" s="11"/>
      <c r="D197" s="32"/>
      <c r="E197" s="11"/>
      <c r="J197" s="15"/>
      <c r="K197" s="47"/>
      <c r="L197" s="76"/>
      <c r="M197" s="76"/>
      <c r="N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O197" s="77"/>
      <c r="P197" s="32"/>
      <c r="Q197" s="32"/>
      <c r="R197" s="32"/>
      <c r="S197" s="32"/>
    </row>
    <row r="198" spans="3:19" x14ac:dyDescent="0.3">
      <c r="C198" s="11"/>
      <c r="D198" s="32"/>
      <c r="E198" s="11"/>
      <c r="J198" s="15"/>
      <c r="K198" s="47"/>
      <c r="L198" s="76"/>
      <c r="M198" s="76"/>
      <c r="N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O198" s="77"/>
      <c r="P198" s="32"/>
      <c r="Q198" s="32"/>
      <c r="R198" s="32"/>
      <c r="S198" s="32"/>
    </row>
    <row r="199" spans="3:19" x14ac:dyDescent="0.3">
      <c r="C199" s="11"/>
      <c r="D199" s="32"/>
      <c r="E199" s="11"/>
      <c r="J199" s="15"/>
      <c r="K199" s="47"/>
      <c r="L199" s="76"/>
      <c r="M199" s="76"/>
      <c r="N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O199" s="77"/>
      <c r="P199" s="32"/>
      <c r="Q199" s="32"/>
      <c r="R199" s="32"/>
      <c r="S199" s="32"/>
    </row>
    <row r="200" spans="3:19" x14ac:dyDescent="0.3">
      <c r="C200" s="11"/>
      <c r="D200" s="32"/>
      <c r="E200" s="11"/>
      <c r="J200" s="15"/>
      <c r="K200" s="47"/>
      <c r="L200" s="76"/>
      <c r="M200" s="76"/>
      <c r="N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O200" s="77"/>
      <c r="P200" s="32"/>
      <c r="Q200" s="32"/>
      <c r="R200" s="32"/>
      <c r="S200" s="32"/>
    </row>
    <row r="201" spans="3:19" x14ac:dyDescent="0.3">
      <c r="C201" s="11"/>
      <c r="D201" s="32"/>
      <c r="E201" s="11"/>
      <c r="J201" s="15"/>
      <c r="K201" s="47"/>
      <c r="L201" s="76"/>
      <c r="M201" s="76"/>
      <c r="N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O201" s="77"/>
      <c r="P201" s="32"/>
      <c r="Q201" s="32"/>
      <c r="R201" s="32"/>
      <c r="S201" s="32"/>
    </row>
    <row r="202" spans="3:19" x14ac:dyDescent="0.3">
      <c r="C202" s="11"/>
      <c r="D202" s="32"/>
      <c r="E202" s="11"/>
      <c r="J202" s="15"/>
      <c r="K202" s="47"/>
      <c r="L202" s="76"/>
      <c r="M202" s="76"/>
      <c r="N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O202" s="77"/>
      <c r="P202" s="32"/>
      <c r="Q202" s="32"/>
      <c r="R202" s="32"/>
      <c r="S202" s="32"/>
    </row>
    <row r="203" spans="3:19" x14ac:dyDescent="0.3">
      <c r="C203" s="11"/>
      <c r="D203" s="32"/>
      <c r="E203" s="11"/>
      <c r="J203" s="15"/>
      <c r="K203" s="47"/>
      <c r="L203" s="76"/>
      <c r="M203" s="76"/>
      <c r="N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O203" s="77"/>
      <c r="P203" s="32"/>
      <c r="Q203" s="32"/>
      <c r="R203" s="32"/>
      <c r="S203" s="32"/>
    </row>
    <row r="204" spans="3:19" x14ac:dyDescent="0.3">
      <c r="C204" s="11"/>
      <c r="D204" s="32"/>
      <c r="E204" s="11"/>
      <c r="J204" s="15"/>
      <c r="K204" s="47"/>
      <c r="L204" s="76"/>
      <c r="M204" s="76"/>
      <c r="N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O204" s="77"/>
      <c r="P204" s="32"/>
      <c r="Q204" s="32"/>
      <c r="R204" s="32"/>
      <c r="S204" s="32"/>
    </row>
    <row r="205" spans="3:19" x14ac:dyDescent="0.3">
      <c r="C205" s="11"/>
      <c r="D205" s="32"/>
      <c r="E205" s="11"/>
      <c r="J205" s="15"/>
      <c r="K205" s="47"/>
      <c r="L205" s="76"/>
      <c r="M205" s="76"/>
      <c r="N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O205" s="77"/>
      <c r="P205" s="32"/>
      <c r="Q205" s="32"/>
      <c r="R205" s="32"/>
      <c r="S205" s="32"/>
    </row>
    <row r="206" spans="3:19" x14ac:dyDescent="0.3">
      <c r="C206" s="11"/>
      <c r="D206" s="32"/>
      <c r="E206" s="11"/>
      <c r="J206" s="15"/>
      <c r="K206" s="47"/>
      <c r="L206" s="76"/>
      <c r="M206" s="76"/>
      <c r="N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O206" s="77"/>
      <c r="P206" s="32"/>
      <c r="Q206" s="32"/>
      <c r="R206" s="32"/>
      <c r="S206" s="32"/>
    </row>
    <row r="207" spans="3:19" x14ac:dyDescent="0.3">
      <c r="C207" s="11"/>
      <c r="D207" s="32"/>
      <c r="E207" s="11"/>
      <c r="J207" s="15"/>
      <c r="K207" s="47"/>
      <c r="L207" s="76"/>
      <c r="M207" s="76"/>
      <c r="N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O207" s="77"/>
      <c r="P207" s="32"/>
      <c r="Q207" s="32"/>
      <c r="R207" s="32"/>
      <c r="S207" s="32"/>
    </row>
    <row r="208" spans="3:19" x14ac:dyDescent="0.3">
      <c r="C208" s="11"/>
      <c r="D208" s="32"/>
      <c r="E208" s="11"/>
      <c r="J208" s="15"/>
      <c r="K208" s="47"/>
      <c r="L208" s="76"/>
      <c r="M208" s="76"/>
      <c r="N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O208" s="77"/>
      <c r="P208" s="32"/>
      <c r="Q208" s="32"/>
      <c r="R208" s="32"/>
      <c r="S208" s="32"/>
    </row>
    <row r="209" spans="3:19" x14ac:dyDescent="0.3">
      <c r="C209" s="11"/>
      <c r="D209" s="32"/>
      <c r="E209" s="11"/>
      <c r="J209" s="15"/>
      <c r="K209" s="47"/>
      <c r="L209" s="76"/>
      <c r="M209" s="76"/>
      <c r="N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O209" s="77"/>
      <c r="P209" s="32"/>
      <c r="Q209" s="32"/>
      <c r="R209" s="32"/>
      <c r="S209" s="32"/>
    </row>
    <row r="210" spans="3:19" x14ac:dyDescent="0.3">
      <c r="C210" s="11"/>
      <c r="D210" s="32"/>
      <c r="E210" s="11"/>
      <c r="J210" s="15"/>
      <c r="K210" s="47"/>
      <c r="L210" s="76"/>
      <c r="M210" s="76"/>
      <c r="N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O210" s="77"/>
      <c r="P210" s="32"/>
      <c r="Q210" s="32"/>
      <c r="R210" s="32"/>
      <c r="S210" s="32"/>
    </row>
    <row r="211" spans="3:19" x14ac:dyDescent="0.3">
      <c r="C211" s="11"/>
      <c r="D211" s="32"/>
      <c r="E211" s="11"/>
      <c r="J211" s="15"/>
      <c r="K211" s="47"/>
      <c r="L211" s="76"/>
      <c r="M211" s="76"/>
      <c r="N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O211" s="77"/>
      <c r="P211" s="32"/>
      <c r="Q211" s="32"/>
      <c r="R211" s="32"/>
      <c r="S211" s="32"/>
    </row>
    <row r="212" spans="3:19" x14ac:dyDescent="0.3">
      <c r="C212" s="11"/>
      <c r="D212" s="32"/>
      <c r="E212" s="11"/>
      <c r="J212" s="15"/>
      <c r="K212" s="47"/>
      <c r="L212" s="76"/>
      <c r="M212" s="76"/>
      <c r="N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O212" s="77"/>
      <c r="P212" s="32"/>
      <c r="Q212" s="32"/>
      <c r="R212" s="32"/>
      <c r="S212" s="32"/>
    </row>
    <row r="213" spans="3:19" x14ac:dyDescent="0.3">
      <c r="C213" s="11"/>
      <c r="D213" s="32"/>
      <c r="E213" s="11"/>
      <c r="J213" s="15"/>
      <c r="K213" s="47"/>
      <c r="L213" s="76"/>
      <c r="M213" s="76"/>
      <c r="N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O213" s="77"/>
      <c r="P213" s="32"/>
      <c r="Q213" s="32"/>
      <c r="R213" s="32"/>
      <c r="S213" s="32"/>
    </row>
    <row r="214" spans="3:19" x14ac:dyDescent="0.3">
      <c r="C214" s="11"/>
      <c r="D214" s="32"/>
      <c r="E214" s="11"/>
      <c r="J214" s="15"/>
      <c r="K214" s="47"/>
      <c r="L214" s="76"/>
      <c r="M214" s="76"/>
      <c r="N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O214" s="77"/>
      <c r="P214" s="32"/>
      <c r="Q214" s="32"/>
      <c r="R214" s="32"/>
      <c r="S214" s="32"/>
    </row>
    <row r="215" spans="3:19" x14ac:dyDescent="0.3">
      <c r="C215" s="11"/>
      <c r="D215" s="32"/>
      <c r="E215" s="11"/>
      <c r="J215" s="15"/>
      <c r="K215" s="47"/>
      <c r="L215" s="76"/>
      <c r="M215" s="76"/>
      <c r="N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O215" s="77"/>
      <c r="P215" s="32"/>
      <c r="Q215" s="32"/>
      <c r="R215" s="32"/>
      <c r="S215" s="32"/>
    </row>
    <row r="216" spans="3:19" x14ac:dyDescent="0.3">
      <c r="C216" s="11"/>
      <c r="D216" s="32"/>
      <c r="E216" s="11"/>
      <c r="J216" s="15"/>
      <c r="K216" s="47"/>
      <c r="L216" s="76"/>
      <c r="M216" s="76"/>
      <c r="N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O216" s="77"/>
      <c r="P216" s="32"/>
      <c r="Q216" s="32"/>
      <c r="R216" s="32"/>
      <c r="S216" s="32"/>
    </row>
    <row r="217" spans="3:19" x14ac:dyDescent="0.3">
      <c r="C217" s="11"/>
      <c r="D217" s="32"/>
      <c r="E217" s="11"/>
      <c r="J217" s="15"/>
      <c r="K217" s="47"/>
      <c r="L217" s="76"/>
      <c r="M217" s="76"/>
      <c r="N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O217" s="77"/>
      <c r="P217" s="32"/>
      <c r="Q217" s="32"/>
      <c r="R217" s="32"/>
      <c r="S217" s="32"/>
    </row>
    <row r="218" spans="3:19" x14ac:dyDescent="0.3">
      <c r="C218" s="11"/>
      <c r="D218" s="32"/>
      <c r="E218" s="11"/>
      <c r="J218" s="15"/>
      <c r="K218" s="47"/>
      <c r="L218" s="76"/>
      <c r="M218" s="76"/>
      <c r="N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O218" s="77"/>
      <c r="P218" s="32"/>
      <c r="Q218" s="32"/>
      <c r="R218" s="32"/>
      <c r="S218" s="32"/>
    </row>
    <row r="219" spans="3:19" x14ac:dyDescent="0.3">
      <c r="C219" s="11"/>
      <c r="D219" s="32"/>
      <c r="E219" s="11"/>
      <c r="J219" s="15"/>
      <c r="K219" s="47"/>
      <c r="L219" s="76"/>
      <c r="M219" s="76"/>
      <c r="N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O219" s="77"/>
      <c r="P219" s="32"/>
      <c r="Q219" s="32"/>
      <c r="R219" s="32"/>
      <c r="S219" s="32"/>
    </row>
    <row r="220" spans="3:19" x14ac:dyDescent="0.3">
      <c r="C220" s="11"/>
      <c r="D220" s="32"/>
      <c r="E220" s="11"/>
      <c r="J220" s="15"/>
      <c r="K220" s="47"/>
      <c r="L220" s="76"/>
      <c r="M220" s="76"/>
      <c r="N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O220" s="77"/>
      <c r="P220" s="32"/>
      <c r="Q220" s="32"/>
      <c r="R220" s="32"/>
      <c r="S220" s="32"/>
    </row>
    <row r="221" spans="3:19" x14ac:dyDescent="0.3">
      <c r="C221" s="11"/>
      <c r="D221" s="32"/>
      <c r="E221" s="11"/>
      <c r="J221" s="15"/>
      <c r="K221" s="47"/>
      <c r="L221" s="76"/>
      <c r="M221" s="76"/>
      <c r="N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O221" s="77"/>
      <c r="P221" s="32"/>
      <c r="Q221" s="32"/>
      <c r="R221" s="32"/>
      <c r="S221" s="32"/>
    </row>
    <row r="222" spans="3:19" x14ac:dyDescent="0.3">
      <c r="C222" s="11"/>
      <c r="D222" s="32"/>
      <c r="E222" s="11"/>
      <c r="J222" s="15"/>
      <c r="K222" s="47"/>
      <c r="L222" s="76"/>
      <c r="M222" s="76"/>
      <c r="N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O222" s="77"/>
      <c r="P222" s="32"/>
      <c r="Q222" s="32"/>
      <c r="R222" s="32"/>
      <c r="S222" s="32"/>
    </row>
    <row r="223" spans="3:19" x14ac:dyDescent="0.3">
      <c r="C223" s="11"/>
      <c r="D223" s="32"/>
      <c r="E223" s="11"/>
      <c r="J223" s="15"/>
      <c r="K223" s="47"/>
      <c r="L223" s="76"/>
      <c r="M223" s="76"/>
      <c r="N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O223" s="77"/>
      <c r="P223" s="32"/>
      <c r="Q223" s="32"/>
      <c r="R223" s="32"/>
      <c r="S223" s="32"/>
    </row>
    <row r="224" spans="3:19" x14ac:dyDescent="0.3">
      <c r="C224" s="11"/>
      <c r="D224" s="32"/>
      <c r="E224" s="11"/>
      <c r="J224" s="15"/>
      <c r="K224" s="47"/>
      <c r="L224" s="76"/>
      <c r="M224" s="76"/>
      <c r="N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O224" s="77"/>
      <c r="P224" s="32"/>
      <c r="Q224" s="32"/>
      <c r="R224" s="32"/>
      <c r="S224" s="32"/>
    </row>
    <row r="225" spans="3:19" x14ac:dyDescent="0.3">
      <c r="C225" s="11"/>
      <c r="D225" s="32"/>
      <c r="E225" s="11"/>
      <c r="J225" s="15"/>
      <c r="K225" s="47"/>
      <c r="L225" s="76"/>
      <c r="M225" s="76"/>
      <c r="N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O225" s="77"/>
      <c r="P225" s="32"/>
      <c r="Q225" s="32"/>
      <c r="R225" s="32"/>
      <c r="S225" s="32"/>
    </row>
    <row r="226" spans="3:19" x14ac:dyDescent="0.3">
      <c r="C226" s="11"/>
      <c r="D226" s="32"/>
      <c r="E226" s="11"/>
      <c r="J226" s="15"/>
      <c r="K226" s="47"/>
      <c r="L226" s="76"/>
      <c r="M226" s="76"/>
      <c r="N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O226" s="77"/>
      <c r="P226" s="32"/>
      <c r="Q226" s="32"/>
      <c r="R226" s="32"/>
      <c r="S226" s="32"/>
    </row>
    <row r="227" spans="3:19" x14ac:dyDescent="0.3">
      <c r="C227" s="11"/>
      <c r="D227" s="32"/>
      <c r="E227" s="11"/>
      <c r="J227" s="15"/>
      <c r="K227" s="47"/>
      <c r="L227" s="76"/>
      <c r="M227" s="76"/>
      <c r="N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O227" s="77"/>
      <c r="P227" s="32"/>
      <c r="Q227" s="32"/>
      <c r="R227" s="32"/>
      <c r="S227" s="32"/>
    </row>
    <row r="228" spans="3:19" x14ac:dyDescent="0.3">
      <c r="C228" s="11"/>
      <c r="D228" s="32"/>
      <c r="E228" s="11"/>
      <c r="J228" s="15"/>
      <c r="K228" s="47"/>
      <c r="L228" s="76"/>
      <c r="M228" s="76"/>
      <c r="N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O228" s="77"/>
      <c r="P228" s="32"/>
      <c r="Q228" s="32"/>
      <c r="R228" s="32"/>
      <c r="S228" s="32"/>
    </row>
    <row r="229" spans="3:19" x14ac:dyDescent="0.3">
      <c r="C229" s="11"/>
      <c r="D229" s="32"/>
      <c r="E229" s="11"/>
      <c r="J229" s="15"/>
      <c r="K229" s="47"/>
      <c r="L229" s="76"/>
      <c r="M229" s="76"/>
      <c r="N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O229" s="77"/>
      <c r="P229" s="32"/>
      <c r="Q229" s="32"/>
      <c r="R229" s="32"/>
      <c r="S229" s="32"/>
    </row>
    <row r="230" spans="3:19" x14ac:dyDescent="0.3">
      <c r="C230" s="11"/>
      <c r="D230" s="32"/>
      <c r="E230" s="11"/>
      <c r="J230" s="15"/>
      <c r="K230" s="47"/>
      <c r="L230" s="76"/>
      <c r="M230" s="76"/>
      <c r="N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O230" s="77"/>
      <c r="P230" s="32"/>
      <c r="Q230" s="32"/>
      <c r="R230" s="32"/>
      <c r="S230" s="32"/>
    </row>
    <row r="231" spans="3:19" x14ac:dyDescent="0.3">
      <c r="C231" s="11"/>
      <c r="D231" s="32"/>
      <c r="E231" s="11"/>
      <c r="J231" s="15"/>
      <c r="K231" s="47"/>
      <c r="L231" s="76"/>
      <c r="M231" s="76"/>
      <c r="N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O231" s="77"/>
      <c r="P231" s="32"/>
      <c r="Q231" s="32"/>
      <c r="R231" s="32"/>
      <c r="S231" s="32"/>
    </row>
    <row r="232" spans="3:19" x14ac:dyDescent="0.3">
      <c r="C232" s="11"/>
      <c r="D232" s="32"/>
      <c r="E232" s="11"/>
      <c r="J232" s="15"/>
      <c r="K232" s="47"/>
      <c r="L232" s="76"/>
      <c r="M232" s="76"/>
      <c r="N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O232" s="77"/>
      <c r="P232" s="32"/>
      <c r="Q232" s="32"/>
      <c r="R232" s="32"/>
      <c r="S232" s="32"/>
    </row>
    <row r="233" spans="3:19" x14ac:dyDescent="0.3">
      <c r="C233" s="11"/>
      <c r="D233" s="32"/>
      <c r="E233" s="11"/>
      <c r="J233" s="15"/>
      <c r="K233" s="47"/>
      <c r="L233" s="76"/>
      <c r="M233" s="76"/>
      <c r="N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O233" s="77"/>
      <c r="P233" s="32"/>
      <c r="Q233" s="32"/>
      <c r="R233" s="32"/>
      <c r="S233" s="32"/>
    </row>
    <row r="234" spans="3:19" x14ac:dyDescent="0.3">
      <c r="C234" s="11"/>
      <c r="D234" s="32"/>
      <c r="E234" s="11"/>
      <c r="J234" s="15"/>
      <c r="K234" s="47"/>
      <c r="L234" s="76"/>
      <c r="M234" s="76"/>
      <c r="N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O234" s="77"/>
      <c r="P234" s="32"/>
      <c r="Q234" s="32"/>
      <c r="R234" s="32"/>
      <c r="S234" s="32"/>
    </row>
    <row r="235" spans="3:19" x14ac:dyDescent="0.3">
      <c r="C235" s="11"/>
      <c r="D235" s="32"/>
      <c r="E235" s="11"/>
      <c r="J235" s="15"/>
      <c r="K235" s="47"/>
      <c r="L235" s="76"/>
      <c r="M235" s="76"/>
      <c r="N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O235" s="77"/>
      <c r="P235" s="32"/>
      <c r="Q235" s="32"/>
      <c r="R235" s="32"/>
      <c r="S235" s="32"/>
    </row>
    <row r="236" spans="3:19" x14ac:dyDescent="0.3">
      <c r="C236" s="11"/>
      <c r="D236" s="32"/>
      <c r="E236" s="11"/>
      <c r="J236" s="15"/>
      <c r="K236" s="47"/>
      <c r="L236" s="76"/>
      <c r="M236" s="76"/>
      <c r="N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O236" s="77"/>
      <c r="P236" s="32"/>
      <c r="Q236" s="32"/>
      <c r="R236" s="32"/>
      <c r="S236" s="32"/>
    </row>
    <row r="237" spans="3:19" x14ac:dyDescent="0.3">
      <c r="C237" s="11"/>
      <c r="D237" s="32"/>
      <c r="E237" s="11"/>
      <c r="J237" s="15"/>
      <c r="K237" s="47"/>
      <c r="L237" s="76"/>
      <c r="M237" s="76"/>
      <c r="N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O237" s="77"/>
      <c r="P237" s="32"/>
      <c r="Q237" s="32"/>
      <c r="R237" s="32"/>
      <c r="S237" s="32"/>
    </row>
    <row r="238" spans="3:19" x14ac:dyDescent="0.3">
      <c r="C238" s="11"/>
      <c r="D238" s="32"/>
      <c r="E238" s="11"/>
      <c r="J238" s="15"/>
      <c r="K238" s="47"/>
      <c r="L238" s="76"/>
      <c r="M238" s="76"/>
      <c r="N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O238" s="77"/>
      <c r="P238" s="32"/>
      <c r="Q238" s="32"/>
      <c r="R238" s="32"/>
      <c r="S238" s="32"/>
    </row>
    <row r="239" spans="3:19" x14ac:dyDescent="0.3">
      <c r="C239" s="11"/>
      <c r="D239" s="32"/>
      <c r="E239" s="11"/>
      <c r="J239" s="15"/>
      <c r="K239" s="47"/>
      <c r="L239" s="76"/>
      <c r="M239" s="76"/>
      <c r="N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O239" s="77"/>
      <c r="P239" s="32"/>
      <c r="Q239" s="32"/>
      <c r="R239" s="32"/>
      <c r="S239" s="32"/>
    </row>
    <row r="240" spans="3:19" x14ac:dyDescent="0.3">
      <c r="C240" s="11"/>
      <c r="D240" s="32"/>
      <c r="E240" s="11"/>
      <c r="J240" s="15"/>
      <c r="K240" s="47"/>
      <c r="L240" s="76"/>
      <c r="M240" s="76"/>
      <c r="N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O240" s="77"/>
      <c r="P240" s="32"/>
      <c r="Q240" s="32"/>
      <c r="R240" s="32"/>
      <c r="S240" s="32"/>
    </row>
    <row r="241" spans="3:19" x14ac:dyDescent="0.3">
      <c r="C241" s="11"/>
      <c r="D241" s="32"/>
      <c r="E241" s="11"/>
      <c r="J241" s="15"/>
      <c r="K241" s="47"/>
      <c r="L241" s="76"/>
      <c r="M241" s="76"/>
      <c r="N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O241" s="77"/>
      <c r="P241" s="32"/>
      <c r="Q241" s="32"/>
      <c r="R241" s="32"/>
      <c r="S241" s="32"/>
    </row>
    <row r="242" spans="3:19" x14ac:dyDescent="0.3">
      <c r="C242" s="11"/>
      <c r="D242" s="32"/>
      <c r="E242" s="11"/>
      <c r="J242" s="15"/>
      <c r="K242" s="47"/>
      <c r="L242" s="76"/>
      <c r="M242" s="76"/>
      <c r="N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O242" s="77"/>
      <c r="P242" s="32"/>
      <c r="Q242" s="32"/>
      <c r="R242" s="32"/>
      <c r="S242" s="32"/>
    </row>
    <row r="243" spans="3:19" x14ac:dyDescent="0.3">
      <c r="C243" s="11"/>
      <c r="D243" s="32"/>
      <c r="E243" s="11"/>
      <c r="J243" s="15"/>
      <c r="K243" s="47"/>
      <c r="L243" s="76"/>
      <c r="M243" s="76"/>
      <c r="N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O243" s="77"/>
      <c r="P243" s="32"/>
      <c r="Q243" s="32"/>
      <c r="R243" s="32"/>
      <c r="S243" s="32"/>
    </row>
    <row r="244" spans="3:19" x14ac:dyDescent="0.3">
      <c r="C244" s="11"/>
      <c r="D244" s="32"/>
      <c r="E244" s="11"/>
      <c r="J244" s="15"/>
      <c r="K244" s="47"/>
      <c r="L244" s="76"/>
      <c r="M244" s="76"/>
      <c r="N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O244" s="77"/>
      <c r="P244" s="32"/>
      <c r="Q244" s="32"/>
      <c r="R244" s="32"/>
      <c r="S244" s="32"/>
    </row>
    <row r="245" spans="3:19" x14ac:dyDescent="0.3">
      <c r="C245" s="11"/>
      <c r="D245" s="32"/>
      <c r="E245" s="11"/>
      <c r="J245" s="15"/>
      <c r="K245" s="47"/>
      <c r="L245" s="76"/>
      <c r="M245" s="76"/>
      <c r="N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O245" s="77"/>
      <c r="P245" s="32"/>
      <c r="Q245" s="32"/>
      <c r="R245" s="32"/>
      <c r="S245" s="32"/>
    </row>
    <row r="246" spans="3:19" x14ac:dyDescent="0.3">
      <c r="C246" s="11"/>
      <c r="D246" s="32"/>
      <c r="E246" s="11"/>
      <c r="J246" s="15"/>
      <c r="K246" s="47"/>
      <c r="L246" s="76"/>
      <c r="M246" s="76"/>
      <c r="N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O246" s="77"/>
      <c r="P246" s="32"/>
      <c r="Q246" s="32"/>
      <c r="R246" s="32"/>
      <c r="S246" s="32"/>
    </row>
    <row r="247" spans="3:19" x14ac:dyDescent="0.3">
      <c r="C247" s="11"/>
      <c r="D247" s="32"/>
      <c r="E247" s="11"/>
      <c r="J247" s="15"/>
      <c r="K247" s="47"/>
      <c r="L247" s="76"/>
      <c r="M247" s="76"/>
      <c r="N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O247" s="77"/>
      <c r="P247" s="32"/>
      <c r="Q247" s="32"/>
      <c r="R247" s="32"/>
      <c r="S247" s="32"/>
    </row>
    <row r="248" spans="3:19" x14ac:dyDescent="0.3">
      <c r="C248" s="11"/>
      <c r="D248" s="32"/>
      <c r="E248" s="11"/>
      <c r="J248" s="15"/>
      <c r="K248" s="47"/>
      <c r="L248" s="76"/>
      <c r="M248" s="76"/>
      <c r="N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O248" s="77"/>
      <c r="P248" s="32"/>
      <c r="Q248" s="32"/>
      <c r="R248" s="32"/>
      <c r="S248" s="32"/>
    </row>
    <row r="249" spans="3:19" x14ac:dyDescent="0.3">
      <c r="C249" s="11"/>
      <c r="D249" s="32"/>
      <c r="E249" s="11"/>
      <c r="J249" s="15"/>
      <c r="K249" s="47"/>
      <c r="L249" s="76"/>
      <c r="M249" s="76"/>
      <c r="N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O249" s="77"/>
      <c r="P249" s="32"/>
      <c r="Q249" s="32"/>
      <c r="R249" s="32"/>
      <c r="S249" s="32"/>
    </row>
    <row r="250" spans="3:19" x14ac:dyDescent="0.3">
      <c r="C250" s="11"/>
      <c r="D250" s="32"/>
      <c r="E250" s="11"/>
      <c r="J250" s="15"/>
      <c r="K250" s="47"/>
      <c r="L250" s="76"/>
      <c r="M250" s="76"/>
      <c r="N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O250" s="77"/>
      <c r="P250" s="32"/>
      <c r="Q250" s="32"/>
      <c r="R250" s="32"/>
      <c r="S250" s="32"/>
    </row>
    <row r="251" spans="3:19" x14ac:dyDescent="0.3">
      <c r="C251" s="11"/>
      <c r="D251" s="32"/>
      <c r="E251" s="11"/>
      <c r="J251" s="15"/>
      <c r="K251" s="47"/>
      <c r="L251" s="76"/>
      <c r="M251" s="76"/>
      <c r="N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O251" s="77"/>
      <c r="P251" s="32"/>
      <c r="Q251" s="32"/>
      <c r="R251" s="32"/>
      <c r="S251" s="32"/>
    </row>
    <row r="252" spans="3:19" x14ac:dyDescent="0.3">
      <c r="C252" s="11"/>
      <c r="D252" s="32"/>
      <c r="E252" s="11"/>
      <c r="J252" s="15"/>
      <c r="K252" s="47"/>
      <c r="L252" s="76"/>
      <c r="M252" s="76"/>
      <c r="N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O252" s="77"/>
      <c r="P252" s="32"/>
      <c r="Q252" s="32"/>
      <c r="R252" s="32"/>
      <c r="S252" s="32"/>
    </row>
    <row r="253" spans="3:19" x14ac:dyDescent="0.3">
      <c r="C253" s="11"/>
      <c r="D253" s="32"/>
      <c r="E253" s="11"/>
      <c r="J253" s="15"/>
      <c r="K253" s="47"/>
      <c r="L253" s="76"/>
      <c r="M253" s="76"/>
      <c r="N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O253" s="77"/>
      <c r="P253" s="32"/>
      <c r="Q253" s="32"/>
      <c r="R253" s="32"/>
      <c r="S253" s="32"/>
    </row>
    <row r="254" spans="3:19" x14ac:dyDescent="0.3">
      <c r="C254" s="11"/>
      <c r="D254" s="32"/>
      <c r="E254" s="11"/>
      <c r="J254" s="15"/>
      <c r="K254" s="47"/>
      <c r="L254" s="76"/>
      <c r="M254" s="76"/>
      <c r="N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O254" s="77"/>
      <c r="P254" s="32"/>
      <c r="Q254" s="32"/>
      <c r="R254" s="32"/>
      <c r="S254" s="32"/>
    </row>
    <row r="255" spans="3:19" x14ac:dyDescent="0.3">
      <c r="C255" s="11"/>
      <c r="D255" s="32"/>
      <c r="E255" s="11"/>
      <c r="J255" s="15"/>
      <c r="K255" s="47"/>
      <c r="L255" s="76"/>
      <c r="M255" s="76"/>
      <c r="N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O255" s="77"/>
      <c r="P255" s="32"/>
      <c r="Q255" s="32"/>
      <c r="R255" s="32"/>
      <c r="S255" s="32"/>
    </row>
    <row r="256" spans="3:19" x14ac:dyDescent="0.3">
      <c r="C256" s="11"/>
      <c r="D256" s="32"/>
      <c r="E256" s="11"/>
      <c r="J256" s="15"/>
      <c r="K256" s="47"/>
      <c r="L256" s="76"/>
      <c r="M256" s="76"/>
      <c r="N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O256" s="77"/>
      <c r="P256" s="32"/>
      <c r="Q256" s="32"/>
      <c r="R256" s="32"/>
      <c r="S256" s="32"/>
    </row>
    <row r="257" spans="3:19" x14ac:dyDescent="0.3">
      <c r="C257" s="11"/>
      <c r="D257" s="32"/>
      <c r="E257" s="11"/>
      <c r="J257" s="15"/>
      <c r="K257" s="47"/>
      <c r="L257" s="76"/>
      <c r="M257" s="76"/>
      <c r="N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O257" s="77"/>
      <c r="P257" s="32"/>
      <c r="Q257" s="32"/>
      <c r="R257" s="32"/>
      <c r="S257" s="32"/>
    </row>
    <row r="258" spans="3:19" x14ac:dyDescent="0.3">
      <c r="C258" s="11"/>
      <c r="D258" s="32"/>
      <c r="E258" s="11"/>
      <c r="J258" s="15"/>
      <c r="K258" s="47"/>
      <c r="L258" s="76"/>
      <c r="M258" s="76"/>
      <c r="N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O258" s="77"/>
      <c r="P258" s="32"/>
      <c r="Q258" s="32"/>
      <c r="R258" s="32"/>
      <c r="S258" s="32"/>
    </row>
    <row r="259" spans="3:19" x14ac:dyDescent="0.3">
      <c r="C259" s="11"/>
      <c r="D259" s="32"/>
      <c r="E259" s="11"/>
      <c r="J259" s="15"/>
      <c r="K259" s="47"/>
      <c r="L259" s="76"/>
      <c r="M259" s="76"/>
      <c r="N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O259" s="77"/>
      <c r="P259" s="32"/>
      <c r="Q259" s="32"/>
      <c r="R259" s="32"/>
      <c r="S259" s="32"/>
    </row>
    <row r="260" spans="3:19" x14ac:dyDescent="0.3">
      <c r="C260" s="11"/>
      <c r="D260" s="32"/>
      <c r="E260" s="11"/>
      <c r="J260" s="15"/>
      <c r="K260" s="47"/>
      <c r="L260" s="76"/>
      <c r="M260" s="76"/>
      <c r="N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O260" s="77"/>
      <c r="P260" s="32"/>
      <c r="Q260" s="32"/>
      <c r="R260" s="32"/>
      <c r="S260" s="32"/>
    </row>
    <row r="261" spans="3:19" x14ac:dyDescent="0.3">
      <c r="C261" s="11"/>
      <c r="D261" s="32"/>
      <c r="E261" s="11"/>
      <c r="J261" s="15"/>
      <c r="K261" s="47"/>
      <c r="L261" s="76"/>
      <c r="M261" s="76"/>
      <c r="N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O261" s="77"/>
      <c r="P261" s="32"/>
      <c r="Q261" s="32"/>
      <c r="R261" s="32"/>
      <c r="S261" s="32"/>
    </row>
    <row r="262" spans="3:19" x14ac:dyDescent="0.3">
      <c r="C262" s="11"/>
      <c r="D262" s="32"/>
      <c r="E262" s="11"/>
      <c r="J262" s="15"/>
      <c r="K262" s="47"/>
      <c r="L262" s="76"/>
      <c r="M262" s="76"/>
      <c r="N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O262" s="77"/>
      <c r="P262" s="32"/>
      <c r="Q262" s="32"/>
      <c r="R262" s="32"/>
      <c r="S262" s="32"/>
    </row>
    <row r="263" spans="3:19" x14ac:dyDescent="0.3">
      <c r="C263" s="11"/>
      <c r="D263" s="32"/>
      <c r="E263" s="11"/>
      <c r="J263" s="15"/>
      <c r="K263" s="47"/>
      <c r="L263" s="76"/>
      <c r="M263" s="76"/>
      <c r="N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O263" s="77"/>
      <c r="P263" s="32"/>
      <c r="Q263" s="32"/>
      <c r="R263" s="32"/>
      <c r="S263" s="32"/>
    </row>
    <row r="264" spans="3:19" x14ac:dyDescent="0.3">
      <c r="C264" s="11"/>
      <c r="D264" s="32"/>
      <c r="E264" s="11"/>
      <c r="J264" s="15"/>
      <c r="K264" s="47"/>
      <c r="L264" s="76"/>
      <c r="M264" s="76"/>
      <c r="N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O264" s="77"/>
      <c r="P264" s="32"/>
      <c r="Q264" s="32"/>
      <c r="R264" s="32"/>
      <c r="S264" s="32"/>
    </row>
    <row r="265" spans="3:19" x14ac:dyDescent="0.3">
      <c r="C265" s="11"/>
      <c r="D265" s="32"/>
      <c r="E265" s="11"/>
      <c r="J265" s="15"/>
      <c r="K265" s="47"/>
      <c r="L265" s="76"/>
      <c r="M265" s="76"/>
      <c r="N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O265" s="77"/>
      <c r="P265" s="32"/>
      <c r="Q265" s="32"/>
      <c r="R265" s="32"/>
      <c r="S265" s="32"/>
    </row>
    <row r="266" spans="3:19" x14ac:dyDescent="0.3">
      <c r="C266" s="11"/>
      <c r="D266" s="32"/>
      <c r="E266" s="11"/>
      <c r="J266" s="15"/>
      <c r="K266" s="47"/>
      <c r="L266" s="76"/>
      <c r="M266" s="76"/>
      <c r="N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O266" s="77"/>
      <c r="P266" s="32"/>
      <c r="Q266" s="32"/>
      <c r="R266" s="32"/>
      <c r="S266" s="32"/>
    </row>
    <row r="267" spans="3:19" x14ac:dyDescent="0.3">
      <c r="C267" s="11"/>
      <c r="D267" s="32"/>
      <c r="E267" s="11"/>
      <c r="J267" s="15"/>
      <c r="K267" s="47"/>
      <c r="L267" s="76"/>
      <c r="M267" s="76"/>
      <c r="N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O267" s="77"/>
      <c r="P267" s="32"/>
      <c r="Q267" s="32"/>
      <c r="R267" s="32"/>
      <c r="S267" s="32"/>
    </row>
    <row r="268" spans="3:19" x14ac:dyDescent="0.3">
      <c r="C268" s="11"/>
      <c r="D268" s="32"/>
      <c r="E268" s="11"/>
      <c r="J268" s="15"/>
      <c r="K268" s="47"/>
      <c r="L268" s="76"/>
      <c r="M268" s="76"/>
      <c r="N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O268" s="77"/>
      <c r="P268" s="32"/>
      <c r="Q268" s="32"/>
      <c r="R268" s="32"/>
      <c r="S268" s="32"/>
    </row>
    <row r="269" spans="3:19" x14ac:dyDescent="0.3">
      <c r="C269" s="11"/>
      <c r="D269" s="32"/>
      <c r="E269" s="11"/>
      <c r="J269" s="15"/>
      <c r="K269" s="47"/>
      <c r="L269" s="76"/>
      <c r="M269" s="76"/>
      <c r="N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O269" s="77"/>
      <c r="P269" s="32"/>
      <c r="Q269" s="32"/>
      <c r="R269" s="32"/>
      <c r="S269" s="32"/>
    </row>
    <row r="270" spans="3:19" x14ac:dyDescent="0.3">
      <c r="C270" s="11"/>
      <c r="D270" s="32"/>
      <c r="E270" s="11"/>
      <c r="J270" s="15"/>
      <c r="K270" s="47"/>
      <c r="L270" s="76"/>
      <c r="M270" s="76"/>
      <c r="N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O270" s="77"/>
      <c r="P270" s="32"/>
      <c r="Q270" s="32"/>
      <c r="R270" s="32"/>
      <c r="S270" s="32"/>
    </row>
    <row r="271" spans="3:19" x14ac:dyDescent="0.3">
      <c r="C271" s="11"/>
      <c r="D271" s="32"/>
      <c r="E271" s="11"/>
      <c r="J271" s="15"/>
      <c r="K271" s="47"/>
      <c r="L271" s="76"/>
      <c r="M271" s="76"/>
      <c r="N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O271" s="77"/>
      <c r="P271" s="32"/>
      <c r="Q271" s="32"/>
      <c r="R271" s="32"/>
      <c r="S271" s="32"/>
    </row>
    <row r="272" spans="3:19" x14ac:dyDescent="0.3">
      <c r="C272" s="11"/>
      <c r="D272" s="32"/>
      <c r="E272" s="11"/>
      <c r="J272" s="15"/>
      <c r="K272" s="47"/>
      <c r="L272" s="76"/>
      <c r="M272" s="76"/>
      <c r="N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O272" s="77"/>
      <c r="P272" s="32"/>
      <c r="Q272" s="32"/>
      <c r="R272" s="32"/>
      <c r="S272" s="32"/>
    </row>
    <row r="273" spans="3:19" x14ac:dyDescent="0.3">
      <c r="C273" s="11"/>
      <c r="D273" s="32"/>
      <c r="E273" s="11"/>
      <c r="J273" s="15"/>
      <c r="K273" s="47"/>
      <c r="L273" s="76"/>
      <c r="M273" s="76"/>
      <c r="N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O273" s="77"/>
      <c r="P273" s="32"/>
      <c r="Q273" s="32"/>
      <c r="R273" s="32"/>
      <c r="S273" s="32"/>
    </row>
    <row r="274" spans="3:19" x14ac:dyDescent="0.3">
      <c r="C274" s="11"/>
      <c r="D274" s="32"/>
      <c r="E274" s="11"/>
      <c r="J274" s="15"/>
      <c r="K274" s="47"/>
      <c r="L274" s="76"/>
      <c r="M274" s="76"/>
      <c r="N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O274" s="77"/>
      <c r="P274" s="32"/>
      <c r="Q274" s="32"/>
      <c r="R274" s="32"/>
      <c r="S274" s="32"/>
    </row>
    <row r="275" spans="3:19" x14ac:dyDescent="0.3">
      <c r="C275" s="11"/>
      <c r="D275" s="32"/>
      <c r="E275" s="11"/>
      <c r="J275" s="15"/>
      <c r="K275" s="47"/>
      <c r="L275" s="76"/>
      <c r="M275" s="76"/>
      <c r="N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O275" s="77"/>
      <c r="P275" s="32"/>
      <c r="Q275" s="32"/>
      <c r="R275" s="32"/>
      <c r="S275" s="32"/>
    </row>
    <row r="276" spans="3:19" x14ac:dyDescent="0.3">
      <c r="C276" s="11"/>
      <c r="D276" s="32"/>
      <c r="E276" s="11"/>
      <c r="J276" s="15"/>
      <c r="K276" s="47"/>
      <c r="L276" s="76"/>
      <c r="M276" s="76"/>
      <c r="N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O276" s="77"/>
      <c r="P276" s="32"/>
      <c r="Q276" s="32"/>
      <c r="R276" s="32"/>
      <c r="S276" s="32"/>
    </row>
    <row r="277" spans="3:19" x14ac:dyDescent="0.3">
      <c r="C277" s="11"/>
      <c r="D277" s="32"/>
      <c r="E277" s="11"/>
      <c r="J277" s="15"/>
      <c r="K277" s="47"/>
      <c r="L277" s="76"/>
      <c r="M277" s="76"/>
      <c r="N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O277" s="77"/>
      <c r="P277" s="32"/>
      <c r="Q277" s="32"/>
      <c r="R277" s="32"/>
      <c r="S277" s="32"/>
    </row>
    <row r="278" spans="3:19" x14ac:dyDescent="0.3">
      <c r="C278" s="11"/>
      <c r="D278" s="32"/>
      <c r="E278" s="11"/>
      <c r="J278" s="15"/>
      <c r="K278" s="47"/>
      <c r="L278" s="76"/>
      <c r="M278" s="76"/>
      <c r="N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O278" s="77"/>
      <c r="P278" s="32"/>
      <c r="Q278" s="32"/>
      <c r="R278" s="32"/>
      <c r="S278" s="32"/>
    </row>
    <row r="279" spans="3:19" x14ac:dyDescent="0.3">
      <c r="C279" s="11"/>
      <c r="D279" s="32"/>
      <c r="E279" s="11"/>
      <c r="J279" s="15"/>
      <c r="K279" s="47"/>
      <c r="L279" s="76"/>
      <c r="M279" s="76"/>
      <c r="N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O279" s="77"/>
      <c r="P279" s="32"/>
      <c r="Q279" s="32"/>
      <c r="R279" s="32"/>
      <c r="S279" s="32"/>
    </row>
    <row r="280" spans="3:19" x14ac:dyDescent="0.3">
      <c r="C280" s="11"/>
      <c r="D280" s="32"/>
      <c r="E280" s="11"/>
      <c r="J280" s="15"/>
      <c r="K280" s="47"/>
      <c r="L280" s="76"/>
      <c r="M280" s="76"/>
      <c r="N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O280" s="77"/>
      <c r="P280" s="32"/>
      <c r="Q280" s="32"/>
      <c r="R280" s="32"/>
      <c r="S280" s="32"/>
    </row>
    <row r="281" spans="3:19" x14ac:dyDescent="0.3">
      <c r="C281" s="11"/>
      <c r="D281" s="32"/>
      <c r="E281" s="11"/>
      <c r="J281" s="15"/>
      <c r="K281" s="47"/>
      <c r="L281" s="76"/>
      <c r="M281" s="76"/>
      <c r="N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O281" s="77"/>
      <c r="P281" s="32"/>
      <c r="Q281" s="32"/>
      <c r="R281" s="32"/>
      <c r="S281" s="32"/>
    </row>
    <row r="282" spans="3:19" x14ac:dyDescent="0.3">
      <c r="C282" s="11"/>
      <c r="D282" s="32"/>
      <c r="E282" s="11"/>
      <c r="J282" s="15"/>
      <c r="K282" s="47"/>
      <c r="L282" s="76"/>
      <c r="M282" s="76"/>
      <c r="N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O282" s="77"/>
      <c r="P282" s="32"/>
      <c r="Q282" s="32"/>
      <c r="R282" s="32"/>
      <c r="S282" s="32"/>
    </row>
    <row r="283" spans="3:19" x14ac:dyDescent="0.3">
      <c r="C283" s="11"/>
      <c r="D283" s="32"/>
      <c r="E283" s="11"/>
      <c r="J283" s="15"/>
      <c r="K283" s="47"/>
      <c r="L283" s="76"/>
      <c r="M283" s="76"/>
      <c r="N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O283" s="77"/>
      <c r="P283" s="32"/>
      <c r="Q283" s="32"/>
      <c r="R283" s="32"/>
      <c r="S283" s="32"/>
    </row>
    <row r="284" spans="3:19" x14ac:dyDescent="0.3">
      <c r="C284" s="11"/>
      <c r="D284" s="32"/>
      <c r="E284" s="11"/>
      <c r="J284" s="15"/>
      <c r="K284" s="47"/>
      <c r="L284" s="76"/>
      <c r="M284" s="76"/>
      <c r="N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O284" s="77"/>
      <c r="P284" s="32"/>
      <c r="Q284" s="32"/>
      <c r="R284" s="32"/>
      <c r="S284" s="32"/>
    </row>
    <row r="285" spans="3:19" x14ac:dyDescent="0.3">
      <c r="C285" s="11"/>
      <c r="D285" s="32"/>
      <c r="E285" s="11"/>
      <c r="J285" s="15"/>
      <c r="K285" s="47"/>
      <c r="L285" s="76"/>
      <c r="M285" s="76"/>
      <c r="N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O285" s="77"/>
      <c r="P285" s="32"/>
      <c r="Q285" s="32"/>
      <c r="R285" s="32"/>
      <c r="S285" s="32"/>
    </row>
    <row r="286" spans="3:19" x14ac:dyDescent="0.3">
      <c r="C286" s="11"/>
      <c r="D286" s="32"/>
      <c r="E286" s="11"/>
      <c r="J286" s="15"/>
      <c r="K286" s="47"/>
      <c r="L286" s="76"/>
      <c r="M286" s="76"/>
      <c r="N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O286" s="77"/>
      <c r="P286" s="32"/>
      <c r="Q286" s="32"/>
      <c r="R286" s="32"/>
      <c r="S286" s="32"/>
    </row>
    <row r="287" spans="3:19" x14ac:dyDescent="0.3">
      <c r="C287" s="11"/>
      <c r="D287" s="32"/>
      <c r="E287" s="11"/>
      <c r="J287" s="15"/>
      <c r="K287" s="47"/>
      <c r="L287" s="76"/>
      <c r="M287" s="76"/>
      <c r="N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O287" s="77"/>
      <c r="P287" s="32"/>
      <c r="Q287" s="32"/>
      <c r="R287" s="32"/>
      <c r="S287" s="32"/>
    </row>
    <row r="288" spans="3:19" x14ac:dyDescent="0.3">
      <c r="C288" s="11"/>
      <c r="D288" s="32"/>
      <c r="E288" s="11"/>
      <c r="J288" s="15"/>
      <c r="K288" s="47"/>
      <c r="L288" s="76"/>
      <c r="M288" s="76"/>
      <c r="N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O288" s="77"/>
      <c r="P288" s="32"/>
      <c r="Q288" s="32"/>
      <c r="R288" s="32"/>
      <c r="S288" s="32"/>
    </row>
    <row r="289" spans="3:19" x14ac:dyDescent="0.3">
      <c r="C289" s="11"/>
      <c r="D289" s="32"/>
      <c r="E289" s="11"/>
      <c r="J289" s="15"/>
      <c r="K289" s="47"/>
      <c r="L289" s="76"/>
      <c r="M289" s="76"/>
      <c r="N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O289" s="77"/>
      <c r="P289" s="32"/>
      <c r="Q289" s="32"/>
      <c r="R289" s="32"/>
      <c r="S289" s="32"/>
    </row>
    <row r="290" spans="3:19" x14ac:dyDescent="0.3">
      <c r="C290" s="11"/>
      <c r="D290" s="32"/>
      <c r="E290" s="11"/>
      <c r="J290" s="15"/>
      <c r="K290" s="47"/>
      <c r="L290" s="76"/>
      <c r="M290" s="76"/>
      <c r="N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O290" s="77"/>
      <c r="P290" s="32"/>
      <c r="Q290" s="32"/>
      <c r="R290" s="32"/>
      <c r="S290" s="32"/>
    </row>
    <row r="291" spans="3:19" x14ac:dyDescent="0.3">
      <c r="C291" s="11"/>
      <c r="D291" s="32"/>
      <c r="E291" s="11"/>
      <c r="J291" s="15"/>
      <c r="K291" s="47"/>
      <c r="L291" s="76"/>
      <c r="M291" s="76"/>
      <c r="N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O291" s="77"/>
      <c r="P291" s="32"/>
      <c r="Q291" s="32"/>
      <c r="R291" s="32"/>
      <c r="S291" s="32"/>
    </row>
    <row r="292" spans="3:19" x14ac:dyDescent="0.3">
      <c r="C292" s="11"/>
      <c r="D292" s="32"/>
      <c r="E292" s="11"/>
      <c r="J292" s="15"/>
      <c r="K292" s="47"/>
      <c r="L292" s="76"/>
      <c r="M292" s="76"/>
      <c r="N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O292" s="77"/>
      <c r="P292" s="32"/>
      <c r="Q292" s="32"/>
      <c r="R292" s="32"/>
      <c r="S292" s="32"/>
    </row>
    <row r="293" spans="3:19" x14ac:dyDescent="0.3">
      <c r="C293" s="11"/>
      <c r="D293" s="32"/>
      <c r="E293" s="11"/>
      <c r="J293" s="15"/>
      <c r="K293" s="47"/>
      <c r="L293" s="76"/>
      <c r="M293" s="76"/>
      <c r="N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O293" s="77"/>
      <c r="P293" s="32"/>
      <c r="Q293" s="32"/>
      <c r="R293" s="32"/>
      <c r="S293" s="32"/>
    </row>
    <row r="294" spans="3:19" x14ac:dyDescent="0.3">
      <c r="C294" s="11"/>
      <c r="D294" s="32"/>
      <c r="E294" s="11"/>
      <c r="J294" s="15"/>
      <c r="K294" s="47"/>
      <c r="L294" s="76"/>
      <c r="M294" s="76"/>
      <c r="N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O294" s="77"/>
      <c r="P294" s="32"/>
      <c r="Q294" s="32"/>
      <c r="R294" s="32"/>
      <c r="S294" s="32"/>
    </row>
    <row r="295" spans="3:19" x14ac:dyDescent="0.3">
      <c r="C295" s="11"/>
      <c r="D295" s="32"/>
      <c r="E295" s="11"/>
      <c r="J295" s="15"/>
      <c r="K295" s="47"/>
      <c r="L295" s="76"/>
      <c r="M295" s="76"/>
      <c r="N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O295" s="77"/>
      <c r="P295" s="32"/>
      <c r="Q295" s="32"/>
      <c r="R295" s="32"/>
      <c r="S295" s="32"/>
    </row>
    <row r="296" spans="3:19" x14ac:dyDescent="0.3">
      <c r="C296" s="11"/>
      <c r="D296" s="32"/>
      <c r="E296" s="11"/>
      <c r="J296" s="15"/>
      <c r="K296" s="47"/>
      <c r="L296" s="76"/>
      <c r="M296" s="76"/>
      <c r="N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O296" s="77"/>
      <c r="P296" s="32"/>
      <c r="Q296" s="32"/>
      <c r="R296" s="32"/>
      <c r="S296" s="32"/>
    </row>
    <row r="297" spans="3:19" x14ac:dyDescent="0.3">
      <c r="C297" s="11"/>
      <c r="D297" s="32"/>
      <c r="E297" s="11"/>
      <c r="J297" s="15"/>
      <c r="K297" s="47"/>
      <c r="L297" s="76"/>
      <c r="M297" s="76"/>
      <c r="N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O297" s="77"/>
      <c r="P297" s="32"/>
      <c r="Q297" s="32"/>
      <c r="R297" s="32"/>
      <c r="S297" s="32"/>
    </row>
    <row r="298" spans="3:19" x14ac:dyDescent="0.3">
      <c r="C298" s="11"/>
      <c r="D298" s="32"/>
      <c r="E298" s="11"/>
      <c r="J298" s="15"/>
      <c r="K298" s="47"/>
      <c r="L298" s="76"/>
      <c r="M298" s="76"/>
      <c r="N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O298" s="77"/>
      <c r="P298" s="32"/>
      <c r="Q298" s="32"/>
      <c r="R298" s="32"/>
      <c r="S298" s="32"/>
    </row>
    <row r="299" spans="3:19" x14ac:dyDescent="0.3">
      <c r="C299" s="11"/>
      <c r="D299" s="32"/>
      <c r="E299" s="11"/>
      <c r="J299" s="15"/>
      <c r="K299" s="47"/>
      <c r="L299" s="76"/>
      <c r="M299" s="76"/>
      <c r="N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O299" s="77"/>
      <c r="P299" s="32"/>
      <c r="Q299" s="32"/>
      <c r="R299" s="32"/>
      <c r="S299" s="32"/>
    </row>
    <row r="300" spans="3:19" x14ac:dyDescent="0.3">
      <c r="C300" s="11"/>
      <c r="D300" s="32"/>
      <c r="E300" s="11"/>
      <c r="J300" s="15"/>
      <c r="K300" s="47"/>
      <c r="L300" s="76"/>
      <c r="M300" s="76"/>
      <c r="N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O300" s="77"/>
      <c r="P300" s="32"/>
      <c r="Q300" s="32"/>
      <c r="R300" s="32"/>
      <c r="S300" s="32"/>
    </row>
    <row r="301" spans="3:19" x14ac:dyDescent="0.3">
      <c r="C301" s="11"/>
      <c r="D301" s="32"/>
      <c r="E301" s="11"/>
      <c r="J301" s="15"/>
      <c r="K301" s="47"/>
      <c r="L301" s="76"/>
      <c r="M301" s="76"/>
      <c r="N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O301" s="77"/>
      <c r="P301" s="32"/>
      <c r="Q301" s="32"/>
      <c r="R301" s="32"/>
      <c r="S301" s="32"/>
    </row>
    <row r="302" spans="3:19" x14ac:dyDescent="0.3">
      <c r="C302" s="11"/>
      <c r="D302" s="32"/>
      <c r="E302" s="11"/>
      <c r="J302" s="15"/>
      <c r="K302" s="47"/>
      <c r="L302" s="76"/>
      <c r="M302" s="76"/>
      <c r="N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O302" s="77"/>
      <c r="P302" s="32"/>
      <c r="Q302" s="32"/>
      <c r="R302" s="32"/>
      <c r="S302" s="32"/>
    </row>
    <row r="303" spans="3:19" x14ac:dyDescent="0.3">
      <c r="C303" s="11"/>
      <c r="D303" s="32"/>
      <c r="E303" s="11"/>
      <c r="J303" s="15"/>
      <c r="K303" s="47"/>
      <c r="L303" s="76"/>
      <c r="M303" s="76"/>
      <c r="N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O303" s="77"/>
      <c r="P303" s="32"/>
      <c r="Q303" s="32"/>
      <c r="R303" s="32"/>
      <c r="S303" s="32"/>
    </row>
    <row r="304" spans="3:19" x14ac:dyDescent="0.3">
      <c r="C304" s="11"/>
      <c r="D304" s="32"/>
      <c r="E304" s="11"/>
      <c r="J304" s="15"/>
      <c r="K304" s="47"/>
      <c r="L304" s="76"/>
      <c r="M304" s="76"/>
      <c r="N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O304" s="77"/>
      <c r="P304" s="32"/>
      <c r="Q304" s="32"/>
      <c r="R304" s="32"/>
      <c r="S304" s="32"/>
    </row>
    <row r="305" spans="3:19" x14ac:dyDescent="0.3">
      <c r="C305" s="11"/>
      <c r="D305" s="32"/>
      <c r="E305" s="11"/>
      <c r="J305" s="15"/>
      <c r="K305" s="47"/>
      <c r="L305" s="76"/>
      <c r="M305" s="76"/>
      <c r="N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O305" s="77"/>
      <c r="P305" s="32"/>
      <c r="Q305" s="32"/>
      <c r="R305" s="32"/>
      <c r="S305" s="32"/>
    </row>
    <row r="306" spans="3:19" x14ac:dyDescent="0.3">
      <c r="C306" s="11"/>
      <c r="D306" s="32"/>
      <c r="E306" s="11"/>
      <c r="J306" s="15"/>
      <c r="K306" s="47"/>
      <c r="L306" s="76"/>
      <c r="M306" s="76"/>
      <c r="N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O306" s="77"/>
      <c r="P306" s="32"/>
      <c r="Q306" s="32"/>
      <c r="R306" s="32"/>
      <c r="S306" s="32"/>
    </row>
    <row r="307" spans="3:19" x14ac:dyDescent="0.3">
      <c r="C307" s="11"/>
      <c r="D307" s="32"/>
      <c r="E307" s="11"/>
      <c r="J307" s="15"/>
      <c r="K307" s="47"/>
      <c r="L307" s="76"/>
      <c r="M307" s="76"/>
      <c r="N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O307" s="77"/>
      <c r="P307" s="32"/>
      <c r="Q307" s="32"/>
      <c r="R307" s="32"/>
      <c r="S307" s="32"/>
    </row>
    <row r="308" spans="3:19" x14ac:dyDescent="0.3">
      <c r="C308" s="11"/>
      <c r="D308" s="32"/>
      <c r="E308" s="11"/>
      <c r="J308" s="15"/>
      <c r="K308" s="47"/>
      <c r="L308" s="76"/>
      <c r="M308" s="76"/>
      <c r="N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O308" s="77"/>
      <c r="P308" s="32"/>
      <c r="Q308" s="32"/>
      <c r="R308" s="32"/>
      <c r="S308" s="32"/>
    </row>
    <row r="309" spans="3:19" x14ac:dyDescent="0.3">
      <c r="C309" s="11"/>
      <c r="D309" s="32"/>
      <c r="E309" s="11"/>
      <c r="J309" s="15"/>
      <c r="K309" s="47"/>
      <c r="L309" s="76"/>
      <c r="M309" s="76"/>
      <c r="N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O309" s="77"/>
      <c r="P309" s="32"/>
      <c r="Q309" s="32"/>
      <c r="R309" s="32"/>
      <c r="S309" s="32"/>
    </row>
    <row r="310" spans="3:19" x14ac:dyDescent="0.3">
      <c r="C310" s="11"/>
      <c r="D310" s="32"/>
      <c r="E310" s="11"/>
      <c r="J310" s="15"/>
      <c r="K310" s="47"/>
      <c r="L310" s="76"/>
      <c r="M310" s="76"/>
      <c r="N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O310" s="77"/>
      <c r="P310" s="32"/>
      <c r="Q310" s="32"/>
      <c r="R310" s="32"/>
      <c r="S310" s="32"/>
    </row>
    <row r="311" spans="3:19" x14ac:dyDescent="0.3">
      <c r="C311" s="11"/>
      <c r="D311" s="32"/>
      <c r="E311" s="11"/>
      <c r="J311" s="15"/>
      <c r="K311" s="47"/>
      <c r="L311" s="76"/>
      <c r="M311" s="76"/>
      <c r="N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O311" s="77"/>
      <c r="P311" s="32"/>
      <c r="Q311" s="32"/>
      <c r="R311" s="32"/>
      <c r="S311" s="32"/>
    </row>
    <row r="312" spans="3:19" x14ac:dyDescent="0.3">
      <c r="C312" s="11"/>
      <c r="D312" s="32"/>
      <c r="E312" s="11"/>
      <c r="J312" s="15"/>
      <c r="K312" s="47"/>
      <c r="L312" s="76"/>
      <c r="M312" s="76"/>
      <c r="N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O312" s="77"/>
      <c r="P312" s="32"/>
      <c r="Q312" s="32"/>
      <c r="R312" s="32"/>
      <c r="S312" s="32"/>
    </row>
    <row r="313" spans="3:19" x14ac:dyDescent="0.3">
      <c r="C313" s="11"/>
      <c r="D313" s="32"/>
      <c r="E313" s="11"/>
      <c r="J313" s="15"/>
      <c r="K313" s="47"/>
      <c r="L313" s="76"/>
      <c r="M313" s="76"/>
      <c r="N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O313" s="77"/>
      <c r="P313" s="32"/>
      <c r="Q313" s="32"/>
      <c r="R313" s="32"/>
      <c r="S313" s="32"/>
    </row>
    <row r="314" spans="3:19" x14ac:dyDescent="0.3">
      <c r="C314" s="11"/>
      <c r="D314" s="32"/>
      <c r="E314" s="11"/>
      <c r="J314" s="15"/>
      <c r="K314" s="47"/>
      <c r="L314" s="76"/>
      <c r="M314" s="76"/>
      <c r="N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O314" s="77"/>
      <c r="P314" s="32"/>
      <c r="Q314" s="32"/>
      <c r="R314" s="32"/>
      <c r="S314" s="32"/>
    </row>
    <row r="315" spans="3:19" x14ac:dyDescent="0.3">
      <c r="C315" s="11"/>
      <c r="D315" s="32"/>
      <c r="E315" s="11"/>
      <c r="J315" s="15"/>
      <c r="K315" s="47"/>
      <c r="L315" s="76"/>
      <c r="M315" s="76"/>
      <c r="N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O315" s="77"/>
      <c r="P315" s="32"/>
      <c r="Q315" s="32"/>
      <c r="R315" s="32"/>
      <c r="S315" s="32"/>
    </row>
    <row r="316" spans="3:19" x14ac:dyDescent="0.3">
      <c r="C316" s="11"/>
      <c r="D316" s="32"/>
      <c r="E316" s="11"/>
      <c r="J316" s="15"/>
      <c r="K316" s="47"/>
      <c r="L316" s="76"/>
      <c r="M316" s="76"/>
      <c r="N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O316" s="77"/>
      <c r="P316" s="32"/>
      <c r="Q316" s="32"/>
      <c r="R316" s="32"/>
      <c r="S316" s="32"/>
    </row>
    <row r="317" spans="3:19" x14ac:dyDescent="0.3">
      <c r="C317" s="11"/>
      <c r="D317" s="32"/>
      <c r="E317" s="11"/>
      <c r="J317" s="15"/>
      <c r="K317" s="47"/>
      <c r="L317" s="76"/>
      <c r="M317" s="76"/>
      <c r="N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O317" s="77"/>
      <c r="P317" s="32"/>
      <c r="Q317" s="32"/>
      <c r="R317" s="32"/>
      <c r="S317" s="32"/>
    </row>
    <row r="318" spans="3:19" x14ac:dyDescent="0.3">
      <c r="C318" s="11"/>
      <c r="D318" s="32"/>
      <c r="E318" s="11"/>
      <c r="J318" s="15"/>
      <c r="K318" s="47"/>
      <c r="L318" s="76"/>
      <c r="M318" s="76"/>
      <c r="N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O318" s="77"/>
      <c r="P318" s="32"/>
      <c r="Q318" s="32"/>
      <c r="R318" s="32"/>
      <c r="S318" s="32"/>
    </row>
    <row r="319" spans="3:19" x14ac:dyDescent="0.3">
      <c r="C319" s="11"/>
      <c r="D319" s="32"/>
      <c r="E319" s="11"/>
      <c r="J319" s="15"/>
      <c r="K319" s="47"/>
      <c r="L319" s="76"/>
      <c r="M319" s="76"/>
      <c r="N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O319" s="77"/>
      <c r="P319" s="32"/>
      <c r="Q319" s="32"/>
      <c r="R319" s="32"/>
      <c r="S319" s="32"/>
    </row>
    <row r="320" spans="3:19" x14ac:dyDescent="0.3">
      <c r="C320" s="11"/>
      <c r="D320" s="32"/>
      <c r="E320" s="11"/>
      <c r="J320" s="15"/>
      <c r="K320" s="47"/>
      <c r="L320" s="76"/>
      <c r="M320" s="76"/>
      <c r="N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O320" s="77"/>
      <c r="P320" s="32"/>
      <c r="Q320" s="32"/>
      <c r="R320" s="32"/>
      <c r="S320" s="32"/>
    </row>
    <row r="321" spans="3:19" x14ac:dyDescent="0.3">
      <c r="C321" s="11"/>
      <c r="D321" s="32"/>
      <c r="E321" s="11"/>
      <c r="J321" s="15"/>
      <c r="K321" s="47"/>
      <c r="L321" s="76"/>
      <c r="M321" s="76"/>
      <c r="N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O321" s="77"/>
      <c r="P321" s="32"/>
      <c r="Q321" s="32"/>
      <c r="R321" s="32"/>
      <c r="S321" s="32"/>
    </row>
    <row r="322" spans="3:19" x14ac:dyDescent="0.3">
      <c r="C322" s="11"/>
      <c r="D322" s="32"/>
      <c r="E322" s="11"/>
      <c r="J322" s="15"/>
      <c r="K322" s="47"/>
      <c r="L322" s="76"/>
      <c r="M322" s="76"/>
      <c r="N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O322" s="77"/>
      <c r="P322" s="32"/>
      <c r="Q322" s="32"/>
      <c r="R322" s="32"/>
      <c r="S322" s="32"/>
    </row>
    <row r="323" spans="3:19" x14ac:dyDescent="0.3">
      <c r="C323" s="11"/>
      <c r="D323" s="32"/>
      <c r="E323" s="11"/>
      <c r="J323" s="15"/>
      <c r="K323" s="47"/>
      <c r="L323" s="76"/>
      <c r="M323" s="76"/>
      <c r="N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O323" s="77"/>
      <c r="P323" s="32"/>
      <c r="Q323" s="32"/>
      <c r="R323" s="32"/>
      <c r="S323" s="32"/>
    </row>
    <row r="324" spans="3:19" x14ac:dyDescent="0.3">
      <c r="C324" s="11"/>
      <c r="D324" s="32"/>
      <c r="E324" s="11"/>
      <c r="J324" s="15"/>
      <c r="K324" s="47"/>
      <c r="L324" s="76"/>
      <c r="M324" s="76"/>
      <c r="N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O324" s="77"/>
      <c r="P324" s="32"/>
      <c r="Q324" s="32"/>
      <c r="R324" s="32"/>
      <c r="S324" s="32"/>
    </row>
    <row r="325" spans="3:19" x14ac:dyDescent="0.3">
      <c r="C325" s="11"/>
      <c r="D325" s="32"/>
      <c r="E325" s="11"/>
      <c r="J325" s="15"/>
      <c r="K325" s="47"/>
      <c r="L325" s="76"/>
      <c r="M325" s="76"/>
      <c r="N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O325" s="77"/>
      <c r="P325" s="32"/>
      <c r="Q325" s="32"/>
      <c r="R325" s="32"/>
      <c r="S325" s="32"/>
    </row>
    <row r="326" spans="3:19" x14ac:dyDescent="0.3">
      <c r="C326" s="11"/>
      <c r="D326" s="32"/>
      <c r="E326" s="11"/>
      <c r="J326" s="15"/>
      <c r="K326" s="47"/>
      <c r="L326" s="76"/>
      <c r="M326" s="76"/>
      <c r="N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O326" s="77"/>
      <c r="P326" s="32"/>
      <c r="Q326" s="32"/>
      <c r="R326" s="32"/>
      <c r="S326" s="32"/>
    </row>
    <row r="327" spans="3:19" x14ac:dyDescent="0.3">
      <c r="C327" s="11"/>
      <c r="D327" s="32"/>
      <c r="E327" s="11"/>
      <c r="J327" s="15"/>
      <c r="K327" s="47"/>
      <c r="L327" s="76"/>
      <c r="M327" s="76"/>
      <c r="N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O327" s="77"/>
      <c r="P327" s="32"/>
      <c r="Q327" s="32"/>
      <c r="R327" s="32"/>
      <c r="S327" s="32"/>
    </row>
    <row r="328" spans="3:19" x14ac:dyDescent="0.3">
      <c r="C328" s="11"/>
      <c r="D328" s="32"/>
      <c r="E328" s="11"/>
      <c r="J328" s="15"/>
      <c r="K328" s="47"/>
      <c r="L328" s="76"/>
      <c r="M328" s="76"/>
      <c r="N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O328" s="77"/>
      <c r="P328" s="32"/>
      <c r="Q328" s="32"/>
      <c r="R328" s="32"/>
      <c r="S328" s="32"/>
    </row>
    <row r="329" spans="3:19" x14ac:dyDescent="0.3">
      <c r="C329" s="11"/>
      <c r="D329" s="32"/>
      <c r="E329" s="11"/>
      <c r="J329" s="15"/>
      <c r="K329" s="47"/>
      <c r="L329" s="76"/>
      <c r="M329" s="76"/>
      <c r="N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O329" s="77"/>
      <c r="P329" s="32"/>
      <c r="Q329" s="32"/>
      <c r="R329" s="32"/>
      <c r="S329" s="32"/>
    </row>
    <row r="330" spans="3:19" x14ac:dyDescent="0.3">
      <c r="C330" s="11"/>
      <c r="D330" s="32"/>
      <c r="E330" s="11"/>
      <c r="J330" s="15"/>
      <c r="K330" s="47"/>
      <c r="L330" s="76"/>
      <c r="M330" s="76"/>
      <c r="N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O330" s="77"/>
      <c r="P330" s="32"/>
      <c r="Q330" s="32"/>
      <c r="R330" s="32"/>
      <c r="S330" s="32"/>
    </row>
    <row r="331" spans="3:19" x14ac:dyDescent="0.3">
      <c r="C331" s="11"/>
      <c r="D331" s="32"/>
      <c r="E331" s="11"/>
      <c r="J331" s="15"/>
      <c r="K331" s="47"/>
      <c r="L331" s="76"/>
      <c r="M331" s="76"/>
      <c r="N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O331" s="77"/>
      <c r="P331" s="32"/>
      <c r="Q331" s="32"/>
      <c r="R331" s="32"/>
      <c r="S331" s="32"/>
    </row>
    <row r="332" spans="3:19" x14ac:dyDescent="0.3">
      <c r="C332" s="11"/>
      <c r="D332" s="32"/>
      <c r="E332" s="11"/>
      <c r="J332" s="15"/>
      <c r="K332" s="47"/>
      <c r="L332" s="76"/>
      <c r="M332" s="76"/>
      <c r="N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O332" s="77"/>
      <c r="P332" s="32"/>
      <c r="Q332" s="32"/>
      <c r="R332" s="32"/>
      <c r="S332" s="32"/>
    </row>
    <row r="333" spans="3:19" x14ac:dyDescent="0.3">
      <c r="C333" s="11"/>
      <c r="D333" s="32"/>
      <c r="E333" s="11"/>
      <c r="J333" s="15"/>
      <c r="K333" s="47"/>
      <c r="L333" s="76"/>
      <c r="M333" s="76"/>
      <c r="N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O333" s="77"/>
      <c r="P333" s="32"/>
      <c r="Q333" s="32"/>
      <c r="R333" s="32"/>
      <c r="S333" s="32"/>
    </row>
    <row r="334" spans="3:19" x14ac:dyDescent="0.3">
      <c r="C334" s="11"/>
      <c r="D334" s="32"/>
      <c r="E334" s="11"/>
      <c r="J334" s="15"/>
      <c r="K334" s="47"/>
      <c r="L334" s="76"/>
      <c r="M334" s="76"/>
      <c r="N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O334" s="77"/>
      <c r="P334" s="32"/>
      <c r="Q334" s="32"/>
      <c r="R334" s="32"/>
      <c r="S334" s="32"/>
    </row>
    <row r="335" spans="3:19" x14ac:dyDescent="0.3">
      <c r="C335" s="11"/>
      <c r="D335" s="32"/>
      <c r="E335" s="11"/>
      <c r="J335" s="15"/>
      <c r="K335" s="47"/>
      <c r="L335" s="76"/>
      <c r="M335" s="76"/>
      <c r="N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O335" s="77"/>
      <c r="P335" s="32"/>
      <c r="Q335" s="32"/>
      <c r="R335" s="32"/>
      <c r="S335" s="32"/>
    </row>
    <row r="336" spans="3:19" x14ac:dyDescent="0.3">
      <c r="C336" s="11"/>
      <c r="D336" s="32"/>
      <c r="E336" s="11"/>
      <c r="J336" s="15"/>
      <c r="K336" s="47"/>
      <c r="L336" s="76"/>
      <c r="M336" s="76"/>
      <c r="N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O336" s="77"/>
      <c r="P336" s="32"/>
      <c r="Q336" s="32"/>
      <c r="R336" s="32"/>
      <c r="S336" s="32"/>
    </row>
    <row r="337" spans="3:19" x14ac:dyDescent="0.3">
      <c r="C337" s="11"/>
      <c r="D337" s="32"/>
      <c r="E337" s="11"/>
      <c r="J337" s="15"/>
      <c r="K337" s="47"/>
      <c r="L337" s="76"/>
      <c r="M337" s="76"/>
      <c r="N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O337" s="77"/>
      <c r="P337" s="32"/>
      <c r="Q337" s="32"/>
      <c r="R337" s="32"/>
      <c r="S337" s="32"/>
    </row>
    <row r="338" spans="3:19" x14ac:dyDescent="0.3">
      <c r="C338" s="11"/>
      <c r="D338" s="32"/>
      <c r="E338" s="11"/>
      <c r="J338" s="15"/>
      <c r="K338" s="47"/>
      <c r="L338" s="76"/>
      <c r="M338" s="76"/>
      <c r="N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O338" s="77"/>
      <c r="P338" s="32"/>
      <c r="Q338" s="32"/>
      <c r="R338" s="32"/>
      <c r="S338" s="32"/>
    </row>
    <row r="339" spans="3:19" x14ac:dyDescent="0.3">
      <c r="C339" s="11"/>
      <c r="D339" s="32"/>
      <c r="E339" s="11"/>
      <c r="J339" s="15"/>
      <c r="K339" s="47"/>
      <c r="L339" s="76"/>
      <c r="M339" s="76"/>
      <c r="N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O339" s="77"/>
      <c r="P339" s="32"/>
      <c r="Q339" s="32"/>
      <c r="R339" s="32"/>
      <c r="S339" s="32"/>
    </row>
    <row r="340" spans="3:19" x14ac:dyDescent="0.3">
      <c r="C340" s="11"/>
      <c r="D340" s="32"/>
      <c r="E340" s="11"/>
      <c r="J340" s="15"/>
      <c r="K340" s="47"/>
      <c r="L340" s="76"/>
      <c r="M340" s="76"/>
      <c r="N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O340" s="77"/>
      <c r="P340" s="32"/>
      <c r="Q340" s="32"/>
      <c r="R340" s="32"/>
      <c r="S340" s="32"/>
    </row>
    <row r="341" spans="3:19" x14ac:dyDescent="0.3">
      <c r="C341" s="11"/>
      <c r="D341" s="32"/>
      <c r="E341" s="11"/>
      <c r="J341" s="15"/>
      <c r="K341" s="47"/>
      <c r="L341" s="76"/>
      <c r="M341" s="76"/>
      <c r="N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O341" s="77"/>
      <c r="P341" s="32"/>
      <c r="Q341" s="32"/>
      <c r="R341" s="32"/>
      <c r="S341" s="32"/>
    </row>
    <row r="342" spans="3:19" x14ac:dyDescent="0.3">
      <c r="C342" s="11"/>
      <c r="D342" s="32"/>
      <c r="E342" s="11"/>
      <c r="J342" s="15"/>
      <c r="K342" s="47"/>
      <c r="L342" s="76"/>
      <c r="M342" s="76"/>
      <c r="N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O342" s="77"/>
      <c r="P342" s="32"/>
      <c r="Q342" s="32"/>
      <c r="R342" s="32"/>
      <c r="S342" s="32"/>
    </row>
    <row r="343" spans="3:19" x14ac:dyDescent="0.3">
      <c r="C343" s="11"/>
      <c r="D343" s="32"/>
      <c r="E343" s="11"/>
      <c r="J343" s="15"/>
      <c r="K343" s="47"/>
      <c r="L343" s="76"/>
      <c r="M343" s="76"/>
      <c r="N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O343" s="77"/>
      <c r="P343" s="32"/>
      <c r="Q343" s="32"/>
      <c r="R343" s="32"/>
      <c r="S343" s="32"/>
    </row>
    <row r="344" spans="3:19" x14ac:dyDescent="0.3">
      <c r="C344" s="11"/>
      <c r="D344" s="32"/>
      <c r="E344" s="11"/>
      <c r="J344" s="15"/>
      <c r="K344" s="47"/>
      <c r="L344" s="76"/>
      <c r="M344" s="76"/>
      <c r="N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O344" s="77"/>
      <c r="P344" s="32"/>
      <c r="Q344" s="32"/>
      <c r="R344" s="32"/>
      <c r="S344" s="32"/>
    </row>
    <row r="345" spans="3:19" x14ac:dyDescent="0.3">
      <c r="C345" s="11"/>
      <c r="D345" s="32"/>
      <c r="E345" s="11"/>
      <c r="J345" s="15"/>
      <c r="K345" s="47"/>
      <c r="L345" s="76"/>
      <c r="M345" s="76"/>
      <c r="N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O345" s="77"/>
      <c r="P345" s="32"/>
      <c r="Q345" s="32"/>
      <c r="R345" s="32"/>
      <c r="S345" s="32"/>
    </row>
    <row r="346" spans="3:19" x14ac:dyDescent="0.3">
      <c r="C346" s="11"/>
      <c r="D346" s="32"/>
      <c r="E346" s="11"/>
      <c r="J346" s="15"/>
      <c r="K346" s="47"/>
      <c r="L346" s="76"/>
      <c r="M346" s="76"/>
      <c r="N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O346" s="77"/>
      <c r="P346" s="32"/>
      <c r="Q346" s="32"/>
      <c r="R346" s="32"/>
      <c r="S346" s="32"/>
    </row>
    <row r="347" spans="3:19" x14ac:dyDescent="0.3">
      <c r="C347" s="11"/>
      <c r="D347" s="32"/>
      <c r="E347" s="11"/>
      <c r="J347" s="15"/>
      <c r="K347" s="47"/>
      <c r="L347" s="76"/>
      <c r="M347" s="76"/>
      <c r="N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O347" s="77"/>
      <c r="P347" s="32"/>
      <c r="Q347" s="32"/>
      <c r="R347" s="32"/>
      <c r="S347" s="32"/>
    </row>
    <row r="348" spans="3:19" x14ac:dyDescent="0.3">
      <c r="C348" s="11"/>
      <c r="D348" s="32"/>
      <c r="E348" s="11"/>
      <c r="J348" s="15"/>
      <c r="K348" s="47"/>
      <c r="L348" s="76"/>
      <c r="M348" s="76"/>
      <c r="N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O348" s="77"/>
      <c r="P348" s="32"/>
      <c r="Q348" s="32"/>
      <c r="R348" s="32"/>
      <c r="S348" s="32"/>
    </row>
    <row r="349" spans="3:19" x14ac:dyDescent="0.3">
      <c r="C349" s="11"/>
      <c r="D349" s="32"/>
      <c r="E349" s="11"/>
      <c r="J349" s="15"/>
      <c r="K349" s="47"/>
      <c r="L349" s="76"/>
      <c r="M349" s="76"/>
      <c r="N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O349" s="77"/>
      <c r="P349" s="32"/>
      <c r="Q349" s="32"/>
      <c r="R349" s="32"/>
      <c r="S349" s="32"/>
    </row>
    <row r="350" spans="3:19" x14ac:dyDescent="0.3">
      <c r="C350" s="11"/>
      <c r="D350" s="32"/>
      <c r="E350" s="11"/>
      <c r="J350" s="15"/>
      <c r="K350" s="47"/>
      <c r="L350" s="76"/>
      <c r="M350" s="76"/>
      <c r="N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O350" s="77"/>
      <c r="P350" s="32"/>
      <c r="Q350" s="32"/>
      <c r="R350" s="32"/>
      <c r="S350" s="32"/>
    </row>
    <row r="351" spans="3:19" x14ac:dyDescent="0.3">
      <c r="C351" s="11"/>
      <c r="D351" s="32"/>
      <c r="E351" s="11"/>
      <c r="J351" s="15"/>
      <c r="K351" s="47"/>
      <c r="L351" s="76"/>
      <c r="M351" s="76"/>
      <c r="N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O351" s="77"/>
      <c r="P351" s="32"/>
      <c r="Q351" s="32"/>
      <c r="R351" s="32"/>
      <c r="S351" s="32"/>
    </row>
    <row r="352" spans="3:19" x14ac:dyDescent="0.3">
      <c r="C352" s="11"/>
      <c r="D352" s="32"/>
      <c r="E352" s="11"/>
      <c r="J352" s="15"/>
      <c r="K352" s="47"/>
      <c r="L352" s="76"/>
      <c r="M352" s="76"/>
      <c r="N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O352" s="77"/>
      <c r="P352" s="32"/>
      <c r="Q352" s="32"/>
      <c r="R352" s="32"/>
      <c r="S352" s="32"/>
    </row>
    <row r="353" spans="3:19" x14ac:dyDescent="0.3">
      <c r="C353" s="11"/>
      <c r="D353" s="32"/>
      <c r="E353" s="11"/>
      <c r="J353" s="15"/>
      <c r="K353" s="47"/>
      <c r="L353" s="76"/>
      <c r="M353" s="76"/>
      <c r="N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O353" s="77"/>
      <c r="P353" s="32"/>
      <c r="Q353" s="32"/>
      <c r="R353" s="32"/>
      <c r="S353" s="32"/>
    </row>
    <row r="354" spans="3:19" x14ac:dyDescent="0.3">
      <c r="C354" s="11"/>
      <c r="D354" s="32"/>
      <c r="E354" s="11"/>
      <c r="J354" s="15"/>
      <c r="K354" s="47"/>
      <c r="L354" s="76"/>
      <c r="M354" s="76"/>
      <c r="N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O354" s="77"/>
      <c r="P354" s="32"/>
      <c r="Q354" s="32"/>
      <c r="R354" s="32"/>
      <c r="S354" s="32"/>
    </row>
    <row r="355" spans="3:19" x14ac:dyDescent="0.3">
      <c r="C355" s="11"/>
      <c r="D355" s="32"/>
      <c r="E355" s="11"/>
      <c r="J355" s="15"/>
      <c r="K355" s="47"/>
      <c r="L355" s="76"/>
      <c r="M355" s="76"/>
      <c r="N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O355" s="77"/>
      <c r="P355" s="32"/>
      <c r="Q355" s="32"/>
      <c r="R355" s="32"/>
      <c r="S355" s="32"/>
    </row>
    <row r="356" spans="3:19" x14ac:dyDescent="0.3">
      <c r="C356" s="11"/>
      <c r="D356" s="32"/>
      <c r="E356" s="11"/>
      <c r="J356" s="15"/>
      <c r="K356" s="47"/>
      <c r="L356" s="76"/>
      <c r="M356" s="76"/>
      <c r="N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O356" s="77"/>
      <c r="P356" s="32"/>
      <c r="Q356" s="32"/>
      <c r="R356" s="32"/>
      <c r="S356" s="32"/>
    </row>
    <row r="357" spans="3:19" x14ac:dyDescent="0.3">
      <c r="C357" s="11"/>
      <c r="D357" s="32"/>
      <c r="E357" s="11"/>
      <c r="J357" s="15"/>
      <c r="K357" s="47"/>
      <c r="L357" s="76"/>
      <c r="M357" s="76"/>
      <c r="N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O357" s="77"/>
      <c r="P357" s="32"/>
      <c r="Q357" s="32"/>
      <c r="R357" s="32"/>
      <c r="S357" s="32"/>
    </row>
    <row r="358" spans="3:19" x14ac:dyDescent="0.3">
      <c r="C358" s="11"/>
      <c r="D358" s="32"/>
      <c r="E358" s="11"/>
      <c r="J358" s="15"/>
      <c r="K358" s="47"/>
      <c r="L358" s="76"/>
      <c r="M358" s="76"/>
      <c r="N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O358" s="77"/>
      <c r="P358" s="32"/>
      <c r="Q358" s="32"/>
      <c r="R358" s="32"/>
      <c r="S358" s="32"/>
    </row>
    <row r="359" spans="3:19" x14ac:dyDescent="0.3">
      <c r="C359" s="11"/>
      <c r="D359" s="32"/>
      <c r="E359" s="11"/>
      <c r="J359" s="15"/>
      <c r="K359" s="47"/>
      <c r="L359" s="76"/>
      <c r="M359" s="76"/>
      <c r="N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O359" s="77"/>
      <c r="P359" s="32"/>
      <c r="Q359" s="32"/>
      <c r="R359" s="32"/>
      <c r="S359" s="32"/>
    </row>
    <row r="360" spans="3:19" x14ac:dyDescent="0.3">
      <c r="C360" s="11"/>
      <c r="D360" s="32"/>
      <c r="E360" s="11"/>
      <c r="J360" s="15"/>
      <c r="K360" s="47"/>
      <c r="L360" s="76"/>
      <c r="M360" s="76"/>
      <c r="N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O360" s="77"/>
      <c r="P360" s="32"/>
      <c r="Q360" s="32"/>
      <c r="R360" s="32"/>
      <c r="S360" s="32"/>
    </row>
    <row r="361" spans="3:19" x14ac:dyDescent="0.3">
      <c r="C361" s="11"/>
      <c r="D361" s="32"/>
      <c r="E361" s="11"/>
      <c r="J361" s="15"/>
      <c r="K361" s="47"/>
      <c r="L361" s="76"/>
      <c r="M361" s="76"/>
      <c r="N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O361" s="77"/>
      <c r="P361" s="32"/>
      <c r="Q361" s="32"/>
      <c r="R361" s="32"/>
      <c r="S361" s="32"/>
    </row>
    <row r="362" spans="3:19" x14ac:dyDescent="0.3">
      <c r="C362" s="11"/>
      <c r="D362" s="32"/>
      <c r="E362" s="11"/>
      <c r="J362" s="15"/>
      <c r="K362" s="47"/>
      <c r="L362" s="76"/>
      <c r="M362" s="76"/>
      <c r="N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O362" s="77"/>
      <c r="P362" s="32"/>
      <c r="Q362" s="32"/>
      <c r="R362" s="32"/>
      <c r="S362" s="32"/>
    </row>
    <row r="363" spans="3:19" x14ac:dyDescent="0.3">
      <c r="C363" s="11"/>
      <c r="D363" s="32"/>
      <c r="E363" s="11"/>
      <c r="J363" s="15"/>
      <c r="K363" s="47"/>
      <c r="L363" s="76"/>
      <c r="M363" s="76"/>
      <c r="N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O363" s="77"/>
      <c r="P363" s="32"/>
      <c r="Q363" s="32"/>
      <c r="R363" s="32"/>
      <c r="S363" s="32"/>
    </row>
    <row r="364" spans="3:19" x14ac:dyDescent="0.3">
      <c r="C364" s="11"/>
      <c r="D364" s="32"/>
      <c r="E364" s="11"/>
      <c r="J364" s="15"/>
      <c r="K364" s="47"/>
      <c r="L364" s="76"/>
      <c r="M364" s="76"/>
      <c r="N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O364" s="77"/>
      <c r="P364" s="32"/>
      <c r="Q364" s="32"/>
      <c r="R364" s="32"/>
      <c r="S364" s="32"/>
    </row>
    <row r="365" spans="3:19" x14ac:dyDescent="0.3">
      <c r="C365" s="11"/>
      <c r="D365" s="32"/>
      <c r="E365" s="11"/>
      <c r="J365" s="15"/>
      <c r="K365" s="47"/>
      <c r="L365" s="76"/>
      <c r="M365" s="76"/>
      <c r="N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O365" s="77"/>
      <c r="P365" s="32"/>
      <c r="Q365" s="32"/>
      <c r="R365" s="32"/>
      <c r="S365" s="32"/>
    </row>
    <row r="366" spans="3:19" x14ac:dyDescent="0.3">
      <c r="C366" s="11"/>
      <c r="D366" s="32"/>
      <c r="E366" s="11"/>
      <c r="J366" s="15"/>
      <c r="K366" s="47"/>
      <c r="L366" s="76"/>
      <c r="M366" s="76"/>
      <c r="N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O366" s="77"/>
      <c r="P366" s="32"/>
      <c r="Q366" s="32"/>
      <c r="R366" s="32"/>
      <c r="S366" s="32"/>
    </row>
    <row r="367" spans="3:19" x14ac:dyDescent="0.3">
      <c r="C367" s="11"/>
      <c r="D367" s="32"/>
      <c r="E367" s="11"/>
      <c r="J367" s="15"/>
      <c r="K367" s="47"/>
      <c r="L367" s="76"/>
      <c r="M367" s="76"/>
      <c r="N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O367" s="77"/>
      <c r="P367" s="32"/>
      <c r="Q367" s="32"/>
      <c r="R367" s="32"/>
      <c r="S367" s="32"/>
    </row>
    <row r="368" spans="3:19" x14ac:dyDescent="0.3">
      <c r="C368" s="11"/>
      <c r="D368" s="32"/>
      <c r="E368" s="11"/>
      <c r="J368" s="15"/>
      <c r="K368" s="47"/>
      <c r="L368" s="76"/>
      <c r="M368" s="76"/>
      <c r="N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O368" s="77"/>
      <c r="P368" s="32"/>
      <c r="Q368" s="32"/>
      <c r="R368" s="32"/>
      <c r="S368" s="32"/>
    </row>
    <row r="369" spans="3:19" x14ac:dyDescent="0.3">
      <c r="C369" s="11"/>
      <c r="D369" s="32"/>
      <c r="E369" s="11"/>
      <c r="J369" s="15"/>
      <c r="K369" s="47"/>
      <c r="L369" s="76"/>
      <c r="M369" s="76"/>
      <c r="N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O369" s="77"/>
      <c r="P369" s="32"/>
      <c r="Q369" s="32"/>
      <c r="R369" s="32"/>
      <c r="S369" s="32"/>
    </row>
    <row r="370" spans="3:19" x14ac:dyDescent="0.3">
      <c r="C370" s="11"/>
      <c r="D370" s="32"/>
      <c r="E370" s="11"/>
      <c r="J370" s="15"/>
      <c r="K370" s="47"/>
      <c r="L370" s="76"/>
      <c r="M370" s="76"/>
      <c r="N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O370" s="77"/>
      <c r="P370" s="32"/>
      <c r="Q370" s="32"/>
      <c r="R370" s="32"/>
      <c r="S370" s="32"/>
    </row>
    <row r="371" spans="3:19" x14ac:dyDescent="0.3">
      <c r="C371" s="11"/>
      <c r="D371" s="32"/>
      <c r="E371" s="11"/>
      <c r="J371" s="15"/>
      <c r="K371" s="47"/>
      <c r="L371" s="76"/>
      <c r="M371" s="76"/>
      <c r="N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O371" s="77"/>
      <c r="P371" s="32"/>
      <c r="Q371" s="32"/>
      <c r="R371" s="32"/>
      <c r="S371" s="32"/>
    </row>
    <row r="372" spans="3:19" x14ac:dyDescent="0.3">
      <c r="C372" s="11"/>
      <c r="D372" s="32"/>
      <c r="E372" s="11"/>
      <c r="J372" s="15"/>
      <c r="K372" s="47"/>
      <c r="L372" s="76"/>
      <c r="M372" s="76"/>
      <c r="N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O372" s="77"/>
      <c r="P372" s="32"/>
      <c r="Q372" s="32"/>
      <c r="R372" s="32"/>
      <c r="S372" s="32"/>
    </row>
    <row r="373" spans="3:19" x14ac:dyDescent="0.3">
      <c r="C373" s="11"/>
      <c r="D373" s="32"/>
      <c r="E373" s="11"/>
      <c r="J373" s="15"/>
      <c r="K373" s="47"/>
      <c r="L373" s="76"/>
      <c r="M373" s="76"/>
      <c r="N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O373" s="77"/>
      <c r="P373" s="32"/>
      <c r="Q373" s="32"/>
      <c r="R373" s="32"/>
      <c r="S373" s="32"/>
    </row>
    <row r="374" spans="3:19" x14ac:dyDescent="0.3">
      <c r="C374" s="11"/>
      <c r="D374" s="32"/>
      <c r="E374" s="11"/>
      <c r="J374" s="15"/>
      <c r="K374" s="47"/>
      <c r="L374" s="76"/>
      <c r="M374" s="76"/>
      <c r="N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O374" s="77"/>
      <c r="P374" s="32"/>
      <c r="Q374" s="32"/>
      <c r="R374" s="32"/>
      <c r="S374" s="32"/>
    </row>
    <row r="375" spans="3:19" x14ac:dyDescent="0.3">
      <c r="C375" s="11"/>
      <c r="D375" s="32"/>
      <c r="E375" s="11"/>
      <c r="J375" s="15"/>
      <c r="K375" s="47"/>
      <c r="L375" s="76"/>
      <c r="M375" s="76"/>
      <c r="N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O375" s="77"/>
      <c r="P375" s="32"/>
      <c r="Q375" s="32"/>
      <c r="R375" s="32"/>
      <c r="S375" s="32"/>
    </row>
    <row r="376" spans="3:19" x14ac:dyDescent="0.3">
      <c r="C376" s="11"/>
      <c r="D376" s="32"/>
      <c r="E376" s="11"/>
      <c r="J376" s="15"/>
      <c r="K376" s="47"/>
      <c r="L376" s="76"/>
      <c r="M376" s="76"/>
      <c r="N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O376" s="77"/>
      <c r="P376" s="32"/>
      <c r="Q376" s="32"/>
      <c r="R376" s="32"/>
      <c r="S376" s="32"/>
    </row>
    <row r="377" spans="3:19" x14ac:dyDescent="0.3">
      <c r="C377" s="11"/>
      <c r="D377" s="32"/>
      <c r="E377" s="11"/>
      <c r="J377" s="15"/>
      <c r="K377" s="47"/>
      <c r="L377" s="76"/>
      <c r="M377" s="76"/>
      <c r="N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O377" s="77"/>
      <c r="P377" s="32"/>
      <c r="Q377" s="32"/>
      <c r="R377" s="32"/>
      <c r="S377" s="32"/>
    </row>
    <row r="378" spans="3:19" x14ac:dyDescent="0.3">
      <c r="C378" s="11"/>
      <c r="D378" s="32"/>
      <c r="E378" s="11"/>
      <c r="J378" s="15"/>
      <c r="K378" s="47"/>
      <c r="L378" s="76"/>
      <c r="M378" s="76"/>
      <c r="N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O378" s="77"/>
      <c r="P378" s="32"/>
      <c r="Q378" s="32"/>
      <c r="R378" s="32"/>
      <c r="S378" s="32"/>
    </row>
    <row r="379" spans="3:19" x14ac:dyDescent="0.3">
      <c r="C379" s="11"/>
      <c r="D379" s="32"/>
      <c r="E379" s="11"/>
      <c r="J379" s="15"/>
      <c r="K379" s="47"/>
      <c r="L379" s="76"/>
      <c r="M379" s="76"/>
      <c r="N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O379" s="77"/>
      <c r="P379" s="32"/>
      <c r="Q379" s="32"/>
      <c r="R379" s="32"/>
      <c r="S379" s="32"/>
    </row>
    <row r="380" spans="3:19" x14ac:dyDescent="0.3">
      <c r="C380" s="11"/>
      <c r="D380" s="32"/>
      <c r="E380" s="11"/>
      <c r="J380" s="15"/>
      <c r="K380" s="47"/>
      <c r="L380" s="76"/>
      <c r="M380" s="76"/>
      <c r="N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O380" s="77"/>
      <c r="P380" s="32"/>
      <c r="Q380" s="32"/>
      <c r="R380" s="32"/>
      <c r="S380" s="32"/>
    </row>
    <row r="381" spans="3:19" x14ac:dyDescent="0.3">
      <c r="C381" s="11"/>
      <c r="D381" s="32"/>
      <c r="E381" s="11"/>
      <c r="J381" s="15"/>
      <c r="K381" s="47"/>
      <c r="L381" s="76"/>
      <c r="M381" s="76"/>
      <c r="N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O381" s="77"/>
      <c r="P381" s="32"/>
      <c r="Q381" s="32"/>
      <c r="R381" s="32"/>
      <c r="S381" s="32"/>
    </row>
    <row r="382" spans="3:19" x14ac:dyDescent="0.3">
      <c r="C382" s="11"/>
      <c r="D382" s="32"/>
      <c r="E382" s="11"/>
      <c r="J382" s="15"/>
      <c r="K382" s="47"/>
      <c r="L382" s="76"/>
      <c r="M382" s="76"/>
      <c r="N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O382" s="77"/>
      <c r="P382" s="32"/>
      <c r="Q382" s="32"/>
      <c r="R382" s="32"/>
      <c r="S382" s="32"/>
    </row>
    <row r="383" spans="3:19" x14ac:dyDescent="0.3">
      <c r="C383" s="11"/>
      <c r="D383" s="32"/>
      <c r="E383" s="11"/>
      <c r="J383" s="15"/>
      <c r="K383" s="47"/>
      <c r="L383" s="76"/>
      <c r="M383" s="76"/>
      <c r="N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O383" s="77"/>
      <c r="P383" s="32"/>
      <c r="Q383" s="32"/>
      <c r="R383" s="32"/>
      <c r="S383" s="32"/>
    </row>
    <row r="384" spans="3:19" x14ac:dyDescent="0.3">
      <c r="C384" s="11"/>
      <c r="D384" s="32"/>
      <c r="E384" s="11"/>
      <c r="J384" s="15"/>
      <c r="K384" s="47"/>
      <c r="L384" s="76"/>
      <c r="M384" s="76"/>
      <c r="N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O384" s="77"/>
      <c r="P384" s="32"/>
      <c r="Q384" s="32"/>
      <c r="R384" s="32"/>
      <c r="S384" s="32"/>
    </row>
    <row r="385" spans="3:19" x14ac:dyDescent="0.3">
      <c r="C385" s="11"/>
      <c r="D385" s="32"/>
      <c r="E385" s="11"/>
      <c r="J385" s="15"/>
      <c r="K385" s="47"/>
      <c r="L385" s="76"/>
      <c r="M385" s="76"/>
      <c r="N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O385" s="77"/>
      <c r="P385" s="32"/>
      <c r="Q385" s="32"/>
      <c r="R385" s="32"/>
      <c r="S385" s="32"/>
    </row>
    <row r="386" spans="3:19" x14ac:dyDescent="0.3">
      <c r="C386" s="11"/>
      <c r="D386" s="32"/>
      <c r="E386" s="11"/>
      <c r="J386" s="15"/>
      <c r="K386" s="47"/>
      <c r="L386" s="76"/>
      <c r="M386" s="76"/>
      <c r="N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O386" s="77"/>
      <c r="P386" s="32"/>
      <c r="Q386" s="32"/>
      <c r="R386" s="32"/>
      <c r="S386" s="32"/>
    </row>
    <row r="387" spans="3:19" x14ac:dyDescent="0.3">
      <c r="C387" s="11"/>
      <c r="D387" s="32"/>
      <c r="E387" s="11"/>
      <c r="J387" s="15"/>
      <c r="K387" s="47"/>
      <c r="L387" s="76"/>
      <c r="M387" s="76"/>
      <c r="N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O387" s="77"/>
      <c r="P387" s="32"/>
      <c r="Q387" s="32"/>
      <c r="R387" s="32"/>
      <c r="S387" s="32"/>
    </row>
    <row r="388" spans="3:19" x14ac:dyDescent="0.3">
      <c r="C388" s="11"/>
      <c r="D388" s="32"/>
      <c r="E388" s="11"/>
      <c r="J388" s="15"/>
      <c r="K388" s="47"/>
      <c r="L388" s="76"/>
      <c r="M388" s="76"/>
      <c r="N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O388" s="77"/>
      <c r="P388" s="32"/>
      <c r="Q388" s="32"/>
      <c r="R388" s="32"/>
      <c r="S388" s="32"/>
    </row>
    <row r="389" spans="3:19" x14ac:dyDescent="0.3">
      <c r="C389" s="11"/>
      <c r="D389" s="32"/>
      <c r="E389" s="11"/>
      <c r="J389" s="15"/>
      <c r="K389" s="47"/>
      <c r="L389" s="76"/>
      <c r="M389" s="76"/>
      <c r="N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O389" s="77"/>
      <c r="P389" s="32"/>
      <c r="Q389" s="32"/>
      <c r="R389" s="32"/>
      <c r="S389" s="32"/>
    </row>
    <row r="390" spans="3:19" x14ac:dyDescent="0.3">
      <c r="C390" s="11"/>
      <c r="D390" s="32"/>
      <c r="E390" s="11"/>
      <c r="J390" s="15"/>
      <c r="K390" s="47"/>
      <c r="L390" s="76"/>
      <c r="M390" s="76"/>
      <c r="N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O390" s="77"/>
      <c r="P390" s="32"/>
      <c r="Q390" s="32"/>
      <c r="R390" s="32"/>
      <c r="S390" s="32"/>
    </row>
    <row r="391" spans="3:19" x14ac:dyDescent="0.3">
      <c r="C391" s="11"/>
      <c r="D391" s="32"/>
      <c r="E391" s="11"/>
      <c r="J391" s="15"/>
      <c r="K391" s="47"/>
      <c r="L391" s="76"/>
      <c r="M391" s="76"/>
      <c r="N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O391" s="77"/>
      <c r="P391" s="32"/>
      <c r="Q391" s="32"/>
      <c r="R391" s="32"/>
      <c r="S391" s="32"/>
    </row>
    <row r="392" spans="3:19" x14ac:dyDescent="0.3">
      <c r="C392" s="11"/>
      <c r="D392" s="32"/>
      <c r="E392" s="11"/>
      <c r="J392" s="15"/>
      <c r="K392" s="47"/>
      <c r="L392" s="76"/>
      <c r="M392" s="76"/>
      <c r="N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O392" s="77"/>
      <c r="P392" s="32"/>
      <c r="Q392" s="32"/>
      <c r="R392" s="32"/>
      <c r="S392" s="32"/>
    </row>
    <row r="393" spans="3:19" x14ac:dyDescent="0.3">
      <c r="C393" s="11"/>
      <c r="D393" s="32"/>
      <c r="E393" s="11"/>
      <c r="J393" s="15"/>
      <c r="K393" s="47"/>
      <c r="L393" s="76"/>
      <c r="M393" s="76"/>
      <c r="N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O393" s="77"/>
      <c r="P393" s="32"/>
      <c r="Q393" s="32"/>
      <c r="R393" s="32"/>
      <c r="S393" s="32"/>
    </row>
    <row r="394" spans="3:19" x14ac:dyDescent="0.3">
      <c r="C394" s="11"/>
      <c r="D394" s="32"/>
      <c r="E394" s="11"/>
      <c r="J394" s="15"/>
      <c r="K394" s="47"/>
      <c r="L394" s="76"/>
      <c r="M394" s="76"/>
      <c r="N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O394" s="77"/>
      <c r="P394" s="32"/>
      <c r="Q394" s="32"/>
      <c r="R394" s="32"/>
      <c r="S394" s="32"/>
    </row>
    <row r="395" spans="3:19" x14ac:dyDescent="0.3">
      <c r="C395" s="11"/>
      <c r="D395" s="32"/>
      <c r="E395" s="11"/>
      <c r="J395" s="15"/>
      <c r="K395" s="47"/>
      <c r="L395" s="76"/>
      <c r="M395" s="76"/>
      <c r="N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O395" s="77"/>
      <c r="P395" s="32"/>
      <c r="Q395" s="32"/>
      <c r="R395" s="32"/>
      <c r="S395" s="32"/>
    </row>
    <row r="396" spans="3:19" x14ac:dyDescent="0.3">
      <c r="C396" s="11"/>
      <c r="D396" s="32"/>
      <c r="E396" s="11"/>
      <c r="J396" s="15"/>
      <c r="K396" s="47"/>
      <c r="L396" s="76"/>
      <c r="M396" s="76"/>
      <c r="N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O396" s="77"/>
      <c r="P396" s="32"/>
      <c r="Q396" s="32"/>
      <c r="R396" s="32"/>
      <c r="S396" s="32"/>
    </row>
    <row r="397" spans="3:19" x14ac:dyDescent="0.3">
      <c r="C397" s="11"/>
      <c r="D397" s="32"/>
      <c r="E397" s="11"/>
      <c r="J397" s="15"/>
      <c r="K397" s="47"/>
      <c r="L397" s="76"/>
      <c r="M397" s="76"/>
      <c r="N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O397" s="77"/>
      <c r="P397" s="32"/>
      <c r="Q397" s="32"/>
      <c r="R397" s="32"/>
      <c r="S397" s="32"/>
    </row>
    <row r="398" spans="3:19" x14ac:dyDescent="0.3">
      <c r="C398" s="11"/>
      <c r="D398" s="32"/>
      <c r="E398" s="11"/>
      <c r="J398" s="15"/>
      <c r="K398" s="47"/>
      <c r="L398" s="76"/>
      <c r="M398" s="76"/>
      <c r="N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O398" s="77"/>
      <c r="P398" s="32"/>
      <c r="Q398" s="32"/>
      <c r="R398" s="32"/>
      <c r="S398" s="32"/>
    </row>
    <row r="399" spans="3:19" x14ac:dyDescent="0.3">
      <c r="C399" s="11"/>
      <c r="D399" s="32"/>
      <c r="E399" s="11"/>
      <c r="J399" s="15"/>
      <c r="K399" s="47"/>
      <c r="L399" s="76"/>
      <c r="M399" s="76"/>
      <c r="N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O399" s="77"/>
      <c r="P399" s="32"/>
      <c r="Q399" s="32"/>
      <c r="R399" s="32"/>
      <c r="S399" s="32"/>
    </row>
    <row r="400" spans="3:19" x14ac:dyDescent="0.3">
      <c r="C400" s="11"/>
      <c r="D400" s="32"/>
      <c r="E400" s="11"/>
      <c r="J400" s="15"/>
      <c r="K400" s="47"/>
      <c r="L400" s="76"/>
      <c r="M400" s="76"/>
      <c r="N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O400" s="77"/>
      <c r="P400" s="32"/>
      <c r="Q400" s="32"/>
      <c r="R400" s="32"/>
      <c r="S400" s="32"/>
    </row>
    <row r="401" spans="3:19" x14ac:dyDescent="0.3">
      <c r="C401" s="11"/>
      <c r="D401" s="32"/>
      <c r="E401" s="11"/>
      <c r="J401" s="15"/>
      <c r="K401" s="47"/>
      <c r="L401" s="76"/>
      <c r="M401" s="76"/>
      <c r="N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O401" s="77"/>
      <c r="P401" s="32"/>
      <c r="Q401" s="32"/>
      <c r="R401" s="32"/>
      <c r="S401" s="32"/>
    </row>
    <row r="402" spans="3:19" x14ac:dyDescent="0.3">
      <c r="C402" s="11"/>
      <c r="D402" s="32"/>
      <c r="E402" s="11"/>
      <c r="J402" s="15"/>
      <c r="K402" s="47"/>
      <c r="L402" s="76"/>
      <c r="M402" s="76"/>
      <c r="N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O402" s="77"/>
      <c r="P402" s="32"/>
      <c r="Q402" s="32"/>
      <c r="R402" s="32"/>
      <c r="S402" s="32"/>
    </row>
    <row r="403" spans="3:19" x14ac:dyDescent="0.3">
      <c r="C403" s="11"/>
      <c r="D403" s="32"/>
      <c r="E403" s="11"/>
      <c r="J403" s="15"/>
      <c r="K403" s="47"/>
      <c r="L403" s="76"/>
      <c r="M403" s="76"/>
      <c r="N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O403" s="77"/>
      <c r="P403" s="32"/>
      <c r="Q403" s="32"/>
      <c r="R403" s="32"/>
      <c r="S403" s="32"/>
    </row>
    <row r="404" spans="3:19" x14ac:dyDescent="0.3">
      <c r="C404" s="11"/>
      <c r="D404" s="32"/>
      <c r="E404" s="11"/>
      <c r="J404" s="15"/>
      <c r="K404" s="47"/>
      <c r="L404" s="76"/>
      <c r="M404" s="76"/>
      <c r="N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O404" s="77"/>
      <c r="P404" s="32"/>
      <c r="Q404" s="32"/>
      <c r="R404" s="32"/>
      <c r="S404" s="32"/>
    </row>
    <row r="405" spans="3:19" x14ac:dyDescent="0.3">
      <c r="C405" s="11"/>
      <c r="D405" s="32"/>
      <c r="E405" s="11"/>
      <c r="J405" s="15"/>
      <c r="K405" s="47"/>
      <c r="L405" s="76"/>
      <c r="M405" s="76"/>
      <c r="N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O405" s="77"/>
      <c r="P405" s="32"/>
      <c r="Q405" s="32"/>
      <c r="R405" s="32"/>
      <c r="S405" s="32"/>
    </row>
    <row r="406" spans="3:19" x14ac:dyDescent="0.3">
      <c r="C406" s="11"/>
      <c r="D406" s="32"/>
      <c r="E406" s="11"/>
      <c r="J406" s="15"/>
      <c r="K406" s="47"/>
      <c r="L406" s="76"/>
      <c r="M406" s="76"/>
      <c r="N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O406" s="77"/>
      <c r="P406" s="32"/>
      <c r="Q406" s="32"/>
      <c r="R406" s="32"/>
      <c r="S406" s="32"/>
    </row>
    <row r="407" spans="3:19" x14ac:dyDescent="0.3">
      <c r="C407" s="11"/>
      <c r="D407" s="32"/>
      <c r="E407" s="11"/>
      <c r="J407" s="15"/>
      <c r="K407" s="47"/>
      <c r="L407" s="76"/>
      <c r="M407" s="76"/>
      <c r="N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O407" s="77"/>
      <c r="P407" s="32"/>
      <c r="Q407" s="32"/>
      <c r="R407" s="32"/>
      <c r="S407" s="32"/>
    </row>
    <row r="408" spans="3:19" x14ac:dyDescent="0.3">
      <c r="C408" s="11"/>
      <c r="D408" s="32"/>
      <c r="E408" s="11"/>
      <c r="J408" s="15"/>
      <c r="K408" s="47"/>
      <c r="L408" s="76"/>
      <c r="M408" s="76"/>
      <c r="N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O408" s="77"/>
      <c r="P408" s="32"/>
      <c r="Q408" s="32"/>
      <c r="R408" s="32"/>
      <c r="S408" s="32"/>
    </row>
    <row r="409" spans="3:19" x14ac:dyDescent="0.3">
      <c r="C409" s="11"/>
      <c r="D409" s="32"/>
      <c r="E409" s="11"/>
      <c r="J409" s="15"/>
      <c r="K409" s="47"/>
      <c r="L409" s="76"/>
      <c r="M409" s="76"/>
      <c r="N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O409" s="77"/>
      <c r="P409" s="32"/>
      <c r="Q409" s="32"/>
      <c r="R409" s="32"/>
      <c r="S409" s="32"/>
    </row>
    <row r="410" spans="3:19" x14ac:dyDescent="0.3">
      <c r="C410" s="11"/>
      <c r="D410" s="32"/>
      <c r="E410" s="11"/>
      <c r="J410" s="15"/>
      <c r="K410" s="47"/>
      <c r="L410" s="76"/>
      <c r="M410" s="76"/>
      <c r="N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O410" s="77"/>
      <c r="P410" s="32"/>
      <c r="Q410" s="32"/>
      <c r="R410" s="32"/>
      <c r="S410" s="32"/>
    </row>
    <row r="411" spans="3:19" x14ac:dyDescent="0.3">
      <c r="C411" s="11"/>
      <c r="D411" s="32"/>
      <c r="E411" s="11"/>
      <c r="J411" s="15"/>
      <c r="K411" s="47"/>
      <c r="L411" s="76"/>
      <c r="M411" s="76"/>
      <c r="N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O411" s="77"/>
      <c r="P411" s="32"/>
      <c r="Q411" s="32"/>
      <c r="R411" s="32"/>
      <c r="S411" s="32"/>
    </row>
    <row r="412" spans="3:19" x14ac:dyDescent="0.3">
      <c r="C412" s="11"/>
      <c r="D412" s="32"/>
      <c r="E412" s="11"/>
      <c r="J412" s="15"/>
      <c r="K412" s="47"/>
      <c r="L412" s="76"/>
      <c r="M412" s="76"/>
      <c r="N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O412" s="77"/>
      <c r="P412" s="32"/>
      <c r="Q412" s="32"/>
      <c r="R412" s="32"/>
      <c r="S412" s="32"/>
    </row>
    <row r="413" spans="3:19" x14ac:dyDescent="0.3">
      <c r="C413" s="11"/>
      <c r="D413" s="32"/>
      <c r="E413" s="11"/>
      <c r="J413" s="15"/>
      <c r="K413" s="47"/>
      <c r="L413" s="76"/>
      <c r="M413" s="76"/>
      <c r="N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O413" s="77"/>
      <c r="P413" s="32"/>
      <c r="Q413" s="32"/>
      <c r="R413" s="32"/>
      <c r="S413" s="32"/>
    </row>
    <row r="414" spans="3:19" x14ac:dyDescent="0.3">
      <c r="C414" s="11"/>
      <c r="D414" s="32"/>
      <c r="E414" s="11"/>
      <c r="J414" s="15"/>
      <c r="K414" s="47"/>
      <c r="L414" s="76"/>
      <c r="M414" s="76"/>
      <c r="N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O414" s="77"/>
      <c r="P414" s="32"/>
      <c r="Q414" s="32"/>
      <c r="R414" s="32"/>
      <c r="S414" s="32"/>
    </row>
    <row r="415" spans="3:19" x14ac:dyDescent="0.3">
      <c r="C415" s="11"/>
      <c r="D415" s="32"/>
      <c r="E415" s="11"/>
      <c r="J415" s="15"/>
      <c r="K415" s="47"/>
      <c r="L415" s="76"/>
      <c r="M415" s="76"/>
      <c r="N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O415" s="77"/>
      <c r="P415" s="32"/>
      <c r="Q415" s="32"/>
      <c r="R415" s="32"/>
      <c r="S415" s="32"/>
    </row>
    <row r="416" spans="3:19" x14ac:dyDescent="0.3">
      <c r="C416" s="11"/>
      <c r="D416" s="32"/>
      <c r="E416" s="11"/>
      <c r="J416" s="15"/>
      <c r="K416" s="47"/>
      <c r="L416" s="76"/>
      <c r="M416" s="76"/>
      <c r="N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O416" s="77"/>
      <c r="P416" s="32"/>
      <c r="Q416" s="32"/>
      <c r="R416" s="32"/>
      <c r="S416" s="32"/>
    </row>
    <row r="417" spans="3:19" x14ac:dyDescent="0.3">
      <c r="C417" s="11"/>
      <c r="D417" s="32"/>
      <c r="E417" s="11"/>
      <c r="J417" s="15"/>
      <c r="K417" s="47"/>
      <c r="L417" s="76"/>
      <c r="M417" s="76"/>
      <c r="N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O417" s="77"/>
      <c r="P417" s="32"/>
      <c r="Q417" s="32"/>
      <c r="R417" s="32"/>
      <c r="S417" s="32"/>
    </row>
    <row r="418" spans="3:19" x14ac:dyDescent="0.3">
      <c r="C418" s="11"/>
      <c r="D418" s="32"/>
      <c r="E418" s="11"/>
      <c r="J418" s="15"/>
      <c r="K418" s="47"/>
      <c r="L418" s="76"/>
      <c r="M418" s="76"/>
      <c r="N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O418" s="77"/>
      <c r="P418" s="32"/>
      <c r="Q418" s="32"/>
      <c r="R418" s="32"/>
      <c r="S418" s="32"/>
    </row>
    <row r="419" spans="3:19" x14ac:dyDescent="0.3">
      <c r="C419" s="11"/>
      <c r="D419" s="32"/>
      <c r="E419" s="11"/>
      <c r="J419" s="15"/>
      <c r="K419" s="47"/>
      <c r="L419" s="76"/>
      <c r="M419" s="76"/>
      <c r="N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O419" s="77"/>
      <c r="P419" s="32"/>
      <c r="Q419" s="32"/>
      <c r="R419" s="32"/>
      <c r="S419" s="32"/>
    </row>
    <row r="420" spans="3:19" x14ac:dyDescent="0.3">
      <c r="C420" s="11"/>
      <c r="D420" s="32"/>
      <c r="E420" s="11"/>
      <c r="J420" s="15"/>
      <c r="K420" s="47"/>
      <c r="L420" s="76"/>
      <c r="M420" s="76"/>
      <c r="N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O420" s="77"/>
      <c r="P420" s="32"/>
      <c r="Q420" s="32"/>
      <c r="R420" s="32"/>
      <c r="S420" s="32"/>
    </row>
    <row r="421" spans="3:19" x14ac:dyDescent="0.3">
      <c r="C421" s="11"/>
      <c r="D421" s="32"/>
      <c r="E421" s="11"/>
      <c r="J421" s="15"/>
      <c r="K421" s="47"/>
      <c r="L421" s="76"/>
      <c r="M421" s="76"/>
      <c r="N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O421" s="77"/>
      <c r="P421" s="32"/>
      <c r="Q421" s="32"/>
      <c r="R421" s="32"/>
      <c r="S421" s="32"/>
    </row>
    <row r="422" spans="3:19" x14ac:dyDescent="0.3">
      <c r="C422" s="11"/>
      <c r="D422" s="32"/>
      <c r="E422" s="11"/>
      <c r="J422" s="15"/>
      <c r="K422" s="47"/>
      <c r="L422" s="76"/>
      <c r="M422" s="76"/>
      <c r="N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O422" s="77"/>
      <c r="P422" s="32"/>
      <c r="Q422" s="32"/>
      <c r="R422" s="32"/>
      <c r="S422" s="32"/>
    </row>
    <row r="423" spans="3:19" x14ac:dyDescent="0.3">
      <c r="C423" s="11"/>
      <c r="D423" s="32"/>
      <c r="E423" s="11"/>
      <c r="J423" s="15"/>
      <c r="K423" s="47"/>
      <c r="L423" s="76"/>
      <c r="M423" s="76"/>
      <c r="N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O423" s="77"/>
      <c r="P423" s="32"/>
      <c r="Q423" s="32"/>
      <c r="R423" s="32"/>
      <c r="S423" s="32"/>
    </row>
    <row r="424" spans="3:19" x14ac:dyDescent="0.3">
      <c r="C424" s="11"/>
      <c r="D424" s="32"/>
      <c r="E424" s="11"/>
      <c r="J424" s="15"/>
      <c r="K424" s="47"/>
      <c r="L424" s="76"/>
      <c r="M424" s="76"/>
      <c r="N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O424" s="77"/>
      <c r="P424" s="32"/>
      <c r="Q424" s="32"/>
      <c r="R424" s="32"/>
      <c r="S424" s="32"/>
    </row>
    <row r="425" spans="3:19" x14ac:dyDescent="0.3">
      <c r="C425" s="11"/>
      <c r="D425" s="32"/>
      <c r="E425" s="11"/>
      <c r="J425" s="15"/>
      <c r="K425" s="47"/>
      <c r="L425" s="76"/>
      <c r="M425" s="76"/>
      <c r="N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O425" s="77"/>
      <c r="P425" s="32"/>
      <c r="Q425" s="32"/>
      <c r="R425" s="32"/>
      <c r="S425" s="32"/>
    </row>
    <row r="426" spans="3:19" x14ac:dyDescent="0.3">
      <c r="C426" s="11"/>
      <c r="D426" s="32"/>
      <c r="E426" s="11"/>
      <c r="J426" s="15"/>
      <c r="K426" s="47"/>
      <c r="L426" s="76"/>
      <c r="M426" s="76"/>
      <c r="N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O426" s="77"/>
      <c r="P426" s="32"/>
      <c r="Q426" s="32"/>
      <c r="R426" s="32"/>
      <c r="S426" s="32"/>
    </row>
    <row r="427" spans="3:19" x14ac:dyDescent="0.3">
      <c r="C427" s="11"/>
      <c r="D427" s="32"/>
      <c r="E427" s="11"/>
      <c r="J427" s="15"/>
      <c r="K427" s="47"/>
      <c r="L427" s="76"/>
      <c r="M427" s="76"/>
      <c r="N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O427" s="77"/>
      <c r="P427" s="32"/>
      <c r="Q427" s="32"/>
      <c r="R427" s="32"/>
      <c r="S427" s="32"/>
    </row>
    <row r="428" spans="3:19" x14ac:dyDescent="0.3">
      <c r="C428" s="11"/>
      <c r="D428" s="32"/>
      <c r="E428" s="11"/>
      <c r="J428" s="15"/>
      <c r="K428" s="47"/>
      <c r="L428" s="76"/>
      <c r="M428" s="76"/>
      <c r="N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O428" s="77"/>
      <c r="P428" s="32"/>
      <c r="Q428" s="32"/>
      <c r="R428" s="32"/>
      <c r="S428" s="32"/>
    </row>
    <row r="429" spans="3:19" x14ac:dyDescent="0.3">
      <c r="C429" s="11"/>
      <c r="D429" s="32"/>
      <c r="E429" s="11"/>
      <c r="J429" s="15"/>
      <c r="K429" s="47"/>
      <c r="L429" s="76"/>
      <c r="M429" s="76"/>
      <c r="N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O429" s="77"/>
      <c r="P429" s="32"/>
      <c r="Q429" s="32"/>
      <c r="R429" s="32"/>
      <c r="S429" s="32"/>
    </row>
    <row r="430" spans="3:19" x14ac:dyDescent="0.3">
      <c r="C430" s="11"/>
      <c r="D430" s="32"/>
      <c r="E430" s="11"/>
      <c r="J430" s="15"/>
      <c r="K430" s="47"/>
      <c r="L430" s="76"/>
      <c r="M430" s="76"/>
      <c r="N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O430" s="77"/>
      <c r="P430" s="32"/>
      <c r="Q430" s="32"/>
      <c r="R430" s="32"/>
      <c r="S430" s="32"/>
    </row>
    <row r="431" spans="3:19" x14ac:dyDescent="0.3">
      <c r="C431" s="11"/>
      <c r="D431" s="32"/>
      <c r="E431" s="11"/>
      <c r="J431" s="15"/>
      <c r="K431" s="47"/>
      <c r="L431" s="76"/>
      <c r="M431" s="76"/>
      <c r="N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O431" s="77"/>
      <c r="P431" s="32"/>
      <c r="Q431" s="32"/>
      <c r="R431" s="32"/>
      <c r="S431" s="32"/>
    </row>
    <row r="432" spans="3:19" x14ac:dyDescent="0.3">
      <c r="C432" s="11"/>
      <c r="D432" s="32"/>
      <c r="E432" s="11"/>
      <c r="J432" s="15"/>
      <c r="K432" s="47"/>
      <c r="L432" s="76"/>
      <c r="M432" s="76"/>
      <c r="N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O432" s="77"/>
      <c r="P432" s="32"/>
      <c r="Q432" s="32"/>
      <c r="R432" s="32"/>
      <c r="S432" s="32"/>
    </row>
    <row r="433" spans="3:19" x14ac:dyDescent="0.3">
      <c r="C433" s="11"/>
      <c r="D433" s="32"/>
      <c r="E433" s="11"/>
      <c r="J433" s="15"/>
      <c r="K433" s="47"/>
      <c r="L433" s="76"/>
      <c r="M433" s="76"/>
      <c r="N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O433" s="77"/>
      <c r="P433" s="32"/>
      <c r="Q433" s="32"/>
      <c r="R433" s="32"/>
      <c r="S433" s="32"/>
    </row>
    <row r="434" spans="3:19" x14ac:dyDescent="0.3">
      <c r="C434" s="11"/>
      <c r="D434" s="32"/>
      <c r="E434" s="11"/>
      <c r="J434" s="15"/>
      <c r="K434" s="47"/>
      <c r="L434" s="76"/>
      <c r="M434" s="76"/>
      <c r="N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O434" s="77"/>
      <c r="P434" s="32"/>
      <c r="Q434" s="32"/>
      <c r="R434" s="32"/>
      <c r="S434" s="32"/>
    </row>
    <row r="435" spans="3:19" x14ac:dyDescent="0.3">
      <c r="C435" s="11"/>
      <c r="D435" s="32"/>
      <c r="E435" s="11"/>
      <c r="J435" s="15"/>
      <c r="K435" s="47"/>
      <c r="L435" s="76"/>
      <c r="M435" s="76"/>
      <c r="N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O435" s="77"/>
      <c r="P435" s="32"/>
      <c r="Q435" s="32"/>
      <c r="R435" s="32"/>
      <c r="S435" s="32"/>
    </row>
    <row r="436" spans="3:19" x14ac:dyDescent="0.3">
      <c r="C436" s="11"/>
      <c r="D436" s="32"/>
      <c r="E436" s="11"/>
      <c r="J436" s="15"/>
      <c r="K436" s="47"/>
      <c r="L436" s="76"/>
      <c r="M436" s="76"/>
      <c r="N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O436" s="77"/>
      <c r="P436" s="32"/>
      <c r="Q436" s="32"/>
      <c r="R436" s="32"/>
      <c r="S436" s="32"/>
    </row>
    <row r="437" spans="3:19" x14ac:dyDescent="0.3">
      <c r="C437" s="11"/>
      <c r="D437" s="32"/>
      <c r="E437" s="11"/>
      <c r="J437" s="15"/>
      <c r="K437" s="47"/>
      <c r="L437" s="76"/>
      <c r="M437" s="76"/>
      <c r="N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O437" s="77"/>
      <c r="P437" s="32"/>
      <c r="Q437" s="32"/>
      <c r="R437" s="32"/>
      <c r="S437" s="32"/>
    </row>
    <row r="438" spans="3:19" x14ac:dyDescent="0.3">
      <c r="C438" s="11"/>
      <c r="D438" s="32"/>
      <c r="E438" s="11"/>
      <c r="J438" s="15"/>
      <c r="K438" s="47"/>
      <c r="L438" s="76"/>
      <c r="M438" s="76"/>
      <c r="N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O438" s="77"/>
      <c r="P438" s="32"/>
      <c r="Q438" s="32"/>
      <c r="R438" s="32"/>
      <c r="S438" s="32"/>
    </row>
    <row r="439" spans="3:19" x14ac:dyDescent="0.3">
      <c r="C439" s="11"/>
      <c r="D439" s="32"/>
      <c r="E439" s="11"/>
      <c r="J439" s="15"/>
      <c r="K439" s="47"/>
      <c r="L439" s="76"/>
      <c r="M439" s="76"/>
      <c r="N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O439" s="77"/>
      <c r="P439" s="32"/>
      <c r="Q439" s="32"/>
      <c r="R439" s="32"/>
      <c r="S439" s="32"/>
    </row>
    <row r="440" spans="3:19" x14ac:dyDescent="0.3">
      <c r="C440" s="11"/>
      <c r="D440" s="32"/>
      <c r="E440" s="11"/>
      <c r="J440" s="15"/>
      <c r="K440" s="47"/>
      <c r="L440" s="76"/>
      <c r="M440" s="76"/>
      <c r="N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O440" s="77"/>
      <c r="P440" s="32"/>
      <c r="Q440" s="32"/>
      <c r="R440" s="32"/>
      <c r="S440" s="32"/>
    </row>
    <row r="441" spans="3:19" x14ac:dyDescent="0.3">
      <c r="C441" s="11"/>
      <c r="D441" s="32"/>
      <c r="E441" s="11"/>
      <c r="J441" s="15"/>
      <c r="K441" s="47"/>
      <c r="L441" s="76"/>
      <c r="M441" s="76"/>
      <c r="N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O441" s="77"/>
      <c r="P441" s="32"/>
      <c r="Q441" s="32"/>
      <c r="R441" s="32"/>
      <c r="S441" s="32"/>
    </row>
    <row r="442" spans="3:19" x14ac:dyDescent="0.3">
      <c r="C442" s="11"/>
      <c r="D442" s="32"/>
      <c r="E442" s="11"/>
      <c r="J442" s="15"/>
      <c r="K442" s="47"/>
      <c r="L442" s="76"/>
      <c r="M442" s="76"/>
      <c r="N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O442" s="77"/>
      <c r="P442" s="32"/>
      <c r="Q442" s="32"/>
      <c r="R442" s="32"/>
      <c r="S442" s="32"/>
    </row>
    <row r="443" spans="3:19" x14ac:dyDescent="0.3">
      <c r="C443" s="11"/>
      <c r="D443" s="32"/>
      <c r="E443" s="11"/>
      <c r="J443" s="15"/>
      <c r="K443" s="47"/>
      <c r="L443" s="76"/>
      <c r="M443" s="76"/>
      <c r="N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O443" s="77"/>
      <c r="P443" s="32"/>
      <c r="Q443" s="32"/>
      <c r="R443" s="32"/>
      <c r="S443" s="32"/>
    </row>
    <row r="444" spans="3:19" x14ac:dyDescent="0.3">
      <c r="C444" s="11"/>
      <c r="D444" s="32"/>
      <c r="E444" s="11"/>
      <c r="J444" s="15"/>
      <c r="K444" s="47"/>
      <c r="L444" s="76"/>
      <c r="M444" s="76"/>
      <c r="N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O444" s="77"/>
      <c r="P444" s="32"/>
      <c r="Q444" s="32"/>
      <c r="R444" s="32"/>
      <c r="S444" s="32"/>
    </row>
    <row r="445" spans="3:19" x14ac:dyDescent="0.3">
      <c r="C445" s="11"/>
      <c r="D445" s="32"/>
      <c r="E445" s="11"/>
      <c r="J445" s="15"/>
      <c r="K445" s="47"/>
      <c r="L445" s="76"/>
      <c r="M445" s="76"/>
      <c r="N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O445" s="77"/>
      <c r="P445" s="32"/>
      <c r="Q445" s="32"/>
      <c r="R445" s="32"/>
      <c r="S445" s="32"/>
    </row>
    <row r="446" spans="3:19" x14ac:dyDescent="0.3">
      <c r="C446" s="11"/>
      <c r="D446" s="32"/>
      <c r="E446" s="11"/>
      <c r="J446" s="15"/>
      <c r="K446" s="47"/>
      <c r="L446" s="76"/>
      <c r="M446" s="76"/>
      <c r="N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O446" s="77"/>
      <c r="P446" s="32"/>
      <c r="Q446" s="32"/>
      <c r="R446" s="32"/>
      <c r="S446" s="32"/>
    </row>
    <row r="447" spans="3:19" x14ac:dyDescent="0.3">
      <c r="C447" s="11"/>
      <c r="D447" s="32"/>
      <c r="E447" s="11"/>
      <c r="J447" s="15"/>
      <c r="K447" s="47"/>
      <c r="L447" s="76"/>
      <c r="M447" s="76"/>
      <c r="N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O447" s="77"/>
      <c r="P447" s="32"/>
      <c r="Q447" s="32"/>
      <c r="R447" s="32"/>
      <c r="S447" s="32"/>
    </row>
    <row r="448" spans="3:19" x14ac:dyDescent="0.3">
      <c r="C448" s="11"/>
      <c r="D448" s="32"/>
      <c r="E448" s="11"/>
      <c r="J448" s="15"/>
      <c r="K448" s="47"/>
      <c r="L448" s="76"/>
      <c r="M448" s="76"/>
      <c r="N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O448" s="77"/>
      <c r="P448" s="32"/>
      <c r="Q448" s="32"/>
      <c r="R448" s="32"/>
      <c r="S448" s="32"/>
    </row>
    <row r="449" spans="3:19" x14ac:dyDescent="0.3">
      <c r="C449" s="11"/>
      <c r="D449" s="32"/>
      <c r="E449" s="11"/>
      <c r="J449" s="15"/>
      <c r="K449" s="47"/>
      <c r="L449" s="76"/>
      <c r="M449" s="76"/>
      <c r="N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O449" s="77"/>
      <c r="P449" s="32"/>
      <c r="Q449" s="32"/>
      <c r="R449" s="32"/>
      <c r="S449" s="32"/>
    </row>
    <row r="450" spans="3:19" x14ac:dyDescent="0.3">
      <c r="C450" s="11"/>
      <c r="D450" s="32"/>
      <c r="E450" s="11"/>
      <c r="J450" s="15"/>
      <c r="K450" s="47"/>
      <c r="L450" s="76"/>
      <c r="M450" s="76"/>
      <c r="N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O450" s="77"/>
      <c r="P450" s="32"/>
      <c r="Q450" s="32"/>
      <c r="R450" s="32"/>
      <c r="S450" s="32"/>
    </row>
    <row r="451" spans="3:19" x14ac:dyDescent="0.3">
      <c r="C451" s="11"/>
      <c r="D451" s="32"/>
      <c r="E451" s="11"/>
      <c r="J451" s="15"/>
      <c r="K451" s="47"/>
      <c r="L451" s="76"/>
      <c r="M451" s="76"/>
      <c r="N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O451" s="77"/>
      <c r="P451" s="32"/>
      <c r="Q451" s="32"/>
      <c r="R451" s="32"/>
      <c r="S451" s="32"/>
    </row>
    <row r="452" spans="3:19" x14ac:dyDescent="0.3">
      <c r="C452" s="11"/>
      <c r="D452" s="32"/>
      <c r="E452" s="11"/>
      <c r="J452" s="15"/>
      <c r="K452" s="47"/>
      <c r="L452" s="76"/>
      <c r="M452" s="76"/>
      <c r="N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O452" s="77"/>
      <c r="P452" s="32"/>
      <c r="Q452" s="32"/>
      <c r="R452" s="32"/>
      <c r="S452" s="32"/>
    </row>
    <row r="453" spans="3:19" x14ac:dyDescent="0.3">
      <c r="C453" s="11"/>
      <c r="D453" s="32"/>
      <c r="E453" s="11"/>
      <c r="J453" s="15"/>
      <c r="K453" s="47"/>
      <c r="L453" s="76"/>
      <c r="M453" s="76"/>
      <c r="N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O453" s="77"/>
      <c r="P453" s="32"/>
      <c r="Q453" s="32"/>
      <c r="R453" s="32"/>
      <c r="S453" s="32"/>
    </row>
    <row r="454" spans="3:19" x14ac:dyDescent="0.3">
      <c r="C454" s="11"/>
      <c r="D454" s="32"/>
      <c r="E454" s="11"/>
      <c r="J454" s="15"/>
      <c r="K454" s="47"/>
      <c r="L454" s="76"/>
      <c r="M454" s="76"/>
      <c r="N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O454" s="77"/>
      <c r="P454" s="32"/>
      <c r="Q454" s="32"/>
      <c r="R454" s="32"/>
      <c r="S454" s="32"/>
    </row>
    <row r="455" spans="3:19" x14ac:dyDescent="0.3">
      <c r="C455" s="11"/>
      <c r="D455" s="32"/>
      <c r="E455" s="11"/>
      <c r="J455" s="15"/>
      <c r="K455" s="47"/>
      <c r="L455" s="76"/>
      <c r="M455" s="76"/>
      <c r="N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O455" s="77"/>
      <c r="P455" s="32"/>
      <c r="Q455" s="32"/>
      <c r="R455" s="32"/>
      <c r="S455" s="32"/>
    </row>
    <row r="456" spans="3:19" x14ac:dyDescent="0.3">
      <c r="C456" s="11"/>
      <c r="D456" s="32"/>
      <c r="E456" s="11"/>
      <c r="J456" s="15"/>
      <c r="K456" s="47"/>
      <c r="L456" s="76"/>
      <c r="M456" s="76"/>
      <c r="N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O456" s="77"/>
      <c r="P456" s="32"/>
      <c r="Q456" s="32"/>
      <c r="R456" s="32"/>
      <c r="S456" s="32"/>
    </row>
    <row r="457" spans="3:19" x14ac:dyDescent="0.3">
      <c r="C457" s="11"/>
      <c r="D457" s="32"/>
      <c r="E457" s="11"/>
      <c r="J457" s="15"/>
      <c r="K457" s="47"/>
      <c r="L457" s="76"/>
      <c r="M457" s="76"/>
      <c r="N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O457" s="77"/>
      <c r="P457" s="32"/>
      <c r="Q457" s="32"/>
      <c r="R457" s="32"/>
      <c r="S457" s="32"/>
    </row>
    <row r="458" spans="3:19" x14ac:dyDescent="0.3">
      <c r="C458" s="11"/>
      <c r="D458" s="32"/>
      <c r="E458" s="11"/>
      <c r="J458" s="15"/>
      <c r="K458" s="47"/>
      <c r="L458" s="76"/>
      <c r="M458" s="76"/>
      <c r="N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O458" s="77"/>
      <c r="P458" s="32"/>
      <c r="Q458" s="32"/>
      <c r="R458" s="32"/>
      <c r="S458" s="32"/>
    </row>
    <row r="459" spans="3:19" x14ac:dyDescent="0.3">
      <c r="C459" s="11"/>
      <c r="D459" s="32"/>
      <c r="E459" s="11"/>
      <c r="J459" s="15"/>
      <c r="K459" s="47"/>
      <c r="L459" s="76"/>
      <c r="M459" s="76"/>
      <c r="N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O459" s="77"/>
      <c r="P459" s="32"/>
      <c r="Q459" s="32"/>
      <c r="R459" s="32"/>
      <c r="S459" s="32"/>
    </row>
    <row r="460" spans="3:19" x14ac:dyDescent="0.3">
      <c r="C460" s="11"/>
      <c r="D460" s="32"/>
      <c r="E460" s="11"/>
      <c r="J460" s="15"/>
      <c r="K460" s="47"/>
      <c r="L460" s="76"/>
      <c r="M460" s="76"/>
      <c r="N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O460" s="77"/>
      <c r="P460" s="32"/>
      <c r="Q460" s="32"/>
      <c r="R460" s="32"/>
      <c r="S460" s="32"/>
    </row>
    <row r="461" spans="3:19" x14ac:dyDescent="0.3">
      <c r="C461" s="11"/>
      <c r="D461" s="32"/>
      <c r="E461" s="11"/>
      <c r="J461" s="15"/>
      <c r="K461" s="47"/>
      <c r="L461" s="76"/>
      <c r="M461" s="76"/>
      <c r="N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O461" s="77"/>
      <c r="P461" s="32"/>
      <c r="Q461" s="32"/>
      <c r="R461" s="32"/>
      <c r="S461" s="32"/>
    </row>
    <row r="462" spans="3:19" x14ac:dyDescent="0.3">
      <c r="C462" s="11"/>
      <c r="D462" s="32"/>
      <c r="E462" s="11"/>
      <c r="J462" s="15"/>
      <c r="K462" s="47"/>
      <c r="L462" s="76"/>
      <c r="M462" s="76"/>
      <c r="N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O462" s="77"/>
      <c r="P462" s="32"/>
      <c r="Q462" s="32"/>
      <c r="R462" s="32"/>
      <c r="S462" s="32"/>
    </row>
    <row r="463" spans="3:19" x14ac:dyDescent="0.3">
      <c r="C463" s="11"/>
      <c r="D463" s="32"/>
      <c r="E463" s="11"/>
      <c r="J463" s="15"/>
      <c r="K463" s="47"/>
      <c r="L463" s="76"/>
      <c r="M463" s="76"/>
      <c r="N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O463" s="77"/>
      <c r="P463" s="32"/>
      <c r="Q463" s="32"/>
      <c r="R463" s="32"/>
      <c r="S463" s="32"/>
    </row>
    <row r="464" spans="3:19" x14ac:dyDescent="0.3">
      <c r="C464" s="11"/>
      <c r="D464" s="32"/>
      <c r="E464" s="11"/>
      <c r="J464" s="15"/>
      <c r="K464" s="47"/>
      <c r="L464" s="76"/>
      <c r="M464" s="76"/>
      <c r="N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O464" s="77"/>
      <c r="P464" s="32"/>
      <c r="Q464" s="32"/>
      <c r="R464" s="32"/>
      <c r="S464" s="32"/>
    </row>
    <row r="465" spans="3:19" x14ac:dyDescent="0.3">
      <c r="C465" s="11"/>
      <c r="D465" s="32"/>
      <c r="E465" s="11"/>
      <c r="J465" s="15"/>
      <c r="K465" s="47"/>
      <c r="L465" s="76"/>
      <c r="M465" s="76"/>
      <c r="N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O465" s="77"/>
      <c r="P465" s="32"/>
      <c r="Q465" s="32"/>
      <c r="R465" s="32"/>
      <c r="S465" s="32"/>
    </row>
    <row r="466" spans="3:19" x14ac:dyDescent="0.3">
      <c r="C466" s="11"/>
      <c r="D466" s="32"/>
      <c r="E466" s="11"/>
      <c r="J466" s="15"/>
      <c r="K466" s="47"/>
      <c r="L466" s="76"/>
      <c r="M466" s="76"/>
      <c r="N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O466" s="77"/>
      <c r="P466" s="32"/>
      <c r="Q466" s="32"/>
      <c r="R466" s="32"/>
      <c r="S466" s="32"/>
    </row>
    <row r="467" spans="3:19" x14ac:dyDescent="0.3">
      <c r="C467" s="11"/>
      <c r="D467" s="32"/>
      <c r="E467" s="11"/>
      <c r="J467" s="15"/>
      <c r="K467" s="47"/>
      <c r="L467" s="76"/>
      <c r="M467" s="76"/>
      <c r="N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O467" s="77"/>
      <c r="P467" s="32"/>
      <c r="Q467" s="32"/>
      <c r="R467" s="32"/>
      <c r="S467" s="32"/>
    </row>
    <row r="468" spans="3:19" x14ac:dyDescent="0.3">
      <c r="C468" s="11"/>
      <c r="D468" s="32"/>
      <c r="E468" s="11"/>
      <c r="J468" s="15"/>
      <c r="K468" s="47"/>
      <c r="L468" s="76"/>
      <c r="M468" s="76"/>
      <c r="N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O468" s="77"/>
      <c r="P468" s="32"/>
      <c r="Q468" s="32"/>
      <c r="R468" s="32"/>
      <c r="S468" s="32"/>
    </row>
    <row r="469" spans="3:19" x14ac:dyDescent="0.3">
      <c r="C469" s="11"/>
      <c r="D469" s="32"/>
      <c r="E469" s="11"/>
      <c r="J469" s="15"/>
      <c r="K469" s="47"/>
      <c r="L469" s="76"/>
      <c r="M469" s="76"/>
      <c r="N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O469" s="77"/>
      <c r="P469" s="32"/>
      <c r="Q469" s="32"/>
      <c r="R469" s="32"/>
      <c r="S469" s="32"/>
    </row>
    <row r="470" spans="3:19" x14ac:dyDescent="0.3">
      <c r="C470" s="11"/>
      <c r="D470" s="32"/>
      <c r="E470" s="11"/>
      <c r="J470" s="15"/>
      <c r="K470" s="47"/>
      <c r="L470" s="76"/>
      <c r="M470" s="76"/>
      <c r="N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O470" s="77"/>
      <c r="P470" s="32"/>
      <c r="Q470" s="32"/>
      <c r="R470" s="32"/>
      <c r="S470" s="32"/>
    </row>
    <row r="471" spans="3:19" x14ac:dyDescent="0.3">
      <c r="C471" s="11"/>
      <c r="D471" s="32"/>
      <c r="E471" s="11"/>
      <c r="J471" s="15"/>
      <c r="K471" s="47"/>
      <c r="L471" s="76"/>
      <c r="M471" s="76"/>
      <c r="N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O471" s="77"/>
      <c r="P471" s="32"/>
      <c r="Q471" s="32"/>
      <c r="R471" s="32"/>
      <c r="S471" s="32"/>
    </row>
    <row r="472" spans="3:19" x14ac:dyDescent="0.3">
      <c r="C472" s="11"/>
      <c r="D472" s="32"/>
      <c r="E472" s="11"/>
      <c r="J472" s="15"/>
      <c r="K472" s="47"/>
      <c r="L472" s="76"/>
      <c r="M472" s="76"/>
      <c r="N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O472" s="77"/>
      <c r="P472" s="32"/>
      <c r="Q472" s="32"/>
      <c r="R472" s="32"/>
      <c r="S472" s="32"/>
    </row>
    <row r="473" spans="3:19" x14ac:dyDescent="0.3">
      <c r="C473" s="11"/>
      <c r="D473" s="32"/>
      <c r="E473" s="11"/>
      <c r="J473" s="15"/>
      <c r="K473" s="47"/>
      <c r="L473" s="76"/>
      <c r="M473" s="76"/>
      <c r="N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O473" s="77"/>
      <c r="P473" s="32"/>
      <c r="Q473" s="32"/>
      <c r="R473" s="32"/>
      <c r="S473" s="32"/>
    </row>
    <row r="474" spans="3:19" x14ac:dyDescent="0.3">
      <c r="C474" s="11"/>
      <c r="D474" s="32"/>
      <c r="E474" s="11"/>
      <c r="J474" s="15"/>
      <c r="K474" s="47"/>
      <c r="L474" s="76"/>
      <c r="M474" s="76"/>
      <c r="N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O474" s="77"/>
      <c r="P474" s="32"/>
      <c r="Q474" s="32"/>
      <c r="R474" s="32"/>
      <c r="S474" s="32"/>
    </row>
    <row r="475" spans="3:19" x14ac:dyDescent="0.3">
      <c r="C475" s="11"/>
      <c r="D475" s="32"/>
      <c r="E475" s="11"/>
      <c r="J475" s="15"/>
      <c r="K475" s="47"/>
      <c r="L475" s="76"/>
      <c r="M475" s="76"/>
      <c r="N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O475" s="77"/>
      <c r="P475" s="32"/>
      <c r="Q475" s="32"/>
      <c r="R475" s="32"/>
      <c r="S475" s="32"/>
    </row>
    <row r="476" spans="3:19" x14ac:dyDescent="0.3">
      <c r="C476" s="11"/>
      <c r="D476" s="32"/>
      <c r="E476" s="11"/>
      <c r="J476" s="15"/>
      <c r="K476" s="47"/>
      <c r="L476" s="76"/>
      <c r="M476" s="76"/>
      <c r="N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O476" s="77"/>
      <c r="P476" s="32"/>
      <c r="Q476" s="32"/>
      <c r="R476" s="32"/>
      <c r="S476" s="32"/>
    </row>
    <row r="477" spans="3:19" x14ac:dyDescent="0.3">
      <c r="C477" s="11"/>
      <c r="D477" s="32"/>
      <c r="E477" s="11"/>
      <c r="J477" s="15"/>
      <c r="K477" s="47"/>
      <c r="L477" s="76"/>
      <c r="M477" s="76"/>
      <c r="N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O477" s="77"/>
      <c r="P477" s="32"/>
      <c r="Q477" s="32"/>
      <c r="R477" s="32"/>
      <c r="S477" s="32"/>
    </row>
    <row r="478" spans="3:19" x14ac:dyDescent="0.3">
      <c r="C478" s="11"/>
      <c r="D478" s="32"/>
      <c r="E478" s="11"/>
      <c r="J478" s="15"/>
      <c r="K478" s="47"/>
      <c r="L478" s="76"/>
      <c r="M478" s="76"/>
      <c r="N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O478" s="77"/>
      <c r="P478" s="32"/>
      <c r="Q478" s="32"/>
      <c r="R478" s="32"/>
      <c r="S478" s="32"/>
    </row>
    <row r="479" spans="3:19" x14ac:dyDescent="0.3">
      <c r="C479" s="11"/>
      <c r="D479" s="32"/>
      <c r="E479" s="11"/>
      <c r="J479" s="15"/>
      <c r="K479" s="47"/>
      <c r="L479" s="76"/>
      <c r="M479" s="76"/>
      <c r="N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O479" s="77"/>
      <c r="P479" s="32"/>
      <c r="Q479" s="32"/>
      <c r="R479" s="32"/>
      <c r="S479" s="32"/>
    </row>
    <row r="480" spans="3:19" x14ac:dyDescent="0.3">
      <c r="C480" s="11"/>
      <c r="D480" s="32"/>
      <c r="E480" s="11"/>
      <c r="J480" s="15"/>
      <c r="K480" s="47"/>
      <c r="L480" s="76"/>
      <c r="M480" s="76"/>
      <c r="N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O480" s="77"/>
      <c r="P480" s="32"/>
      <c r="Q480" s="32"/>
      <c r="R480" s="32"/>
      <c r="S480" s="32"/>
    </row>
    <row r="481" spans="3:19" x14ac:dyDescent="0.3">
      <c r="C481" s="11"/>
      <c r="D481" s="32"/>
      <c r="E481" s="11"/>
      <c r="J481" s="15"/>
      <c r="K481" s="47"/>
      <c r="L481" s="76"/>
      <c r="M481" s="76"/>
      <c r="N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O481" s="77"/>
      <c r="P481" s="32"/>
      <c r="Q481" s="32"/>
      <c r="R481" s="32"/>
      <c r="S481" s="32"/>
    </row>
    <row r="482" spans="3:19" x14ac:dyDescent="0.3">
      <c r="C482" s="11"/>
      <c r="D482" s="32"/>
      <c r="E482" s="11"/>
      <c r="J482" s="15"/>
      <c r="K482" s="47"/>
      <c r="L482" s="76"/>
      <c r="M482" s="76"/>
      <c r="N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O482" s="77"/>
      <c r="P482" s="32"/>
      <c r="Q482" s="32"/>
      <c r="R482" s="32"/>
      <c r="S482" s="32"/>
    </row>
    <row r="483" spans="3:19" x14ac:dyDescent="0.3">
      <c r="C483" s="11"/>
      <c r="D483" s="32"/>
      <c r="E483" s="11"/>
      <c r="J483" s="15"/>
      <c r="K483" s="47"/>
      <c r="L483" s="76"/>
      <c r="M483" s="76"/>
      <c r="N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O483" s="77"/>
      <c r="P483" s="32"/>
      <c r="Q483" s="32"/>
      <c r="R483" s="32"/>
      <c r="S483" s="32"/>
    </row>
    <row r="484" spans="3:19" x14ac:dyDescent="0.3">
      <c r="C484" s="11"/>
      <c r="D484" s="32"/>
      <c r="E484" s="11"/>
      <c r="J484" s="15"/>
      <c r="K484" s="47"/>
      <c r="L484" s="76"/>
      <c r="M484" s="76"/>
      <c r="N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O484" s="77"/>
      <c r="P484" s="32"/>
      <c r="Q484" s="32"/>
      <c r="R484" s="32"/>
      <c r="S484" s="32"/>
    </row>
    <row r="485" spans="3:19" x14ac:dyDescent="0.3">
      <c r="C485" s="11"/>
      <c r="D485" s="32"/>
      <c r="E485" s="11"/>
      <c r="J485" s="15"/>
      <c r="K485" s="47"/>
      <c r="L485" s="76"/>
      <c r="M485" s="76"/>
      <c r="N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O485" s="77"/>
      <c r="P485" s="32"/>
      <c r="Q485" s="32"/>
      <c r="R485" s="32"/>
      <c r="S485" s="32"/>
    </row>
    <row r="486" spans="3:19" x14ac:dyDescent="0.3">
      <c r="C486" s="11"/>
      <c r="D486" s="32"/>
      <c r="E486" s="11"/>
      <c r="J486" s="15"/>
      <c r="K486" s="47"/>
      <c r="L486" s="76"/>
      <c r="M486" s="76"/>
      <c r="N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O486" s="77"/>
      <c r="P486" s="32"/>
      <c r="Q486" s="32"/>
      <c r="R486" s="32"/>
      <c r="S486" s="32"/>
    </row>
    <row r="487" spans="3:19" x14ac:dyDescent="0.3">
      <c r="C487" s="11"/>
      <c r="D487" s="32"/>
      <c r="E487" s="11"/>
      <c r="J487" s="15"/>
      <c r="K487" s="47"/>
      <c r="L487" s="76"/>
      <c r="M487" s="76"/>
      <c r="N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O487" s="77"/>
      <c r="P487" s="32"/>
      <c r="Q487" s="32"/>
      <c r="R487" s="32"/>
      <c r="S487" s="32"/>
    </row>
    <row r="488" spans="3:19" x14ac:dyDescent="0.3">
      <c r="C488" s="11"/>
      <c r="D488" s="32"/>
      <c r="E488" s="11"/>
      <c r="J488" s="15"/>
      <c r="K488" s="47"/>
      <c r="L488" s="76"/>
      <c r="M488" s="76"/>
      <c r="N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O488" s="77"/>
      <c r="P488" s="32"/>
      <c r="Q488" s="32"/>
      <c r="R488" s="32"/>
      <c r="S488" s="32"/>
    </row>
    <row r="489" spans="3:19" x14ac:dyDescent="0.3">
      <c r="C489" s="11"/>
      <c r="D489" s="32"/>
      <c r="E489" s="11"/>
      <c r="J489" s="15"/>
      <c r="K489" s="47"/>
      <c r="L489" s="76"/>
      <c r="M489" s="76"/>
      <c r="N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O489" s="77"/>
      <c r="P489" s="32"/>
      <c r="Q489" s="32"/>
      <c r="R489" s="32"/>
      <c r="S489" s="32"/>
    </row>
    <row r="490" spans="3:19" x14ac:dyDescent="0.3">
      <c r="C490" s="11"/>
      <c r="D490" s="32"/>
      <c r="E490" s="11"/>
      <c r="J490" s="15"/>
      <c r="K490" s="47"/>
      <c r="L490" s="76"/>
      <c r="M490" s="76"/>
      <c r="N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O490" s="77"/>
      <c r="P490" s="32"/>
      <c r="Q490" s="32"/>
      <c r="R490" s="32"/>
      <c r="S490" s="32"/>
    </row>
    <row r="491" spans="3:19" x14ac:dyDescent="0.3">
      <c r="C491" s="11"/>
      <c r="D491" s="32"/>
      <c r="E491" s="11"/>
      <c r="J491" s="15"/>
      <c r="K491" s="47"/>
      <c r="L491" s="76"/>
      <c r="M491" s="76"/>
      <c r="N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O491" s="77"/>
      <c r="P491" s="32"/>
      <c r="Q491" s="32"/>
      <c r="R491" s="32"/>
      <c r="S491" s="32"/>
    </row>
    <row r="492" spans="3:19" x14ac:dyDescent="0.3">
      <c r="C492" s="11"/>
      <c r="D492" s="32"/>
      <c r="E492" s="11"/>
      <c r="J492" s="15"/>
      <c r="K492" s="47"/>
      <c r="L492" s="76"/>
      <c r="M492" s="76"/>
      <c r="N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O492" s="77"/>
      <c r="P492" s="32"/>
      <c r="Q492" s="32"/>
      <c r="R492" s="32"/>
      <c r="S492" s="32"/>
    </row>
    <row r="493" spans="3:19" x14ac:dyDescent="0.3">
      <c r="C493" s="11"/>
      <c r="D493" s="32"/>
      <c r="E493" s="11"/>
      <c r="J493" s="15"/>
      <c r="K493" s="47"/>
      <c r="L493" s="76"/>
      <c r="M493" s="76"/>
      <c r="N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O493" s="77"/>
      <c r="P493" s="32"/>
      <c r="Q493" s="32"/>
      <c r="R493" s="32"/>
      <c r="S493" s="32"/>
    </row>
    <row r="494" spans="3:19" x14ac:dyDescent="0.3">
      <c r="C494" s="11"/>
      <c r="D494" s="32"/>
      <c r="E494" s="11"/>
      <c r="J494" s="15"/>
      <c r="K494" s="47"/>
      <c r="L494" s="76"/>
      <c r="M494" s="76"/>
      <c r="N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O494" s="77"/>
      <c r="P494" s="32"/>
      <c r="Q494" s="32"/>
      <c r="R494" s="32"/>
      <c r="S494" s="32"/>
    </row>
    <row r="495" spans="3:19" x14ac:dyDescent="0.3">
      <c r="C495" s="11"/>
      <c r="D495" s="32"/>
      <c r="E495" s="11"/>
      <c r="J495" s="15"/>
      <c r="K495" s="47"/>
      <c r="L495" s="76"/>
      <c r="M495" s="76"/>
      <c r="N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O495" s="77"/>
      <c r="P495" s="32"/>
      <c r="Q495" s="32"/>
      <c r="R495" s="32"/>
      <c r="S495" s="32"/>
    </row>
    <row r="496" spans="3:19" x14ac:dyDescent="0.3">
      <c r="C496" s="11"/>
      <c r="D496" s="32"/>
      <c r="E496" s="11"/>
      <c r="J496" s="15"/>
      <c r="K496" s="47"/>
      <c r="L496" s="76"/>
      <c r="M496" s="76"/>
      <c r="N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O496" s="77"/>
      <c r="P496" s="32"/>
      <c r="Q496" s="32"/>
      <c r="R496" s="32"/>
      <c r="S496" s="32"/>
    </row>
    <row r="497" spans="3:19" x14ac:dyDescent="0.3">
      <c r="C497" s="11"/>
      <c r="D497" s="32"/>
      <c r="E497" s="11"/>
      <c r="J497" s="15"/>
      <c r="K497" s="47"/>
      <c r="L497" s="76"/>
      <c r="M497" s="76"/>
      <c r="N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O497" s="77"/>
      <c r="P497" s="32"/>
      <c r="Q497" s="32"/>
      <c r="R497" s="32"/>
      <c r="S497" s="32"/>
    </row>
    <row r="498" spans="3:19" x14ac:dyDescent="0.3">
      <c r="C498" s="11"/>
      <c r="D498" s="32"/>
      <c r="E498" s="11"/>
      <c r="J498" s="15"/>
      <c r="K498" s="47"/>
      <c r="L498" s="76"/>
      <c r="M498" s="76"/>
      <c r="N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O498" s="77"/>
      <c r="P498" s="32"/>
      <c r="Q498" s="32"/>
      <c r="R498" s="32"/>
      <c r="S498" s="32"/>
    </row>
    <row r="499" spans="3:19" x14ac:dyDescent="0.3">
      <c r="C499" s="11"/>
      <c r="D499" s="32"/>
      <c r="E499" s="11"/>
      <c r="J499" s="15"/>
      <c r="K499" s="47"/>
      <c r="L499" s="76"/>
      <c r="M499" s="76"/>
      <c r="N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O499" s="77"/>
      <c r="P499" s="32"/>
      <c r="Q499" s="32"/>
      <c r="R499" s="32"/>
      <c r="S499" s="32"/>
    </row>
    <row r="500" spans="3:19" x14ac:dyDescent="0.3">
      <c r="C500" s="11"/>
      <c r="D500" s="32"/>
      <c r="E500" s="11"/>
      <c r="J500" s="15"/>
      <c r="K500" s="47"/>
      <c r="L500" s="76"/>
      <c r="M500" s="76"/>
      <c r="N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O500" s="77"/>
      <c r="P500" s="32"/>
      <c r="Q500" s="32"/>
      <c r="R500" s="32"/>
      <c r="S500" s="32"/>
    </row>
    <row r="501" spans="3:19" x14ac:dyDescent="0.3">
      <c r="C501" s="11"/>
      <c r="D501" s="32"/>
      <c r="E501" s="11"/>
      <c r="J501" s="15"/>
      <c r="K501" s="47"/>
      <c r="L501" s="76"/>
      <c r="M501" s="76"/>
      <c r="N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O501" s="77"/>
      <c r="P501" s="32"/>
      <c r="Q501" s="32"/>
      <c r="R501" s="32"/>
      <c r="S501" s="32"/>
    </row>
    <row r="502" spans="3:19" x14ac:dyDescent="0.3">
      <c r="C502" s="11"/>
      <c r="D502" s="32"/>
      <c r="E502" s="11"/>
      <c r="J502" s="15"/>
      <c r="K502" s="47"/>
      <c r="L502" s="76"/>
      <c r="M502" s="76"/>
      <c r="N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O502" s="77"/>
      <c r="P502" s="32"/>
      <c r="Q502" s="32"/>
      <c r="R502" s="32"/>
      <c r="S502" s="32"/>
    </row>
    <row r="503" spans="3:19" x14ac:dyDescent="0.3">
      <c r="C503" s="11"/>
      <c r="D503" s="32"/>
      <c r="E503" s="11"/>
      <c r="J503" s="15"/>
      <c r="K503" s="47"/>
      <c r="L503" s="76"/>
      <c r="M503" s="76"/>
      <c r="N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O503" s="77"/>
      <c r="P503" s="32"/>
      <c r="Q503" s="32"/>
      <c r="R503" s="32"/>
      <c r="S503" s="32"/>
    </row>
    <row r="504" spans="3:19" x14ac:dyDescent="0.3">
      <c r="C504" s="11"/>
      <c r="D504" s="32"/>
      <c r="E504" s="11"/>
      <c r="J504" s="15"/>
      <c r="K504" s="47"/>
      <c r="L504" s="76"/>
      <c r="M504" s="76"/>
      <c r="N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O504" s="77"/>
      <c r="P504" s="32"/>
      <c r="Q504" s="32"/>
      <c r="R504" s="32"/>
      <c r="S504" s="32"/>
    </row>
    <row r="505" spans="3:19" x14ac:dyDescent="0.3">
      <c r="C505" s="11"/>
      <c r="D505" s="32"/>
      <c r="E505" s="11"/>
      <c r="J505" s="15"/>
      <c r="K505" s="47"/>
      <c r="L505" s="76"/>
      <c r="M505" s="76"/>
      <c r="N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O505" s="77"/>
      <c r="P505" s="32"/>
      <c r="Q505" s="32"/>
      <c r="R505" s="32"/>
      <c r="S505" s="32"/>
    </row>
    <row r="506" spans="3:19" x14ac:dyDescent="0.3">
      <c r="C506" s="11"/>
      <c r="D506" s="32"/>
      <c r="E506" s="11"/>
      <c r="J506" s="15"/>
      <c r="K506" s="47"/>
      <c r="L506" s="76"/>
      <c r="M506" s="76"/>
      <c r="N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O506" s="77"/>
      <c r="P506" s="32"/>
      <c r="Q506" s="32"/>
      <c r="R506" s="32"/>
      <c r="S506" s="32"/>
    </row>
    <row r="507" spans="3:19" x14ac:dyDescent="0.3">
      <c r="C507" s="11"/>
      <c r="D507" s="32"/>
      <c r="E507" s="11"/>
      <c r="J507" s="15"/>
      <c r="K507" s="47"/>
      <c r="L507" s="76"/>
      <c r="M507" s="76"/>
      <c r="N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O507" s="77"/>
      <c r="P507" s="32"/>
      <c r="Q507" s="32"/>
      <c r="R507" s="32"/>
      <c r="S507" s="32"/>
    </row>
    <row r="508" spans="3:19" x14ac:dyDescent="0.3">
      <c r="C508" s="11"/>
      <c r="D508" s="32"/>
      <c r="E508" s="11"/>
      <c r="J508" s="15"/>
      <c r="K508" s="47"/>
      <c r="L508" s="76"/>
      <c r="M508" s="76"/>
      <c r="N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O508" s="77"/>
      <c r="P508" s="32"/>
      <c r="Q508" s="32"/>
      <c r="R508" s="32"/>
      <c r="S508" s="32"/>
    </row>
    <row r="509" spans="3:19" x14ac:dyDescent="0.3">
      <c r="C509" s="11"/>
      <c r="D509" s="32"/>
      <c r="E509" s="11"/>
      <c r="J509" s="15"/>
      <c r="K509" s="47"/>
      <c r="L509" s="76"/>
      <c r="M509" s="76"/>
      <c r="N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O509" s="77"/>
      <c r="P509" s="32"/>
      <c r="Q509" s="32"/>
      <c r="R509" s="32"/>
      <c r="S509" s="32"/>
    </row>
    <row r="510" spans="3:19" x14ac:dyDescent="0.3">
      <c r="C510" s="11"/>
      <c r="D510" s="32"/>
      <c r="E510" s="11"/>
      <c r="J510" s="15"/>
      <c r="K510" s="47"/>
      <c r="L510" s="76"/>
      <c r="M510" s="76"/>
      <c r="N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O510" s="77"/>
      <c r="P510" s="32"/>
      <c r="Q510" s="32"/>
      <c r="R510" s="32"/>
      <c r="S510" s="32"/>
    </row>
    <row r="511" spans="3:19" x14ac:dyDescent="0.3">
      <c r="C511" s="11"/>
      <c r="D511" s="32"/>
      <c r="E511" s="11"/>
      <c r="J511" s="15"/>
      <c r="K511" s="47"/>
      <c r="L511" s="76"/>
      <c r="M511" s="76"/>
      <c r="N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O511" s="77"/>
      <c r="P511" s="32"/>
      <c r="Q511" s="32"/>
      <c r="R511" s="32"/>
      <c r="S511" s="32"/>
    </row>
    <row r="512" spans="3:19" x14ac:dyDescent="0.3">
      <c r="C512" s="11"/>
      <c r="D512" s="32"/>
      <c r="E512" s="11"/>
      <c r="J512" s="15"/>
      <c r="K512" s="47"/>
      <c r="L512" s="76"/>
      <c r="M512" s="76"/>
      <c r="N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O512" s="77"/>
      <c r="P512" s="32"/>
      <c r="Q512" s="32"/>
      <c r="R512" s="32"/>
      <c r="S512" s="32"/>
    </row>
    <row r="513" spans="3:19" x14ac:dyDescent="0.3">
      <c r="C513" s="11"/>
      <c r="D513" s="32"/>
      <c r="E513" s="11"/>
      <c r="J513" s="15"/>
      <c r="K513" s="47"/>
      <c r="L513" s="76"/>
      <c r="M513" s="76"/>
      <c r="N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O513" s="77"/>
      <c r="P513" s="32"/>
      <c r="Q513" s="32"/>
      <c r="R513" s="32"/>
      <c r="S513" s="32"/>
    </row>
    <row r="514" spans="3:19" x14ac:dyDescent="0.3">
      <c r="C514" s="11"/>
      <c r="D514" s="32"/>
      <c r="E514" s="11"/>
      <c r="J514" s="15"/>
      <c r="K514" s="47"/>
      <c r="L514" s="76"/>
      <c r="M514" s="76"/>
      <c r="N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O514" s="77"/>
      <c r="P514" s="32"/>
      <c r="Q514" s="32"/>
      <c r="R514" s="32"/>
      <c r="S514" s="32"/>
    </row>
    <row r="515" spans="3:19" x14ac:dyDescent="0.3">
      <c r="C515" s="11"/>
      <c r="D515" s="32"/>
      <c r="E515" s="11"/>
      <c r="J515" s="15"/>
      <c r="K515" s="47"/>
      <c r="L515" s="76"/>
      <c r="M515" s="76"/>
      <c r="N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O515" s="77"/>
      <c r="P515" s="32"/>
      <c r="Q515" s="32"/>
      <c r="R515" s="32"/>
      <c r="S515" s="32"/>
    </row>
    <row r="516" spans="3:19" x14ac:dyDescent="0.3">
      <c r="C516" s="11"/>
      <c r="D516" s="32"/>
      <c r="E516" s="11"/>
      <c r="J516" s="15"/>
      <c r="K516" s="47"/>
      <c r="L516" s="76"/>
      <c r="M516" s="76"/>
      <c r="N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O516" s="77"/>
      <c r="P516" s="32"/>
      <c r="Q516" s="32"/>
      <c r="R516" s="32"/>
      <c r="S516" s="32"/>
    </row>
    <row r="517" spans="3:19" x14ac:dyDescent="0.3">
      <c r="C517" s="11"/>
      <c r="D517" s="32"/>
      <c r="E517" s="11"/>
      <c r="J517" s="15"/>
      <c r="K517" s="47"/>
      <c r="L517" s="76"/>
      <c r="M517" s="76"/>
      <c r="N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O517" s="77"/>
      <c r="P517" s="32"/>
      <c r="Q517" s="32"/>
      <c r="R517" s="32"/>
      <c r="S517" s="32"/>
    </row>
    <row r="518" spans="3:19" x14ac:dyDescent="0.3">
      <c r="C518" s="11"/>
      <c r="D518" s="32"/>
      <c r="E518" s="11"/>
      <c r="J518" s="15"/>
      <c r="K518" s="47"/>
      <c r="L518" s="76"/>
      <c r="M518" s="76"/>
      <c r="N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O518" s="77"/>
      <c r="P518" s="32"/>
      <c r="Q518" s="32"/>
      <c r="R518" s="32"/>
      <c r="S518" s="32"/>
    </row>
    <row r="519" spans="3:19" x14ac:dyDescent="0.3">
      <c r="C519" s="11"/>
      <c r="D519" s="32"/>
      <c r="E519" s="11"/>
      <c r="J519" s="15"/>
      <c r="K519" s="47"/>
      <c r="L519" s="76"/>
      <c r="M519" s="76"/>
      <c r="N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O519" s="77"/>
      <c r="P519" s="32"/>
      <c r="Q519" s="32"/>
      <c r="R519" s="32"/>
      <c r="S519" s="32"/>
    </row>
    <row r="520" spans="3:19" x14ac:dyDescent="0.3">
      <c r="C520" s="11"/>
      <c r="D520" s="32"/>
      <c r="E520" s="11"/>
      <c r="J520" s="15"/>
      <c r="K520" s="47"/>
      <c r="L520" s="76"/>
      <c r="M520" s="76"/>
      <c r="N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O520" s="77"/>
      <c r="P520" s="32"/>
      <c r="Q520" s="32"/>
      <c r="R520" s="32"/>
      <c r="S520" s="32"/>
    </row>
    <row r="521" spans="3:19" x14ac:dyDescent="0.3">
      <c r="C521" s="11"/>
      <c r="D521" s="32"/>
      <c r="E521" s="11"/>
      <c r="J521" s="15"/>
      <c r="K521" s="47"/>
      <c r="L521" s="76"/>
      <c r="M521" s="76"/>
      <c r="N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O521" s="77"/>
      <c r="P521" s="32"/>
      <c r="Q521" s="32"/>
      <c r="R521" s="32"/>
      <c r="S521" s="32"/>
    </row>
    <row r="522" spans="3:19" x14ac:dyDescent="0.3">
      <c r="C522" s="11"/>
      <c r="D522" s="32"/>
      <c r="E522" s="11"/>
      <c r="J522" s="15"/>
      <c r="K522" s="47"/>
      <c r="L522" s="76"/>
      <c r="M522" s="76"/>
      <c r="N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O522" s="77"/>
      <c r="P522" s="32"/>
      <c r="Q522" s="32"/>
      <c r="R522" s="32"/>
      <c r="S522" s="32"/>
    </row>
    <row r="523" spans="3:19" x14ac:dyDescent="0.3">
      <c r="C523" s="11"/>
      <c r="D523" s="32"/>
      <c r="E523" s="11"/>
      <c r="J523" s="15"/>
      <c r="K523" s="47"/>
      <c r="L523" s="76"/>
      <c r="M523" s="76"/>
      <c r="N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O523" s="77"/>
      <c r="P523" s="32"/>
      <c r="Q523" s="32"/>
      <c r="R523" s="32"/>
      <c r="S523" s="32"/>
    </row>
    <row r="524" spans="3:19" x14ac:dyDescent="0.3">
      <c r="C524" s="11"/>
      <c r="D524" s="32"/>
      <c r="E524" s="11"/>
      <c r="J524" s="15"/>
      <c r="K524" s="47"/>
      <c r="L524" s="76"/>
      <c r="M524" s="76"/>
      <c r="N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O524" s="77"/>
      <c r="P524" s="32"/>
      <c r="Q524" s="32"/>
      <c r="R524" s="32"/>
      <c r="S524" s="32"/>
    </row>
    <row r="525" spans="3:19" x14ac:dyDescent="0.3">
      <c r="C525" s="11"/>
      <c r="D525" s="32"/>
      <c r="E525" s="11"/>
      <c r="J525" s="15"/>
      <c r="K525" s="47"/>
      <c r="L525" s="76"/>
      <c r="M525" s="76"/>
      <c r="N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O525" s="77"/>
      <c r="P525" s="32"/>
      <c r="Q525" s="32"/>
      <c r="R525" s="32"/>
      <c r="S525" s="32"/>
    </row>
    <row r="526" spans="3:19" x14ac:dyDescent="0.3">
      <c r="C526" s="11"/>
      <c r="D526" s="32"/>
      <c r="E526" s="11"/>
      <c r="J526" s="15"/>
      <c r="K526" s="47"/>
      <c r="L526" s="76"/>
      <c r="M526" s="76"/>
      <c r="N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O526" s="77"/>
      <c r="P526" s="32"/>
      <c r="Q526" s="32"/>
      <c r="R526" s="32"/>
      <c r="S526" s="32"/>
    </row>
    <row r="527" spans="3:19" x14ac:dyDescent="0.3">
      <c r="C527" s="11"/>
      <c r="D527" s="32"/>
      <c r="E527" s="11"/>
      <c r="J527" s="15"/>
      <c r="K527" s="47"/>
      <c r="L527" s="76"/>
      <c r="M527" s="76"/>
      <c r="N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O527" s="77"/>
      <c r="P527" s="32"/>
      <c r="Q527" s="32"/>
      <c r="R527" s="32"/>
      <c r="S527" s="32"/>
    </row>
    <row r="528" spans="3:19" x14ac:dyDescent="0.3">
      <c r="C528" s="11"/>
      <c r="D528" s="32"/>
      <c r="E528" s="11"/>
      <c r="J528" s="15"/>
      <c r="K528" s="47"/>
      <c r="L528" s="76"/>
      <c r="M528" s="76"/>
      <c r="N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O528" s="77"/>
      <c r="P528" s="32"/>
      <c r="Q528" s="32"/>
      <c r="R528" s="32"/>
      <c r="S528" s="32"/>
    </row>
    <row r="529" spans="3:19" x14ac:dyDescent="0.3">
      <c r="C529" s="11"/>
      <c r="D529" s="32"/>
      <c r="E529" s="11"/>
      <c r="J529" s="15"/>
      <c r="K529" s="47"/>
      <c r="L529" s="76"/>
      <c r="M529" s="76"/>
      <c r="N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O529" s="77"/>
      <c r="P529" s="32"/>
      <c r="Q529" s="32"/>
      <c r="R529" s="32"/>
      <c r="S529" s="32"/>
    </row>
    <row r="530" spans="3:19" x14ac:dyDescent="0.3">
      <c r="C530" s="11"/>
      <c r="D530" s="32"/>
      <c r="E530" s="11"/>
      <c r="J530" s="15"/>
      <c r="K530" s="47"/>
      <c r="L530" s="76"/>
      <c r="M530" s="76"/>
      <c r="N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O530" s="77"/>
      <c r="P530" s="32"/>
      <c r="Q530" s="32"/>
      <c r="R530" s="32"/>
      <c r="S530" s="32"/>
    </row>
    <row r="531" spans="3:19" x14ac:dyDescent="0.3">
      <c r="C531" s="11"/>
      <c r="D531" s="32"/>
      <c r="E531" s="11"/>
      <c r="J531" s="15"/>
      <c r="K531" s="47"/>
      <c r="L531" s="76"/>
      <c r="M531" s="76"/>
      <c r="N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O531" s="77"/>
      <c r="P531" s="32"/>
      <c r="Q531" s="32"/>
      <c r="R531" s="32"/>
      <c r="S531" s="32"/>
    </row>
    <row r="532" spans="3:19" x14ac:dyDescent="0.3">
      <c r="C532" s="11"/>
      <c r="D532" s="32"/>
      <c r="E532" s="11"/>
      <c r="J532" s="15"/>
      <c r="K532" s="47"/>
      <c r="L532" s="76"/>
      <c r="M532" s="76"/>
      <c r="N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O532" s="77"/>
      <c r="P532" s="32"/>
      <c r="Q532" s="32"/>
      <c r="R532" s="32"/>
      <c r="S532" s="32"/>
    </row>
    <row r="533" spans="3:19" x14ac:dyDescent="0.3">
      <c r="C533" s="11"/>
      <c r="D533" s="32"/>
      <c r="E533" s="11"/>
      <c r="J533" s="15"/>
      <c r="K533" s="47"/>
      <c r="L533" s="76"/>
      <c r="M533" s="76"/>
      <c r="N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O533" s="77"/>
      <c r="P533" s="32"/>
      <c r="Q533" s="32"/>
      <c r="R533" s="32"/>
      <c r="S533" s="32"/>
    </row>
    <row r="534" spans="3:19" x14ac:dyDescent="0.3">
      <c r="C534" s="11"/>
      <c r="D534" s="32"/>
      <c r="E534" s="11"/>
      <c r="J534" s="15"/>
      <c r="K534" s="78"/>
      <c r="L534" s="76"/>
      <c r="M534" s="76"/>
      <c r="N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O534" s="77"/>
      <c r="P534" s="32"/>
      <c r="Q534" s="32"/>
      <c r="R534" s="32"/>
      <c r="S534" s="32"/>
    </row>
    <row r="535" spans="3:19" x14ac:dyDescent="0.3">
      <c r="C535" s="11"/>
      <c r="D535" s="32"/>
      <c r="E535" s="11"/>
      <c r="J535" s="15"/>
      <c r="K535" s="47"/>
      <c r="L535" s="76"/>
      <c r="M535" s="76"/>
      <c r="N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O535" s="77"/>
      <c r="P535" s="32"/>
      <c r="Q535" s="32"/>
      <c r="R535" s="32"/>
      <c r="S535" s="32"/>
    </row>
    <row r="536" spans="3:19" x14ac:dyDescent="0.3">
      <c r="C536" s="11"/>
      <c r="D536" s="32"/>
      <c r="E536" s="11"/>
      <c r="J536" s="15"/>
      <c r="K536" s="47"/>
      <c r="L536" s="76"/>
      <c r="M536" s="76"/>
      <c r="N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O536" s="77"/>
      <c r="P536" s="32"/>
      <c r="Q536" s="32"/>
      <c r="R536" s="32"/>
      <c r="S536" s="32"/>
    </row>
    <row r="537" spans="3:19" x14ac:dyDescent="0.3">
      <c r="C537" s="11"/>
      <c r="D537" s="32"/>
      <c r="E537" s="11"/>
      <c r="J537" s="15"/>
      <c r="K537" s="47"/>
      <c r="L537" s="76"/>
      <c r="M537" s="76"/>
      <c r="N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O537" s="77"/>
      <c r="P537" s="32"/>
      <c r="Q537" s="32"/>
      <c r="R537" s="32"/>
      <c r="S537" s="32"/>
    </row>
    <row r="538" spans="3:19" x14ac:dyDescent="0.3">
      <c r="C538" s="11"/>
      <c r="D538" s="32"/>
      <c r="E538" s="11"/>
      <c r="J538" s="15"/>
      <c r="K538" s="47"/>
      <c r="L538" s="76"/>
      <c r="M538" s="76"/>
      <c r="N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O538" s="77"/>
      <c r="P538" s="32"/>
      <c r="Q538" s="32"/>
      <c r="R538" s="32"/>
      <c r="S538" s="32"/>
    </row>
    <row r="539" spans="3:19" x14ac:dyDescent="0.3">
      <c r="C539" s="11"/>
      <c r="D539" s="32"/>
      <c r="E539" s="11"/>
      <c r="J539" s="15"/>
      <c r="K539" s="47"/>
      <c r="L539" s="76"/>
      <c r="M539" s="76"/>
      <c r="N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O539" s="77"/>
      <c r="P539" s="32"/>
      <c r="Q539" s="32"/>
      <c r="R539" s="32"/>
      <c r="S539" s="32"/>
    </row>
    <row r="540" spans="3:19" x14ac:dyDescent="0.3">
      <c r="C540" s="11"/>
      <c r="D540" s="32"/>
      <c r="E540" s="11"/>
      <c r="J540" s="15"/>
      <c r="K540" s="47"/>
      <c r="L540" s="76"/>
      <c r="M540" s="76"/>
      <c r="N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O540" s="77"/>
      <c r="P540" s="32"/>
      <c r="Q540" s="32"/>
      <c r="R540" s="32"/>
      <c r="S540" s="32"/>
    </row>
    <row r="541" spans="3:19" x14ac:dyDescent="0.3">
      <c r="C541" s="11"/>
      <c r="D541" s="32"/>
      <c r="E541" s="11"/>
      <c r="J541" s="15"/>
      <c r="K541" s="47"/>
      <c r="L541" s="76"/>
      <c r="M541" s="76"/>
      <c r="N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O541" s="77"/>
      <c r="P541" s="32"/>
      <c r="Q541" s="32"/>
      <c r="R541" s="32"/>
      <c r="S541" s="32"/>
    </row>
    <row r="542" spans="3:19" x14ac:dyDescent="0.3">
      <c r="C542" s="11"/>
      <c r="D542" s="32"/>
      <c r="E542" s="11"/>
      <c r="J542" s="15"/>
      <c r="K542" s="47"/>
      <c r="L542" s="76"/>
      <c r="M542" s="76"/>
      <c r="N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O542" s="77"/>
      <c r="P542" s="32"/>
      <c r="Q542" s="32"/>
      <c r="R542" s="32"/>
      <c r="S542" s="32"/>
    </row>
    <row r="543" spans="3:19" x14ac:dyDescent="0.3">
      <c r="C543" s="11"/>
      <c r="D543" s="32"/>
      <c r="E543" s="11"/>
      <c r="J543" s="15"/>
      <c r="K543" s="47"/>
      <c r="L543" s="76"/>
      <c r="M543" s="76"/>
      <c r="N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O543" s="77"/>
      <c r="P543" s="32"/>
      <c r="Q543" s="32"/>
      <c r="R543" s="32"/>
      <c r="S543" s="32"/>
    </row>
    <row r="544" spans="3:19" x14ac:dyDescent="0.3">
      <c r="C544" s="11"/>
      <c r="D544" s="32"/>
      <c r="E544" s="11"/>
      <c r="J544" s="15"/>
      <c r="K544" s="47"/>
      <c r="L544" s="76"/>
      <c r="M544" s="76"/>
      <c r="N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O544" s="77"/>
      <c r="P544" s="32"/>
      <c r="Q544" s="32"/>
      <c r="R544" s="32"/>
      <c r="S544" s="32"/>
    </row>
    <row r="545" spans="3:19" x14ac:dyDescent="0.3">
      <c r="C545" s="11"/>
      <c r="D545" s="32"/>
      <c r="E545" s="11"/>
      <c r="J545" s="15"/>
      <c r="K545" s="47"/>
      <c r="L545" s="76"/>
      <c r="M545" s="76"/>
      <c r="N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O545" s="77"/>
      <c r="P545" s="32"/>
      <c r="Q545" s="32"/>
      <c r="R545" s="32"/>
      <c r="S545" s="32"/>
    </row>
    <row r="546" spans="3:19" x14ac:dyDescent="0.3">
      <c r="C546" s="11"/>
      <c r="D546" s="32"/>
      <c r="E546" s="11"/>
      <c r="J546" s="15"/>
      <c r="K546" s="47"/>
      <c r="L546" s="76"/>
      <c r="M546" s="76"/>
      <c r="N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O546" s="77"/>
      <c r="P546" s="32"/>
      <c r="Q546" s="32"/>
      <c r="R546" s="32"/>
      <c r="S546" s="32"/>
    </row>
    <row r="547" spans="3:19" x14ac:dyDescent="0.3">
      <c r="C547" s="11"/>
      <c r="D547" s="32"/>
      <c r="E547" s="11"/>
      <c r="J547" s="15"/>
      <c r="K547" s="47"/>
      <c r="L547" s="76"/>
      <c r="M547" s="76"/>
      <c r="N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O547" s="77"/>
      <c r="P547" s="32"/>
      <c r="Q547" s="32"/>
      <c r="R547" s="32"/>
      <c r="S547" s="32"/>
    </row>
    <row r="548" spans="3:19" x14ac:dyDescent="0.3">
      <c r="C548" s="11"/>
      <c r="D548" s="32"/>
      <c r="E548" s="11"/>
      <c r="J548" s="15"/>
      <c r="K548" s="47"/>
      <c r="L548" s="76"/>
      <c r="M548" s="76"/>
      <c r="N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O548" s="77"/>
      <c r="P548" s="32"/>
      <c r="Q548" s="32"/>
      <c r="R548" s="32"/>
      <c r="S548" s="32"/>
    </row>
    <row r="549" spans="3:19" x14ac:dyDescent="0.3">
      <c r="C549" s="11"/>
      <c r="D549" s="32"/>
      <c r="E549" s="11"/>
      <c r="J549" s="15"/>
      <c r="K549" s="47"/>
      <c r="L549" s="76"/>
      <c r="M549" s="76"/>
      <c r="N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O549" s="77"/>
      <c r="P549" s="32"/>
      <c r="Q549" s="32"/>
      <c r="R549" s="32"/>
      <c r="S549" s="32"/>
    </row>
    <row r="550" spans="3:19" x14ac:dyDescent="0.3">
      <c r="C550" s="11"/>
      <c r="D550" s="32"/>
      <c r="E550" s="11"/>
      <c r="J550" s="15"/>
      <c r="K550" s="47"/>
      <c r="L550" s="76"/>
      <c r="M550" s="76"/>
      <c r="N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O550" s="77"/>
      <c r="P550" s="32"/>
      <c r="Q550" s="32"/>
      <c r="R550" s="32"/>
      <c r="S550" s="32"/>
    </row>
    <row r="551" spans="3:19" x14ac:dyDescent="0.3">
      <c r="C551" s="11"/>
      <c r="D551" s="32"/>
      <c r="E551" s="11"/>
      <c r="J551" s="15"/>
      <c r="K551" s="47"/>
      <c r="L551" s="76"/>
      <c r="M551" s="76"/>
      <c r="N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O551" s="77"/>
      <c r="P551" s="32"/>
      <c r="Q551" s="32"/>
      <c r="R551" s="32"/>
      <c r="S551" s="32"/>
    </row>
    <row r="552" spans="3:19" x14ac:dyDescent="0.3">
      <c r="C552" s="11"/>
      <c r="D552" s="32"/>
      <c r="E552" s="11"/>
      <c r="J552" s="15"/>
      <c r="K552" s="47"/>
      <c r="L552" s="76"/>
      <c r="M552" s="76"/>
      <c r="N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O552" s="77"/>
      <c r="P552" s="32"/>
      <c r="Q552" s="32"/>
      <c r="R552" s="32"/>
      <c r="S552" s="32"/>
    </row>
    <row r="553" spans="3:19" x14ac:dyDescent="0.3">
      <c r="C553" s="11"/>
      <c r="D553" s="32"/>
      <c r="E553" s="11"/>
      <c r="J553" s="15"/>
      <c r="K553" s="47"/>
      <c r="L553" s="76"/>
      <c r="M553" s="76"/>
      <c r="N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O553" s="77"/>
      <c r="P553" s="32"/>
      <c r="Q553" s="32"/>
      <c r="R553" s="32"/>
      <c r="S553" s="32"/>
    </row>
    <row r="554" spans="3:19" x14ac:dyDescent="0.3">
      <c r="C554" s="11"/>
      <c r="D554" s="32"/>
      <c r="E554" s="11"/>
      <c r="J554" s="15"/>
      <c r="K554" s="47"/>
      <c r="L554" s="76"/>
      <c r="M554" s="76"/>
      <c r="N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O554" s="77"/>
      <c r="P554" s="32"/>
      <c r="Q554" s="32"/>
      <c r="R554" s="32"/>
      <c r="S554" s="32"/>
    </row>
    <row r="555" spans="3:19" x14ac:dyDescent="0.3">
      <c r="C555" s="11"/>
      <c r="D555" s="32"/>
      <c r="E555" s="11"/>
      <c r="J555" s="15"/>
      <c r="K555" s="47"/>
      <c r="L555" s="76"/>
      <c r="M555" s="76"/>
      <c r="N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O555" s="77"/>
      <c r="P555" s="32"/>
      <c r="Q555" s="32"/>
      <c r="R555" s="32"/>
      <c r="S555" s="32"/>
    </row>
    <row r="556" spans="3:19" x14ac:dyDescent="0.3">
      <c r="C556" s="11"/>
      <c r="D556" s="32"/>
      <c r="E556" s="11"/>
      <c r="J556" s="15"/>
      <c r="K556" s="47"/>
      <c r="L556" s="76"/>
      <c r="M556" s="76"/>
      <c r="N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O556" s="77"/>
      <c r="P556" s="32"/>
      <c r="Q556" s="32"/>
      <c r="R556" s="32"/>
      <c r="S556" s="32"/>
    </row>
    <row r="557" spans="3:19" x14ac:dyDescent="0.3">
      <c r="C557" s="11"/>
      <c r="D557" s="32"/>
      <c r="E557" s="11"/>
      <c r="J557" s="15"/>
      <c r="K557" s="47"/>
      <c r="L557" s="76"/>
      <c r="M557" s="76"/>
      <c r="N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O557" s="77"/>
      <c r="P557" s="32"/>
      <c r="Q557" s="32"/>
      <c r="R557" s="32"/>
      <c r="S557" s="32"/>
    </row>
    <row r="558" spans="3:19" x14ac:dyDescent="0.3">
      <c r="C558" s="11"/>
      <c r="D558" s="32"/>
      <c r="E558" s="11"/>
      <c r="J558" s="15"/>
      <c r="K558" s="47"/>
      <c r="L558" s="76"/>
      <c r="M558" s="76"/>
      <c r="N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O558" s="77"/>
      <c r="P558" s="32"/>
      <c r="Q558" s="32"/>
      <c r="R558" s="32"/>
      <c r="S558" s="32"/>
    </row>
    <row r="559" spans="3:19" x14ac:dyDescent="0.3">
      <c r="C559" s="11"/>
      <c r="D559" s="32"/>
      <c r="E559" s="11"/>
      <c r="J559" s="15"/>
      <c r="K559" s="47"/>
      <c r="L559" s="76"/>
      <c r="M559" s="76"/>
      <c r="N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O559" s="77"/>
      <c r="P559" s="32"/>
      <c r="Q559" s="32"/>
      <c r="R559" s="32"/>
      <c r="S559" s="32"/>
    </row>
    <row r="560" spans="3:19" x14ac:dyDescent="0.3">
      <c r="C560" s="11"/>
      <c r="D560" s="32"/>
      <c r="E560" s="11"/>
      <c r="J560" s="15"/>
      <c r="K560" s="47"/>
      <c r="L560" s="76"/>
      <c r="M560" s="76"/>
      <c r="N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O560" s="77"/>
      <c r="P560" s="32"/>
      <c r="Q560" s="32"/>
      <c r="R560" s="32"/>
      <c r="S560" s="32"/>
    </row>
    <row r="561" spans="3:19" x14ac:dyDescent="0.3">
      <c r="C561" s="11"/>
      <c r="D561" s="32"/>
      <c r="E561" s="11"/>
      <c r="J561" s="15"/>
      <c r="K561" s="47"/>
      <c r="L561" s="76"/>
      <c r="M561" s="76"/>
      <c r="N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O561" s="77"/>
      <c r="P561" s="32"/>
      <c r="Q561" s="32"/>
      <c r="R561" s="32"/>
      <c r="S561" s="32"/>
    </row>
    <row r="562" spans="3:19" x14ac:dyDescent="0.3">
      <c r="C562" s="11"/>
      <c r="D562" s="32"/>
      <c r="E562" s="11"/>
      <c r="J562" s="15"/>
      <c r="K562" s="47"/>
      <c r="L562" s="76"/>
      <c r="M562" s="76"/>
      <c r="N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O562" s="77"/>
      <c r="P562" s="32"/>
      <c r="Q562" s="32"/>
      <c r="R562" s="32"/>
      <c r="S562" s="32"/>
    </row>
    <row r="563" spans="3:19" x14ac:dyDescent="0.3">
      <c r="C563" s="11"/>
      <c r="D563" s="32"/>
      <c r="E563" s="11"/>
      <c r="J563" s="15"/>
      <c r="K563" s="47"/>
      <c r="L563" s="76"/>
      <c r="M563" s="76"/>
      <c r="N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O563" s="77"/>
      <c r="P563" s="32"/>
      <c r="Q563" s="32"/>
      <c r="R563" s="32"/>
      <c r="S563" s="32"/>
    </row>
    <row r="564" spans="3:19" x14ac:dyDescent="0.3">
      <c r="C564" s="11"/>
      <c r="D564" s="32"/>
      <c r="E564" s="11"/>
      <c r="J564" s="15"/>
      <c r="K564" s="47"/>
      <c r="L564" s="76"/>
      <c r="M564" s="76"/>
      <c r="N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O564" s="77"/>
      <c r="P564" s="32"/>
      <c r="Q564" s="32"/>
      <c r="R564" s="32"/>
      <c r="S564" s="32"/>
    </row>
    <row r="565" spans="3:19" x14ac:dyDescent="0.3">
      <c r="C565" s="11"/>
      <c r="D565" s="32"/>
      <c r="E565" s="11"/>
      <c r="J565" s="15"/>
      <c r="K565" s="47"/>
      <c r="L565" s="76"/>
      <c r="M565" s="76"/>
      <c r="N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O565" s="77"/>
      <c r="P565" s="32"/>
      <c r="Q565" s="32"/>
      <c r="R565" s="32"/>
      <c r="S565" s="32"/>
    </row>
    <row r="566" spans="3:19" x14ac:dyDescent="0.3">
      <c r="C566" s="11"/>
      <c r="D566" s="32"/>
      <c r="E566" s="11"/>
      <c r="J566" s="15"/>
      <c r="K566" s="47"/>
      <c r="L566" s="76"/>
      <c r="M566" s="76"/>
      <c r="N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O566" s="77"/>
      <c r="P566" s="32"/>
      <c r="Q566" s="32"/>
      <c r="R566" s="32"/>
      <c r="S566" s="32"/>
    </row>
    <row r="567" spans="3:19" x14ac:dyDescent="0.3">
      <c r="C567" s="11"/>
      <c r="D567" s="32"/>
      <c r="E567" s="11"/>
      <c r="J567" s="15"/>
      <c r="K567" s="47"/>
      <c r="L567" s="76"/>
      <c r="M567" s="76"/>
      <c r="N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O567" s="77"/>
      <c r="P567" s="32"/>
      <c r="Q567" s="32"/>
      <c r="R567" s="32"/>
      <c r="S567" s="32"/>
    </row>
    <row r="568" spans="3:19" x14ac:dyDescent="0.3">
      <c r="C568" s="11"/>
      <c r="D568" s="32"/>
      <c r="E568" s="11"/>
      <c r="J568" s="15"/>
      <c r="K568" s="47"/>
      <c r="L568" s="76"/>
      <c r="M568" s="76"/>
      <c r="N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O568" s="77"/>
      <c r="P568" s="32"/>
      <c r="Q568" s="32"/>
      <c r="R568" s="32"/>
      <c r="S568" s="32"/>
    </row>
    <row r="569" spans="3:19" x14ac:dyDescent="0.3">
      <c r="C569" s="11"/>
      <c r="D569" s="32"/>
      <c r="E569" s="11"/>
      <c r="J569" s="15"/>
      <c r="K569" s="47"/>
      <c r="L569" s="76"/>
      <c r="M569" s="76"/>
      <c r="N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O569" s="77"/>
      <c r="P569" s="32"/>
      <c r="Q569" s="32"/>
      <c r="R569" s="32"/>
      <c r="S569" s="32"/>
    </row>
    <row r="570" spans="3:19" x14ac:dyDescent="0.3">
      <c r="C570" s="11"/>
      <c r="D570" s="32"/>
      <c r="E570" s="11"/>
      <c r="J570" s="15"/>
      <c r="K570" s="47"/>
      <c r="L570" s="76"/>
      <c r="M570" s="76"/>
      <c r="N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O570" s="77"/>
      <c r="P570" s="32"/>
      <c r="Q570" s="32"/>
      <c r="R570" s="32"/>
      <c r="S570" s="32"/>
    </row>
    <row r="571" spans="3:19" x14ac:dyDescent="0.3">
      <c r="C571" s="11"/>
      <c r="D571" s="32"/>
      <c r="E571" s="11"/>
      <c r="J571" s="15"/>
      <c r="K571" s="47"/>
      <c r="L571" s="76"/>
      <c r="M571" s="76"/>
      <c r="N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O571" s="77"/>
      <c r="P571" s="32"/>
      <c r="Q571" s="32"/>
      <c r="R571" s="32"/>
      <c r="S571" s="32"/>
    </row>
    <row r="572" spans="3:19" x14ac:dyDescent="0.3">
      <c r="C572" s="11"/>
      <c r="D572" s="32"/>
      <c r="E572" s="11"/>
      <c r="J572" s="15"/>
      <c r="K572" s="47"/>
      <c r="L572" s="76"/>
      <c r="M572" s="76"/>
      <c r="N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O572" s="77"/>
      <c r="P572" s="32"/>
      <c r="Q572" s="32"/>
      <c r="R572" s="32"/>
      <c r="S572" s="32"/>
    </row>
    <row r="573" spans="3:19" x14ac:dyDescent="0.3">
      <c r="C573" s="11"/>
      <c r="D573" s="32"/>
      <c r="E573" s="11"/>
      <c r="J573" s="15"/>
      <c r="K573" s="47"/>
      <c r="L573" s="76"/>
      <c r="M573" s="76"/>
      <c r="N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O573" s="77"/>
      <c r="P573" s="32"/>
      <c r="Q573" s="32"/>
      <c r="R573" s="32"/>
      <c r="S573" s="32"/>
    </row>
    <row r="574" spans="3:19" x14ac:dyDescent="0.3">
      <c r="C574" s="11"/>
      <c r="D574" s="32"/>
      <c r="E574" s="11"/>
      <c r="J574" s="15"/>
      <c r="K574" s="47"/>
      <c r="L574" s="76"/>
      <c r="M574" s="76"/>
      <c r="N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O574" s="77"/>
      <c r="P574" s="32"/>
      <c r="Q574" s="32"/>
      <c r="R574" s="32"/>
      <c r="S574" s="32"/>
    </row>
    <row r="575" spans="3:19" x14ac:dyDescent="0.3">
      <c r="C575" s="11"/>
      <c r="D575" s="32"/>
      <c r="E575" s="11"/>
      <c r="J575" s="15"/>
      <c r="K575" s="47"/>
      <c r="L575" s="76"/>
      <c r="M575" s="76"/>
      <c r="N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O575" s="77"/>
      <c r="P575" s="32"/>
      <c r="Q575" s="32"/>
      <c r="R575" s="32"/>
      <c r="S575" s="32"/>
    </row>
    <row r="576" spans="3:19" x14ac:dyDescent="0.3">
      <c r="C576" s="11"/>
      <c r="D576" s="32"/>
      <c r="E576" s="11"/>
      <c r="J576" s="15"/>
      <c r="K576" s="47"/>
      <c r="L576" s="76"/>
      <c r="M576" s="76"/>
      <c r="N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O576" s="77"/>
      <c r="P576" s="32"/>
      <c r="Q576" s="32"/>
      <c r="R576" s="32"/>
      <c r="S576" s="32"/>
    </row>
    <row r="577" spans="3:19" x14ac:dyDescent="0.3">
      <c r="C577" s="11"/>
      <c r="D577" s="32"/>
      <c r="E577" s="11"/>
      <c r="J577" s="15"/>
      <c r="K577" s="47"/>
      <c r="L577" s="76"/>
      <c r="M577" s="76"/>
      <c r="N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O577" s="77"/>
      <c r="P577" s="32"/>
      <c r="Q577" s="32"/>
      <c r="R577" s="32"/>
      <c r="S577" s="32"/>
    </row>
    <row r="578" spans="3:19" x14ac:dyDescent="0.3">
      <c r="C578" s="11"/>
      <c r="D578" s="32"/>
      <c r="E578" s="11"/>
      <c r="J578" s="15"/>
      <c r="K578" s="47"/>
      <c r="L578" s="76"/>
      <c r="M578" s="76"/>
      <c r="N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O578" s="77"/>
      <c r="P578" s="32"/>
      <c r="Q578" s="32"/>
      <c r="R578" s="32"/>
      <c r="S578" s="32"/>
    </row>
    <row r="579" spans="3:19" x14ac:dyDescent="0.3">
      <c r="C579" s="11"/>
      <c r="D579" s="32"/>
      <c r="E579" s="11"/>
      <c r="J579" s="15"/>
      <c r="K579" s="47"/>
      <c r="L579" s="76"/>
      <c r="M579" s="76"/>
      <c r="N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O579" s="77"/>
      <c r="P579" s="32"/>
      <c r="Q579" s="32"/>
      <c r="R579" s="32"/>
      <c r="S579" s="32"/>
    </row>
    <row r="580" spans="3:19" x14ac:dyDescent="0.3">
      <c r="C580" s="11"/>
      <c r="D580" s="32"/>
      <c r="E580" s="11"/>
      <c r="J580" s="15"/>
      <c r="K580" s="47"/>
      <c r="L580" s="76"/>
      <c r="M580" s="76"/>
      <c r="N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O580" s="77"/>
      <c r="P580" s="32"/>
      <c r="Q580" s="32"/>
      <c r="R580" s="32"/>
      <c r="S580" s="32"/>
    </row>
    <row r="581" spans="3:19" x14ac:dyDescent="0.3">
      <c r="C581" s="11"/>
      <c r="D581" s="32"/>
      <c r="E581" s="11"/>
      <c r="J581" s="15"/>
      <c r="K581" s="47"/>
      <c r="L581" s="76"/>
      <c r="M581" s="76"/>
      <c r="N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O581" s="77"/>
      <c r="P581" s="32"/>
      <c r="Q581" s="32"/>
      <c r="R581" s="32"/>
      <c r="S581" s="32"/>
    </row>
    <row r="582" spans="3:19" x14ac:dyDescent="0.3">
      <c r="C582" s="11"/>
      <c r="D582" s="32"/>
      <c r="E582" s="11"/>
      <c r="J582" s="15"/>
      <c r="K582" s="47"/>
      <c r="L582" s="76"/>
      <c r="M582" s="76"/>
      <c r="N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O582" s="77"/>
      <c r="P582" s="32"/>
      <c r="Q582" s="32"/>
      <c r="R582" s="32"/>
      <c r="S582" s="32"/>
    </row>
    <row r="583" spans="3:19" x14ac:dyDescent="0.3">
      <c r="C583" s="11"/>
      <c r="D583" s="32"/>
      <c r="E583" s="11"/>
      <c r="J583" s="15"/>
      <c r="K583" s="47"/>
      <c r="L583" s="76"/>
      <c r="M583" s="76"/>
      <c r="N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O583" s="77"/>
      <c r="P583" s="32"/>
      <c r="Q583" s="32"/>
      <c r="R583" s="32"/>
      <c r="S583" s="32"/>
    </row>
    <row r="584" spans="3:19" x14ac:dyDescent="0.3">
      <c r="C584" s="11"/>
      <c r="D584" s="32"/>
      <c r="E584" s="11"/>
      <c r="J584" s="15"/>
      <c r="K584" s="47"/>
      <c r="L584" s="76"/>
      <c r="M584" s="76"/>
      <c r="N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O584" s="77"/>
      <c r="P584" s="32"/>
      <c r="Q584" s="32"/>
      <c r="R584" s="32"/>
      <c r="S584" s="32"/>
    </row>
    <row r="585" spans="3:19" x14ac:dyDescent="0.3">
      <c r="C585" s="11"/>
      <c r="D585" s="32"/>
      <c r="E585" s="11"/>
      <c r="J585" s="15"/>
      <c r="K585" s="47"/>
      <c r="L585" s="76"/>
      <c r="M585" s="76"/>
      <c r="N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O585" s="77"/>
      <c r="P585" s="32"/>
      <c r="Q585" s="32"/>
      <c r="R585" s="32"/>
      <c r="S585" s="32"/>
    </row>
    <row r="586" spans="3:19" x14ac:dyDescent="0.3">
      <c r="C586" s="11"/>
      <c r="D586" s="32"/>
      <c r="E586" s="11"/>
      <c r="J586" s="15"/>
      <c r="K586" s="47"/>
      <c r="L586" s="76"/>
      <c r="M586" s="76"/>
      <c r="N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O586" s="77"/>
      <c r="P586" s="32"/>
      <c r="Q586" s="32"/>
      <c r="R586" s="32"/>
      <c r="S586" s="32"/>
    </row>
    <row r="587" spans="3:19" x14ac:dyDescent="0.3">
      <c r="C587" s="11"/>
      <c r="D587" s="32"/>
      <c r="E587" s="11"/>
      <c r="J587" s="15"/>
      <c r="K587" s="47"/>
      <c r="L587" s="76"/>
      <c r="M587" s="76"/>
      <c r="N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O587" s="77"/>
      <c r="P587" s="32"/>
      <c r="Q587" s="32"/>
      <c r="R587" s="32"/>
      <c r="S587" s="32"/>
    </row>
    <row r="588" spans="3:19" x14ac:dyDescent="0.3">
      <c r="C588" s="11"/>
      <c r="D588" s="32"/>
      <c r="E588" s="11"/>
      <c r="J588" s="15"/>
      <c r="K588" s="47"/>
      <c r="L588" s="76"/>
      <c r="M588" s="76"/>
      <c r="N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O588" s="77"/>
      <c r="P588" s="32"/>
      <c r="Q588" s="32"/>
      <c r="R588" s="32"/>
      <c r="S588" s="32"/>
    </row>
    <row r="589" spans="3:19" x14ac:dyDescent="0.3">
      <c r="C589" s="11"/>
      <c r="D589" s="32"/>
      <c r="E589" s="11"/>
      <c r="J589" s="15"/>
      <c r="K589" s="47"/>
      <c r="L589" s="76"/>
      <c r="M589" s="76"/>
      <c r="N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O589" s="77"/>
      <c r="P589" s="32"/>
      <c r="Q589" s="32"/>
      <c r="R589" s="32"/>
      <c r="S589" s="32"/>
    </row>
    <row r="590" spans="3:19" x14ac:dyDescent="0.3">
      <c r="C590" s="11"/>
      <c r="D590" s="32"/>
      <c r="E590" s="11"/>
      <c r="J590" s="15"/>
      <c r="K590" s="47"/>
      <c r="L590" s="76"/>
      <c r="M590" s="76"/>
      <c r="N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O590" s="77"/>
      <c r="P590" s="32"/>
      <c r="Q590" s="32"/>
      <c r="R590" s="32"/>
      <c r="S590" s="32"/>
    </row>
    <row r="591" spans="3:19" x14ac:dyDescent="0.3">
      <c r="C591" s="11"/>
      <c r="D591" s="32"/>
      <c r="E591" s="11"/>
      <c r="J591" s="15"/>
      <c r="K591" s="47"/>
      <c r="L591" s="76"/>
      <c r="M591" s="76"/>
      <c r="N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O591" s="77"/>
      <c r="P591" s="32"/>
      <c r="Q591" s="32"/>
      <c r="R591" s="32"/>
      <c r="S591" s="32"/>
    </row>
    <row r="592" spans="3:19" x14ac:dyDescent="0.3">
      <c r="C592" s="11"/>
      <c r="D592" s="32"/>
      <c r="E592" s="11"/>
      <c r="J592" s="15"/>
      <c r="K592" s="47"/>
      <c r="L592" s="76"/>
      <c r="M592" s="76"/>
      <c r="N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O592" s="77"/>
      <c r="P592" s="32"/>
      <c r="Q592" s="32"/>
      <c r="R592" s="32"/>
      <c r="S592" s="32"/>
    </row>
    <row r="593" spans="3:19" x14ac:dyDescent="0.3">
      <c r="C593" s="11"/>
      <c r="D593" s="32"/>
      <c r="E593" s="11"/>
      <c r="J593" s="15"/>
      <c r="K593" s="47"/>
      <c r="L593" s="76"/>
      <c r="M593" s="76"/>
      <c r="N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O593" s="77"/>
      <c r="P593" s="32"/>
      <c r="Q593" s="32"/>
      <c r="R593" s="32"/>
      <c r="S593" s="32"/>
    </row>
    <row r="594" spans="3:19" x14ac:dyDescent="0.3">
      <c r="C594" s="11"/>
      <c r="D594" s="32"/>
      <c r="E594" s="11"/>
      <c r="J594" s="15"/>
      <c r="K594" s="47"/>
      <c r="L594" s="76"/>
      <c r="M594" s="76"/>
      <c r="N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O594" s="77"/>
      <c r="P594" s="32"/>
      <c r="Q594" s="32"/>
      <c r="R594" s="32"/>
      <c r="S594" s="32"/>
    </row>
    <row r="595" spans="3:19" x14ac:dyDescent="0.3">
      <c r="C595" s="11"/>
      <c r="D595" s="32"/>
      <c r="E595" s="11"/>
      <c r="J595" s="15"/>
      <c r="K595" s="47"/>
      <c r="L595" s="76"/>
      <c r="M595" s="76"/>
      <c r="N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O595" s="77"/>
      <c r="P595" s="32"/>
      <c r="Q595" s="32"/>
      <c r="R595" s="32"/>
      <c r="S595" s="32"/>
    </row>
    <row r="596" spans="3:19" x14ac:dyDescent="0.3">
      <c r="C596" s="11"/>
      <c r="D596" s="32"/>
      <c r="E596" s="11"/>
      <c r="J596" s="15"/>
      <c r="K596" s="47"/>
      <c r="L596" s="76"/>
      <c r="M596" s="76"/>
      <c r="N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O596" s="77"/>
      <c r="P596" s="32"/>
      <c r="Q596" s="32"/>
      <c r="R596" s="32"/>
      <c r="S596" s="32"/>
    </row>
    <row r="597" spans="3:19" x14ac:dyDescent="0.3">
      <c r="C597" s="11"/>
      <c r="D597" s="32"/>
      <c r="E597" s="11"/>
      <c r="J597" s="15"/>
      <c r="K597" s="47"/>
      <c r="L597" s="76"/>
      <c r="M597" s="76"/>
      <c r="N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O597" s="77"/>
      <c r="P597" s="32"/>
      <c r="Q597" s="32"/>
      <c r="R597" s="32"/>
      <c r="S597" s="32"/>
    </row>
    <row r="598" spans="3:19" x14ac:dyDescent="0.3">
      <c r="C598" s="11"/>
      <c r="D598" s="32"/>
      <c r="E598" s="11"/>
      <c r="J598" s="15"/>
      <c r="K598" s="47"/>
      <c r="L598" s="76"/>
      <c r="M598" s="76"/>
      <c r="N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O598" s="77"/>
      <c r="P598" s="32"/>
      <c r="Q598" s="32"/>
      <c r="R598" s="32"/>
      <c r="S598" s="32"/>
    </row>
    <row r="599" spans="3:19" x14ac:dyDescent="0.3">
      <c r="C599" s="11"/>
      <c r="D599" s="32"/>
      <c r="E599" s="11"/>
      <c r="J599" s="15"/>
      <c r="K599" s="47"/>
      <c r="L599" s="76"/>
      <c r="M599" s="76"/>
      <c r="N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O599" s="77"/>
      <c r="P599" s="32"/>
      <c r="Q599" s="32"/>
      <c r="R599" s="32"/>
      <c r="S599" s="32"/>
    </row>
    <row r="600" spans="3:19" x14ac:dyDescent="0.3">
      <c r="C600" s="11"/>
      <c r="D600" s="32"/>
      <c r="E600" s="11"/>
      <c r="J600" s="15"/>
      <c r="K600" s="47"/>
      <c r="L600" s="76"/>
      <c r="M600" s="76"/>
      <c r="N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O600" s="77"/>
      <c r="P600" s="32"/>
      <c r="Q600" s="32"/>
      <c r="R600" s="32"/>
      <c r="S600" s="32"/>
    </row>
    <row r="601" spans="3:19" x14ac:dyDescent="0.3">
      <c r="C601" s="11"/>
      <c r="D601" s="32"/>
      <c r="E601" s="11"/>
      <c r="J601" s="15"/>
      <c r="K601" s="47"/>
      <c r="L601" s="76"/>
      <c r="M601" s="76"/>
      <c r="N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O601" s="77"/>
      <c r="P601" s="32"/>
      <c r="Q601" s="32"/>
      <c r="R601" s="32"/>
      <c r="S601" s="32"/>
    </row>
    <row r="602" spans="3:19" x14ac:dyDescent="0.3">
      <c r="C602" s="11"/>
      <c r="D602" s="32"/>
      <c r="E602" s="11"/>
      <c r="J602" s="15"/>
      <c r="K602" s="47"/>
      <c r="L602" s="76"/>
      <c r="M602" s="76"/>
      <c r="N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O602" s="77"/>
      <c r="P602" s="32"/>
      <c r="Q602" s="32"/>
      <c r="R602" s="32"/>
      <c r="S602" s="32"/>
    </row>
    <row r="603" spans="3:19" x14ac:dyDescent="0.3">
      <c r="C603" s="11"/>
      <c r="D603" s="32"/>
      <c r="E603" s="11"/>
      <c r="J603" s="15"/>
      <c r="K603" s="47"/>
      <c r="L603" s="76"/>
      <c r="M603" s="76"/>
      <c r="N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O603" s="77"/>
      <c r="P603" s="32"/>
      <c r="Q603" s="32"/>
      <c r="R603" s="32"/>
      <c r="S603" s="32"/>
    </row>
    <row r="604" spans="3:19" x14ac:dyDescent="0.3">
      <c r="C604" s="11"/>
      <c r="D604" s="32"/>
      <c r="E604" s="11"/>
      <c r="J604" s="15"/>
      <c r="K604" s="47"/>
      <c r="L604" s="76"/>
      <c r="M604" s="76"/>
      <c r="N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O604" s="77"/>
      <c r="P604" s="32"/>
      <c r="Q604" s="32"/>
      <c r="R604" s="32"/>
      <c r="S604" s="32"/>
    </row>
    <row r="605" spans="3:19" x14ac:dyDescent="0.3">
      <c r="C605" s="11"/>
      <c r="D605" s="32"/>
      <c r="E605" s="11"/>
      <c r="J605" s="15"/>
      <c r="K605" s="47"/>
      <c r="L605" s="76"/>
      <c r="M605" s="76"/>
      <c r="N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O605" s="77"/>
      <c r="P605" s="32"/>
      <c r="Q605" s="32"/>
      <c r="R605" s="32"/>
      <c r="S605" s="32"/>
    </row>
    <row r="606" spans="3:19" x14ac:dyDescent="0.3">
      <c r="C606" s="11"/>
      <c r="D606" s="32"/>
      <c r="E606" s="11"/>
      <c r="J606" s="15"/>
      <c r="K606" s="47"/>
      <c r="L606" s="76"/>
      <c r="M606" s="76"/>
      <c r="N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O606" s="77"/>
      <c r="P606" s="32"/>
      <c r="Q606" s="32"/>
      <c r="R606" s="32"/>
      <c r="S606" s="32"/>
    </row>
    <row r="607" spans="3:19" x14ac:dyDescent="0.3">
      <c r="C607" s="11"/>
      <c r="D607" s="32"/>
      <c r="E607" s="11"/>
      <c r="J607" s="15"/>
      <c r="K607" s="47"/>
      <c r="L607" s="76"/>
      <c r="M607" s="76"/>
      <c r="N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O607" s="77"/>
      <c r="P607" s="32"/>
      <c r="Q607" s="32"/>
      <c r="R607" s="32"/>
      <c r="S607" s="32"/>
    </row>
    <row r="608" spans="3:19" x14ac:dyDescent="0.3">
      <c r="C608" s="11"/>
      <c r="D608" s="32"/>
      <c r="E608" s="11"/>
      <c r="J608" s="15"/>
      <c r="K608" s="47"/>
      <c r="L608" s="76"/>
      <c r="M608" s="76"/>
      <c r="N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O608" s="77"/>
      <c r="P608" s="32"/>
      <c r="Q608" s="32"/>
      <c r="R608" s="32"/>
      <c r="S608" s="32"/>
    </row>
    <row r="609" spans="3:19" x14ac:dyDescent="0.3">
      <c r="C609" s="11"/>
      <c r="D609" s="32"/>
      <c r="E609" s="11"/>
      <c r="J609" s="15"/>
      <c r="K609" s="47"/>
      <c r="L609" s="76"/>
      <c r="M609" s="76"/>
      <c r="N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O609" s="77"/>
      <c r="P609" s="32"/>
      <c r="Q609" s="32"/>
      <c r="R609" s="32"/>
      <c r="S609" s="32"/>
    </row>
    <row r="610" spans="3:19" x14ac:dyDescent="0.3">
      <c r="C610" s="11"/>
      <c r="D610" s="32"/>
      <c r="E610" s="11"/>
      <c r="J610" s="15"/>
      <c r="K610" s="47"/>
      <c r="L610" s="76"/>
      <c r="M610" s="76"/>
      <c r="N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O610" s="77"/>
      <c r="P610" s="32"/>
      <c r="Q610" s="32"/>
      <c r="R610" s="32"/>
      <c r="S610" s="32"/>
    </row>
    <row r="611" spans="3:19" x14ac:dyDescent="0.3">
      <c r="C611" s="11"/>
      <c r="D611" s="32"/>
      <c r="E611" s="11"/>
      <c r="J611" s="15"/>
      <c r="K611" s="47"/>
      <c r="L611" s="76"/>
      <c r="M611" s="76"/>
      <c r="N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O611" s="77"/>
      <c r="P611" s="32"/>
      <c r="Q611" s="32"/>
      <c r="R611" s="32"/>
      <c r="S611" s="32"/>
    </row>
    <row r="612" spans="3:19" x14ac:dyDescent="0.3">
      <c r="C612" s="11"/>
    </row>
    <row r="613" spans="3:19" x14ac:dyDescent="0.3">
      <c r="C613" s="11"/>
    </row>
    <row r="614" spans="3:19" x14ac:dyDescent="0.3">
      <c r="C614" s="11"/>
    </row>
    <row r="615" spans="3:19" x14ac:dyDescent="0.3">
      <c r="C615" s="11"/>
    </row>
    <row r="616" spans="3:19" x14ac:dyDescent="0.3">
      <c r="C616" s="11"/>
    </row>
    <row r="617" spans="3:19" x14ac:dyDescent="0.3">
      <c r="C617" s="11"/>
    </row>
    <row r="618" spans="3:19" x14ac:dyDescent="0.3">
      <c r="C618" s="11"/>
    </row>
  </sheetData>
  <dataValidations count="9">
    <dataValidation type="list" allowBlank="1" showInputMessage="1" showErrorMessage="1" sqref="E2:E203" xr:uid="{B19C0DD8-B4D7-4512-8391-00C2E9156A21}">
      <formula1>$AE$1:$AL$1</formula1>
    </dataValidation>
    <dataValidation type="list" allowBlank="1" showInputMessage="1" showErrorMessage="1" sqref="R2:R611" xr:uid="{1F7DD2D5-BAFA-498D-87E5-953EB39E0C6C}">
      <formula1>$Y$2:$Y$4</formula1>
    </dataValidation>
    <dataValidation type="whole" allowBlank="1" showInputMessage="1" showErrorMessage="1" sqref="D2:D139" xr:uid="{0836D4B1-2275-43B5-8CC3-ED5AC912E875}">
      <formula1>1</formula1>
      <formula2>100</formula2>
    </dataValidation>
    <dataValidation type="list" allowBlank="1" showInputMessage="1" promptTitle="Guia" prompt="Si tiene dudas sobre que dato colocar consulte las siguientes tablas y no olvide revisar los comentarios_x000a__x000a_" sqref="F2:I139" xr:uid="{9FE9F094-E4A1-451E-9EDA-D55ED7BCA490}">
      <formula1>INDIRECT($E$2:$E$611)</formula1>
    </dataValidation>
    <dataValidation type="list" allowBlank="1" showInputMessage="1" showErrorMessage="1" sqref="Q2:Q611" xr:uid="{905FF36C-D1E6-480D-A3FD-6C3407A9AF85}">
      <formula1>$AA$10:$AA$12</formula1>
    </dataValidation>
    <dataValidation allowBlank="1" showInputMessage="1" showErrorMessage="1" sqref="D140:D618" xr:uid="{DEEF8528-E9D8-43FB-BADB-3EA3D7B157B2}"/>
    <dataValidation type="list" allowBlank="1" showInputMessage="1" promptTitle="Guia" prompt="puede realizar Las siguientes opciones_x000a_si eligio electricos tiene las siguientes opciones de una posible sublista_x000a_" sqref="F140:I613" xr:uid="{0B5BD6B6-C745-434D-B95A-603EEBFB5EFD}">
      <formula1>INDIRECT($E$2:$E$611)</formula1>
    </dataValidation>
    <dataValidation type="list" allowBlank="1" showInputMessage="1" showErrorMessage="1" sqref="C2:C618" xr:uid="{967406C6-301C-4BDA-B83A-A1ACA9316E44}">
      <formula1>$V$2:$V$12</formula1>
    </dataValidation>
    <dataValidation type="list" allowBlank="1" showInputMessage="1" showErrorMessage="1" sqref="E204:E615" xr:uid="{EC2C79D7-EBE6-41C8-83F3-0F888E620329}">
      <formula1>$AB$2:$AB$7</formula1>
    </dataValidation>
  </dataValidations>
  <pageMargins left="0.7" right="0.7" top="0.75" bottom="0.75" header="0.3" footer="0.3"/>
  <legacyDrawing r:id="rId1"/>
  <tableParts count="4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A98948-190B-4505-80C8-1132E1AB5B23}">
          <x14:formula1>
            <xm:f>Hoja2!$B$3:$B$79</xm:f>
          </x14:formula1>
          <xm:sqref>B2:B34</xm:sqref>
        </x14:dataValidation>
        <x14:dataValidation type="list" allowBlank="1" showInputMessage="1" showErrorMessage="1" xr:uid="{7D3181EC-FB9A-4EAC-8032-9227DAE39320}">
          <x14:formula1>
            <xm:f>Hoja2!$B$3:$B$78</xm:f>
          </x14:formula1>
          <xm:sqref>B35:B611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EDAF4-D56E-4874-9A5C-1DE535AF1DC6}">
  <dimension ref="B1:BM618"/>
  <sheetViews>
    <sheetView zoomScale="85" zoomScaleNormal="85" workbookViewId="0">
      <pane xSplit="3" topLeftCell="D1" activePane="topRight" state="frozen"/>
      <selection pane="topRight" activeCell="F10" sqref="F10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6" width="36.33203125" customWidth="1"/>
    <col min="7" max="7" width="18.88671875" customWidth="1"/>
    <col min="8" max="8" width="13.88671875" customWidth="1"/>
    <col min="9" max="9" width="15.109375" customWidth="1"/>
    <col min="10" max="10" width="22.6640625" customWidth="1"/>
    <col min="11" max="11" width="21.33203125" customWidth="1"/>
    <col min="12" max="12" width="23.109375" customWidth="1"/>
    <col min="13" max="13" width="17.44140625" customWidth="1"/>
    <col min="14" max="14" width="24.109375" customWidth="1"/>
    <col min="15" max="15" width="18.6640625" customWidth="1"/>
    <col min="16" max="16" width="43.6640625" customWidth="1"/>
    <col min="17" max="17" width="15.6640625" customWidth="1"/>
    <col min="18" max="18" width="11.6640625" customWidth="1"/>
    <col min="19" max="19" width="18.6640625" customWidth="1"/>
    <col min="22" max="22" width="11.33203125" customWidth="1"/>
    <col min="24" max="24" width="19.5546875" customWidth="1"/>
    <col min="25" max="25" width="23.44140625" bestFit="1" customWidth="1"/>
    <col min="26" max="26" width="21.33203125" customWidth="1"/>
    <col min="27" max="27" width="22.33203125" customWidth="1"/>
    <col min="28" max="28" width="24" customWidth="1"/>
    <col min="29" max="29" width="24.44140625" customWidth="1"/>
    <col min="30" max="30" width="26.109375" customWidth="1"/>
    <col min="31" max="31" width="23.6640625" customWidth="1"/>
    <col min="32" max="32" width="24" customWidth="1"/>
    <col min="33" max="33" width="21.33203125" customWidth="1"/>
    <col min="34" max="34" width="21.109375" customWidth="1"/>
    <col min="35" max="35" width="19.44140625" bestFit="1" customWidth="1"/>
    <col min="36" max="36" width="22.5546875" customWidth="1"/>
    <col min="37" max="37" width="29.6640625" customWidth="1"/>
    <col min="38" max="38" width="25" customWidth="1"/>
    <col min="39" max="39" width="26.6640625" customWidth="1"/>
    <col min="40" max="40" width="28.33203125" customWidth="1"/>
    <col min="41" max="41" width="27.109375" customWidth="1"/>
    <col min="42" max="44" width="33.6640625" customWidth="1"/>
    <col min="45" max="45" width="22.5546875" customWidth="1"/>
    <col min="46" max="46" width="26.109375" customWidth="1"/>
    <col min="47" max="47" width="25.33203125" customWidth="1"/>
    <col min="48" max="48" width="21.109375" customWidth="1"/>
    <col min="49" max="49" width="19" customWidth="1"/>
    <col min="50" max="50" width="15.5546875" customWidth="1"/>
    <col min="51" max="51" width="18.33203125" customWidth="1"/>
    <col min="52" max="52" width="18.109375" customWidth="1"/>
  </cols>
  <sheetData>
    <row r="1" spans="2:65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6" t="s">
        <v>205</v>
      </c>
      <c r="H1" s="36" t="s">
        <v>206</v>
      </c>
      <c r="I1" s="36" t="s">
        <v>342</v>
      </c>
      <c r="J1" s="37" t="s">
        <v>207</v>
      </c>
      <c r="K1" s="37" t="s">
        <v>343</v>
      </c>
      <c r="L1" s="37" t="s">
        <v>208</v>
      </c>
      <c r="M1" s="37" t="s">
        <v>209</v>
      </c>
      <c r="N1" s="37" t="s">
        <v>210</v>
      </c>
      <c r="O1" s="38" t="s">
        <v>211</v>
      </c>
      <c r="P1" s="37" t="s">
        <v>212</v>
      </c>
      <c r="Q1" s="39"/>
      <c r="R1" s="40" t="s">
        <v>213</v>
      </c>
      <c r="S1" s="41" t="s">
        <v>201</v>
      </c>
      <c r="U1" s="42" t="s">
        <v>213</v>
      </c>
      <c r="V1" s="43" t="s">
        <v>211</v>
      </c>
      <c r="X1" s="44" t="s">
        <v>213</v>
      </c>
      <c r="Y1" s="45" t="s">
        <v>214</v>
      </c>
      <c r="AA1" s="46"/>
      <c r="AB1" s="1" t="s">
        <v>4</v>
      </c>
      <c r="AC1" s="2" t="s">
        <v>5</v>
      </c>
      <c r="AD1" s="3" t="s">
        <v>6</v>
      </c>
      <c r="AE1" s="2" t="s">
        <v>7</v>
      </c>
      <c r="AF1" s="3" t="s">
        <v>8</v>
      </c>
      <c r="AG1" s="3" t="s">
        <v>160</v>
      </c>
      <c r="AH1" s="2" t="s">
        <v>9</v>
      </c>
      <c r="AI1" s="4" t="s">
        <v>10</v>
      </c>
      <c r="AJ1" t="s">
        <v>11</v>
      </c>
      <c r="AK1" t="s">
        <v>12</v>
      </c>
      <c r="AN1" t="s">
        <v>215</v>
      </c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</row>
    <row r="2" spans="2:65" ht="26.4" customHeight="1" x14ac:dyDescent="0.3">
      <c r="C2" s="11"/>
      <c r="D2">
        <v>1</v>
      </c>
      <c r="E2" s="11" t="str" cm="1">
        <f t="array" ref="E2">_xlfn.IFS(
    COUNTIF(Herramientas_eléctricas1862106149192[Herramientas_eléctricas], B2) &gt; 0, Herramientas_eléctricas1862106149192[[#Headers],[Herramientas_eléctricas]],
    COUNTIF(Herramientas_neumáticas1963107150193[Herramientas_neumáticas], B2) &gt; 0, Herramientas_neumáticas1963107150193[[#Headers],[Herramientas_neumáticas]],
    COUNTIF(Herramientas_de_medición2064108151194[Herramientas_de_medición], B2) &gt; 0, Herramientas_de_medición2064108151194[[#Headers],[Herramientas_de_medición]],
    COUNTIF(Herrramientas_mecánicas2165109152195[Herramientas_mecánicas], B2) &gt; 0, Herrramientas_mecánicas2165109152195[[#Headers],[Herramientas_mecánicas]],
    COUNTIF(AF2:AF8, B2) &gt; 0, Herramientas_hidráulicas2266110153196[[#Headers],[Herramientas_hidráulicas]],
    COUNTIF(EPP_2367111154197[SPCC], B2) &gt; 0, EPP_2367111154197[[#Headers],[SPCC]],
   COUNTIF(Herramientas_de_izaje2468112155198[Herramientas_de_izaje], B2) &gt; 0, Herramientas_de_izaje2468112155198[[#Headers],[Herramientas_de_izaje]],
COUNTIF(Tabla162670114157200[Equipos], B2) &gt; 0, Tabla162670114157200[[#Headers],[Equipos]],
    TRUE, "Sin clasificación"
)</f>
        <v>Sin clasificación</v>
      </c>
      <c r="F2" s="15"/>
      <c r="G2" s="15"/>
      <c r="H2" s="47"/>
      <c r="J2" s="47"/>
      <c r="K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-SinArea-0000</v>
      </c>
      <c r="M2" s="15"/>
      <c r="O2" s="48"/>
      <c r="R2" s="49">
        <v>1</v>
      </c>
      <c r="S2" s="50" t="s">
        <v>171</v>
      </c>
      <c r="U2" s="51">
        <v>1</v>
      </c>
      <c r="V2" s="52" t="s">
        <v>216</v>
      </c>
      <c r="X2" s="51">
        <v>1</v>
      </c>
      <c r="Y2" s="52" t="s">
        <v>4</v>
      </c>
      <c r="AB2" s="5" t="s">
        <v>13</v>
      </c>
      <c r="AC2" t="s">
        <v>14</v>
      </c>
      <c r="AD2" t="s">
        <v>15</v>
      </c>
      <c r="AE2" t="s">
        <v>16</v>
      </c>
      <c r="AF2" s="6" t="s">
        <v>17</v>
      </c>
      <c r="AG2" t="s">
        <v>18</v>
      </c>
      <c r="AH2" t="s">
        <v>19</v>
      </c>
      <c r="AI2" s="6" t="s">
        <v>20</v>
      </c>
      <c r="AJ2" t="s">
        <v>21</v>
      </c>
      <c r="AK2" s="7" t="s">
        <v>22</v>
      </c>
      <c r="AN2" s="25" t="s">
        <v>217</v>
      </c>
      <c r="AO2" t="s">
        <v>218</v>
      </c>
      <c r="AP2" t="s">
        <v>219</v>
      </c>
      <c r="AQ2" s="25" t="s">
        <v>220</v>
      </c>
      <c r="AR2" t="s">
        <v>221</v>
      </c>
      <c r="AX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</row>
    <row r="3" spans="2:65" ht="29.25" customHeight="1" x14ac:dyDescent="0.3">
      <c r="C3" s="11"/>
      <c r="D3">
        <v>1</v>
      </c>
      <c r="E3" s="11" t="str" cm="1">
        <f t="array" ref="E3">_xlfn.IFS(
    COUNTIF(Herramientas_eléctricas1862106149192[Herramientas_eléctricas], B3) &gt; 0, Herramientas_eléctricas1862106149192[[#Headers],[Herramientas_eléctricas]],
    COUNTIF(Herramientas_neumáticas1963107150193[Herramientas_neumáticas], B3) &gt; 0, Herramientas_neumáticas1963107150193[[#Headers],[Herramientas_neumáticas]],
    COUNTIF(Herramientas_de_medición2064108151194[Herramientas_de_medición], B3) &gt; 0, Herramientas_de_medición2064108151194[[#Headers],[Herramientas_de_medición]],
    COUNTIF(Herrramientas_mecánicas2165109152195[Herramientas_mecánicas], B3) &gt; 0, Herrramientas_mecánicas2165109152195[[#Headers],[Herramientas_mecánicas]],
    COUNTIF(AF3:AF9, B3) &gt; 0, Herramientas_hidráulicas2266110153196[[#Headers],[Herramientas_hidráulicas]],
    COUNTIF(EPP_2367111154197[SPCC], B3) &gt; 0, EPP_2367111154197[[#Headers],[SPCC]],
   COUNTIF(Herramientas_de_izaje2468112155198[Herramientas_de_izaje], B3) &gt; 0, Herramientas_de_izaje2468112155198[[#Headers],[Herramientas_de_izaje]],
COUNTIF(Tabla162670114157200[Equipos], B3) &gt; 0, Tabla162670114157200[[#Headers],[Equipos]],
    TRUE, "Sin clasificación"
)</f>
        <v>Sin clasificación</v>
      </c>
      <c r="F3" s="15"/>
      <c r="G3" s="15"/>
      <c r="H3" s="47"/>
      <c r="J3" s="47"/>
      <c r="K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-SinArea-0000</v>
      </c>
      <c r="M3" s="15"/>
      <c r="O3" s="48"/>
      <c r="R3" s="49">
        <v>2</v>
      </c>
      <c r="S3" s="50" t="s">
        <v>172</v>
      </c>
      <c r="U3" s="51">
        <v>2</v>
      </c>
      <c r="V3" s="52" t="s">
        <v>222</v>
      </c>
      <c r="X3" s="51">
        <v>2</v>
      </c>
      <c r="Y3" s="53" t="s">
        <v>5</v>
      </c>
      <c r="AB3" s="6" t="s">
        <v>23</v>
      </c>
      <c r="AC3" t="s">
        <v>24</v>
      </c>
      <c r="AD3" t="s">
        <v>25</v>
      </c>
      <c r="AE3" t="s">
        <v>26</v>
      </c>
      <c r="AF3" s="6" t="s">
        <v>27</v>
      </c>
      <c r="AG3" t="s">
        <v>28</v>
      </c>
      <c r="AH3" t="s">
        <v>29</v>
      </c>
      <c r="AJ3" s="8" t="s">
        <v>30</v>
      </c>
      <c r="AK3" s="9" t="s">
        <v>31</v>
      </c>
      <c r="AN3" s="25" t="s">
        <v>223</v>
      </c>
      <c r="AO3" t="s">
        <v>70</v>
      </c>
      <c r="AX3" s="11"/>
      <c r="AY3" s="11"/>
      <c r="AZ3" s="11"/>
      <c r="BA3" s="11"/>
      <c r="BB3" s="11"/>
      <c r="BC3" s="11"/>
      <c r="BD3" s="11"/>
      <c r="BE3" s="11"/>
      <c r="BF3" s="54"/>
      <c r="BG3" s="54"/>
      <c r="BH3" s="11"/>
      <c r="BI3" s="11"/>
      <c r="BJ3" s="11"/>
      <c r="BK3" s="11"/>
      <c r="BL3" s="11"/>
      <c r="BM3" s="11"/>
    </row>
    <row r="4" spans="2:65" ht="33" customHeight="1" x14ac:dyDescent="0.3">
      <c r="C4" s="11"/>
      <c r="D4">
        <v>1</v>
      </c>
      <c r="E4" s="11" t="str" cm="1">
        <f t="array" ref="E4">_xlfn.IFS(
    COUNTIF(Herramientas_eléctricas1862106149192[Herramientas_eléctricas], B4) &gt; 0, Herramientas_eléctricas1862106149192[[#Headers],[Herramientas_eléctricas]],
    COUNTIF(Herramientas_neumáticas1963107150193[Herramientas_neumáticas], B4) &gt; 0, Herramientas_neumáticas1963107150193[[#Headers],[Herramientas_neumáticas]],
    COUNTIF(Herramientas_de_medición2064108151194[Herramientas_de_medición], B4) &gt; 0, Herramientas_de_medición2064108151194[[#Headers],[Herramientas_de_medición]],
    COUNTIF(Herrramientas_mecánicas2165109152195[Herramientas_mecánicas], B4) &gt; 0, Herrramientas_mecánicas2165109152195[[#Headers],[Herramientas_mecánicas]],
    COUNTIF(AF4:AF10, B4) &gt; 0, Herramientas_hidráulicas2266110153196[[#Headers],[Herramientas_hidráulicas]],
    COUNTIF(EPP_2367111154197[SPCC], B4) &gt; 0, EPP_2367111154197[[#Headers],[SPCC]],
   COUNTIF(Herramientas_de_izaje2468112155198[Herramientas_de_izaje], B4) &gt; 0, Herramientas_de_izaje2468112155198[[#Headers],[Herramientas_de_izaje]],
COUNTIF(Tabla162670114157200[Equipos], B4) &gt; 0, Tabla162670114157200[[#Headers],[Equipos]],
    TRUE, "Sin clasificación"
)</f>
        <v>Sin clasificación</v>
      </c>
      <c r="F4" s="15"/>
      <c r="G4" s="15"/>
      <c r="H4" s="47"/>
      <c r="J4" s="47"/>
      <c r="K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-SinArea-0000</v>
      </c>
      <c r="M4" s="15"/>
      <c r="O4" s="48"/>
      <c r="R4" s="49">
        <v>3</v>
      </c>
      <c r="S4" s="50" t="s">
        <v>173</v>
      </c>
      <c r="U4" s="55">
        <v>3</v>
      </c>
      <c r="V4" s="56" t="s">
        <v>224</v>
      </c>
      <c r="X4" s="51">
        <v>3</v>
      </c>
      <c r="Y4" s="53" t="s">
        <v>6</v>
      </c>
      <c r="AB4" s="10" t="s">
        <v>32</v>
      </c>
      <c r="AC4" t="s">
        <v>33</v>
      </c>
      <c r="AD4" t="s">
        <v>34</v>
      </c>
      <c r="AE4" t="s">
        <v>35</v>
      </c>
      <c r="AF4" s="5" t="s">
        <v>36</v>
      </c>
      <c r="AG4" s="11" t="s">
        <v>37</v>
      </c>
      <c r="AH4" t="s">
        <v>38</v>
      </c>
      <c r="AJ4" s="11" t="s">
        <v>39</v>
      </c>
      <c r="AK4" s="7" t="s">
        <v>40</v>
      </c>
      <c r="AN4" s="25" t="s">
        <v>225</v>
      </c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</row>
    <row r="5" spans="2:65" x14ac:dyDescent="0.3">
      <c r="C5" s="11"/>
      <c r="D5">
        <v>1</v>
      </c>
      <c r="E5" s="11" t="str" cm="1">
        <f t="array" ref="E5">_xlfn.IFS(
    COUNTIF(Herramientas_eléctricas1862106149192[Herramientas_eléctricas], B5) &gt; 0, Herramientas_eléctricas1862106149192[[#Headers],[Herramientas_eléctricas]],
    COUNTIF(Herramientas_neumáticas1963107150193[Herramientas_neumáticas], B5) &gt; 0, Herramientas_neumáticas1963107150193[[#Headers],[Herramientas_neumáticas]],
    COUNTIF(Herramientas_de_medición2064108151194[Herramientas_de_medición], B5) &gt; 0, Herramientas_de_medición2064108151194[[#Headers],[Herramientas_de_medición]],
    COUNTIF(Herrramientas_mecánicas2165109152195[Herramientas_mecánicas], B5) &gt; 0, Herrramientas_mecánicas2165109152195[[#Headers],[Herramientas_mecánicas]],
    COUNTIF(AF5:AF11, B5) &gt; 0, Herramientas_hidráulicas2266110153196[[#Headers],[Herramientas_hidráulicas]],
    COUNTIF(EPP_2367111154197[SPCC], B5) &gt; 0, EPP_2367111154197[[#Headers],[SPCC]],
   COUNTIF(Herramientas_de_izaje2468112155198[Herramientas_de_izaje], B5) &gt; 0, Herramientas_de_izaje2468112155198[[#Headers],[Herramientas_de_izaje]],
COUNTIF(Tabla162670114157200[Equipos], B5) &gt; 0, Tabla162670114157200[[#Headers],[Equipos]],
    TRUE, "Sin clasificación"
)</f>
        <v>Sin clasificación</v>
      </c>
      <c r="F5" s="15"/>
      <c r="G5" s="15"/>
      <c r="H5" s="47"/>
      <c r="J5" s="47"/>
      <c r="K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-SinArea-0000</v>
      </c>
      <c r="M5" s="15"/>
      <c r="O5" s="48"/>
      <c r="R5" s="49">
        <v>4</v>
      </c>
      <c r="S5" s="50" t="s">
        <v>174</v>
      </c>
      <c r="X5" s="51">
        <v>4</v>
      </c>
      <c r="Y5" s="53" t="s">
        <v>7</v>
      </c>
      <c r="AB5" t="s">
        <v>41</v>
      </c>
      <c r="AC5" t="s">
        <v>42</v>
      </c>
      <c r="AD5" t="s">
        <v>43</v>
      </c>
      <c r="AE5" t="s">
        <v>44</v>
      </c>
      <c r="AF5" s="5" t="s">
        <v>45</v>
      </c>
      <c r="AH5" t="s">
        <v>46</v>
      </c>
      <c r="AJ5" s="12" t="s">
        <v>47</v>
      </c>
      <c r="AK5" s="9" t="s">
        <v>48</v>
      </c>
      <c r="AN5" s="25" t="s">
        <v>226</v>
      </c>
      <c r="AO5" t="s">
        <v>80</v>
      </c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</row>
    <row r="6" spans="2:65" ht="30" customHeight="1" x14ac:dyDescent="0.3">
      <c r="C6" s="11"/>
      <c r="D6">
        <v>1</v>
      </c>
      <c r="E6" s="11" t="str" cm="1">
        <f t="array" ref="E6">_xlfn.IFS(
    COUNTIF(Herramientas_eléctricas1862106149192[Herramientas_eléctricas], B6) &gt; 0, Herramientas_eléctricas1862106149192[[#Headers],[Herramientas_eléctricas]],
    COUNTIF(Herramientas_neumáticas1963107150193[Herramientas_neumáticas], B6) &gt; 0, Herramientas_neumáticas1963107150193[[#Headers],[Herramientas_neumáticas]],
    COUNTIF(Herramientas_de_medición2064108151194[Herramientas_de_medición], B6) &gt; 0, Herramientas_de_medición2064108151194[[#Headers],[Herramientas_de_medición]],
    COUNTIF(Herrramientas_mecánicas2165109152195[Herramientas_mecánicas], B6) &gt; 0, Herrramientas_mecánicas2165109152195[[#Headers],[Herramientas_mecánicas]],
    COUNTIF(AF6:AF12, B6) &gt; 0, Herramientas_hidráulicas2266110153196[[#Headers],[Herramientas_hidráulicas]],
    COUNTIF(EPP_2367111154197[SPCC], B6) &gt; 0, EPP_2367111154197[[#Headers],[SPCC]],
   COUNTIF(Herramientas_de_izaje2468112155198[Herramientas_de_izaje], B6) &gt; 0, Herramientas_de_izaje2468112155198[[#Headers],[Herramientas_de_izaje]],
COUNTIF(Tabla162670114157200[Equipos], B6) &gt; 0, Tabla162670114157200[[#Headers],[Equipos]],
    TRUE, "Sin clasificación"
)</f>
        <v>Sin clasificación</v>
      </c>
      <c r="F6" s="15"/>
      <c r="G6" s="15"/>
      <c r="H6" s="47"/>
      <c r="J6" s="47"/>
      <c r="K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-SinArea-0000</v>
      </c>
      <c r="M6" s="15"/>
      <c r="O6" s="48"/>
      <c r="R6" s="49">
        <v>5</v>
      </c>
      <c r="S6" s="50" t="s">
        <v>175</v>
      </c>
      <c r="X6" s="51">
        <v>5</v>
      </c>
      <c r="Y6" s="53" t="s">
        <v>8</v>
      </c>
      <c r="AB6" t="s">
        <v>49</v>
      </c>
      <c r="AC6" t="s">
        <v>36</v>
      </c>
      <c r="AD6" t="s">
        <v>50</v>
      </c>
      <c r="AE6" t="s">
        <v>51</v>
      </c>
      <c r="AF6" s="5" t="s">
        <v>52</v>
      </c>
      <c r="AJ6" t="s">
        <v>53</v>
      </c>
      <c r="AK6" s="7" t="s">
        <v>54</v>
      </c>
      <c r="AN6" s="25" t="s">
        <v>227</v>
      </c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</row>
    <row r="7" spans="2:65" ht="30" customHeight="1" x14ac:dyDescent="0.3">
      <c r="C7" s="11"/>
      <c r="D7">
        <v>1</v>
      </c>
      <c r="E7" s="11" t="str" cm="1">
        <f t="array" ref="E7">_xlfn.IFS(
    COUNTIF(Herramientas_eléctricas1862106149192[Herramientas_eléctricas], B7) &gt; 0, Herramientas_eléctricas1862106149192[[#Headers],[Herramientas_eléctricas]],
    COUNTIF(Herramientas_neumáticas1963107150193[Herramientas_neumáticas], B7) &gt; 0, Herramientas_neumáticas1963107150193[[#Headers],[Herramientas_neumáticas]],
    COUNTIF(Herramientas_de_medición2064108151194[Herramientas_de_medición], B7) &gt; 0, Herramientas_de_medición2064108151194[[#Headers],[Herramientas_de_medición]],
    COUNTIF(Herrramientas_mecánicas2165109152195[Herramientas_mecánicas], B7) &gt; 0, Herrramientas_mecánicas2165109152195[[#Headers],[Herramientas_mecánicas]],
    COUNTIF(AF7:AF13, B7) &gt; 0, Herramientas_hidráulicas2266110153196[[#Headers],[Herramientas_hidráulicas]],
    COUNTIF(EPP_2367111154197[SPCC], B7) &gt; 0, EPP_2367111154197[[#Headers],[SPCC]],
   COUNTIF(Herramientas_de_izaje2468112155198[Herramientas_de_izaje], B7) &gt; 0, Herramientas_de_izaje2468112155198[[#Headers],[Herramientas_de_izaje]],
COUNTIF(Tabla162670114157200[Equipos], B7) &gt; 0, Tabla162670114157200[[#Headers],[Equipos]],
    TRUE, "Sin clasificación"
)</f>
        <v>Sin clasificación</v>
      </c>
      <c r="F7" s="15"/>
      <c r="G7" s="15"/>
      <c r="H7" s="47"/>
      <c r="J7" s="47"/>
      <c r="K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-SinArea-0000</v>
      </c>
      <c r="M7" s="15"/>
      <c r="O7" s="48"/>
      <c r="R7" s="49">
        <v>6</v>
      </c>
      <c r="S7" s="50" t="s">
        <v>176</v>
      </c>
      <c r="X7" s="55">
        <v>6</v>
      </c>
      <c r="Y7" s="56" t="s">
        <v>10</v>
      </c>
      <c r="AB7" t="s">
        <v>55</v>
      </c>
      <c r="AD7" s="11" t="s">
        <v>56</v>
      </c>
      <c r="AE7" s="5" t="s">
        <v>57</v>
      </c>
      <c r="AF7" t="s">
        <v>58</v>
      </c>
      <c r="AK7" s="13" t="s">
        <v>59</v>
      </c>
      <c r="AN7" s="15" t="s">
        <v>228</v>
      </c>
      <c r="AO7" s="15" t="s">
        <v>229</v>
      </c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</row>
    <row r="8" spans="2:65" ht="33.6" customHeight="1" x14ac:dyDescent="0.3">
      <c r="C8" s="11"/>
      <c r="D8">
        <v>1</v>
      </c>
      <c r="E8" s="11" t="str" cm="1">
        <f t="array" ref="E8">_xlfn.IFS(
    COUNTIF(Herramientas_eléctricas1862106149192[Herramientas_eléctricas], B8) &gt; 0, Herramientas_eléctricas1862106149192[[#Headers],[Herramientas_eléctricas]],
    COUNTIF(Herramientas_neumáticas1963107150193[Herramientas_neumáticas], B8) &gt; 0, Herramientas_neumáticas1963107150193[[#Headers],[Herramientas_neumáticas]],
    COUNTIF(Herramientas_de_medición2064108151194[Herramientas_de_medición], B8) &gt; 0, Herramientas_de_medición2064108151194[[#Headers],[Herramientas_de_medición]],
    COUNTIF(Herrramientas_mecánicas2165109152195[Herramientas_mecánicas], B8) &gt; 0, Herrramientas_mecánicas2165109152195[[#Headers],[Herramientas_mecánicas]],
    COUNTIF(AF8:AF14, B8) &gt; 0, Herramientas_hidráulicas2266110153196[[#Headers],[Herramientas_hidráulicas]],
    COUNTIF(EPP_2367111154197[SPCC], B8) &gt; 0, EPP_2367111154197[[#Headers],[SPCC]],
   COUNTIF(Herramientas_de_izaje2468112155198[Herramientas_de_izaje], B8) &gt; 0, Herramientas_de_izaje2468112155198[[#Headers],[Herramientas_de_izaje]],
COUNTIF(Tabla162670114157200[Equipos], B8) &gt; 0, Tabla162670114157200[[#Headers],[Equipos]],
    TRUE, "Sin clasificación"
)</f>
        <v>Sin clasificación</v>
      </c>
      <c r="F8" s="15"/>
      <c r="G8" s="15"/>
      <c r="H8" s="47"/>
      <c r="J8" s="47"/>
      <c r="K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-SinArea-0000</v>
      </c>
      <c r="M8" s="15"/>
      <c r="O8" s="48"/>
      <c r="R8" s="49">
        <v>7</v>
      </c>
      <c r="S8" s="50" t="s">
        <v>177</v>
      </c>
      <c r="AB8" t="s">
        <v>60</v>
      </c>
      <c r="AD8" s="11" t="s">
        <v>61</v>
      </c>
      <c r="AE8" t="s">
        <v>62</v>
      </c>
      <c r="AF8" t="s">
        <v>35</v>
      </c>
      <c r="AK8" s="14" t="s">
        <v>63</v>
      </c>
      <c r="AN8" s="25" t="s">
        <v>230</v>
      </c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</row>
    <row r="9" spans="2:65" ht="30" customHeight="1" x14ac:dyDescent="0.3">
      <c r="C9" s="11"/>
      <c r="D9">
        <v>1</v>
      </c>
      <c r="E9" s="11" t="str" cm="1">
        <f t="array" ref="E9">_xlfn.IFS(
    COUNTIF(Herramientas_eléctricas1862106149192[Herramientas_eléctricas], B9) &gt; 0, Herramientas_eléctricas1862106149192[[#Headers],[Herramientas_eléctricas]],
    COUNTIF(Herramientas_neumáticas1963107150193[Herramientas_neumáticas], B9) &gt; 0, Herramientas_neumáticas1963107150193[[#Headers],[Herramientas_neumáticas]],
    COUNTIF(Herramientas_de_medición2064108151194[Herramientas_de_medición], B9) &gt; 0, Herramientas_de_medición2064108151194[[#Headers],[Herramientas_de_medición]],
    COUNTIF(Herrramientas_mecánicas2165109152195[Herramientas_mecánicas], B9) &gt; 0, Herrramientas_mecánicas2165109152195[[#Headers],[Herramientas_mecánicas]],
    COUNTIF(AF9:AF15, B9) &gt; 0, Herramientas_hidráulicas2266110153196[[#Headers],[Herramientas_hidráulicas]],
    COUNTIF(EPP_2367111154197[SPCC], B9) &gt; 0, EPP_2367111154197[[#Headers],[SPCC]],
   COUNTIF(Herramientas_de_izaje2468112155198[Herramientas_de_izaje], B9) &gt; 0, Herramientas_de_izaje2468112155198[[#Headers],[Herramientas_de_izaje]],
COUNTIF(Tabla162670114157200[Equipos], B9) &gt; 0, Tabla162670114157200[[#Headers],[Equipos]],
    TRUE, "Sin clasificación"
)</f>
        <v>Sin clasificación</v>
      </c>
      <c r="F9" s="15"/>
      <c r="G9" s="15"/>
      <c r="H9" s="47"/>
      <c r="J9" s="47"/>
      <c r="K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-SinArea-0000</v>
      </c>
      <c r="M9" s="15"/>
      <c r="O9" s="48"/>
      <c r="R9" s="49">
        <v>8</v>
      </c>
      <c r="S9" s="57" t="s">
        <v>178</v>
      </c>
      <c r="X9" s="58" t="s">
        <v>210</v>
      </c>
      <c r="AB9" t="s">
        <v>64</v>
      </c>
      <c r="AD9" s="15" t="s">
        <v>65</v>
      </c>
      <c r="AE9" t="s">
        <v>66</v>
      </c>
      <c r="AF9" s="16"/>
      <c r="AK9" s="9" t="s">
        <v>67</v>
      </c>
      <c r="AN9" s="25" t="s">
        <v>231</v>
      </c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</row>
    <row r="10" spans="2:65" ht="26.4" customHeight="1" x14ac:dyDescent="0.3">
      <c r="C10" s="11"/>
      <c r="D10">
        <v>1</v>
      </c>
      <c r="E10" s="11" t="str" cm="1">
        <f t="array" ref="E10">_xlfn.IFS(
    COUNTIF(Herramientas_eléctricas1862106149192[Herramientas_eléctricas], B10) &gt; 0, Herramientas_eléctricas1862106149192[[#Headers],[Herramientas_eléctricas]],
    COUNTIF(Herramientas_neumáticas1963107150193[Herramientas_neumáticas], B10) &gt; 0, Herramientas_neumáticas1963107150193[[#Headers],[Herramientas_neumáticas]],
    COUNTIF(Herramientas_de_medición2064108151194[Herramientas_de_medición], B10) &gt; 0, Herramientas_de_medición2064108151194[[#Headers],[Herramientas_de_medición]],
    COUNTIF(Herrramientas_mecánicas2165109152195[Herramientas_mecánicas], B10) &gt; 0, Herrramientas_mecánicas2165109152195[[#Headers],[Herramientas_mecánicas]],
    COUNTIF(AF10:AF16, B10) &gt; 0, Herramientas_hidráulicas2266110153196[[#Headers],[Herramientas_hidráulicas]],
    COUNTIF(EPP_2367111154197[SPCC], B10) &gt; 0, EPP_2367111154197[[#Headers],[SPCC]],
   COUNTIF(Herramientas_de_izaje2468112155198[Herramientas_de_izaje], B10) &gt; 0, Herramientas_de_izaje2468112155198[[#Headers],[Herramientas_de_izaje]],
COUNTIF(Tabla162670114157200[Equipos], B10) &gt; 0, Tabla162670114157200[[#Headers],[Equipos]],
    TRUE, "Sin clasificación"
)</f>
        <v>Sin clasificación</v>
      </c>
      <c r="F10" s="15"/>
      <c r="G10" s="15"/>
      <c r="H10" s="47"/>
      <c r="J10" s="47"/>
      <c r="K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-SinArea-0000</v>
      </c>
      <c r="M10" s="15"/>
      <c r="O10" s="48"/>
      <c r="R10" s="49">
        <v>9</v>
      </c>
      <c r="S10" s="57" t="s">
        <v>179</v>
      </c>
      <c r="X10" s="59" t="s">
        <v>232</v>
      </c>
      <c r="AB10" s="17" t="s">
        <v>68</v>
      </c>
      <c r="AD10" s="15" t="s">
        <v>69</v>
      </c>
      <c r="AE10" t="s">
        <v>70</v>
      </c>
      <c r="AK10" s="18" t="s">
        <v>71</v>
      </c>
      <c r="AN10" s="15" t="s">
        <v>95</v>
      </c>
    </row>
    <row r="11" spans="2:65" ht="33.6" customHeight="1" x14ac:dyDescent="0.3">
      <c r="C11" s="11"/>
      <c r="E11" s="11" t="str" cm="1">
        <f t="array" ref="E11">_xlfn.IFS(
    COUNTIF(Herramientas_eléctricas1862106149192[Herramientas_eléctricas], B11) &gt; 0, Herramientas_eléctricas1862106149192[[#Headers],[Herramientas_eléctricas]],
    COUNTIF(Herramientas_neumáticas1963107150193[Herramientas_neumáticas], B11) &gt; 0, Herramientas_neumáticas1963107150193[[#Headers],[Herramientas_neumáticas]],
    COUNTIF(Herramientas_de_medición2064108151194[Herramientas_de_medición], B11) &gt; 0, Herramientas_de_medición2064108151194[[#Headers],[Herramientas_de_medición]],
    COUNTIF(Herrramientas_mecánicas2165109152195[Herramientas_mecánicas], B11) &gt; 0, Herrramientas_mecánicas2165109152195[[#Headers],[Herramientas_mecánicas]],
    COUNTIF(AF11:AF17, B11) &gt; 0, Herramientas_hidráulicas2266110153196[[#Headers],[Herramientas_hidráulicas]],
    COUNTIF(EPP_2367111154197[SPCC], B11) &gt; 0, EPP_2367111154197[[#Headers],[SPCC]],
   COUNTIF(Herramientas_de_izaje2468112155198[Herramientas_de_izaje], B11) &gt; 0, Herramientas_de_izaje2468112155198[[#Headers],[Herramientas_de_izaje]],
COUNTIF(Tabla162670114157200[Equipos], B11) &gt; 0, Tabla162670114157200[[#Headers],[Equipos]],
    TRUE, "Sin clasificación"
)</f>
        <v>Sin clasificación</v>
      </c>
      <c r="F11" s="15"/>
      <c r="G11" s="15"/>
      <c r="H11" s="85"/>
      <c r="J11" s="47"/>
      <c r="K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-SinArea-0000</v>
      </c>
      <c r="M11" s="15"/>
      <c r="O11" s="48"/>
      <c r="R11" s="60">
        <v>10</v>
      </c>
      <c r="S11" s="61" t="s">
        <v>180</v>
      </c>
      <c r="X11" s="59" t="s">
        <v>233</v>
      </c>
      <c r="AB11" s="8" t="s">
        <v>72</v>
      </c>
      <c r="AD11" s="15" t="s">
        <v>73</v>
      </c>
      <c r="AE11" t="s">
        <v>74</v>
      </c>
      <c r="AK11" s="18" t="s">
        <v>75</v>
      </c>
      <c r="AY11" s="62"/>
    </row>
    <row r="12" spans="2:65" ht="28.8" x14ac:dyDescent="0.3">
      <c r="C12" s="11"/>
      <c r="E12" s="11" t="str" cm="1">
        <f t="array" ref="E12">_xlfn.IFS(
    COUNTIF(Herramientas_eléctricas1862106149192[Herramientas_eléctricas], B12) &gt; 0, Herramientas_eléctricas1862106149192[[#Headers],[Herramientas_eléctricas]],
    COUNTIF(Herramientas_neumáticas1963107150193[Herramientas_neumáticas], B12) &gt; 0, Herramientas_neumáticas1963107150193[[#Headers],[Herramientas_neumáticas]],
    COUNTIF(Herramientas_de_medición2064108151194[Herramientas_de_medición], B12) &gt; 0, Herramientas_de_medición2064108151194[[#Headers],[Herramientas_de_medición]],
    COUNTIF(Herrramientas_mecánicas2165109152195[Herramientas_mecánicas], B12) &gt; 0, Herrramientas_mecánicas2165109152195[[#Headers],[Herramientas_mecánicas]],
    COUNTIF(AF12:AF18, B12) &gt; 0, Herramientas_hidráulicas2266110153196[[#Headers],[Herramientas_hidráulicas]],
    COUNTIF(EPP_2367111154197[SPCC], B12) &gt; 0, EPP_2367111154197[[#Headers],[SPCC]],
   COUNTIF(Herramientas_de_izaje2468112155198[Herramientas_de_izaje], B12) &gt; 0, Herramientas_de_izaje2468112155198[[#Headers],[Herramientas_de_izaje]],
COUNTIF(Tabla162670114157200[Equipos], B12) &gt; 0, Tabla162670114157200[[#Headers],[Equipos]],
    TRUE, "Sin clasificación"
)</f>
        <v>Sin clasificación</v>
      </c>
      <c r="F12" s="15"/>
      <c r="G12" s="15"/>
      <c r="H12" s="47"/>
      <c r="J12" s="47"/>
      <c r="K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-SinArea-0000</v>
      </c>
      <c r="M12" s="15"/>
      <c r="O12" s="48"/>
      <c r="R12" s="60">
        <v>11</v>
      </c>
      <c r="S12" s="61" t="s">
        <v>181</v>
      </c>
      <c r="X12" s="33" t="s">
        <v>234</v>
      </c>
      <c r="AB12" t="s">
        <v>19</v>
      </c>
      <c r="AC12" t="s">
        <v>76</v>
      </c>
      <c r="AD12" s="15" t="s">
        <v>77</v>
      </c>
      <c r="AE12" t="s">
        <v>78</v>
      </c>
      <c r="AK12" s="19" t="s">
        <v>79</v>
      </c>
      <c r="AN12" s="11"/>
    </row>
    <row r="13" spans="2:65" x14ac:dyDescent="0.3">
      <c r="C13" s="11"/>
      <c r="E13" s="11" t="str" cm="1">
        <f t="array" ref="E13">_xlfn.IFS(
    COUNTIF(Herramientas_eléctricas1862106149192[Herramientas_eléctricas], B13) &gt; 0, Herramientas_eléctricas1862106149192[[#Headers],[Herramientas_eléctricas]],
    COUNTIF(Herramientas_neumáticas1963107150193[Herramientas_neumáticas], B13) &gt; 0, Herramientas_neumáticas1963107150193[[#Headers],[Herramientas_neumáticas]],
    COUNTIF(Herramientas_de_medición2064108151194[Herramientas_de_medición], B13) &gt; 0, Herramientas_de_medición2064108151194[[#Headers],[Herramientas_de_medición]],
    COUNTIF(Herrramientas_mecánicas2165109152195[Herramientas_mecánicas], B13) &gt; 0, Herrramientas_mecánicas2165109152195[[#Headers],[Herramientas_mecánicas]],
    COUNTIF(AF13:AF19, B13) &gt; 0, Herramientas_hidráulicas2266110153196[[#Headers],[Herramientas_hidráulicas]],
    COUNTIF(EPP_2367111154197[SPCC], B13) &gt; 0, EPP_2367111154197[[#Headers],[SPCC]],
   COUNTIF(Herramientas_de_izaje2468112155198[Herramientas_de_izaje], B13) &gt; 0, Herramientas_de_izaje2468112155198[[#Headers],[Herramientas_de_izaje]],
COUNTIF(Tabla162670114157200[Equipos], B13) &gt; 0, Tabla162670114157200[[#Headers],[Equipos]],
    TRUE, "Sin clasificación"
)</f>
        <v>Sin clasificación</v>
      </c>
      <c r="F13" s="15"/>
      <c r="G13" s="15"/>
      <c r="H13" s="47"/>
      <c r="J13" s="47"/>
      <c r="K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-SinArea-0000</v>
      </c>
      <c r="M13" s="15"/>
      <c r="O13" s="48"/>
      <c r="AB13" t="s">
        <v>80</v>
      </c>
      <c r="AD13" s="15" t="s">
        <v>81</v>
      </c>
      <c r="AE13" t="s">
        <v>82</v>
      </c>
      <c r="AK13" s="20" t="s">
        <v>83</v>
      </c>
      <c r="AN13" s="11"/>
      <c r="AS13" s="11"/>
    </row>
    <row r="14" spans="2:65" x14ac:dyDescent="0.3">
      <c r="C14" s="11"/>
      <c r="E14" s="11" t="str" cm="1">
        <f t="array" ref="E14">_xlfn.IFS(
    COUNTIF(Herramientas_eléctricas1862106149192[Herramientas_eléctricas], B14) &gt; 0, Herramientas_eléctricas1862106149192[[#Headers],[Herramientas_eléctricas]],
    COUNTIF(Herramientas_neumáticas1963107150193[Herramientas_neumáticas], B14) &gt; 0, Herramientas_neumáticas1963107150193[[#Headers],[Herramientas_neumáticas]],
    COUNTIF(Herramientas_de_medición2064108151194[Herramientas_de_medición], B14) &gt; 0, Herramientas_de_medición2064108151194[[#Headers],[Herramientas_de_medición]],
    COUNTIF(Herrramientas_mecánicas2165109152195[Herramientas_mecánicas], B14) &gt; 0, Herrramientas_mecánicas2165109152195[[#Headers],[Herramientas_mecánicas]],
    COUNTIF(AF14:AF20, B14) &gt; 0, Herramientas_hidráulicas2266110153196[[#Headers],[Herramientas_hidráulicas]],
    COUNTIF(EPP_2367111154197[SPCC], B14) &gt; 0, EPP_2367111154197[[#Headers],[SPCC]],
   COUNTIF(Herramientas_de_izaje2468112155198[Herramientas_de_izaje], B14) &gt; 0, Herramientas_de_izaje2468112155198[[#Headers],[Herramientas_de_izaje]],
COUNTIF(Tabla162670114157200[Equipos], B14) &gt; 0, Tabla162670114157200[[#Headers],[Equipos]],
    TRUE, "Sin clasificación"
)</f>
        <v>Sin clasificación</v>
      </c>
      <c r="F14" s="15"/>
      <c r="G14" s="15"/>
      <c r="H14" s="47"/>
      <c r="J14" s="47"/>
      <c r="K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-SinArea-0000</v>
      </c>
      <c r="M14" s="15"/>
      <c r="O14" s="48"/>
      <c r="AB14" t="s">
        <v>84</v>
      </c>
      <c r="AD14" s="15" t="s">
        <v>85</v>
      </c>
      <c r="AE14" t="s">
        <v>86</v>
      </c>
      <c r="AK14" s="18" t="s">
        <v>87</v>
      </c>
    </row>
    <row r="15" spans="2:65" ht="43.95" customHeight="1" x14ac:dyDescent="0.3">
      <c r="C15" s="11"/>
      <c r="E15" s="11" t="str" cm="1">
        <f t="array" ref="E15">_xlfn.IFS(
    COUNTIF(Herramientas_eléctricas1862106149192[Herramientas_eléctricas], B15) &gt; 0, Herramientas_eléctricas1862106149192[[#Headers],[Herramientas_eléctricas]],
    COUNTIF(Herramientas_neumáticas1963107150193[Herramientas_neumáticas], B15) &gt; 0, Herramientas_neumáticas1963107150193[[#Headers],[Herramientas_neumáticas]],
    COUNTIF(Herramientas_de_medición2064108151194[Herramientas_de_medición], B15) &gt; 0, Herramientas_de_medición2064108151194[[#Headers],[Herramientas_de_medición]],
    COUNTIF(Herrramientas_mecánicas2165109152195[Herramientas_mecánicas], B15) &gt; 0, Herrramientas_mecánicas2165109152195[[#Headers],[Herramientas_mecánicas]],
    COUNTIF(AF15:AF21, B15) &gt; 0, Herramientas_hidráulicas2266110153196[[#Headers],[Herramientas_hidráulicas]],
    COUNTIF(EPP_2367111154197[SPCC], B15) &gt; 0, EPP_2367111154197[[#Headers],[SPCC]],
   COUNTIF(Herramientas_de_izaje2468112155198[Herramientas_de_izaje], B15) &gt; 0, Herramientas_de_izaje2468112155198[[#Headers],[Herramientas_de_izaje]],
COUNTIF(Tabla162670114157200[Equipos], B15) &gt; 0, Tabla162670114157200[[#Headers],[Equipos]],
    TRUE, "Sin clasificación"
)</f>
        <v>Sin clasificación</v>
      </c>
      <c r="F15" s="15"/>
      <c r="G15" s="15"/>
      <c r="H15" s="47"/>
      <c r="J15" s="47"/>
      <c r="K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-SinArea-0000</v>
      </c>
      <c r="M15" s="15"/>
      <c r="O15" s="48"/>
      <c r="AB15" t="s">
        <v>88</v>
      </c>
      <c r="AD15" t="s">
        <v>89</v>
      </c>
      <c r="AE15" t="s">
        <v>90</v>
      </c>
      <c r="AK15" s="21" t="s">
        <v>91</v>
      </c>
      <c r="AN15" s="11"/>
    </row>
    <row r="16" spans="2:65" x14ac:dyDescent="0.3">
      <c r="C16" s="11"/>
      <c r="E16" s="11" t="str" cm="1">
        <f t="array" ref="E16">_xlfn.IFS(
    COUNTIF(Herramientas_eléctricas1862106149192[Herramientas_eléctricas], B16) &gt; 0, Herramientas_eléctricas1862106149192[[#Headers],[Herramientas_eléctricas]],
    COUNTIF(Herramientas_neumáticas1963107150193[Herramientas_neumáticas], B16) &gt; 0, Herramientas_neumáticas1963107150193[[#Headers],[Herramientas_neumáticas]],
    COUNTIF(Herramientas_de_medición2064108151194[Herramientas_de_medición], B16) &gt; 0, Herramientas_de_medición2064108151194[[#Headers],[Herramientas_de_medición]],
    COUNTIF(Herrramientas_mecánicas2165109152195[Herramientas_mecánicas], B16) &gt; 0, Herrramientas_mecánicas2165109152195[[#Headers],[Herramientas_mecánicas]],
    COUNTIF(AF16:AF22, B16) &gt; 0, Herramientas_hidráulicas2266110153196[[#Headers],[Herramientas_hidráulicas]],
    COUNTIF(EPP_2367111154197[SPCC], B16) &gt; 0, EPP_2367111154197[[#Headers],[SPCC]],
   COUNTIF(Herramientas_de_izaje2468112155198[Herramientas_de_izaje], B16) &gt; 0, Herramientas_de_izaje2468112155198[[#Headers],[Herramientas_de_izaje]],
COUNTIF(Tabla162670114157200[Equipos], B16) &gt; 0, Tabla162670114157200[[#Headers],[Equipos]],
    TRUE, "Sin clasificación"
)</f>
        <v>Sin clasificación</v>
      </c>
      <c r="F16" s="15"/>
      <c r="G16" s="15"/>
      <c r="H16" s="47"/>
      <c r="J16" s="47"/>
      <c r="K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-SinArea-0000</v>
      </c>
      <c r="M16" s="15"/>
      <c r="O16" s="48"/>
      <c r="AB16" t="s">
        <v>41</v>
      </c>
      <c r="AD16" t="s">
        <v>62</v>
      </c>
      <c r="AE16" s="11" t="s">
        <v>92</v>
      </c>
      <c r="AF16" s="22"/>
      <c r="AK16" s="23" t="s">
        <v>93</v>
      </c>
    </row>
    <row r="17" spans="3:40" x14ac:dyDescent="0.3">
      <c r="C17" s="11"/>
      <c r="E17" s="11" t="str" cm="1">
        <f t="array" ref="E17">_xlfn.IFS(
    COUNTIF(Herramientas_eléctricas1862106149192[Herramientas_eléctricas], B17) &gt; 0, Herramientas_eléctricas1862106149192[[#Headers],[Herramientas_eléctricas]],
    COUNTIF(Herramientas_neumáticas1963107150193[Herramientas_neumáticas], B17) &gt; 0, Herramientas_neumáticas1963107150193[[#Headers],[Herramientas_neumáticas]],
    COUNTIF(Herramientas_de_medición2064108151194[Herramientas_de_medición], B17) &gt; 0, Herramientas_de_medición2064108151194[[#Headers],[Herramientas_de_medición]],
    COUNTIF(Herrramientas_mecánicas2165109152195[Herramientas_mecánicas], B17) &gt; 0, Herrramientas_mecánicas2165109152195[[#Headers],[Herramientas_mecánicas]],
    COUNTIF(AF17:AF23, B17) &gt; 0, Herramientas_hidráulicas2266110153196[[#Headers],[Herramientas_hidráulicas]],
    COUNTIF(EPP_2367111154197[SPCC], B17) &gt; 0, EPP_2367111154197[[#Headers],[SPCC]],
   COUNTIF(Herramientas_de_izaje2468112155198[Herramientas_de_izaje], B17) &gt; 0, Herramientas_de_izaje2468112155198[[#Headers],[Herramientas_de_izaje]],
COUNTIF(Tabla162670114157200[Equipos], B17) &gt; 0, Tabla162670114157200[[#Headers],[Equipos]],
    TRUE, "Sin clasificación"
)</f>
        <v>Sin clasificación</v>
      </c>
      <c r="F17" s="15"/>
      <c r="G17" s="15"/>
      <c r="H17" s="47"/>
      <c r="J17" s="47"/>
      <c r="K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-SinArea-0000</v>
      </c>
      <c r="M17" s="15"/>
      <c r="O17" s="48"/>
      <c r="AB17" s="24" t="s">
        <v>94</v>
      </c>
      <c r="AE17" s="15" t="s">
        <v>95</v>
      </c>
      <c r="AF17" s="14"/>
      <c r="AK17" s="25" t="s">
        <v>96</v>
      </c>
      <c r="AN17" s="11"/>
    </row>
    <row r="18" spans="3:40" x14ac:dyDescent="0.3">
      <c r="C18" s="11"/>
      <c r="E18" s="11" t="str" cm="1">
        <f t="array" ref="E18">_xlfn.IFS(
    COUNTIF(Herramientas_eléctricas1862106149192[Herramientas_eléctricas], B18) &gt; 0, Herramientas_eléctricas1862106149192[[#Headers],[Herramientas_eléctricas]],
    COUNTIF(Herramientas_neumáticas1963107150193[Herramientas_neumáticas], B18) &gt; 0, Herramientas_neumáticas1963107150193[[#Headers],[Herramientas_neumáticas]],
    COUNTIF(Herramientas_de_medición2064108151194[Herramientas_de_medición], B18) &gt; 0, Herramientas_de_medición2064108151194[[#Headers],[Herramientas_de_medición]],
    COUNTIF(Herrramientas_mecánicas2165109152195[Herramientas_mecánicas], B18) &gt; 0, Herrramientas_mecánicas2165109152195[[#Headers],[Herramientas_mecánicas]],
    COUNTIF(AF18:AF24, B18) &gt; 0, Herramientas_hidráulicas2266110153196[[#Headers],[Herramientas_hidráulicas]],
    COUNTIF(EPP_2367111154197[SPCC], B18) &gt; 0, EPP_2367111154197[[#Headers],[SPCC]],
   COUNTIF(Herramientas_de_izaje2468112155198[Herramientas_de_izaje], B18) &gt; 0, Herramientas_de_izaje2468112155198[[#Headers],[Herramientas_de_izaje]],
COUNTIF(Tabla162670114157200[Equipos], B18) &gt; 0, Tabla162670114157200[[#Headers],[Equipos]],
    TRUE, "Sin clasificación"
)</f>
        <v>Sin clasificación</v>
      </c>
      <c r="F18" s="15"/>
      <c r="G18" s="15"/>
      <c r="H18" s="47"/>
      <c r="J18" s="47"/>
      <c r="K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-SinArea-0000</v>
      </c>
      <c r="M18" s="15"/>
      <c r="O18" s="48"/>
      <c r="AB18" t="s">
        <v>97</v>
      </c>
      <c r="AE18" t="s">
        <v>98</v>
      </c>
      <c r="AK18" s="25" t="s">
        <v>99</v>
      </c>
    </row>
    <row r="19" spans="3:40" x14ac:dyDescent="0.3">
      <c r="C19" s="11"/>
      <c r="E19" s="11" t="str" cm="1">
        <f t="array" ref="E19">_xlfn.IFS(
    COUNTIF(Herramientas_eléctricas1862106149192[Herramientas_eléctricas], B19) &gt; 0, Herramientas_eléctricas1862106149192[[#Headers],[Herramientas_eléctricas]],
    COUNTIF(Herramientas_neumáticas1963107150193[Herramientas_neumáticas], B19) &gt; 0, Herramientas_neumáticas1963107150193[[#Headers],[Herramientas_neumáticas]],
    COUNTIF(Herramientas_de_medición2064108151194[Herramientas_de_medición], B19) &gt; 0, Herramientas_de_medición2064108151194[[#Headers],[Herramientas_de_medición]],
    COUNTIF(Herrramientas_mecánicas2165109152195[Herramientas_mecánicas], B19) &gt; 0, Herrramientas_mecánicas2165109152195[[#Headers],[Herramientas_mecánicas]],
    COUNTIF(AF19:AF25, B19) &gt; 0, Herramientas_hidráulicas2266110153196[[#Headers],[Herramientas_hidráulicas]],
    COUNTIF(EPP_2367111154197[SPCC], B19) &gt; 0, EPP_2367111154197[[#Headers],[SPCC]],
   COUNTIF(Herramientas_de_izaje2468112155198[Herramientas_de_izaje], B19) &gt; 0, Herramientas_de_izaje2468112155198[[#Headers],[Herramientas_de_izaje]],
COUNTIF(Tabla162670114157200[Equipos], B19) &gt; 0, Tabla162670114157200[[#Headers],[Equipos]],
    TRUE, "Sin clasificación"
)</f>
        <v>Sin clasificación</v>
      </c>
      <c r="F19" s="15"/>
      <c r="G19" s="15"/>
      <c r="H19" s="47"/>
      <c r="J19" s="47"/>
      <c r="K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-SinArea-0000</v>
      </c>
      <c r="M19" s="15"/>
      <c r="O19" s="48"/>
      <c r="AB19" t="s">
        <v>42</v>
      </c>
      <c r="AE19" s="11" t="s">
        <v>41</v>
      </c>
      <c r="AK19" t="s">
        <v>100</v>
      </c>
    </row>
    <row r="20" spans="3:40" x14ac:dyDescent="0.3">
      <c r="C20" s="11"/>
      <c r="E20" s="11" t="str" cm="1">
        <f t="array" ref="E20">_xlfn.IFS(
    COUNTIF(Herramientas_eléctricas1862106149192[Herramientas_eléctricas], B20) &gt; 0, Herramientas_eléctricas1862106149192[[#Headers],[Herramientas_eléctricas]],
    COUNTIF(Herramientas_neumáticas1963107150193[Herramientas_neumáticas], B20) &gt; 0, Herramientas_neumáticas1963107150193[[#Headers],[Herramientas_neumáticas]],
    COUNTIF(Herramientas_de_medición2064108151194[Herramientas_de_medición], B20) &gt; 0, Herramientas_de_medición2064108151194[[#Headers],[Herramientas_de_medición]],
    COUNTIF(Herrramientas_mecánicas2165109152195[Herramientas_mecánicas], B20) &gt; 0, Herrramientas_mecánicas2165109152195[[#Headers],[Herramientas_mecánicas]],
    COUNTIF(AF20:AF26, B20) &gt; 0, Herramientas_hidráulicas2266110153196[[#Headers],[Herramientas_hidráulicas]],
    COUNTIF(EPP_2367111154197[SPCC], B20) &gt; 0, EPP_2367111154197[[#Headers],[SPCC]],
   COUNTIF(Herramientas_de_izaje2468112155198[Herramientas_de_izaje], B20) &gt; 0, Herramientas_de_izaje2468112155198[[#Headers],[Herramientas_de_izaje]],
COUNTIF(Tabla162670114157200[Equipos], B20) &gt; 0, Tabla162670114157200[[#Headers],[Equipos]],
    TRUE, "Sin clasificación"
)</f>
        <v>Sin clasificación</v>
      </c>
      <c r="F20" s="15"/>
      <c r="G20" s="15"/>
      <c r="H20" s="47"/>
      <c r="J20" s="47"/>
      <c r="K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-SinArea-0000</v>
      </c>
      <c r="M20" s="15"/>
      <c r="O20" s="48" t="s">
        <v>224</v>
      </c>
      <c r="AB20" t="s">
        <v>101</v>
      </c>
      <c r="AE20" t="s">
        <v>102</v>
      </c>
      <c r="AK20" s="26" t="s">
        <v>103</v>
      </c>
    </row>
    <row r="21" spans="3:40" x14ac:dyDescent="0.3">
      <c r="C21" s="11"/>
      <c r="E21" s="11" t="str" cm="1">
        <f t="array" ref="E21">_xlfn.IFS(
    COUNTIF(Herramientas_eléctricas1862106149192[Herramientas_eléctricas], B21) &gt; 0, Herramientas_eléctricas1862106149192[[#Headers],[Herramientas_eléctricas]],
    COUNTIF(Herramientas_neumáticas1963107150193[Herramientas_neumáticas], B21) &gt; 0, Herramientas_neumáticas1963107150193[[#Headers],[Herramientas_neumáticas]],
    COUNTIF(Herramientas_de_medición2064108151194[Herramientas_de_medición], B21) &gt; 0, Herramientas_de_medición2064108151194[[#Headers],[Herramientas_de_medición]],
    COUNTIF(Herrramientas_mecánicas2165109152195[Herramientas_mecánicas], B21) &gt; 0, Herrramientas_mecánicas2165109152195[[#Headers],[Herramientas_mecánicas]],
    COUNTIF(AF21:AF27, B21) &gt; 0, Herramientas_hidráulicas2266110153196[[#Headers],[Herramientas_hidráulicas]],
    COUNTIF(EPP_2367111154197[SPCC], B21) &gt; 0, EPP_2367111154197[[#Headers],[SPCC]],
   COUNTIF(Herramientas_de_izaje2468112155198[Herramientas_de_izaje], B21) &gt; 0, Herramientas_de_izaje2468112155198[[#Headers],[Herramientas_de_izaje]],
COUNTIF(Tabla162670114157200[Equipos], B21) &gt; 0, Tabla162670114157200[[#Headers],[Equipos]],
    TRUE, "Sin clasificación"
)</f>
        <v>Sin clasificación</v>
      </c>
      <c r="F21" s="15"/>
      <c r="G21" s="15"/>
      <c r="H21" s="47"/>
      <c r="J21" s="47"/>
      <c r="K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-SinArea-0000</v>
      </c>
      <c r="M21" s="15"/>
      <c r="O21" s="48"/>
      <c r="AB21" s="6"/>
      <c r="AE21" s="6" t="s">
        <v>20</v>
      </c>
    </row>
    <row r="22" spans="3:40" x14ac:dyDescent="0.3">
      <c r="C22" s="11"/>
      <c r="E22" s="11" t="str" cm="1">
        <f t="array" ref="E22">_xlfn.IFS(
    COUNTIF(Herramientas_eléctricas1862106149192[Herramientas_eléctricas], B22) &gt; 0, Herramientas_eléctricas1862106149192[[#Headers],[Herramientas_eléctricas]],
    COUNTIF(Herramientas_neumáticas1963107150193[Herramientas_neumáticas], B22) &gt; 0, Herramientas_neumáticas1963107150193[[#Headers],[Herramientas_neumáticas]],
    COUNTIF(Herramientas_de_medición2064108151194[Herramientas_de_medición], B22) &gt; 0, Herramientas_de_medición2064108151194[[#Headers],[Herramientas_de_medición]],
    COUNTIF(Herrramientas_mecánicas2165109152195[Herramientas_mecánicas], B22) &gt; 0, Herrramientas_mecánicas2165109152195[[#Headers],[Herramientas_mecánicas]],
    COUNTIF(AF22:AF28, B22) &gt; 0, Herramientas_hidráulicas2266110153196[[#Headers],[Herramientas_hidráulicas]],
    COUNTIF(EPP_2367111154197[SPCC], B22) &gt; 0, EPP_2367111154197[[#Headers],[SPCC]],
   COUNTIF(Herramientas_de_izaje2468112155198[Herramientas_de_izaje], B22) &gt; 0, Herramientas_de_izaje2468112155198[[#Headers],[Herramientas_de_izaje]],
COUNTIF(Tabla162670114157200[Equipos], B22) &gt; 0, Tabla162670114157200[[#Headers],[Equipos]],
    TRUE, "Sin clasificación"
)</f>
        <v>Sin clasificación</v>
      </c>
      <c r="F22" s="15"/>
      <c r="G22" s="15"/>
      <c r="H22" s="47"/>
      <c r="J22" s="47"/>
      <c r="K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-SinArea-0000</v>
      </c>
      <c r="M22" s="15"/>
      <c r="O22" s="48"/>
    </row>
    <row r="23" spans="3:40" x14ac:dyDescent="0.3">
      <c r="C23" s="11"/>
      <c r="E23" s="11" t="str" cm="1">
        <f t="array" ref="E23">_xlfn.IFS(
    COUNTIF(Herramientas_eléctricas1862106149192[Herramientas_eléctricas], B23) &gt; 0, Herramientas_eléctricas1862106149192[[#Headers],[Herramientas_eléctricas]],
    COUNTIF(Herramientas_neumáticas1963107150193[Herramientas_neumáticas], B23) &gt; 0, Herramientas_neumáticas1963107150193[[#Headers],[Herramientas_neumáticas]],
    COUNTIF(Herramientas_de_medición2064108151194[Herramientas_de_medición], B23) &gt; 0, Herramientas_de_medición2064108151194[[#Headers],[Herramientas_de_medición]],
    COUNTIF(Herrramientas_mecánicas2165109152195[Herramientas_mecánicas], B23) &gt; 0, Herrramientas_mecánicas2165109152195[[#Headers],[Herramientas_mecánicas]],
    COUNTIF(AF23:AF29, B23) &gt; 0, Herramientas_hidráulicas2266110153196[[#Headers],[Herramientas_hidráulicas]],
    COUNTIF(EPP_2367111154197[SPCC], B23) &gt; 0, EPP_2367111154197[[#Headers],[SPCC]],
   COUNTIF(Herramientas_de_izaje2468112155198[Herramientas_de_izaje], B23) &gt; 0, Herramientas_de_izaje2468112155198[[#Headers],[Herramientas_de_izaje]],
COUNTIF(Tabla162670114157200[Equipos], B23) &gt; 0, Tabla162670114157200[[#Headers],[Equipos]],
    TRUE, "Sin clasificación"
)</f>
        <v>Sin clasificación</v>
      </c>
      <c r="F23" s="15"/>
      <c r="G23" s="15"/>
      <c r="H23" s="47"/>
      <c r="J23" s="47"/>
      <c r="K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-SinArea-0000</v>
      </c>
      <c r="M23" s="15"/>
      <c r="O23" s="48"/>
    </row>
    <row r="24" spans="3:40" x14ac:dyDescent="0.3">
      <c r="C24" s="11"/>
      <c r="E24" s="11" t="str" cm="1">
        <f t="array" ref="E24">_xlfn.IFS(
    COUNTIF(Herramientas_eléctricas1862106149192[Herramientas_eléctricas], B24) &gt; 0, Herramientas_eléctricas1862106149192[[#Headers],[Herramientas_eléctricas]],
    COUNTIF(Herramientas_neumáticas1963107150193[Herramientas_neumáticas], B24) &gt; 0, Herramientas_neumáticas1963107150193[[#Headers],[Herramientas_neumáticas]],
    COUNTIF(Herramientas_de_medición2064108151194[Herramientas_de_medición], B24) &gt; 0, Herramientas_de_medición2064108151194[[#Headers],[Herramientas_de_medición]],
    COUNTIF(Herrramientas_mecánicas2165109152195[Herramientas_mecánicas], B24) &gt; 0, Herrramientas_mecánicas2165109152195[[#Headers],[Herramientas_mecánicas]],
    COUNTIF(AF24:AF30, B24) &gt; 0, Herramientas_hidráulicas2266110153196[[#Headers],[Herramientas_hidráulicas]],
    COUNTIF(EPP_2367111154197[SPCC], B24) &gt; 0, EPP_2367111154197[[#Headers],[SPCC]],
   COUNTIF(Herramientas_de_izaje2468112155198[Herramientas_de_izaje], B24) &gt; 0, Herramientas_de_izaje2468112155198[[#Headers],[Herramientas_de_izaje]],
COUNTIF(Tabla162670114157200[Equipos], B24) &gt; 0, Tabla162670114157200[[#Headers],[Equipos]],
    TRUE, "Sin clasificación"
)</f>
        <v>Sin clasificación</v>
      </c>
      <c r="F24" s="15"/>
      <c r="G24" s="15"/>
      <c r="H24" s="47"/>
      <c r="J24" s="47"/>
      <c r="K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-SinArea-0000</v>
      </c>
      <c r="M24" s="15"/>
      <c r="O24" s="48" t="s">
        <v>224</v>
      </c>
      <c r="AL24" s="18"/>
    </row>
    <row r="25" spans="3:40" x14ac:dyDescent="0.3">
      <c r="C25" s="11"/>
      <c r="E25" s="11" t="str" cm="1">
        <f t="array" ref="E25">_xlfn.IFS(
    COUNTIF(Herramientas_eléctricas1862106149192[Herramientas_eléctricas], B25) &gt; 0, Herramientas_eléctricas1862106149192[[#Headers],[Herramientas_eléctricas]],
    COUNTIF(Herramientas_neumáticas1963107150193[Herramientas_neumáticas], B25) &gt; 0, Herramientas_neumáticas1963107150193[[#Headers],[Herramientas_neumáticas]],
    COUNTIF(Herramientas_de_medición2064108151194[Herramientas_de_medición], B25) &gt; 0, Herramientas_de_medición2064108151194[[#Headers],[Herramientas_de_medición]],
    COUNTIF(Herrramientas_mecánicas2165109152195[Herramientas_mecánicas], B25) &gt; 0, Herrramientas_mecánicas2165109152195[[#Headers],[Herramientas_mecánicas]],
    COUNTIF(AF25:AF31, B25) &gt; 0, Herramientas_hidráulicas2266110153196[[#Headers],[Herramientas_hidráulicas]],
    COUNTIF(EPP_2367111154197[SPCC], B25) &gt; 0, EPP_2367111154197[[#Headers],[SPCC]],
   COUNTIF(Herramientas_de_izaje2468112155198[Herramientas_de_izaje], B25) &gt; 0, Herramientas_de_izaje2468112155198[[#Headers],[Herramientas_de_izaje]],
COUNTIF(Tabla162670114157200[Equipos], B25) &gt; 0, Tabla162670114157200[[#Headers],[Equipos]],
    TRUE, "Sin clasificación"
)</f>
        <v>Sin clasificación</v>
      </c>
      <c r="F25" s="15"/>
      <c r="G25" s="15"/>
      <c r="H25" s="47"/>
      <c r="J25" s="47"/>
      <c r="K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-SinArea-0000</v>
      </c>
      <c r="M25" s="15"/>
      <c r="O25" s="48"/>
      <c r="AL25" s="22"/>
    </row>
    <row r="26" spans="3:40" x14ac:dyDescent="0.3">
      <c r="C26" s="11"/>
      <c r="E26" s="11" t="str" cm="1">
        <f t="array" ref="E26">_xlfn.IFS(
    COUNTIF(Herramientas_eléctricas1862106149192[Herramientas_eléctricas], B26) &gt; 0, Herramientas_eléctricas1862106149192[[#Headers],[Herramientas_eléctricas]],
    COUNTIF(Herramientas_neumáticas1963107150193[Herramientas_neumáticas], B26) &gt; 0, Herramientas_neumáticas1963107150193[[#Headers],[Herramientas_neumáticas]],
    COUNTIF(Herramientas_de_medición2064108151194[Herramientas_de_medición], B26) &gt; 0, Herramientas_de_medición2064108151194[[#Headers],[Herramientas_de_medición]],
    COUNTIF(Herrramientas_mecánicas2165109152195[Herramientas_mecánicas], B26) &gt; 0, Herrramientas_mecánicas2165109152195[[#Headers],[Herramientas_mecánicas]],
    COUNTIF(AF26:AF32, B26) &gt; 0, Herramientas_hidráulicas2266110153196[[#Headers],[Herramientas_hidráulicas]],
    COUNTIF(EPP_2367111154197[SPCC], B26) &gt; 0, EPP_2367111154197[[#Headers],[SPCC]],
   COUNTIF(Herramientas_de_izaje2468112155198[Herramientas_de_izaje], B26) &gt; 0, Herramientas_de_izaje2468112155198[[#Headers],[Herramientas_de_izaje]],
COUNTIF(Tabla162670114157200[Equipos], B26) &gt; 0, Tabla162670114157200[[#Headers],[Equipos]],
    TRUE, "Sin clasificación"
)</f>
        <v>Sin clasificación</v>
      </c>
      <c r="F26" s="15"/>
      <c r="G26" s="15"/>
      <c r="H26" s="47"/>
      <c r="J26" s="47"/>
      <c r="K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-SinArea-0000</v>
      </c>
      <c r="M26" s="15"/>
      <c r="O26" s="48" t="s">
        <v>224</v>
      </c>
      <c r="AC26" s="18"/>
      <c r="AM26" t="s">
        <v>235</v>
      </c>
    </row>
    <row r="27" spans="3:40" ht="28.8" x14ac:dyDescent="0.3">
      <c r="C27" s="11"/>
      <c r="E27" s="11" t="str" cm="1">
        <f t="array" ref="E27">_xlfn.IFS(
    COUNTIF(Herramientas_eléctricas1862106149192[Herramientas_eléctricas], B27) &gt; 0, Herramientas_eléctricas1862106149192[[#Headers],[Herramientas_eléctricas]],
    COUNTIF(Herramientas_neumáticas1963107150193[Herramientas_neumáticas], B27) &gt; 0, Herramientas_neumáticas1963107150193[[#Headers],[Herramientas_neumáticas]],
    COUNTIF(Herramientas_de_medición2064108151194[Herramientas_de_medición], B27) &gt; 0, Herramientas_de_medición2064108151194[[#Headers],[Herramientas_de_medición]],
    COUNTIF(Herrramientas_mecánicas2165109152195[Herramientas_mecánicas], B27) &gt; 0, Herrramientas_mecánicas2165109152195[[#Headers],[Herramientas_mecánicas]],
    COUNTIF(AF27:AF33, B27) &gt; 0, Herramientas_hidráulicas2266110153196[[#Headers],[Herramientas_hidráulicas]],
    COUNTIF(EPP_2367111154197[SPCC], B27) &gt; 0, EPP_2367111154197[[#Headers],[SPCC]],
   COUNTIF(Herramientas_de_izaje2468112155198[Herramientas_de_izaje], B27) &gt; 0, Herramientas_de_izaje2468112155198[[#Headers],[Herramientas_de_izaje]],
COUNTIF(Tabla162670114157200[Equipos], B27) &gt; 0, Tabla162670114157200[[#Headers],[Equipos]],
    TRUE, "Sin clasificación"
)</f>
        <v>Sin clasificación</v>
      </c>
      <c r="F27" s="15"/>
      <c r="G27" s="15"/>
      <c r="H27" s="47"/>
      <c r="J27" s="47"/>
      <c r="K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-SinArea-0000</v>
      </c>
      <c r="M27" s="15"/>
      <c r="O27" s="48"/>
      <c r="AB27" s="11" t="s">
        <v>236</v>
      </c>
      <c r="AC27" s="11" t="s">
        <v>237</v>
      </c>
      <c r="AD27" s="11" t="s">
        <v>238</v>
      </c>
      <c r="AE27" s="11" t="s">
        <v>239</v>
      </c>
      <c r="AF27" s="11" t="s">
        <v>240</v>
      </c>
      <c r="AG27" s="11" t="s">
        <v>241</v>
      </c>
      <c r="AH27" s="11" t="s">
        <v>242</v>
      </c>
      <c r="AI27" s="11" t="s">
        <v>243</v>
      </c>
      <c r="AJ27" s="11" t="s">
        <v>244</v>
      </c>
      <c r="AK27" s="11" t="s">
        <v>245</v>
      </c>
    </row>
    <row r="28" spans="3:40" x14ac:dyDescent="0.3">
      <c r="C28" s="11"/>
      <c r="E28" s="11" t="str" cm="1">
        <f t="array" ref="E28">_xlfn.IFS(
    COUNTIF(Herramientas_eléctricas1862106149192[Herramientas_eléctricas], B28) &gt; 0, Herramientas_eléctricas1862106149192[[#Headers],[Herramientas_eléctricas]],
    COUNTIF(Herramientas_neumáticas1963107150193[Herramientas_neumáticas], B28) &gt; 0, Herramientas_neumáticas1963107150193[[#Headers],[Herramientas_neumáticas]],
    COUNTIF(Herramientas_de_medición2064108151194[Herramientas_de_medición], B28) &gt; 0, Herramientas_de_medición2064108151194[[#Headers],[Herramientas_de_medición]],
    COUNTIF(Herrramientas_mecánicas2165109152195[Herramientas_mecánicas], B28) &gt; 0, Herrramientas_mecánicas2165109152195[[#Headers],[Herramientas_mecánicas]],
    COUNTIF(AF28:AF34, B28) &gt; 0, Herramientas_hidráulicas2266110153196[[#Headers],[Herramientas_hidráulicas]],
    COUNTIF(EPP_2367111154197[SPCC], B28) &gt; 0, EPP_2367111154197[[#Headers],[SPCC]],
   COUNTIF(Herramientas_de_izaje2468112155198[Herramientas_de_izaje], B28) &gt; 0, Herramientas_de_izaje2468112155198[[#Headers],[Herramientas_de_izaje]],
COUNTIF(Tabla162670114157200[Equipos], B28) &gt; 0, Tabla162670114157200[[#Headers],[Equipos]],
    TRUE, "Sin clasificación"
)</f>
        <v>Sin clasificación</v>
      </c>
      <c r="F28" s="15"/>
      <c r="G28" s="15"/>
      <c r="H28" s="47"/>
      <c r="J28" s="47"/>
      <c r="K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-SinArea-0000</v>
      </c>
      <c r="M28" s="15"/>
      <c r="O28" s="48"/>
    </row>
    <row r="29" spans="3:40" x14ac:dyDescent="0.3">
      <c r="C29" s="11"/>
      <c r="E29" s="11" t="str" cm="1">
        <f t="array" ref="E29">_xlfn.IFS(
    COUNTIF(Herramientas_eléctricas1862106149192[Herramientas_eléctricas], B29) &gt; 0, Herramientas_eléctricas1862106149192[[#Headers],[Herramientas_eléctricas]],
    COUNTIF(Herramientas_neumáticas1963107150193[Herramientas_neumáticas], B29) &gt; 0, Herramientas_neumáticas1963107150193[[#Headers],[Herramientas_neumáticas]],
    COUNTIF(Herramientas_de_medición2064108151194[Herramientas_de_medición], B29) &gt; 0, Herramientas_de_medición2064108151194[[#Headers],[Herramientas_de_medición]],
    COUNTIF(Herrramientas_mecánicas2165109152195[Herramientas_mecánicas], B29) &gt; 0, Herrramientas_mecánicas2165109152195[[#Headers],[Herramientas_mecánicas]],
    COUNTIF(AF29:AF35, B29) &gt; 0, Herramientas_hidráulicas2266110153196[[#Headers],[Herramientas_hidráulicas]],
    COUNTIF(EPP_2367111154197[SPCC], B29) &gt; 0, EPP_2367111154197[[#Headers],[SPCC]],
   COUNTIF(Herramientas_de_izaje2468112155198[Herramientas_de_izaje], B29) &gt; 0, Herramientas_de_izaje2468112155198[[#Headers],[Herramientas_de_izaje]],
COUNTIF(Tabla162670114157200[Equipos], B29) &gt; 0, Tabla162670114157200[[#Headers],[Equipos]],
    TRUE, "Sin clasificación"
)</f>
        <v>Sin clasificación</v>
      </c>
      <c r="F29" s="15"/>
      <c r="G29" s="15"/>
      <c r="H29" s="47"/>
      <c r="J29" s="47"/>
      <c r="K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-SinArea-0000</v>
      </c>
      <c r="M29" s="15"/>
      <c r="O29" s="48"/>
      <c r="AB29" t="s">
        <v>246</v>
      </c>
      <c r="AC29" t="s">
        <v>97</v>
      </c>
      <c r="AD29" t="s">
        <v>34</v>
      </c>
      <c r="AE29" t="s">
        <v>66</v>
      </c>
      <c r="AF29" s="63" t="s">
        <v>247</v>
      </c>
      <c r="AH29" t="s">
        <v>19</v>
      </c>
      <c r="AK29" t="s">
        <v>75</v>
      </c>
    </row>
    <row r="30" spans="3:40" ht="28.8" x14ac:dyDescent="0.3">
      <c r="C30" s="11"/>
      <c r="E30" s="11" t="str" cm="1">
        <f t="array" ref="E30">_xlfn.IFS(
    COUNTIF(Herramientas_eléctricas1862106149192[Herramientas_eléctricas], B30) &gt; 0, Herramientas_eléctricas1862106149192[[#Headers],[Herramientas_eléctricas]],
    COUNTIF(Herramientas_neumáticas1963107150193[Herramientas_neumáticas], B30) &gt; 0, Herramientas_neumáticas1963107150193[[#Headers],[Herramientas_neumáticas]],
    COUNTIF(Herramientas_de_medición2064108151194[Herramientas_de_medición], B30) &gt; 0, Herramientas_de_medición2064108151194[[#Headers],[Herramientas_de_medición]],
    COUNTIF(Herrramientas_mecánicas2165109152195[Herramientas_mecánicas], B30) &gt; 0, Herrramientas_mecánicas2165109152195[[#Headers],[Herramientas_mecánicas]],
    COUNTIF(AF30:AF36, B30) &gt; 0, Herramientas_hidráulicas2266110153196[[#Headers],[Herramientas_hidráulicas]],
    COUNTIF(EPP_2367111154197[SPCC], B30) &gt; 0, EPP_2367111154197[[#Headers],[SPCC]],
   COUNTIF(Herramientas_de_izaje2468112155198[Herramientas_de_izaje], B30) &gt; 0, Herramientas_de_izaje2468112155198[[#Headers],[Herramientas_de_izaje]],
COUNTIF(Tabla162670114157200[Equipos], B30) &gt; 0, Tabla162670114157200[[#Headers],[Equipos]],
    TRUE, "Sin clasificación"
)</f>
        <v>Sin clasificación</v>
      </c>
      <c r="F30" s="15"/>
      <c r="G30" s="15"/>
      <c r="H30" s="47"/>
      <c r="J30" s="47"/>
      <c r="K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-SinArea-0000</v>
      </c>
      <c r="M30" s="15"/>
      <c r="O30" s="48" t="s">
        <v>224</v>
      </c>
      <c r="AB30" s="22" t="s">
        <v>248</v>
      </c>
      <c r="AC30" t="s">
        <v>17</v>
      </c>
      <c r="AD30" s="18" t="s">
        <v>249</v>
      </c>
      <c r="AE30" t="s">
        <v>250</v>
      </c>
      <c r="AF30" s="64" t="s">
        <v>251</v>
      </c>
      <c r="AH30" t="s">
        <v>252</v>
      </c>
      <c r="AK30" s="18" t="s">
        <v>253</v>
      </c>
    </row>
    <row r="31" spans="3:40" x14ac:dyDescent="0.3">
      <c r="C31" s="11"/>
      <c r="E31" s="11" t="str" cm="1">
        <f t="array" ref="E31">_xlfn.IFS(
    COUNTIF(Herramientas_eléctricas1862106149192[Herramientas_eléctricas], B31) &gt; 0, Herramientas_eléctricas1862106149192[[#Headers],[Herramientas_eléctricas]],
    COUNTIF(Herramientas_neumáticas1963107150193[Herramientas_neumáticas], B31) &gt; 0, Herramientas_neumáticas1963107150193[[#Headers],[Herramientas_neumáticas]],
    COUNTIF(Herramientas_de_medición2064108151194[Herramientas_de_medición], B31) &gt; 0, Herramientas_de_medición2064108151194[[#Headers],[Herramientas_de_medición]],
    COUNTIF(Herrramientas_mecánicas2165109152195[Herramientas_mecánicas], B31) &gt; 0, Herrramientas_mecánicas2165109152195[[#Headers],[Herramientas_mecánicas]],
    COUNTIF(AF31:AF37, B31) &gt; 0, Herramientas_hidráulicas2266110153196[[#Headers],[Herramientas_hidráulicas]],
    COUNTIF(EPP_2367111154197[SPCC], B31) &gt; 0, EPP_2367111154197[[#Headers],[SPCC]],
   COUNTIF(Herramientas_de_izaje2468112155198[Herramientas_de_izaje], B31) &gt; 0, Herramientas_de_izaje2468112155198[[#Headers],[Herramientas_de_izaje]],
COUNTIF(Tabla162670114157200[Equipos], B31) &gt; 0, Tabla162670114157200[[#Headers],[Equipos]],
    TRUE, "Sin clasificación"
)</f>
        <v>Sin clasificación</v>
      </c>
      <c r="F31" s="15"/>
      <c r="G31" s="15"/>
      <c r="H31" s="47"/>
      <c r="J31" s="47"/>
      <c r="K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-SinArea-0000</v>
      </c>
      <c r="M31" s="15"/>
      <c r="O31" s="48"/>
      <c r="AB31" s="65" t="s">
        <v>254</v>
      </c>
      <c r="AD31" t="s">
        <v>255</v>
      </c>
      <c r="AK31" s="26" t="s">
        <v>256</v>
      </c>
    </row>
    <row r="32" spans="3:40" ht="28.5" customHeight="1" x14ac:dyDescent="0.3">
      <c r="C32" s="11"/>
      <c r="E32" s="11" t="str" cm="1">
        <f t="array" ref="E32">_xlfn.IFS(
    COUNTIF(Herramientas_eléctricas1862106149192[Herramientas_eléctricas], B32) &gt; 0, Herramientas_eléctricas1862106149192[[#Headers],[Herramientas_eléctricas]],
    COUNTIF(Herramientas_neumáticas1963107150193[Herramientas_neumáticas], B32) &gt; 0, Herramientas_neumáticas1963107150193[[#Headers],[Herramientas_neumáticas]],
    COUNTIF(Herramientas_de_medición2064108151194[Herramientas_de_medición], B32) &gt; 0, Herramientas_de_medición2064108151194[[#Headers],[Herramientas_de_medición]],
    COUNTIF(Herrramientas_mecánicas2165109152195[Herramientas_mecánicas], B32) &gt; 0, Herrramientas_mecánicas2165109152195[[#Headers],[Herramientas_mecánicas]],
    COUNTIF(AF32:AF38, B32) &gt; 0, Herramientas_hidráulicas2266110153196[[#Headers],[Herramientas_hidráulicas]],
    COUNTIF(EPP_2367111154197[SPCC], B32) &gt; 0, EPP_2367111154197[[#Headers],[SPCC]],
   COUNTIF(Herramientas_de_izaje2468112155198[Herramientas_de_izaje], B32) &gt; 0, Herramientas_de_izaje2468112155198[[#Headers],[Herramientas_de_izaje]],
COUNTIF(Tabla162670114157200[Equipos], B32) &gt; 0, Tabla162670114157200[[#Headers],[Equipos]],
    TRUE, "Sin clasificación"
)</f>
        <v>Sin clasificación</v>
      </c>
      <c r="F32" s="15"/>
      <c r="G32" s="15"/>
      <c r="H32" s="47"/>
      <c r="J32" s="47"/>
      <c r="K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-SinArea-0000</v>
      </c>
      <c r="M32" s="15"/>
      <c r="O32" s="48"/>
    </row>
    <row r="33" spans="3:40" x14ac:dyDescent="0.3">
      <c r="C33" s="11"/>
      <c r="E33" s="11" t="str" cm="1">
        <f t="array" ref="E33">_xlfn.IFS(
    COUNTIF(Herramientas_eléctricas1862106149192[Herramientas_eléctricas], B33) &gt; 0, Herramientas_eléctricas1862106149192[[#Headers],[Herramientas_eléctricas]],
    COUNTIF(Herramientas_neumáticas1963107150193[Herramientas_neumáticas], B33) &gt; 0, Herramientas_neumáticas1963107150193[[#Headers],[Herramientas_neumáticas]],
    COUNTIF(Herramientas_de_medición2064108151194[Herramientas_de_medición], B33) &gt; 0, Herramientas_de_medición2064108151194[[#Headers],[Herramientas_de_medición]],
    COUNTIF(Herrramientas_mecánicas2165109152195[Herramientas_mecánicas], B33) &gt; 0, Herrramientas_mecánicas2165109152195[[#Headers],[Herramientas_mecánicas]],
    COUNTIF(AF33:AF39, B33) &gt; 0, Herramientas_hidráulicas2266110153196[[#Headers],[Herramientas_hidráulicas]],
    COUNTIF(EPP_2367111154197[SPCC], B33) &gt; 0, EPP_2367111154197[[#Headers],[SPCC]],
   COUNTIF(Herramientas_de_izaje2468112155198[Herramientas_de_izaje], B33) &gt; 0, Herramientas_de_izaje2468112155198[[#Headers],[Herramientas_de_izaje]],
COUNTIF(Tabla162670114157200[Equipos], B33) &gt; 0, Tabla162670114157200[[#Headers],[Equipos]],
    TRUE, "Sin clasificación"
)</f>
        <v>Sin clasificación</v>
      </c>
      <c r="F33" s="15"/>
      <c r="G33" s="15"/>
      <c r="H33" s="47"/>
      <c r="J33" s="47"/>
      <c r="K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-SinArea-0000</v>
      </c>
      <c r="M33" s="15"/>
      <c r="O33" s="48"/>
      <c r="AB33" t="s">
        <v>68</v>
      </c>
      <c r="AC33" t="s">
        <v>36</v>
      </c>
      <c r="AD33" t="s">
        <v>257</v>
      </c>
      <c r="AE33" t="s">
        <v>258</v>
      </c>
    </row>
    <row r="34" spans="3:40" x14ac:dyDescent="0.3">
      <c r="C34" s="11"/>
      <c r="E34" s="11" t="str" cm="1">
        <f t="array" ref="E34">_xlfn.IFS(
    COUNTIF(Herramientas_eléctricas1862106149192[Herramientas_eléctricas], B34) &gt; 0, Herramientas_eléctricas1862106149192[[#Headers],[Herramientas_eléctricas]],
    COUNTIF(Herramientas_neumáticas1963107150193[Herramientas_neumáticas], B34) &gt; 0, Herramientas_neumáticas1963107150193[[#Headers],[Herramientas_neumáticas]],
    COUNTIF(Herramientas_de_medición2064108151194[Herramientas_de_medición], B34) &gt; 0, Herramientas_de_medición2064108151194[[#Headers],[Herramientas_de_medición]],
    COUNTIF(Herrramientas_mecánicas2165109152195[Herramientas_mecánicas], B34) &gt; 0, Herrramientas_mecánicas2165109152195[[#Headers],[Herramientas_mecánicas]],
    COUNTIF(AF34:AF40, B34) &gt; 0, Herramientas_hidráulicas2266110153196[[#Headers],[Herramientas_hidráulicas]],
    COUNTIF(EPP_2367111154197[SPCC], B34) &gt; 0, EPP_2367111154197[[#Headers],[SPCC]],
   COUNTIF(Herramientas_de_izaje2468112155198[Herramientas_de_izaje], B34) &gt; 0, Herramientas_de_izaje2468112155198[[#Headers],[Herramientas_de_izaje]],
COUNTIF(Tabla162670114157200[Equipos], B34) &gt; 0, Tabla162670114157200[[#Headers],[Equipos]],
    TRUE, "Sin clasificación"
)</f>
        <v>Sin clasificación</v>
      </c>
      <c r="F34" s="15"/>
      <c r="G34" s="15"/>
      <c r="H34" s="47"/>
      <c r="J34" s="47"/>
      <c r="K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-SinArea-0000</v>
      </c>
      <c r="M34" s="15"/>
      <c r="O34" s="48"/>
      <c r="AB34" s="20" t="s">
        <v>259</v>
      </c>
      <c r="AC34" t="s">
        <v>260</v>
      </c>
      <c r="AD34" s="19" t="s">
        <v>261</v>
      </c>
      <c r="AE34" s="22" t="s">
        <v>262</v>
      </c>
    </row>
    <row r="35" spans="3:40" ht="28.8" x14ac:dyDescent="0.3">
      <c r="C35" s="11"/>
      <c r="E35" s="11" t="str" cm="1">
        <f t="array" ref="E35">_xlfn.IFS(
    COUNTIF(Herramientas_eléctricas1862106149192[Herramientas_eléctricas], B35) &gt; 0, Herramientas_eléctricas1862106149192[[#Headers],[Herramientas_eléctricas]],
    COUNTIF(Herramientas_neumáticas1963107150193[Herramientas_neumáticas], B35) &gt; 0, Herramientas_neumáticas1963107150193[[#Headers],[Herramientas_neumáticas]],
    COUNTIF(Herramientas_de_medición2064108151194[Herramientas_de_medición], B35) &gt; 0, Herramientas_de_medición2064108151194[[#Headers],[Herramientas_de_medición]],
    COUNTIF(Herrramientas_mecánicas2165109152195[Herramientas_mecánicas], B35) &gt; 0, Herrramientas_mecánicas2165109152195[[#Headers],[Herramientas_mecánicas]],
    COUNTIF(AF35:AF41, B35) &gt; 0, Herramientas_hidráulicas2266110153196[[#Headers],[Herramientas_hidráulicas]],
    COUNTIF(EPP_2367111154197[SPCC], B35) &gt; 0, EPP_2367111154197[[#Headers],[SPCC]],
   COUNTIF(Herramientas_de_izaje2468112155198[Herramientas_de_izaje], B35) &gt; 0, Herramientas_de_izaje2468112155198[[#Headers],[Herramientas_de_izaje]],
COUNTIF(Tabla162670114157200[Equipos], B35) &gt; 0, Tabla162670114157200[[#Headers],[Equipos]],
    TRUE, "Sin clasificación"
)</f>
        <v>Sin clasificación</v>
      </c>
      <c r="F35" s="15"/>
      <c r="G35" s="15"/>
      <c r="H35" s="47"/>
      <c r="J35" s="47"/>
      <c r="K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-SinArea-0000</v>
      </c>
      <c r="M35" s="15"/>
      <c r="O35" s="48"/>
      <c r="AB35" s="66" t="s">
        <v>263</v>
      </c>
      <c r="AD35" s="13" t="s">
        <v>264</v>
      </c>
      <c r="AE35" s="67" t="s">
        <v>265</v>
      </c>
    </row>
    <row r="36" spans="3:40" x14ac:dyDescent="0.3">
      <c r="C36" s="11"/>
      <c r="E36" s="11"/>
      <c r="F36" s="15"/>
      <c r="G36" s="15"/>
      <c r="H36" s="47"/>
      <c r="J36" s="47"/>
      <c r="K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-SinArea-0000</v>
      </c>
      <c r="M36" s="15"/>
      <c r="O36" s="48"/>
      <c r="AD36" s="68" t="s">
        <v>266</v>
      </c>
      <c r="AE36" s="22" t="s">
        <v>267</v>
      </c>
    </row>
    <row r="37" spans="3:40" x14ac:dyDescent="0.3">
      <c r="C37" s="11"/>
      <c r="E37" s="11"/>
      <c r="F37" s="15"/>
      <c r="G37" s="15"/>
      <c r="H37" s="47"/>
      <c r="J37" s="47"/>
      <c r="K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-SinArea-0000</v>
      </c>
      <c r="M37" s="15"/>
      <c r="O37" s="48"/>
      <c r="AE37" s="18" t="s">
        <v>268</v>
      </c>
    </row>
    <row r="38" spans="3:40" x14ac:dyDescent="0.3">
      <c r="C38" s="11"/>
      <c r="E38" s="11"/>
      <c r="F38" s="15"/>
      <c r="G38" s="15"/>
      <c r="H38" s="47"/>
      <c r="J38" s="47"/>
      <c r="K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-SinArea-0000</v>
      </c>
      <c r="M38" s="15"/>
      <c r="O38" s="48"/>
      <c r="AB38" s="69" t="s">
        <v>24</v>
      </c>
      <c r="AD38" t="s">
        <v>269</v>
      </c>
      <c r="AE38" s="18" t="s">
        <v>270</v>
      </c>
    </row>
    <row r="39" spans="3:40" ht="22.8" x14ac:dyDescent="0.3">
      <c r="C39" s="11"/>
      <c r="E39" s="11"/>
      <c r="F39" s="15"/>
      <c r="G39" s="15"/>
      <c r="H39" s="47"/>
      <c r="J39" s="47"/>
      <c r="K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-SinArea-0000</v>
      </c>
      <c r="M39" s="15"/>
      <c r="O39" s="48"/>
      <c r="AB39" s="62" t="s">
        <v>271</v>
      </c>
      <c r="AD39" s="68" t="s">
        <v>272</v>
      </c>
      <c r="AE39" s="22" t="s">
        <v>273</v>
      </c>
    </row>
    <row r="40" spans="3:40" x14ac:dyDescent="0.3">
      <c r="C40" s="11"/>
      <c r="E40" s="11"/>
      <c r="F40" s="15"/>
      <c r="G40" s="15"/>
      <c r="H40" s="47"/>
      <c r="J40" s="47"/>
      <c r="K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-SinArea-0000</v>
      </c>
      <c r="M40" s="15"/>
      <c r="O40" s="48"/>
      <c r="AB40" s="70" t="s">
        <v>17</v>
      </c>
      <c r="AE40" t="s">
        <v>274</v>
      </c>
    </row>
    <row r="41" spans="3:40" x14ac:dyDescent="0.3">
      <c r="C41" s="11"/>
      <c r="E41" s="11"/>
      <c r="F41" s="15"/>
      <c r="G41" s="15"/>
      <c r="H41" s="47"/>
      <c r="J41" s="47"/>
      <c r="K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-SinArea-0000</v>
      </c>
      <c r="M41" s="15"/>
      <c r="O41" s="48"/>
      <c r="AD41" t="s">
        <v>61</v>
      </c>
    </row>
    <row r="42" spans="3:40" x14ac:dyDescent="0.3">
      <c r="C42" s="11"/>
      <c r="E42" s="11"/>
      <c r="F42" s="15"/>
      <c r="G42" s="15"/>
      <c r="H42" s="47"/>
      <c r="J42" s="47"/>
      <c r="K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-SinArea-0000</v>
      </c>
      <c r="M42" s="15"/>
      <c r="O42" s="48"/>
      <c r="AB42" s="71" t="s">
        <v>94</v>
      </c>
      <c r="AD42" t="s">
        <v>275</v>
      </c>
    </row>
    <row r="43" spans="3:40" ht="28.8" x14ac:dyDescent="0.3">
      <c r="C43" s="11"/>
      <c r="E43" s="11"/>
      <c r="F43" s="15"/>
      <c r="G43" s="15"/>
      <c r="H43" s="47"/>
      <c r="J43" s="47"/>
      <c r="K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-SinArea-0000</v>
      </c>
      <c r="M43" s="15"/>
      <c r="O43" s="48"/>
      <c r="AB43" s="72" t="s">
        <v>276</v>
      </c>
      <c r="AD43" s="20" t="s">
        <v>277</v>
      </c>
      <c r="AE43" t="s">
        <v>98</v>
      </c>
    </row>
    <row r="44" spans="3:40" x14ac:dyDescent="0.3">
      <c r="C44" s="11"/>
      <c r="E44" s="11"/>
      <c r="F44" s="15"/>
      <c r="G44" s="15"/>
      <c r="H44" s="47"/>
      <c r="J44" s="47"/>
      <c r="K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-SinArea-0000</v>
      </c>
      <c r="M44" s="15"/>
      <c r="O44" s="48"/>
      <c r="AB44" s="73" t="s">
        <v>278</v>
      </c>
      <c r="AD44" s="18" t="s">
        <v>279</v>
      </c>
      <c r="AE44" s="26" t="s">
        <v>280</v>
      </c>
    </row>
    <row r="45" spans="3:40" x14ac:dyDescent="0.3">
      <c r="C45" s="11"/>
      <c r="E45" s="11"/>
      <c r="F45" s="15"/>
      <c r="G45" s="15"/>
      <c r="H45" s="47"/>
      <c r="J45" s="47"/>
      <c r="K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-SinArea-0000</v>
      </c>
      <c r="M45" s="15"/>
      <c r="O45" s="48"/>
      <c r="AB45" t="s">
        <v>42</v>
      </c>
      <c r="AD45" s="26" t="s">
        <v>281</v>
      </c>
    </row>
    <row r="46" spans="3:40" x14ac:dyDescent="0.3">
      <c r="C46" s="11"/>
      <c r="E46" s="11"/>
      <c r="F46" s="15"/>
      <c r="G46" s="15"/>
      <c r="H46" s="47"/>
      <c r="J46" s="47"/>
      <c r="K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-SinArea-0000</v>
      </c>
      <c r="M46" s="15"/>
      <c r="O46" s="48"/>
    </row>
    <row r="47" spans="3:40" x14ac:dyDescent="0.3">
      <c r="C47" s="11"/>
      <c r="E47" s="11"/>
      <c r="F47" s="15"/>
      <c r="G47" s="15"/>
      <c r="H47" s="47"/>
      <c r="J47" s="47"/>
      <c r="K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-SinArea-0000</v>
      </c>
      <c r="M47" s="15"/>
      <c r="O47" s="48"/>
      <c r="AB47" t="s">
        <v>41</v>
      </c>
      <c r="AE47" t="s">
        <v>282</v>
      </c>
    </row>
    <row r="48" spans="3:40" ht="28.8" x14ac:dyDescent="0.3">
      <c r="C48" s="11"/>
      <c r="E48" s="11"/>
      <c r="F48" s="15"/>
      <c r="G48" s="15"/>
      <c r="H48" s="47"/>
      <c r="J48" s="47"/>
      <c r="K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-SinArea-0000</v>
      </c>
      <c r="M48" s="15"/>
      <c r="O48" s="48"/>
      <c r="AB48" t="s">
        <v>41</v>
      </c>
      <c r="AD48" t="s">
        <v>283</v>
      </c>
      <c r="AE48" s="74" t="s">
        <v>284</v>
      </c>
      <c r="AN48" t="s">
        <v>74</v>
      </c>
    </row>
    <row r="49" spans="3:40" x14ac:dyDescent="0.3">
      <c r="C49" s="11"/>
      <c r="E49" s="11"/>
      <c r="F49" s="15"/>
      <c r="G49" s="15"/>
      <c r="H49" s="47"/>
      <c r="J49" s="47"/>
      <c r="K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-SinArea-0000</v>
      </c>
      <c r="M49" s="15"/>
      <c r="O49" s="48"/>
      <c r="AB49" t="s">
        <v>285</v>
      </c>
      <c r="AD49" t="s">
        <v>286</v>
      </c>
      <c r="AN49" s="22" t="s">
        <v>74</v>
      </c>
    </row>
    <row r="50" spans="3:40" x14ac:dyDescent="0.3">
      <c r="C50" s="11"/>
      <c r="E50" s="11"/>
      <c r="F50" s="15"/>
      <c r="G50" s="15"/>
      <c r="H50" s="47"/>
      <c r="J50" s="47"/>
      <c r="K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-SinArea-0000</v>
      </c>
      <c r="M50" s="15"/>
      <c r="O50" s="48"/>
      <c r="AB50" t="s">
        <v>287</v>
      </c>
      <c r="AD50" t="s">
        <v>288</v>
      </c>
      <c r="AE50" t="s">
        <v>289</v>
      </c>
      <c r="AN50" s="18" t="s">
        <v>290</v>
      </c>
    </row>
    <row r="51" spans="3:40" x14ac:dyDescent="0.3">
      <c r="C51" s="11"/>
      <c r="E51" s="11"/>
      <c r="F51" s="15"/>
      <c r="G51" s="15"/>
      <c r="H51" s="47"/>
      <c r="J51" s="47"/>
      <c r="K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-SinArea-0000</v>
      </c>
      <c r="M51" s="15"/>
      <c r="O51" s="48"/>
      <c r="AE51" s="22" t="s">
        <v>291</v>
      </c>
    </row>
    <row r="52" spans="3:40" x14ac:dyDescent="0.3">
      <c r="C52" s="11"/>
      <c r="E52" s="11"/>
      <c r="F52" s="15"/>
      <c r="G52" s="15"/>
      <c r="H52" s="47"/>
      <c r="J52" s="47"/>
      <c r="K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-SinArea-0000</v>
      </c>
      <c r="M52" s="15"/>
      <c r="O52" s="48"/>
      <c r="AB52" t="s">
        <v>60</v>
      </c>
      <c r="AE52" s="67" t="s">
        <v>292</v>
      </c>
    </row>
    <row r="53" spans="3:40" x14ac:dyDescent="0.3">
      <c r="C53" s="11"/>
      <c r="E53" s="11"/>
      <c r="F53" s="15"/>
      <c r="G53" s="15"/>
      <c r="H53" s="47"/>
      <c r="J53" s="47"/>
      <c r="K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-SinArea-0000</v>
      </c>
      <c r="M53" s="15"/>
      <c r="O53" s="48"/>
      <c r="AB53" s="70" t="s">
        <v>293</v>
      </c>
      <c r="AE53" s="22" t="s">
        <v>294</v>
      </c>
    </row>
    <row r="54" spans="3:40" x14ac:dyDescent="0.3">
      <c r="C54" s="11"/>
      <c r="E54" s="11"/>
      <c r="F54" s="15"/>
      <c r="G54" s="15"/>
      <c r="H54" s="47"/>
      <c r="J54" s="47"/>
      <c r="K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-SinArea-0000</v>
      </c>
      <c r="M54" s="15"/>
      <c r="O54" s="48"/>
      <c r="AE54" s="22" t="s">
        <v>295</v>
      </c>
    </row>
    <row r="55" spans="3:40" x14ac:dyDescent="0.3">
      <c r="C55" s="11"/>
      <c r="E55" s="11"/>
      <c r="F55" s="15"/>
      <c r="G55" s="15"/>
      <c r="H55" s="47"/>
      <c r="J55" s="47"/>
      <c r="K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-SinArea-0000</v>
      </c>
      <c r="M55" s="15"/>
      <c r="O55" s="48"/>
      <c r="AE55" s="22" t="s">
        <v>296</v>
      </c>
    </row>
    <row r="56" spans="3:40" x14ac:dyDescent="0.3">
      <c r="C56" s="11"/>
      <c r="E56" s="11"/>
      <c r="F56" s="15"/>
      <c r="G56" s="15"/>
      <c r="H56" s="47"/>
      <c r="J56" s="47"/>
      <c r="K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-SinArea-0000</v>
      </c>
      <c r="M56" s="15"/>
      <c r="O56" s="48"/>
      <c r="AD56" t="s">
        <v>297</v>
      </c>
      <c r="AE56" s="18" t="s">
        <v>298</v>
      </c>
    </row>
    <row r="57" spans="3:40" x14ac:dyDescent="0.3">
      <c r="C57" s="11"/>
      <c r="E57" s="11"/>
      <c r="F57" s="15"/>
      <c r="G57" s="15"/>
      <c r="H57" s="47"/>
      <c r="J57" s="47"/>
      <c r="K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-SinArea-0000</v>
      </c>
      <c r="M57" s="15"/>
      <c r="O57" s="48"/>
      <c r="AD57" t="s">
        <v>299</v>
      </c>
      <c r="AE57" s="22" t="s">
        <v>300</v>
      </c>
    </row>
    <row r="58" spans="3:40" x14ac:dyDescent="0.3">
      <c r="C58" s="11"/>
      <c r="E58" s="11"/>
      <c r="F58" s="15"/>
      <c r="G58" s="15"/>
      <c r="H58" s="47"/>
      <c r="J58" s="47"/>
      <c r="K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-SinArea-0000</v>
      </c>
      <c r="M58" s="15"/>
      <c r="O58" s="48"/>
      <c r="AB58" t="s">
        <v>23</v>
      </c>
      <c r="AE58" s="18" t="s">
        <v>301</v>
      </c>
    </row>
    <row r="59" spans="3:40" x14ac:dyDescent="0.3">
      <c r="C59" s="11"/>
      <c r="E59" s="11"/>
      <c r="F59" s="15"/>
      <c r="G59" s="15"/>
      <c r="H59" s="47"/>
      <c r="J59" s="47"/>
      <c r="K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-SinArea-0000</v>
      </c>
      <c r="M59" s="15"/>
      <c r="O59" s="48"/>
      <c r="AB59" t="s">
        <v>302</v>
      </c>
      <c r="AE59" s="70" t="s">
        <v>303</v>
      </c>
    </row>
    <row r="60" spans="3:40" x14ac:dyDescent="0.3">
      <c r="C60" s="11"/>
      <c r="E60" s="11"/>
      <c r="F60" s="15"/>
      <c r="G60" s="15"/>
      <c r="H60" s="47"/>
      <c r="J60" s="47"/>
      <c r="K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-SinArea-0000</v>
      </c>
      <c r="M60" s="15"/>
      <c r="O60" s="48"/>
      <c r="AD60" t="s">
        <v>62</v>
      </c>
    </row>
    <row r="61" spans="3:40" x14ac:dyDescent="0.3">
      <c r="C61" s="11"/>
      <c r="E61" s="11"/>
      <c r="F61" s="15"/>
      <c r="G61" s="15"/>
      <c r="H61" s="47"/>
      <c r="J61" s="47"/>
      <c r="K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-SinArea-0000</v>
      </c>
      <c r="M61" s="15"/>
      <c r="O61" s="48"/>
      <c r="AD61" s="70" t="s">
        <v>304</v>
      </c>
      <c r="AE61" t="s">
        <v>305</v>
      </c>
    </row>
    <row r="62" spans="3:40" x14ac:dyDescent="0.3">
      <c r="C62" s="11"/>
      <c r="E62" s="11"/>
      <c r="F62" s="15"/>
      <c r="G62" s="15"/>
      <c r="H62" s="47"/>
      <c r="J62" s="47"/>
      <c r="K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-SinArea-0000</v>
      </c>
      <c r="M62" s="15"/>
      <c r="O62" s="48"/>
      <c r="AB62" t="s">
        <v>64</v>
      </c>
      <c r="AE62" t="s">
        <v>306</v>
      </c>
    </row>
    <row r="63" spans="3:40" x14ac:dyDescent="0.3">
      <c r="C63" s="11"/>
      <c r="E63" s="11"/>
      <c r="F63" s="15"/>
      <c r="G63" s="15"/>
      <c r="H63" s="47"/>
      <c r="J63" s="47"/>
      <c r="K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-SinArea-0000</v>
      </c>
      <c r="M63" s="15"/>
      <c r="O63" s="48"/>
      <c r="AB63" s="75" t="s">
        <v>307</v>
      </c>
      <c r="AD63" t="s">
        <v>89</v>
      </c>
    </row>
    <row r="64" spans="3:40" ht="28.8" x14ac:dyDescent="0.3">
      <c r="C64" s="11"/>
      <c r="E64" s="11"/>
      <c r="F64" s="15"/>
      <c r="G64" s="15"/>
      <c r="H64" s="47"/>
      <c r="J64" s="47"/>
      <c r="K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-SinArea-0000</v>
      </c>
      <c r="M64" s="15"/>
      <c r="O64" s="48"/>
      <c r="AB64" s="70" t="s">
        <v>308</v>
      </c>
      <c r="AD64" s="12" t="s">
        <v>309</v>
      </c>
      <c r="AE64" t="s">
        <v>102</v>
      </c>
    </row>
    <row r="65" spans="3:31" x14ac:dyDescent="0.3">
      <c r="C65" s="11"/>
      <c r="E65" s="11"/>
      <c r="F65" s="15"/>
      <c r="G65" s="15"/>
      <c r="H65" s="47"/>
      <c r="J65" s="47"/>
      <c r="K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-SinArea-0000</v>
      </c>
      <c r="M65" s="15"/>
      <c r="O65" s="48"/>
      <c r="AE65" t="s">
        <v>310</v>
      </c>
    </row>
    <row r="66" spans="3:31" x14ac:dyDescent="0.3">
      <c r="C66" s="11"/>
      <c r="E66" s="11"/>
      <c r="F66" s="15"/>
      <c r="G66" s="15"/>
      <c r="H66" s="47"/>
      <c r="J66" s="47"/>
      <c r="K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-SinArea-0000</v>
      </c>
      <c r="M66" s="15"/>
      <c r="O66" s="48"/>
      <c r="AB66" t="s">
        <v>101</v>
      </c>
      <c r="AD66" s="34" t="s">
        <v>73</v>
      </c>
    </row>
    <row r="67" spans="3:31" x14ac:dyDescent="0.3">
      <c r="C67" s="11"/>
      <c r="E67" s="11"/>
      <c r="F67" s="15"/>
      <c r="G67" s="15"/>
      <c r="H67" s="47"/>
      <c r="J67" s="47"/>
      <c r="K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-SinArea-0000</v>
      </c>
      <c r="M67" s="15"/>
      <c r="O67" s="48"/>
      <c r="AB67" t="s">
        <v>311</v>
      </c>
      <c r="AD67" s="22" t="s">
        <v>312</v>
      </c>
      <c r="AE67" t="s">
        <v>313</v>
      </c>
    </row>
    <row r="68" spans="3:31" x14ac:dyDescent="0.3">
      <c r="C68" s="11"/>
      <c r="E68" s="11"/>
      <c r="F68" s="15"/>
      <c r="G68" s="15"/>
      <c r="H68" s="47"/>
      <c r="J68" s="47"/>
      <c r="K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-SinArea-0000</v>
      </c>
      <c r="M68" s="15"/>
      <c r="O68" s="48"/>
      <c r="AE68" s="21" t="s">
        <v>314</v>
      </c>
    </row>
    <row r="69" spans="3:31" x14ac:dyDescent="0.3">
      <c r="C69" s="11"/>
      <c r="E69" s="11"/>
      <c r="F69" s="15"/>
      <c r="G69" s="15"/>
      <c r="H69" s="47"/>
      <c r="J69" s="47"/>
      <c r="K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-SinArea-0000</v>
      </c>
      <c r="M69" s="15"/>
      <c r="O69" s="48"/>
      <c r="AE69" s="70" t="s">
        <v>315</v>
      </c>
    </row>
    <row r="70" spans="3:31" x14ac:dyDescent="0.3">
      <c r="C70" s="11"/>
      <c r="E70" s="11"/>
      <c r="F70" s="15"/>
      <c r="G70" s="15"/>
      <c r="H70" s="47"/>
      <c r="J70" s="47"/>
      <c r="K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-SinArea-0000</v>
      </c>
      <c r="M70" s="15"/>
      <c r="O70" s="48"/>
    </row>
    <row r="71" spans="3:31" x14ac:dyDescent="0.3">
      <c r="C71" s="11"/>
      <c r="E71" s="11"/>
      <c r="F71" s="15"/>
      <c r="G71" s="15"/>
      <c r="H71" s="47"/>
      <c r="J71" s="47"/>
      <c r="K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-SinArea-0000</v>
      </c>
      <c r="M71" s="15"/>
      <c r="O71" s="48"/>
    </row>
    <row r="72" spans="3:31" x14ac:dyDescent="0.3">
      <c r="C72" s="11"/>
      <c r="E72" s="11"/>
      <c r="F72" s="15"/>
      <c r="G72" s="15"/>
      <c r="H72" s="47"/>
      <c r="J72" s="47"/>
      <c r="K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-SinArea-0000</v>
      </c>
      <c r="M72" s="15"/>
      <c r="O72" s="48"/>
    </row>
    <row r="73" spans="3:31" x14ac:dyDescent="0.3">
      <c r="C73" s="11"/>
      <c r="E73" s="11"/>
      <c r="F73" s="15"/>
      <c r="G73" s="15"/>
      <c r="H73" s="47"/>
      <c r="J73" s="47"/>
      <c r="K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-SinArea-0000</v>
      </c>
      <c r="M73" s="15"/>
      <c r="O73" s="48"/>
    </row>
    <row r="74" spans="3:31" x14ac:dyDescent="0.3">
      <c r="C74" s="11"/>
      <c r="E74" s="11"/>
      <c r="F74" s="15"/>
      <c r="G74" s="15"/>
      <c r="H74" s="47"/>
      <c r="J74" s="47"/>
      <c r="K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-SinArea-0000</v>
      </c>
      <c r="M74" s="15"/>
      <c r="O74" s="48"/>
    </row>
    <row r="75" spans="3:31" ht="57.6" x14ac:dyDescent="0.3">
      <c r="C75" s="11"/>
      <c r="E75" s="11"/>
      <c r="F75" s="15"/>
      <c r="G75" s="15"/>
      <c r="H75" s="47"/>
      <c r="J75" s="47"/>
      <c r="K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-SinArea-0000</v>
      </c>
      <c r="M75" s="15"/>
      <c r="O75" s="48"/>
      <c r="AB75" s="11" t="s">
        <v>316</v>
      </c>
    </row>
    <row r="76" spans="3:31" x14ac:dyDescent="0.3">
      <c r="C76" s="11"/>
      <c r="E76" s="11"/>
      <c r="F76" s="15"/>
      <c r="G76" s="15"/>
      <c r="H76" s="47"/>
      <c r="J76" s="47"/>
      <c r="K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-SinArea-0000</v>
      </c>
      <c r="M76" s="15"/>
      <c r="O76" s="48"/>
    </row>
    <row r="77" spans="3:31" x14ac:dyDescent="0.3">
      <c r="C77" s="11"/>
      <c r="E77" s="11"/>
      <c r="F77" s="15"/>
      <c r="G77" s="15"/>
      <c r="H77" s="47"/>
      <c r="J77" s="47"/>
      <c r="K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-SinArea-0000</v>
      </c>
      <c r="M77" s="15"/>
      <c r="O77" s="48"/>
    </row>
    <row r="78" spans="3:31" x14ac:dyDescent="0.3">
      <c r="C78" s="11"/>
      <c r="E78" s="11"/>
      <c r="F78" s="15"/>
      <c r="G78" s="15"/>
      <c r="H78" s="47"/>
      <c r="J78" s="47"/>
      <c r="K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-SinArea-0000</v>
      </c>
      <c r="M78" s="15"/>
      <c r="O78" s="48"/>
    </row>
    <row r="79" spans="3:31" x14ac:dyDescent="0.3">
      <c r="C79" s="11"/>
      <c r="E79" s="11"/>
      <c r="F79" s="15"/>
      <c r="G79" s="15"/>
      <c r="H79" s="47"/>
      <c r="J79" s="47"/>
      <c r="K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-SinArea-0000</v>
      </c>
      <c r="M79" s="15"/>
      <c r="O79" s="48"/>
    </row>
    <row r="80" spans="3:31" x14ac:dyDescent="0.3">
      <c r="C80" s="11"/>
      <c r="E80" s="11"/>
      <c r="F80" s="15"/>
      <c r="G80" s="15"/>
      <c r="H80" s="47"/>
      <c r="J80" s="47"/>
      <c r="K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-SinArea-0000</v>
      </c>
      <c r="M80" s="15"/>
      <c r="O80" s="48"/>
    </row>
    <row r="81" spans="3:15" x14ac:dyDescent="0.3">
      <c r="C81" s="11"/>
      <c r="E81" s="11"/>
      <c r="F81" s="15"/>
      <c r="G81" s="15"/>
      <c r="H81" s="47"/>
      <c r="J81" s="47"/>
      <c r="K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-SinArea-0000</v>
      </c>
      <c r="M81" s="15"/>
      <c r="O81" s="48"/>
    </row>
    <row r="82" spans="3:15" x14ac:dyDescent="0.3">
      <c r="C82" s="11"/>
      <c r="E82" s="11"/>
      <c r="F82" s="15"/>
      <c r="G82" s="15"/>
      <c r="H82" s="47"/>
      <c r="J82" s="47"/>
      <c r="K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-SinArea-0000</v>
      </c>
      <c r="M82" s="15"/>
      <c r="O82" s="48"/>
    </row>
    <row r="83" spans="3:15" x14ac:dyDescent="0.3">
      <c r="C83" s="11"/>
      <c r="E83" s="11"/>
      <c r="F83" s="15"/>
      <c r="G83" s="15"/>
      <c r="H83" s="47"/>
      <c r="J83" s="47"/>
      <c r="K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-SinArea-0000</v>
      </c>
      <c r="M83" s="15"/>
      <c r="O83" s="48"/>
    </row>
    <row r="84" spans="3:15" x14ac:dyDescent="0.3">
      <c r="C84" s="11"/>
      <c r="E84" s="11"/>
      <c r="F84" s="15"/>
      <c r="G84" s="15"/>
      <c r="H84" s="47"/>
      <c r="J84" s="47"/>
      <c r="K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-SinArea-0000</v>
      </c>
      <c r="M84" s="15"/>
      <c r="O84" s="48"/>
    </row>
    <row r="85" spans="3:15" x14ac:dyDescent="0.3">
      <c r="C85" s="11"/>
      <c r="E85" s="11"/>
      <c r="F85" s="15"/>
      <c r="G85" s="15"/>
      <c r="H85" s="47"/>
      <c r="J85" s="47"/>
      <c r="K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-SinArea-0000</v>
      </c>
      <c r="M85" s="15"/>
      <c r="O85" s="48"/>
    </row>
    <row r="86" spans="3:15" x14ac:dyDescent="0.3">
      <c r="C86" s="11"/>
      <c r="E86" s="11"/>
      <c r="F86" s="15"/>
      <c r="G86" s="15"/>
      <c r="H86" s="47"/>
      <c r="J86" s="47"/>
      <c r="K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-SinArea-0000</v>
      </c>
      <c r="M86" s="15"/>
      <c r="O86" s="48"/>
    </row>
    <row r="87" spans="3:15" x14ac:dyDescent="0.3">
      <c r="C87" s="11"/>
      <c r="E87" s="11"/>
      <c r="F87" s="15"/>
      <c r="G87" s="15"/>
      <c r="H87" s="47"/>
      <c r="J87" s="47"/>
      <c r="K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-SinArea-0000</v>
      </c>
      <c r="M87" s="15"/>
      <c r="O87" s="48"/>
    </row>
    <row r="88" spans="3:15" x14ac:dyDescent="0.3">
      <c r="C88" s="11"/>
      <c r="E88" s="11"/>
      <c r="F88" s="15"/>
      <c r="G88" s="15"/>
      <c r="H88" s="47"/>
      <c r="J88" s="47"/>
      <c r="K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-SinArea-0000</v>
      </c>
      <c r="M88" s="15"/>
      <c r="O88" s="48"/>
    </row>
    <row r="89" spans="3:15" x14ac:dyDescent="0.3">
      <c r="C89" s="11"/>
      <c r="E89" s="11"/>
      <c r="F89" s="15"/>
      <c r="G89" s="15"/>
      <c r="H89" s="47"/>
      <c r="J89" s="47"/>
      <c r="K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-SinArea-0000</v>
      </c>
      <c r="M89" s="15"/>
      <c r="O89" s="48"/>
    </row>
    <row r="90" spans="3:15" x14ac:dyDescent="0.3">
      <c r="C90" s="11"/>
      <c r="E90" s="11"/>
      <c r="F90" s="15"/>
      <c r="G90" s="15"/>
      <c r="H90" s="47"/>
      <c r="J90" s="47"/>
      <c r="K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-SinArea-0000</v>
      </c>
      <c r="M90" s="15"/>
      <c r="O90" s="48"/>
    </row>
    <row r="91" spans="3:15" x14ac:dyDescent="0.3">
      <c r="C91" s="11"/>
      <c r="E91" s="11"/>
      <c r="F91" s="15"/>
      <c r="G91" s="15"/>
      <c r="H91" s="47"/>
      <c r="J91" s="47"/>
      <c r="K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-SinArea-0000</v>
      </c>
      <c r="M91" s="15"/>
      <c r="O91" s="48"/>
    </row>
    <row r="92" spans="3:15" x14ac:dyDescent="0.3">
      <c r="C92" s="11"/>
      <c r="E92" s="11"/>
      <c r="F92" s="15"/>
      <c r="G92" s="15"/>
      <c r="H92" s="47"/>
      <c r="J92" s="47"/>
      <c r="K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-SinArea-0000</v>
      </c>
      <c r="M92" s="15"/>
      <c r="O92" s="48"/>
    </row>
    <row r="93" spans="3:15" x14ac:dyDescent="0.3">
      <c r="C93" s="11"/>
      <c r="E93" s="11"/>
      <c r="F93" s="15"/>
      <c r="G93" s="15"/>
      <c r="H93" s="47"/>
      <c r="J93" s="47"/>
      <c r="K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-SinArea-0000</v>
      </c>
      <c r="M93" s="15"/>
      <c r="O93" s="48"/>
    </row>
    <row r="94" spans="3:15" x14ac:dyDescent="0.3">
      <c r="C94" s="11"/>
      <c r="E94" s="11"/>
      <c r="F94" s="15"/>
      <c r="G94" s="15"/>
      <c r="H94" s="47"/>
      <c r="J94" s="47"/>
      <c r="K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-SinArea-0000</v>
      </c>
      <c r="M94" s="15"/>
      <c r="O94" s="48"/>
    </row>
    <row r="95" spans="3:15" x14ac:dyDescent="0.3">
      <c r="C95" s="11"/>
      <c r="E95" s="11"/>
      <c r="F95" s="15"/>
      <c r="G95" s="15"/>
      <c r="H95" s="47"/>
      <c r="J95" s="47"/>
      <c r="K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-SinArea-0000</v>
      </c>
      <c r="M95" s="15"/>
      <c r="O95" s="48"/>
    </row>
    <row r="96" spans="3:15" x14ac:dyDescent="0.3">
      <c r="C96" s="11"/>
      <c r="E96" s="11"/>
      <c r="F96" s="15"/>
      <c r="G96" s="15"/>
      <c r="H96" s="47"/>
      <c r="J96" s="47"/>
      <c r="K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-SinArea-0000</v>
      </c>
      <c r="M96" s="15"/>
      <c r="O96" s="48"/>
    </row>
    <row r="97" spans="3:15" x14ac:dyDescent="0.3">
      <c r="C97" s="11"/>
      <c r="E97" s="11"/>
      <c r="F97" s="15"/>
      <c r="G97" s="15"/>
      <c r="H97" s="47"/>
      <c r="J97" s="47"/>
      <c r="K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-SinArea-0000</v>
      </c>
      <c r="M97" s="15"/>
      <c r="O97" s="48"/>
    </row>
    <row r="98" spans="3:15" x14ac:dyDescent="0.3">
      <c r="C98" s="11"/>
      <c r="E98" s="11"/>
      <c r="F98" s="15"/>
      <c r="G98" s="15"/>
      <c r="H98" s="47"/>
      <c r="J98" s="47"/>
      <c r="K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-SinArea-0000</v>
      </c>
      <c r="M98" s="15"/>
      <c r="O98" s="48"/>
    </row>
    <row r="99" spans="3:15" x14ac:dyDescent="0.3">
      <c r="C99" s="11"/>
      <c r="E99" s="11"/>
      <c r="F99" s="15"/>
      <c r="G99" s="15"/>
      <c r="H99" s="47"/>
      <c r="J99" s="47"/>
      <c r="K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-SinArea-0000</v>
      </c>
      <c r="M99" s="15"/>
      <c r="O99" s="48"/>
    </row>
    <row r="100" spans="3:15" x14ac:dyDescent="0.3">
      <c r="C100" s="11"/>
      <c r="E100" s="11"/>
      <c r="F100" s="15"/>
      <c r="G100" s="15"/>
      <c r="H100" s="47"/>
      <c r="J100" s="47"/>
      <c r="K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-SinArea-0000</v>
      </c>
      <c r="M100" s="15"/>
      <c r="O100" s="48"/>
    </row>
    <row r="101" spans="3:15" x14ac:dyDescent="0.3">
      <c r="C101" s="11"/>
      <c r="E101" s="11"/>
      <c r="F101" s="15"/>
      <c r="G101" s="15"/>
      <c r="H101" s="47"/>
      <c r="J101" s="47"/>
      <c r="K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-SinArea-0000</v>
      </c>
      <c r="M101" s="15"/>
      <c r="O101" s="48"/>
    </row>
    <row r="102" spans="3:15" x14ac:dyDescent="0.3">
      <c r="C102" s="11"/>
      <c r="E102" s="11"/>
      <c r="F102" s="15"/>
      <c r="G102" s="15"/>
      <c r="H102" s="47"/>
      <c r="J102" s="47"/>
      <c r="K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-SinArea-0000</v>
      </c>
      <c r="M102" s="15"/>
      <c r="O102" s="48"/>
    </row>
    <row r="103" spans="3:15" x14ac:dyDescent="0.3">
      <c r="C103" s="11"/>
      <c r="E103" s="11"/>
      <c r="F103" s="15"/>
      <c r="G103" s="15"/>
      <c r="H103" s="47"/>
      <c r="J103" s="47"/>
      <c r="K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-SinArea-0000</v>
      </c>
      <c r="M103" s="15"/>
      <c r="O103" s="48"/>
    </row>
    <row r="104" spans="3:15" x14ac:dyDescent="0.3">
      <c r="C104" s="11"/>
      <c r="E104" s="11"/>
      <c r="F104" s="15"/>
      <c r="G104" s="15"/>
      <c r="H104" s="47"/>
      <c r="J104" s="47"/>
      <c r="K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-SinArea-0000</v>
      </c>
      <c r="M104" s="15"/>
      <c r="O104" s="48"/>
    </row>
    <row r="105" spans="3:15" x14ac:dyDescent="0.3">
      <c r="C105" s="11"/>
      <c r="E105" s="11"/>
      <c r="F105" s="15"/>
      <c r="G105" s="15"/>
      <c r="H105" s="47"/>
      <c r="J105" s="47"/>
      <c r="K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-SinArea-0000</v>
      </c>
      <c r="M105" s="15"/>
      <c r="O105" s="48"/>
    </row>
    <row r="106" spans="3:15" x14ac:dyDescent="0.3">
      <c r="C106" s="11"/>
      <c r="E106" s="11"/>
      <c r="F106" s="15"/>
      <c r="G106" s="15"/>
      <c r="H106" s="47"/>
      <c r="J106" s="47"/>
      <c r="K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-SinArea-0000</v>
      </c>
      <c r="M106" s="15"/>
      <c r="O106" s="48"/>
    </row>
    <row r="107" spans="3:15" x14ac:dyDescent="0.3">
      <c r="C107" s="11"/>
      <c r="E107" s="11"/>
      <c r="F107" s="15"/>
      <c r="G107" s="15"/>
      <c r="H107" s="47"/>
      <c r="J107" s="47"/>
      <c r="K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-SinArea-0000</v>
      </c>
      <c r="M107" s="15"/>
      <c r="O107" s="48"/>
    </row>
    <row r="108" spans="3:15" x14ac:dyDescent="0.3">
      <c r="C108" s="11"/>
      <c r="E108" s="11"/>
      <c r="F108" s="15"/>
      <c r="G108" s="15"/>
      <c r="H108" s="47"/>
      <c r="J108" s="47"/>
      <c r="K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-SinArea-0000</v>
      </c>
      <c r="M108" s="15"/>
      <c r="O108" s="48"/>
    </row>
    <row r="109" spans="3:15" x14ac:dyDescent="0.3">
      <c r="C109" s="11"/>
      <c r="E109" s="11"/>
      <c r="F109" s="15"/>
      <c r="G109" s="15"/>
      <c r="H109" s="47"/>
      <c r="J109" s="47"/>
      <c r="K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-SinArea-0000</v>
      </c>
      <c r="M109" s="15"/>
      <c r="O109" s="48"/>
    </row>
    <row r="110" spans="3:15" x14ac:dyDescent="0.3">
      <c r="C110" s="11"/>
      <c r="E110" s="11"/>
      <c r="F110" s="15"/>
      <c r="G110" s="15"/>
      <c r="H110" s="47"/>
      <c r="J110" s="47"/>
      <c r="K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-SinArea-0000</v>
      </c>
      <c r="M110" s="15"/>
      <c r="O110" s="48"/>
    </row>
    <row r="111" spans="3:15" x14ac:dyDescent="0.3">
      <c r="C111" s="11"/>
      <c r="E111" s="11"/>
      <c r="F111" s="15"/>
      <c r="G111" s="15"/>
      <c r="H111" s="47"/>
      <c r="J111" s="47"/>
      <c r="K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-SinArea-0000</v>
      </c>
      <c r="M111" s="15"/>
      <c r="O111" s="48"/>
    </row>
    <row r="112" spans="3:15" x14ac:dyDescent="0.3">
      <c r="C112" s="11"/>
      <c r="E112" s="11"/>
      <c r="F112" s="15"/>
      <c r="G112" s="15"/>
      <c r="H112" s="47"/>
      <c r="J112" s="47"/>
      <c r="K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-SinArea-0000</v>
      </c>
      <c r="M112" s="15"/>
      <c r="O112" s="48"/>
    </row>
    <row r="113" spans="3:15" x14ac:dyDescent="0.3">
      <c r="C113" s="11"/>
      <c r="E113" s="11"/>
      <c r="F113" s="15"/>
      <c r="G113" s="15"/>
      <c r="H113" s="47"/>
      <c r="J113" s="47"/>
      <c r="K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-SinArea-0000</v>
      </c>
      <c r="M113" s="15"/>
      <c r="O113" s="48"/>
    </row>
    <row r="114" spans="3:15" x14ac:dyDescent="0.3">
      <c r="C114" s="11"/>
      <c r="E114" s="11"/>
      <c r="F114" s="15"/>
      <c r="G114" s="15"/>
      <c r="H114" s="47"/>
      <c r="J114" s="47"/>
      <c r="K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-SinArea-0000</v>
      </c>
      <c r="M114" s="15"/>
      <c r="O114" s="48"/>
    </row>
    <row r="115" spans="3:15" x14ac:dyDescent="0.3">
      <c r="C115" s="11"/>
      <c r="E115" s="11"/>
      <c r="F115" s="15"/>
      <c r="G115" s="15"/>
      <c r="H115" s="47"/>
      <c r="J115" s="47"/>
      <c r="K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-SinArea-0000</v>
      </c>
      <c r="M115" s="15"/>
      <c r="O115" s="48"/>
    </row>
    <row r="116" spans="3:15" x14ac:dyDescent="0.3">
      <c r="C116" s="11"/>
      <c r="E116" s="11"/>
      <c r="F116" s="15"/>
      <c r="G116" s="15"/>
      <c r="H116" s="47"/>
      <c r="J116" s="47"/>
      <c r="K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-SinArea-0000</v>
      </c>
      <c r="M116" s="15"/>
      <c r="O116" s="48"/>
    </row>
    <row r="117" spans="3:15" x14ac:dyDescent="0.3">
      <c r="C117" s="11"/>
      <c r="E117" s="11"/>
      <c r="F117" s="15"/>
      <c r="G117" s="15"/>
      <c r="H117" s="47"/>
      <c r="J117" s="47"/>
      <c r="K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-SinArea-0000</v>
      </c>
      <c r="M117" s="15"/>
      <c r="O117" s="48"/>
    </row>
    <row r="118" spans="3:15" x14ac:dyDescent="0.3">
      <c r="C118" s="11"/>
      <c r="E118" s="11"/>
      <c r="F118" s="15"/>
      <c r="G118" s="15"/>
      <c r="H118" s="47"/>
      <c r="J118" s="47"/>
      <c r="K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-SinArea-0000</v>
      </c>
      <c r="M118" s="15"/>
      <c r="O118" s="48"/>
    </row>
    <row r="119" spans="3:15" x14ac:dyDescent="0.3">
      <c r="C119" s="11"/>
      <c r="E119" s="11"/>
      <c r="F119" s="15"/>
      <c r="G119" s="15"/>
      <c r="H119" s="47"/>
      <c r="J119" s="47"/>
      <c r="K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-SinArea-0000</v>
      </c>
      <c r="M119" s="15"/>
      <c r="O119" s="48"/>
    </row>
    <row r="120" spans="3:15" x14ac:dyDescent="0.3">
      <c r="C120" s="11"/>
      <c r="E120" s="11"/>
      <c r="F120" s="15"/>
      <c r="G120" s="15"/>
      <c r="H120" s="47"/>
      <c r="J120" s="47"/>
      <c r="K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-SinArea-0000</v>
      </c>
      <c r="M120" s="15"/>
      <c r="O120" s="48"/>
    </row>
    <row r="121" spans="3:15" x14ac:dyDescent="0.3">
      <c r="C121" s="11"/>
      <c r="E121" s="11"/>
      <c r="F121" s="15"/>
      <c r="G121" s="15"/>
      <c r="H121" s="47"/>
      <c r="J121" s="47"/>
      <c r="K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-SinArea-0000</v>
      </c>
      <c r="M121" s="15"/>
      <c r="O121" s="48"/>
    </row>
    <row r="122" spans="3:15" x14ac:dyDescent="0.3">
      <c r="C122" s="11"/>
      <c r="E122" s="11"/>
      <c r="F122" s="15"/>
      <c r="G122" s="15"/>
      <c r="H122" s="47"/>
      <c r="J122" s="47"/>
      <c r="K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-SinArea-0000</v>
      </c>
      <c r="M122" s="15"/>
      <c r="O122" s="48"/>
    </row>
    <row r="123" spans="3:15" x14ac:dyDescent="0.3">
      <c r="C123" s="11"/>
      <c r="E123" s="11"/>
      <c r="F123" s="15"/>
      <c r="G123" s="15"/>
      <c r="H123" s="47"/>
      <c r="J123" s="47"/>
      <c r="K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-SinArea-0000</v>
      </c>
      <c r="M123" s="15"/>
      <c r="O123" s="48"/>
    </row>
    <row r="124" spans="3:15" x14ac:dyDescent="0.3">
      <c r="C124" s="11"/>
      <c r="E124" s="11"/>
      <c r="F124" s="15"/>
      <c r="G124" s="15"/>
      <c r="H124" s="47"/>
      <c r="J124" s="47"/>
      <c r="K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-SinArea-0000</v>
      </c>
      <c r="M124" s="15"/>
      <c r="O124" s="48"/>
    </row>
    <row r="125" spans="3:15" x14ac:dyDescent="0.3">
      <c r="C125" s="11"/>
      <c r="E125" s="11"/>
      <c r="F125" s="15"/>
      <c r="G125" s="15"/>
      <c r="H125" s="47"/>
      <c r="J125" s="47"/>
      <c r="K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-SinArea-0000</v>
      </c>
      <c r="M125" s="15"/>
      <c r="O125" s="48"/>
    </row>
    <row r="126" spans="3:15" x14ac:dyDescent="0.3">
      <c r="C126" s="11"/>
      <c r="E126" s="11"/>
      <c r="F126" s="15"/>
      <c r="G126" s="15"/>
      <c r="H126" s="47"/>
      <c r="J126" s="47"/>
      <c r="K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-SinArea-0000</v>
      </c>
      <c r="M126" s="15"/>
      <c r="O126" s="48"/>
    </row>
    <row r="127" spans="3:15" x14ac:dyDescent="0.3">
      <c r="C127" s="11"/>
      <c r="E127" s="11"/>
      <c r="F127" s="15"/>
      <c r="G127" s="15"/>
      <c r="H127" s="47"/>
      <c r="J127" s="47"/>
      <c r="K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-SinArea-0000</v>
      </c>
      <c r="M127" s="15"/>
      <c r="O127" s="48"/>
    </row>
    <row r="128" spans="3:15" x14ac:dyDescent="0.3">
      <c r="C128" s="11"/>
      <c r="E128" s="11"/>
      <c r="F128" s="15"/>
      <c r="G128" s="15"/>
      <c r="H128" s="47"/>
      <c r="J128" s="47"/>
      <c r="K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-SinArea-0000</v>
      </c>
      <c r="M128" s="15"/>
      <c r="O128" s="48"/>
    </row>
    <row r="129" spans="3:16" x14ac:dyDescent="0.3">
      <c r="C129" s="11"/>
      <c r="E129" s="11"/>
      <c r="F129" s="15"/>
      <c r="G129" s="15"/>
      <c r="H129" s="47"/>
      <c r="J129" s="47"/>
      <c r="K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-SinArea-0000</v>
      </c>
      <c r="M129" s="15"/>
      <c r="O129" s="48"/>
    </row>
    <row r="130" spans="3:16" x14ac:dyDescent="0.3">
      <c r="C130" s="11"/>
      <c r="E130" s="11"/>
      <c r="F130" s="15"/>
      <c r="G130" s="15"/>
      <c r="H130" s="47"/>
      <c r="J130" s="47"/>
      <c r="K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-SinArea-0000</v>
      </c>
      <c r="M130" s="15"/>
      <c r="O130" s="48"/>
    </row>
    <row r="131" spans="3:16" x14ac:dyDescent="0.3">
      <c r="C131" s="11"/>
      <c r="E131" s="11"/>
      <c r="F131" s="15"/>
      <c r="G131" s="15"/>
      <c r="H131" s="47"/>
      <c r="J131" s="47"/>
      <c r="K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-SinArea-0000</v>
      </c>
      <c r="M131" s="15"/>
      <c r="O131" s="48"/>
    </row>
    <row r="132" spans="3:16" x14ac:dyDescent="0.3">
      <c r="C132" s="11"/>
      <c r="E132" s="11"/>
      <c r="F132" s="15"/>
      <c r="G132" s="15"/>
      <c r="H132" s="47"/>
      <c r="J132" s="47"/>
      <c r="K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-SinArea-0000</v>
      </c>
      <c r="M132" s="15"/>
      <c r="O132" s="48"/>
    </row>
    <row r="133" spans="3:16" x14ac:dyDescent="0.3">
      <c r="C133" s="11"/>
      <c r="E133" s="11"/>
      <c r="F133" s="15"/>
      <c r="G133" s="15"/>
      <c r="H133" s="47"/>
      <c r="J133" s="47"/>
      <c r="K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-SinArea-0000</v>
      </c>
      <c r="M133" s="15"/>
      <c r="O133" s="48"/>
    </row>
    <row r="134" spans="3:16" x14ac:dyDescent="0.3">
      <c r="C134" s="11"/>
      <c r="E134" s="11"/>
      <c r="F134" s="15"/>
      <c r="G134" s="15"/>
      <c r="H134" s="47"/>
      <c r="J134" s="47"/>
      <c r="K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-SinArea-0000</v>
      </c>
      <c r="M134" s="15"/>
      <c r="O134" s="48"/>
    </row>
    <row r="135" spans="3:16" x14ac:dyDescent="0.3">
      <c r="C135" s="11"/>
      <c r="E135" s="11"/>
      <c r="F135" s="15"/>
      <c r="G135" s="15"/>
      <c r="H135" s="47"/>
      <c r="J135" s="47"/>
      <c r="K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-SinArea-0000</v>
      </c>
      <c r="M135" s="15"/>
      <c r="O135" s="48"/>
    </row>
    <row r="136" spans="3:16" x14ac:dyDescent="0.3">
      <c r="C136" s="11"/>
      <c r="E136" s="11"/>
      <c r="F136" s="15"/>
      <c r="G136" s="15"/>
      <c r="H136" s="47"/>
      <c r="J136" s="47"/>
      <c r="K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-SinArea-0000</v>
      </c>
      <c r="M136" s="15"/>
      <c r="O136" s="48"/>
    </row>
    <row r="137" spans="3:16" x14ac:dyDescent="0.3">
      <c r="C137" s="11"/>
      <c r="E137" s="11"/>
      <c r="F137" s="15"/>
      <c r="G137" s="15"/>
      <c r="H137" s="47"/>
      <c r="J137" s="47"/>
      <c r="K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-SinArea-0000</v>
      </c>
      <c r="M137" s="15"/>
      <c r="O137" s="48"/>
    </row>
    <row r="138" spans="3:16" x14ac:dyDescent="0.3">
      <c r="C138" s="11"/>
      <c r="E138" s="11"/>
      <c r="F138" s="15"/>
      <c r="G138" s="15"/>
      <c r="H138" s="47"/>
      <c r="J138" s="47"/>
      <c r="K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-SinArea-0000</v>
      </c>
      <c r="M138" s="15"/>
      <c r="O138" s="48"/>
    </row>
    <row r="139" spans="3:16" x14ac:dyDescent="0.3">
      <c r="C139" s="11"/>
      <c r="E139" s="11"/>
      <c r="F139" s="15"/>
      <c r="G139" s="15"/>
      <c r="H139" s="47"/>
      <c r="J139" s="47"/>
      <c r="K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-SinArea-0000</v>
      </c>
      <c r="M139" s="15"/>
      <c r="O139" s="48"/>
    </row>
    <row r="140" spans="3:16" x14ac:dyDescent="0.3">
      <c r="C140" s="11"/>
      <c r="D140" s="32"/>
      <c r="E140" s="11"/>
      <c r="F140" s="15"/>
      <c r="G140" s="15"/>
      <c r="H140" s="47"/>
      <c r="I140" s="76"/>
      <c r="J140" s="47"/>
      <c r="K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-SinArea-0000</v>
      </c>
      <c r="L140" s="77"/>
      <c r="M140" s="15"/>
      <c r="N140" s="32"/>
      <c r="O140" s="48"/>
    </row>
    <row r="141" spans="3:16" x14ac:dyDescent="0.3">
      <c r="C141" s="11"/>
      <c r="D141" s="32"/>
      <c r="E141" s="11"/>
      <c r="G141" s="15"/>
      <c r="H141" s="47"/>
      <c r="I141" s="76"/>
      <c r="J141" s="76"/>
      <c r="K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-SinArea-0000</v>
      </c>
      <c r="L141" s="77"/>
      <c r="M141" s="32"/>
      <c r="N141" s="32"/>
      <c r="O141" s="32"/>
      <c r="P141" s="32"/>
    </row>
    <row r="142" spans="3:16" x14ac:dyDescent="0.3">
      <c r="C142" s="11"/>
      <c r="D142" s="32"/>
      <c r="E142" s="11"/>
      <c r="G142" s="15"/>
      <c r="H142" s="47"/>
      <c r="I142" s="76"/>
      <c r="J142" s="76"/>
      <c r="K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-SinArea-0000</v>
      </c>
      <c r="L142" s="77"/>
      <c r="M142" s="32"/>
      <c r="N142" s="32"/>
      <c r="O142" s="32"/>
      <c r="P142" s="32"/>
    </row>
    <row r="143" spans="3:16" x14ac:dyDescent="0.3">
      <c r="C143" s="11"/>
      <c r="D143" s="32"/>
      <c r="E143" s="11"/>
      <c r="G143" s="15"/>
      <c r="H143" s="47"/>
      <c r="I143" s="76"/>
      <c r="J143" s="76"/>
      <c r="K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-SinArea-0000</v>
      </c>
      <c r="L143" s="77"/>
      <c r="M143" s="32"/>
      <c r="N143" s="32"/>
      <c r="O143" s="32"/>
      <c r="P143" s="32"/>
    </row>
    <row r="144" spans="3:16" x14ac:dyDescent="0.3">
      <c r="C144" s="11"/>
      <c r="D144" s="32"/>
      <c r="E144" s="11"/>
      <c r="G144" s="15"/>
      <c r="H144" s="47"/>
      <c r="I144" s="76"/>
      <c r="J144" s="76"/>
      <c r="K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-SinArea-0000</v>
      </c>
      <c r="L144" s="77"/>
      <c r="M144" s="32"/>
      <c r="N144" s="32"/>
      <c r="O144" s="32"/>
      <c r="P144" s="32"/>
    </row>
    <row r="145" spans="3:16" x14ac:dyDescent="0.3">
      <c r="C145" s="11"/>
      <c r="D145" s="32"/>
      <c r="E145" s="11"/>
      <c r="G145" s="15"/>
      <c r="H145" s="47"/>
      <c r="I145" s="76"/>
      <c r="J145" s="76"/>
      <c r="K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-SinArea-0000</v>
      </c>
      <c r="L145" s="77"/>
      <c r="M145" s="32"/>
      <c r="N145" s="32"/>
      <c r="O145" s="32"/>
      <c r="P145" s="32"/>
    </row>
    <row r="146" spans="3:16" x14ac:dyDescent="0.3">
      <c r="C146" s="11"/>
      <c r="D146" s="32"/>
      <c r="E146" s="11"/>
      <c r="G146" s="15"/>
      <c r="H146" s="47"/>
      <c r="I146" s="76"/>
      <c r="J146" s="76"/>
      <c r="K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-SinArea-0000</v>
      </c>
      <c r="L146" s="77"/>
      <c r="M146" s="32"/>
      <c r="N146" s="32"/>
      <c r="O146" s="32"/>
      <c r="P146" s="32"/>
    </row>
    <row r="147" spans="3:16" x14ac:dyDescent="0.3">
      <c r="C147" s="11"/>
      <c r="D147" s="32"/>
      <c r="E147" s="11"/>
      <c r="G147" s="15"/>
      <c r="H147" s="47"/>
      <c r="I147" s="76"/>
      <c r="J147" s="76"/>
      <c r="K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-SinArea-0000</v>
      </c>
      <c r="L147" s="77"/>
      <c r="M147" s="32"/>
      <c r="N147" s="32"/>
      <c r="O147" s="32"/>
      <c r="P147" s="32"/>
    </row>
    <row r="148" spans="3:16" x14ac:dyDescent="0.3">
      <c r="C148" s="11"/>
      <c r="D148" s="32"/>
      <c r="E148" s="11"/>
      <c r="G148" s="15"/>
      <c r="H148" s="47"/>
      <c r="I148" s="76"/>
      <c r="J148" s="76"/>
      <c r="K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-SinArea-0000</v>
      </c>
      <c r="L148" s="77"/>
      <c r="M148" s="32"/>
      <c r="N148" s="32"/>
      <c r="O148" s="32"/>
      <c r="P148" s="32"/>
    </row>
    <row r="149" spans="3:16" x14ac:dyDescent="0.3">
      <c r="C149" s="11"/>
      <c r="D149" s="32"/>
      <c r="E149" s="11"/>
      <c r="G149" s="15"/>
      <c r="H149" s="47"/>
      <c r="I149" s="76"/>
      <c r="J149" s="76"/>
      <c r="K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-SinArea-0000</v>
      </c>
      <c r="L149" s="77"/>
      <c r="M149" s="32"/>
      <c r="N149" s="32"/>
      <c r="O149" s="32"/>
      <c r="P149" s="32"/>
    </row>
    <row r="150" spans="3:16" x14ac:dyDescent="0.3">
      <c r="C150" s="11"/>
      <c r="D150" s="32"/>
      <c r="E150" s="11"/>
      <c r="G150" s="15"/>
      <c r="H150" s="47"/>
      <c r="I150" s="76"/>
      <c r="J150" s="76"/>
      <c r="K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-SinArea-0000</v>
      </c>
      <c r="L150" s="77"/>
      <c r="M150" s="32"/>
      <c r="N150" s="32"/>
      <c r="O150" s="32"/>
      <c r="P150" s="32"/>
    </row>
    <row r="151" spans="3:16" x14ac:dyDescent="0.3">
      <c r="C151" s="11"/>
      <c r="D151" s="32"/>
      <c r="E151" s="11"/>
      <c r="G151" s="15"/>
      <c r="H151" s="47"/>
      <c r="I151" s="76"/>
      <c r="J151" s="76"/>
      <c r="K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-SinArea-0000</v>
      </c>
      <c r="L151" s="77"/>
      <c r="M151" s="32"/>
      <c r="N151" s="32"/>
      <c r="O151" s="32"/>
      <c r="P151" s="32"/>
    </row>
    <row r="152" spans="3:16" x14ac:dyDescent="0.3">
      <c r="C152" s="11"/>
      <c r="D152" s="32"/>
      <c r="E152" s="11"/>
      <c r="G152" s="15"/>
      <c r="H152" s="47"/>
      <c r="I152" s="76"/>
      <c r="J152" s="76"/>
      <c r="K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-SinArea-0000</v>
      </c>
      <c r="L152" s="77"/>
      <c r="M152" s="32"/>
      <c r="N152" s="32"/>
      <c r="O152" s="32"/>
      <c r="P152" s="32"/>
    </row>
    <row r="153" spans="3:16" x14ac:dyDescent="0.3">
      <c r="C153" s="11"/>
      <c r="D153" s="32"/>
      <c r="E153" s="11"/>
      <c r="G153" s="15"/>
      <c r="H153" s="47"/>
      <c r="I153" s="76"/>
      <c r="J153" s="76"/>
      <c r="K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-SinArea-0000</v>
      </c>
      <c r="L153" s="77"/>
      <c r="M153" s="32"/>
      <c r="N153" s="32"/>
      <c r="O153" s="32"/>
      <c r="P153" s="32"/>
    </row>
    <row r="154" spans="3:16" x14ac:dyDescent="0.3">
      <c r="C154" s="11"/>
      <c r="D154" s="32"/>
      <c r="E154" s="11"/>
      <c r="G154" s="15"/>
      <c r="H154" s="47"/>
      <c r="I154" s="76"/>
      <c r="J154" s="76"/>
      <c r="K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-SinArea-0000</v>
      </c>
      <c r="L154" s="77"/>
      <c r="M154" s="32"/>
      <c r="N154" s="32"/>
      <c r="O154" s="32"/>
      <c r="P154" s="32"/>
    </row>
    <row r="155" spans="3:16" x14ac:dyDescent="0.3">
      <c r="C155" s="11"/>
      <c r="D155" s="32"/>
      <c r="E155" s="11"/>
      <c r="G155" s="15"/>
      <c r="H155" s="47"/>
      <c r="I155" s="76"/>
      <c r="J155" s="76"/>
      <c r="K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-SinArea-0000</v>
      </c>
      <c r="L155" s="77"/>
      <c r="M155" s="32"/>
      <c r="N155" s="32"/>
      <c r="O155" s="32"/>
      <c r="P155" s="32"/>
    </row>
    <row r="156" spans="3:16" x14ac:dyDescent="0.3">
      <c r="C156" s="11"/>
      <c r="D156" s="32"/>
      <c r="E156" s="11"/>
      <c r="G156" s="15"/>
      <c r="H156" s="47"/>
      <c r="I156" s="76"/>
      <c r="J156" s="76"/>
      <c r="K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-SinArea-0000</v>
      </c>
      <c r="L156" s="77"/>
      <c r="M156" s="32"/>
      <c r="N156" s="32"/>
      <c r="O156" s="32"/>
      <c r="P156" s="32"/>
    </row>
    <row r="157" spans="3:16" x14ac:dyDescent="0.3">
      <c r="C157" s="11"/>
      <c r="D157" s="32"/>
      <c r="E157" s="11"/>
      <c r="G157" s="15"/>
      <c r="H157" s="47"/>
      <c r="I157" s="76"/>
      <c r="J157" s="76"/>
      <c r="K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L157" s="77"/>
      <c r="M157" s="32"/>
      <c r="N157" s="32"/>
      <c r="O157" s="32"/>
      <c r="P157" s="32"/>
    </row>
    <row r="158" spans="3:16" x14ac:dyDescent="0.3">
      <c r="C158" s="11"/>
      <c r="D158" s="32"/>
      <c r="E158" s="11"/>
      <c r="G158" s="15"/>
      <c r="H158" s="47"/>
      <c r="I158" s="76"/>
      <c r="J158" s="76"/>
      <c r="K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L158" s="77"/>
      <c r="M158" s="32"/>
      <c r="N158" s="32"/>
      <c r="O158" s="32"/>
      <c r="P158" s="32"/>
    </row>
    <row r="159" spans="3:16" x14ac:dyDescent="0.3">
      <c r="C159" s="11"/>
      <c r="D159" s="32"/>
      <c r="E159" s="11"/>
      <c r="G159" s="15"/>
      <c r="H159" s="47"/>
      <c r="I159" s="76"/>
      <c r="J159" s="76"/>
      <c r="K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L159" s="77"/>
      <c r="M159" s="32"/>
      <c r="N159" s="32"/>
      <c r="O159" s="32"/>
      <c r="P159" s="32"/>
    </row>
    <row r="160" spans="3:16" x14ac:dyDescent="0.3">
      <c r="C160" s="11"/>
      <c r="D160" s="32"/>
      <c r="E160" s="11"/>
      <c r="G160" s="15"/>
      <c r="H160" s="47"/>
      <c r="I160" s="76"/>
      <c r="J160" s="76"/>
      <c r="K160" s="78" t="str">
        <f>_xlfn.LET(
    _xlpm.itemBuscado, B160,
    _xlpm.areaBuscada, C160,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TEXT(COUNTIF($C$2:C160, _xlpm.areaBuscada), "0000"),
    _xlpm.codItem &amp; "-" &amp; _xlpm.codArea &amp; "-" &amp; _xlpm.secuencia
)</f>
        <v>-SinArea-0000</v>
      </c>
      <c r="L160" s="77"/>
      <c r="M160" s="32"/>
      <c r="N160" s="32"/>
      <c r="O160" s="32"/>
      <c r="P160" s="32"/>
    </row>
    <row r="161" spans="3:16" x14ac:dyDescent="0.3">
      <c r="C161" s="11"/>
      <c r="D161" s="32"/>
      <c r="E161" s="11"/>
      <c r="G161" s="15"/>
      <c r="H161" s="47"/>
      <c r="I161" s="76"/>
      <c r="J161" s="76"/>
      <c r="K161" s="78" t="str">
        <f>_xlfn.LET(
    _xlpm.itemBuscado, B161,
    _xlpm.areaBuscada, C161,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TEXT(COUNTIF($C$2:C161, _xlpm.areaBuscada), "0000"),
    _xlpm.codItem &amp; "-" &amp; _xlpm.codArea &amp; "-" &amp; _xlpm.secuencia
)</f>
        <v>-SinArea-0000</v>
      </c>
      <c r="L161" s="77"/>
      <c r="M161" s="32"/>
      <c r="N161" s="32"/>
      <c r="O161" s="32"/>
      <c r="P161" s="32"/>
    </row>
    <row r="162" spans="3:16" x14ac:dyDescent="0.3">
      <c r="C162" s="11"/>
      <c r="D162" s="32"/>
      <c r="E162" s="11"/>
      <c r="G162" s="15"/>
      <c r="H162" s="47"/>
      <c r="I162" s="76"/>
      <c r="J162" s="76"/>
      <c r="K162" s="78" t="str">
        <f>_xlfn.LET(
    _xlpm.itemBuscado, B162,
    _xlpm.areaBuscada, C162,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TEXT(COUNTIF($C$2:C162, _xlpm.areaBuscada), "0000"),
    _xlpm.codItem &amp; "-" &amp; _xlpm.codArea &amp; "-" &amp; _xlpm.secuencia
)</f>
        <v>-SinArea-0000</v>
      </c>
      <c r="L162" s="77"/>
      <c r="M162" s="32"/>
      <c r="N162" s="32"/>
      <c r="O162" s="32"/>
      <c r="P162" s="32"/>
    </row>
    <row r="163" spans="3:16" x14ac:dyDescent="0.3">
      <c r="C163" s="11"/>
      <c r="D163" s="32"/>
      <c r="E163" s="11"/>
      <c r="G163" s="15"/>
      <c r="H163" s="47"/>
      <c r="I163" s="76"/>
      <c r="J163" s="76"/>
      <c r="K163" s="78" t="str">
        <f>_xlfn.LET(
    _xlpm.itemBuscado, B163,
    _xlpm.areaBuscada, C163,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TEXT(COUNTIF($C$2:C163, _xlpm.areaBuscada), "0000"),
    _xlpm.codItem &amp; "-" &amp; _xlpm.codArea &amp; "-" &amp; _xlpm.secuencia
)</f>
        <v>-SinArea-0000</v>
      </c>
      <c r="L163" s="77"/>
      <c r="M163" s="32"/>
      <c r="N163" s="32"/>
      <c r="O163" s="32"/>
      <c r="P163" s="32"/>
    </row>
    <row r="164" spans="3:16" x14ac:dyDescent="0.3">
      <c r="C164" s="11"/>
      <c r="D164" s="32"/>
      <c r="E164" s="11"/>
      <c r="G164" s="15"/>
      <c r="H164" s="47"/>
      <c r="I164" s="76"/>
      <c r="J164" s="76"/>
      <c r="K164" s="78" t="str">
        <f>_xlfn.LET(
    _xlpm.itemBuscado, B164,
    _xlpm.areaBuscada, C164,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TEXT(COUNTIF($C$2:C164, _xlpm.areaBuscada), "0000"),
    _xlpm.codItem &amp; "-" &amp; _xlpm.codArea &amp; "-" &amp; _xlpm.secuencia
)</f>
        <v>-SinArea-0000</v>
      </c>
      <c r="L164" s="77"/>
      <c r="M164" s="32"/>
      <c r="N164" s="32"/>
      <c r="O164" s="32"/>
      <c r="P164" s="32"/>
    </row>
    <row r="165" spans="3:16" x14ac:dyDescent="0.3">
      <c r="C165" s="11"/>
      <c r="D165" s="32"/>
      <c r="E165" s="11"/>
      <c r="G165" s="15"/>
      <c r="H165" s="47"/>
      <c r="I165" s="76"/>
      <c r="J165" s="76"/>
      <c r="K165" s="78" t="str">
        <f>_xlfn.LET(
    _xlpm.itemBuscado, B165,
    _xlpm.areaBuscada, C165,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TEXT(COUNTIF($C$2:C165, _xlpm.areaBuscada), "0000"),
    _xlpm.codItem &amp; "-" &amp; _xlpm.codArea &amp; "-" &amp; _xlpm.secuencia
)</f>
        <v>-SinArea-0000</v>
      </c>
      <c r="L165" s="77"/>
      <c r="M165" s="32"/>
      <c r="N165" s="32"/>
      <c r="O165" s="32"/>
      <c r="P165" s="32"/>
    </row>
    <row r="166" spans="3:16" x14ac:dyDescent="0.3">
      <c r="C166" s="11"/>
      <c r="D166" s="32"/>
      <c r="E166" s="11"/>
      <c r="G166" s="15"/>
      <c r="H166" s="47"/>
      <c r="I166" s="76"/>
      <c r="J166" s="76"/>
      <c r="K166" s="78" t="str">
        <f>_xlfn.LET(
    _xlpm.itemBuscado, B166,
    _xlpm.areaBuscada, C166,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TEXT(COUNTIF($C$2:C166, _xlpm.areaBuscada), "0000"),
    _xlpm.codItem &amp; "-" &amp; _xlpm.codArea &amp; "-" &amp; _xlpm.secuencia
)</f>
        <v>-SinArea-0000</v>
      </c>
      <c r="L166" s="77"/>
      <c r="M166" s="32"/>
      <c r="N166" s="32"/>
      <c r="O166" s="32"/>
      <c r="P166" s="32"/>
    </row>
    <row r="167" spans="3:16" x14ac:dyDescent="0.3">
      <c r="C167" s="11"/>
      <c r="D167" s="32"/>
      <c r="E167" s="11"/>
      <c r="G167" s="15"/>
      <c r="H167" s="47"/>
      <c r="I167" s="76"/>
      <c r="J167" s="76"/>
      <c r="K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L167" s="77"/>
      <c r="M167" s="32"/>
      <c r="N167" s="32"/>
      <c r="O167" s="32"/>
      <c r="P167" s="32"/>
    </row>
    <row r="168" spans="3:16" x14ac:dyDescent="0.3">
      <c r="C168" s="11"/>
      <c r="D168" s="32"/>
      <c r="E168" s="11"/>
      <c r="G168" s="15"/>
      <c r="H168" s="47"/>
      <c r="I168" s="76"/>
      <c r="J168" s="76"/>
      <c r="K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L168" s="77"/>
      <c r="M168" s="32"/>
      <c r="N168" s="32"/>
      <c r="O168" s="32"/>
      <c r="P168" s="32"/>
    </row>
    <row r="169" spans="3:16" x14ac:dyDescent="0.3">
      <c r="C169" s="11"/>
      <c r="D169" s="32"/>
      <c r="E169" s="11"/>
      <c r="G169" s="15"/>
      <c r="H169" s="47"/>
      <c r="I169" s="76"/>
      <c r="J169" s="76"/>
      <c r="K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L169" s="77"/>
      <c r="M169" s="32"/>
      <c r="N169" s="32"/>
      <c r="O169" s="32"/>
      <c r="P169" s="32"/>
    </row>
    <row r="170" spans="3:16" x14ac:dyDescent="0.3">
      <c r="C170" s="11"/>
      <c r="D170" s="32"/>
      <c r="E170" s="11"/>
      <c r="G170" s="15"/>
      <c r="H170" s="47"/>
      <c r="I170" s="76"/>
      <c r="J170" s="76"/>
      <c r="K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L170" s="77"/>
      <c r="M170" s="32"/>
      <c r="N170" s="32"/>
      <c r="O170" s="32"/>
      <c r="P170" s="32"/>
    </row>
    <row r="171" spans="3:16" x14ac:dyDescent="0.3">
      <c r="C171" s="11"/>
      <c r="D171" s="32"/>
      <c r="E171" s="11"/>
      <c r="G171" s="15"/>
      <c r="H171" s="47"/>
      <c r="I171" s="76"/>
      <c r="J171" s="76"/>
      <c r="K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L171" s="77"/>
      <c r="M171" s="32"/>
      <c r="N171" s="32"/>
      <c r="O171" s="32"/>
      <c r="P171" s="32"/>
    </row>
    <row r="172" spans="3:16" x14ac:dyDescent="0.3">
      <c r="C172" s="11"/>
      <c r="D172" s="32"/>
      <c r="E172" s="11"/>
      <c r="G172" s="15"/>
      <c r="H172" s="47"/>
      <c r="I172" s="76"/>
      <c r="J172" s="76"/>
      <c r="K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L172" s="77"/>
      <c r="M172" s="32"/>
      <c r="N172" s="32"/>
      <c r="O172" s="32"/>
      <c r="P172" s="32"/>
    </row>
    <row r="173" spans="3:16" x14ac:dyDescent="0.3">
      <c r="C173" s="11"/>
      <c r="D173" s="32"/>
      <c r="E173" s="11"/>
      <c r="G173" s="15"/>
      <c r="H173" s="47"/>
      <c r="I173" s="76"/>
      <c r="J173" s="76"/>
      <c r="K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L173" s="77"/>
      <c r="M173" s="32"/>
      <c r="N173" s="32"/>
      <c r="O173" s="32"/>
      <c r="P173" s="32"/>
    </row>
    <row r="174" spans="3:16" x14ac:dyDescent="0.3">
      <c r="C174" s="11"/>
      <c r="D174" s="32"/>
      <c r="E174" s="11"/>
      <c r="G174" s="15"/>
      <c r="H174" s="47"/>
      <c r="I174" s="76"/>
      <c r="J174" s="76"/>
      <c r="K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L174" s="77"/>
      <c r="M174" s="32"/>
      <c r="N174" s="32"/>
      <c r="O174" s="32"/>
      <c r="P174" s="32"/>
    </row>
    <row r="175" spans="3:16" x14ac:dyDescent="0.3">
      <c r="C175" s="11"/>
      <c r="D175" s="32"/>
      <c r="E175" s="11"/>
      <c r="G175" s="15"/>
      <c r="H175" s="47"/>
      <c r="I175" s="76"/>
      <c r="J175" s="76"/>
      <c r="K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L175" s="77"/>
      <c r="M175" s="32"/>
      <c r="N175" s="32"/>
      <c r="O175" s="32"/>
      <c r="P175" s="32"/>
    </row>
    <row r="176" spans="3:16" x14ac:dyDescent="0.3">
      <c r="C176" s="11"/>
      <c r="D176" s="32"/>
      <c r="E176" s="11"/>
      <c r="G176" s="15"/>
      <c r="H176" s="47"/>
      <c r="I176" s="76"/>
      <c r="J176" s="76"/>
      <c r="K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L176" s="77"/>
      <c r="M176" s="32"/>
      <c r="N176" s="32"/>
      <c r="O176" s="32"/>
      <c r="P176" s="32"/>
    </row>
    <row r="177" spans="3:16" x14ac:dyDescent="0.3">
      <c r="C177" s="11"/>
      <c r="D177" s="32"/>
      <c r="E177" s="11"/>
      <c r="G177" s="15"/>
      <c r="H177" s="47"/>
      <c r="I177" s="76"/>
      <c r="J177" s="76"/>
      <c r="K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L177" s="77"/>
      <c r="M177" s="32"/>
      <c r="N177" s="32"/>
      <c r="O177" s="32"/>
      <c r="P177" s="32"/>
    </row>
    <row r="178" spans="3:16" x14ac:dyDescent="0.3">
      <c r="C178" s="11"/>
      <c r="D178" s="32"/>
      <c r="E178" s="11"/>
      <c r="G178" s="15"/>
      <c r="H178" s="47"/>
      <c r="I178" s="76"/>
      <c r="J178" s="76"/>
      <c r="K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L178" s="77"/>
      <c r="M178" s="32"/>
      <c r="N178" s="32"/>
      <c r="O178" s="32"/>
      <c r="P178" s="32"/>
    </row>
    <row r="179" spans="3:16" x14ac:dyDescent="0.3">
      <c r="C179" s="11"/>
      <c r="D179" s="32"/>
      <c r="E179" s="11"/>
      <c r="G179" s="15"/>
      <c r="H179" s="47"/>
      <c r="I179" s="76"/>
      <c r="J179" s="76"/>
      <c r="K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L179" s="77"/>
      <c r="M179" s="32"/>
      <c r="N179" s="32"/>
      <c r="O179" s="32"/>
      <c r="P179" s="32"/>
    </row>
    <row r="180" spans="3:16" x14ac:dyDescent="0.3">
      <c r="C180" s="11"/>
      <c r="D180" s="32"/>
      <c r="E180" s="11"/>
      <c r="G180" s="15"/>
      <c r="H180" s="47"/>
      <c r="I180" s="76"/>
      <c r="J180" s="76"/>
      <c r="K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L180" s="77"/>
      <c r="M180" s="32"/>
      <c r="N180" s="32"/>
      <c r="O180" s="32"/>
      <c r="P180" s="32"/>
    </row>
    <row r="181" spans="3:16" x14ac:dyDescent="0.3">
      <c r="C181" s="11"/>
      <c r="D181" s="32"/>
      <c r="E181" s="11"/>
      <c r="G181" s="15"/>
      <c r="H181" s="47"/>
      <c r="I181" s="76"/>
      <c r="J181" s="76"/>
      <c r="K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L181" s="77"/>
      <c r="M181" s="32"/>
      <c r="N181" s="32"/>
      <c r="O181" s="32"/>
      <c r="P181" s="32"/>
    </row>
    <row r="182" spans="3:16" x14ac:dyDescent="0.3">
      <c r="C182" s="11"/>
      <c r="D182" s="32"/>
      <c r="E182" s="11"/>
      <c r="G182" s="15"/>
      <c r="H182" s="47"/>
      <c r="I182" s="76"/>
      <c r="J182" s="76"/>
      <c r="K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L182" s="77"/>
      <c r="M182" s="32"/>
      <c r="N182" s="32"/>
      <c r="O182" s="32"/>
      <c r="P182" s="32"/>
    </row>
    <row r="183" spans="3:16" x14ac:dyDescent="0.3">
      <c r="C183" s="11"/>
      <c r="D183" s="32"/>
      <c r="E183" s="11"/>
      <c r="G183" s="15"/>
      <c r="H183" s="47"/>
      <c r="I183" s="76"/>
      <c r="J183" s="76"/>
      <c r="K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L183" s="77"/>
      <c r="M183" s="32"/>
      <c r="N183" s="32"/>
      <c r="O183" s="32"/>
      <c r="P183" s="32"/>
    </row>
    <row r="184" spans="3:16" x14ac:dyDescent="0.3">
      <c r="C184" s="11"/>
      <c r="D184" s="32"/>
      <c r="E184" s="11"/>
      <c r="G184" s="15"/>
      <c r="H184" s="47"/>
      <c r="I184" s="76"/>
      <c r="J184" s="76"/>
      <c r="K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L184" s="77"/>
      <c r="M184" s="32"/>
      <c r="N184" s="32"/>
      <c r="O184" s="32"/>
      <c r="P184" s="32"/>
    </row>
    <row r="185" spans="3:16" x14ac:dyDescent="0.3">
      <c r="C185" s="11"/>
      <c r="D185" s="32"/>
      <c r="E185" s="11"/>
      <c r="G185" s="15"/>
      <c r="H185" s="47"/>
      <c r="I185" s="76"/>
      <c r="J185" s="76"/>
      <c r="K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L185" s="77"/>
      <c r="M185" s="32"/>
      <c r="N185" s="32"/>
      <c r="O185" s="32"/>
      <c r="P185" s="32"/>
    </row>
    <row r="186" spans="3:16" x14ac:dyDescent="0.3">
      <c r="C186" s="11"/>
      <c r="D186" s="32"/>
      <c r="E186" s="11"/>
      <c r="G186" s="15"/>
      <c r="H186" s="47"/>
      <c r="I186" s="76"/>
      <c r="J186" s="76"/>
      <c r="K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L186" s="77"/>
      <c r="M186" s="32"/>
      <c r="N186" s="32"/>
      <c r="O186" s="32"/>
      <c r="P186" s="32"/>
    </row>
    <row r="187" spans="3:16" x14ac:dyDescent="0.3">
      <c r="C187" s="11"/>
      <c r="D187" s="32"/>
      <c r="E187" s="11"/>
      <c r="G187" s="15"/>
      <c r="H187" s="47"/>
      <c r="I187" s="76"/>
      <c r="J187" s="76"/>
      <c r="K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L187" s="77"/>
      <c r="M187" s="32"/>
      <c r="N187" s="32"/>
      <c r="O187" s="32"/>
      <c r="P187" s="32"/>
    </row>
    <row r="188" spans="3:16" x14ac:dyDescent="0.3">
      <c r="C188" s="11"/>
      <c r="D188" s="32"/>
      <c r="E188" s="11"/>
      <c r="G188" s="15"/>
      <c r="H188" s="47"/>
      <c r="I188" s="76"/>
      <c r="J188" s="76"/>
      <c r="K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L188" s="77"/>
      <c r="M188" s="32"/>
      <c r="N188" s="32"/>
      <c r="O188" s="32"/>
      <c r="P188" s="32"/>
    </row>
    <row r="189" spans="3:16" x14ac:dyDescent="0.3">
      <c r="C189" s="11"/>
      <c r="D189" s="32"/>
      <c r="E189" s="11"/>
      <c r="G189" s="15"/>
      <c r="H189" s="47"/>
      <c r="I189" s="76"/>
      <c r="J189" s="76"/>
      <c r="K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L189" s="77"/>
      <c r="M189" s="32"/>
      <c r="N189" s="32"/>
      <c r="O189" s="32"/>
      <c r="P189" s="32"/>
    </row>
    <row r="190" spans="3:16" x14ac:dyDescent="0.3">
      <c r="C190" s="11"/>
      <c r="D190" s="32"/>
      <c r="E190" s="11"/>
      <c r="G190" s="15"/>
      <c r="H190" s="47"/>
      <c r="I190" s="76"/>
      <c r="J190" s="76"/>
      <c r="K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L190" s="77"/>
      <c r="M190" s="32"/>
      <c r="N190" s="32"/>
      <c r="O190" s="32"/>
      <c r="P190" s="32"/>
    </row>
    <row r="191" spans="3:16" x14ac:dyDescent="0.3">
      <c r="C191" s="11"/>
      <c r="D191" s="32"/>
      <c r="E191" s="11"/>
      <c r="G191" s="15"/>
      <c r="H191" s="47"/>
      <c r="I191" s="76"/>
      <c r="J191" s="76"/>
      <c r="K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L191" s="77"/>
      <c r="M191" s="32"/>
      <c r="N191" s="32"/>
      <c r="O191" s="32"/>
      <c r="P191" s="32"/>
    </row>
    <row r="192" spans="3:16" x14ac:dyDescent="0.3">
      <c r="C192" s="11"/>
      <c r="D192" s="32"/>
      <c r="E192" s="11"/>
      <c r="G192" s="15"/>
      <c r="H192" s="47"/>
      <c r="I192" s="76"/>
      <c r="J192" s="76"/>
      <c r="K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L192" s="77"/>
      <c r="M192" s="32"/>
      <c r="N192" s="32"/>
      <c r="O192" s="32"/>
      <c r="P192" s="32"/>
    </row>
    <row r="193" spans="3:16" x14ac:dyDescent="0.3">
      <c r="C193" s="11"/>
      <c r="D193" s="32"/>
      <c r="E193" s="11"/>
      <c r="G193" s="15"/>
      <c r="H193" s="47"/>
      <c r="I193" s="76"/>
      <c r="J193" s="76"/>
      <c r="K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L193" s="77"/>
      <c r="M193" s="32"/>
      <c r="N193" s="32"/>
      <c r="O193" s="32"/>
      <c r="P193" s="32"/>
    </row>
    <row r="194" spans="3:16" x14ac:dyDescent="0.3">
      <c r="C194" s="11"/>
      <c r="D194" s="32"/>
      <c r="E194" s="11"/>
      <c r="G194" s="15"/>
      <c r="H194" s="47"/>
      <c r="I194" s="76"/>
      <c r="J194" s="76"/>
      <c r="K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L194" s="77"/>
      <c r="M194" s="32"/>
      <c r="N194" s="32"/>
      <c r="O194" s="32"/>
      <c r="P194" s="32"/>
    </row>
    <row r="195" spans="3:16" x14ac:dyDescent="0.3">
      <c r="C195" s="11"/>
      <c r="D195" s="32"/>
      <c r="E195" s="11"/>
      <c r="G195" s="15"/>
      <c r="H195" s="47"/>
      <c r="I195" s="76"/>
      <c r="J195" s="76"/>
      <c r="K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L195" s="77"/>
      <c r="M195" s="32"/>
      <c r="N195" s="32"/>
      <c r="O195" s="32"/>
      <c r="P195" s="32"/>
    </row>
    <row r="196" spans="3:16" x14ac:dyDescent="0.3">
      <c r="C196" s="11"/>
      <c r="D196" s="32"/>
      <c r="E196" s="11"/>
      <c r="G196" s="15"/>
      <c r="H196" s="47"/>
      <c r="I196" s="76"/>
      <c r="J196" s="76"/>
      <c r="K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L196" s="77"/>
      <c r="M196" s="32"/>
      <c r="N196" s="32"/>
      <c r="O196" s="32"/>
      <c r="P196" s="32"/>
    </row>
    <row r="197" spans="3:16" x14ac:dyDescent="0.3">
      <c r="C197" s="11"/>
      <c r="D197" s="32"/>
      <c r="E197" s="11"/>
      <c r="G197" s="15"/>
      <c r="H197" s="47"/>
      <c r="I197" s="76"/>
      <c r="J197" s="76"/>
      <c r="K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L197" s="77"/>
      <c r="M197" s="32"/>
      <c r="N197" s="32"/>
      <c r="O197" s="32"/>
      <c r="P197" s="32"/>
    </row>
    <row r="198" spans="3:16" x14ac:dyDescent="0.3">
      <c r="C198" s="11"/>
      <c r="D198" s="32"/>
      <c r="E198" s="11"/>
      <c r="G198" s="15"/>
      <c r="H198" s="47"/>
      <c r="I198" s="76"/>
      <c r="J198" s="76"/>
      <c r="K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L198" s="77"/>
      <c r="M198" s="32"/>
      <c r="N198" s="32"/>
      <c r="O198" s="32"/>
      <c r="P198" s="32"/>
    </row>
    <row r="199" spans="3:16" x14ac:dyDescent="0.3">
      <c r="C199" s="11"/>
      <c r="D199" s="32"/>
      <c r="E199" s="11"/>
      <c r="G199" s="15"/>
      <c r="H199" s="47"/>
      <c r="I199" s="76"/>
      <c r="J199" s="76"/>
      <c r="K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L199" s="77"/>
      <c r="M199" s="32"/>
      <c r="N199" s="32"/>
      <c r="O199" s="32"/>
      <c r="P199" s="32"/>
    </row>
    <row r="200" spans="3:16" x14ac:dyDescent="0.3">
      <c r="C200" s="11"/>
      <c r="D200" s="32"/>
      <c r="E200" s="11"/>
      <c r="G200" s="15"/>
      <c r="H200" s="47"/>
      <c r="I200" s="76"/>
      <c r="J200" s="76"/>
      <c r="K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L200" s="77"/>
      <c r="M200" s="32"/>
      <c r="N200" s="32"/>
      <c r="O200" s="32"/>
      <c r="P200" s="32"/>
    </row>
    <row r="201" spans="3:16" x14ac:dyDescent="0.3">
      <c r="C201" s="11"/>
      <c r="D201" s="32"/>
      <c r="E201" s="11"/>
      <c r="G201" s="15"/>
      <c r="H201" s="47"/>
      <c r="I201" s="76"/>
      <c r="J201" s="76"/>
      <c r="K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L201" s="77"/>
      <c r="M201" s="32"/>
      <c r="N201" s="32"/>
      <c r="O201" s="32"/>
      <c r="P201" s="32"/>
    </row>
    <row r="202" spans="3:16" x14ac:dyDescent="0.3">
      <c r="C202" s="11"/>
      <c r="D202" s="32"/>
      <c r="E202" s="11"/>
      <c r="G202" s="15"/>
      <c r="H202" s="47"/>
      <c r="I202" s="76"/>
      <c r="J202" s="76"/>
      <c r="K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L202" s="77"/>
      <c r="M202" s="32"/>
      <c r="N202" s="32"/>
      <c r="O202" s="32"/>
      <c r="P202" s="32"/>
    </row>
    <row r="203" spans="3:16" x14ac:dyDescent="0.3">
      <c r="C203" s="11"/>
      <c r="D203" s="32"/>
      <c r="E203" s="11"/>
      <c r="G203" s="15"/>
      <c r="H203" s="47"/>
      <c r="I203" s="76"/>
      <c r="J203" s="76"/>
      <c r="K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L203" s="77"/>
      <c r="M203" s="32"/>
      <c r="N203" s="32"/>
      <c r="O203" s="32"/>
      <c r="P203" s="32"/>
    </row>
    <row r="204" spans="3:16" x14ac:dyDescent="0.3">
      <c r="C204" s="11"/>
      <c r="D204" s="32"/>
      <c r="E204" s="11"/>
      <c r="G204" s="15"/>
      <c r="H204" s="47"/>
      <c r="I204" s="76"/>
      <c r="J204" s="76"/>
      <c r="K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L204" s="77"/>
      <c r="M204" s="32"/>
      <c r="N204" s="32"/>
      <c r="O204" s="32"/>
      <c r="P204" s="32"/>
    </row>
    <row r="205" spans="3:16" x14ac:dyDescent="0.3">
      <c r="C205" s="11"/>
      <c r="D205" s="32"/>
      <c r="E205" s="11"/>
      <c r="G205" s="15"/>
      <c r="H205" s="47"/>
      <c r="I205" s="76"/>
      <c r="J205" s="76"/>
      <c r="K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L205" s="77"/>
      <c r="M205" s="32"/>
      <c r="N205" s="32"/>
      <c r="O205" s="32"/>
      <c r="P205" s="32"/>
    </row>
    <row r="206" spans="3:16" x14ac:dyDescent="0.3">
      <c r="C206" s="11"/>
      <c r="D206" s="32"/>
      <c r="E206" s="11"/>
      <c r="G206" s="15"/>
      <c r="H206" s="47"/>
      <c r="I206" s="76"/>
      <c r="J206" s="76"/>
      <c r="K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L206" s="77"/>
      <c r="M206" s="32"/>
      <c r="N206" s="32"/>
      <c r="O206" s="32"/>
      <c r="P206" s="32"/>
    </row>
    <row r="207" spans="3:16" x14ac:dyDescent="0.3">
      <c r="C207" s="11"/>
      <c r="D207" s="32"/>
      <c r="E207" s="11"/>
      <c r="G207" s="15"/>
      <c r="H207" s="47"/>
      <c r="I207" s="76"/>
      <c r="J207" s="76"/>
      <c r="K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L207" s="77"/>
      <c r="M207" s="32"/>
      <c r="N207" s="32"/>
      <c r="O207" s="32"/>
      <c r="P207" s="32"/>
    </row>
    <row r="208" spans="3:16" x14ac:dyDescent="0.3">
      <c r="C208" s="11"/>
      <c r="D208" s="32"/>
      <c r="E208" s="11"/>
      <c r="G208" s="15"/>
      <c r="H208" s="47"/>
      <c r="I208" s="76"/>
      <c r="J208" s="76"/>
      <c r="K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L208" s="77"/>
      <c r="M208" s="32"/>
      <c r="N208" s="32"/>
      <c r="O208" s="32"/>
      <c r="P208" s="32"/>
    </row>
    <row r="209" spans="3:16" x14ac:dyDescent="0.3">
      <c r="C209" s="11"/>
      <c r="D209" s="32"/>
      <c r="E209" s="11"/>
      <c r="G209" s="15"/>
      <c r="H209" s="47"/>
      <c r="I209" s="76"/>
      <c r="J209" s="76"/>
      <c r="K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L209" s="77"/>
      <c r="M209" s="32"/>
      <c r="N209" s="32"/>
      <c r="O209" s="32"/>
      <c r="P209" s="32"/>
    </row>
    <row r="210" spans="3:16" x14ac:dyDescent="0.3">
      <c r="C210" s="11"/>
      <c r="D210" s="32"/>
      <c r="E210" s="11"/>
      <c r="G210" s="15"/>
      <c r="H210" s="47"/>
      <c r="I210" s="76"/>
      <c r="J210" s="76"/>
      <c r="K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L210" s="77"/>
      <c r="M210" s="32"/>
      <c r="N210" s="32"/>
      <c r="O210" s="32"/>
      <c r="P210" s="32"/>
    </row>
    <row r="211" spans="3:16" x14ac:dyDescent="0.3">
      <c r="C211" s="11"/>
      <c r="D211" s="32"/>
      <c r="E211" s="11"/>
      <c r="G211" s="15"/>
      <c r="H211" s="47"/>
      <c r="I211" s="76"/>
      <c r="J211" s="76"/>
      <c r="K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L211" s="77"/>
      <c r="M211" s="32"/>
      <c r="N211" s="32"/>
      <c r="O211" s="32"/>
      <c r="P211" s="32"/>
    </row>
    <row r="212" spans="3:16" x14ac:dyDescent="0.3">
      <c r="C212" s="11"/>
      <c r="D212" s="32"/>
      <c r="E212" s="11"/>
      <c r="G212" s="15"/>
      <c r="H212" s="47"/>
      <c r="I212" s="76"/>
      <c r="J212" s="76"/>
      <c r="K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L212" s="77"/>
      <c r="M212" s="32"/>
      <c r="N212" s="32"/>
      <c r="O212" s="32"/>
      <c r="P212" s="32"/>
    </row>
    <row r="213" spans="3:16" x14ac:dyDescent="0.3">
      <c r="C213" s="11"/>
      <c r="D213" s="32"/>
      <c r="E213" s="11"/>
      <c r="G213" s="15"/>
      <c r="H213" s="47"/>
      <c r="I213" s="76"/>
      <c r="J213" s="76"/>
      <c r="K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L213" s="77"/>
      <c r="M213" s="32"/>
      <c r="N213" s="32"/>
      <c r="O213" s="32"/>
      <c r="P213" s="32"/>
    </row>
    <row r="214" spans="3:16" x14ac:dyDescent="0.3">
      <c r="C214" s="11"/>
      <c r="D214" s="32"/>
      <c r="E214" s="11"/>
      <c r="G214" s="15"/>
      <c r="H214" s="47"/>
      <c r="I214" s="76"/>
      <c r="J214" s="76"/>
      <c r="K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L214" s="77"/>
      <c r="M214" s="32"/>
      <c r="N214" s="32"/>
      <c r="O214" s="32"/>
      <c r="P214" s="32"/>
    </row>
    <row r="215" spans="3:16" x14ac:dyDescent="0.3">
      <c r="C215" s="11"/>
      <c r="D215" s="32"/>
      <c r="E215" s="11"/>
      <c r="G215" s="15"/>
      <c r="H215" s="47"/>
      <c r="I215" s="76"/>
      <c r="J215" s="76"/>
      <c r="K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L215" s="77"/>
      <c r="M215" s="32"/>
      <c r="N215" s="32"/>
      <c r="O215" s="32"/>
      <c r="P215" s="32"/>
    </row>
    <row r="216" spans="3:16" x14ac:dyDescent="0.3">
      <c r="C216" s="11"/>
      <c r="D216" s="32"/>
      <c r="E216" s="11"/>
      <c r="G216" s="15"/>
      <c r="H216" s="47"/>
      <c r="I216" s="76"/>
      <c r="J216" s="76"/>
      <c r="K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L216" s="77"/>
      <c r="M216" s="32"/>
      <c r="N216" s="32"/>
      <c r="O216" s="32"/>
      <c r="P216" s="32"/>
    </row>
    <row r="217" spans="3:16" x14ac:dyDescent="0.3">
      <c r="C217" s="11"/>
      <c r="D217" s="32"/>
      <c r="E217" s="11"/>
      <c r="G217" s="15"/>
      <c r="H217" s="47"/>
      <c r="I217" s="76"/>
      <c r="J217" s="76"/>
      <c r="K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L217" s="77"/>
      <c r="M217" s="32"/>
      <c r="N217" s="32"/>
      <c r="O217" s="32"/>
      <c r="P217" s="32"/>
    </row>
    <row r="218" spans="3:16" x14ac:dyDescent="0.3">
      <c r="C218" s="11"/>
      <c r="D218" s="32"/>
      <c r="E218" s="11"/>
      <c r="G218" s="15"/>
      <c r="H218" s="47"/>
      <c r="I218" s="76"/>
      <c r="J218" s="76"/>
      <c r="K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L218" s="77"/>
      <c r="M218" s="32"/>
      <c r="N218" s="32"/>
      <c r="O218" s="32"/>
      <c r="P218" s="32"/>
    </row>
    <row r="219" spans="3:16" x14ac:dyDescent="0.3">
      <c r="C219" s="11"/>
      <c r="D219" s="32"/>
      <c r="E219" s="11"/>
      <c r="G219" s="15"/>
      <c r="H219" s="47"/>
      <c r="I219" s="76"/>
      <c r="J219" s="76"/>
      <c r="K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L219" s="77"/>
      <c r="M219" s="32"/>
      <c r="N219" s="32"/>
      <c r="O219" s="32"/>
      <c r="P219" s="32"/>
    </row>
    <row r="220" spans="3:16" x14ac:dyDescent="0.3">
      <c r="C220" s="11"/>
      <c r="D220" s="32"/>
      <c r="E220" s="11"/>
      <c r="G220" s="15"/>
      <c r="H220" s="47"/>
      <c r="I220" s="76"/>
      <c r="J220" s="76"/>
      <c r="K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L220" s="77"/>
      <c r="M220" s="32"/>
      <c r="N220" s="32"/>
      <c r="O220" s="32"/>
      <c r="P220" s="32"/>
    </row>
    <row r="221" spans="3:16" x14ac:dyDescent="0.3">
      <c r="C221" s="11"/>
      <c r="D221" s="32"/>
      <c r="E221" s="11"/>
      <c r="G221" s="15"/>
      <c r="H221" s="47"/>
      <c r="I221" s="76"/>
      <c r="J221" s="76"/>
      <c r="K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L221" s="77"/>
      <c r="M221" s="32"/>
      <c r="N221" s="32"/>
      <c r="O221" s="32"/>
      <c r="P221" s="32"/>
    </row>
    <row r="222" spans="3:16" x14ac:dyDescent="0.3">
      <c r="C222" s="11"/>
      <c r="D222" s="32"/>
      <c r="E222" s="11"/>
      <c r="G222" s="15"/>
      <c r="H222" s="47"/>
      <c r="I222" s="76"/>
      <c r="J222" s="76"/>
      <c r="K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L222" s="77"/>
      <c r="M222" s="32"/>
      <c r="N222" s="32"/>
      <c r="O222" s="32"/>
      <c r="P222" s="32"/>
    </row>
    <row r="223" spans="3:16" x14ac:dyDescent="0.3">
      <c r="C223" s="11"/>
      <c r="D223" s="32"/>
      <c r="E223" s="11"/>
      <c r="G223" s="15"/>
      <c r="H223" s="47"/>
      <c r="I223" s="76"/>
      <c r="J223" s="76"/>
      <c r="K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L223" s="77"/>
      <c r="M223" s="32"/>
      <c r="N223" s="32"/>
      <c r="O223" s="32"/>
      <c r="P223" s="32"/>
    </row>
    <row r="224" spans="3:16" x14ac:dyDescent="0.3">
      <c r="C224" s="11"/>
      <c r="D224" s="32"/>
      <c r="E224" s="11"/>
      <c r="G224" s="15"/>
      <c r="H224" s="47"/>
      <c r="I224" s="76"/>
      <c r="J224" s="76"/>
      <c r="K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L224" s="77"/>
      <c r="M224" s="32"/>
      <c r="N224" s="32"/>
      <c r="O224" s="32"/>
      <c r="P224" s="32"/>
    </row>
    <row r="225" spans="3:16" x14ac:dyDescent="0.3">
      <c r="C225" s="11"/>
      <c r="D225" s="32"/>
      <c r="E225" s="11"/>
      <c r="G225" s="15"/>
      <c r="H225" s="47"/>
      <c r="I225" s="76"/>
      <c r="J225" s="76"/>
      <c r="K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L225" s="77"/>
      <c r="M225" s="32"/>
      <c r="N225" s="32"/>
      <c r="O225" s="32"/>
      <c r="P225" s="32"/>
    </row>
    <row r="226" spans="3:16" x14ac:dyDescent="0.3">
      <c r="C226" s="11"/>
      <c r="D226" s="32"/>
      <c r="E226" s="11"/>
      <c r="G226" s="15"/>
      <c r="H226" s="47"/>
      <c r="I226" s="76"/>
      <c r="J226" s="76"/>
      <c r="K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L226" s="77"/>
      <c r="M226" s="32"/>
      <c r="N226" s="32"/>
      <c r="O226" s="32"/>
      <c r="P226" s="32"/>
    </row>
    <row r="227" spans="3:16" x14ac:dyDescent="0.3">
      <c r="C227" s="11"/>
      <c r="D227" s="32"/>
      <c r="E227" s="11"/>
      <c r="G227" s="15"/>
      <c r="H227" s="47"/>
      <c r="I227" s="76"/>
      <c r="J227" s="76"/>
      <c r="K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L227" s="77"/>
      <c r="M227" s="32"/>
      <c r="N227" s="32"/>
      <c r="O227" s="32"/>
      <c r="P227" s="32"/>
    </row>
    <row r="228" spans="3:16" x14ac:dyDescent="0.3">
      <c r="C228" s="11"/>
      <c r="D228" s="32"/>
      <c r="E228" s="11"/>
      <c r="G228" s="15"/>
      <c r="H228" s="47"/>
      <c r="I228" s="76"/>
      <c r="J228" s="76"/>
      <c r="K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L228" s="77"/>
      <c r="M228" s="32"/>
      <c r="N228" s="32"/>
      <c r="O228" s="32"/>
      <c r="P228" s="32"/>
    </row>
    <row r="229" spans="3:16" x14ac:dyDescent="0.3">
      <c r="C229" s="11"/>
      <c r="D229" s="32"/>
      <c r="E229" s="11"/>
      <c r="G229" s="15"/>
      <c r="H229" s="47"/>
      <c r="I229" s="76"/>
      <c r="J229" s="76"/>
      <c r="K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L229" s="77"/>
      <c r="M229" s="32"/>
      <c r="N229" s="32"/>
      <c r="O229" s="32"/>
      <c r="P229" s="32"/>
    </row>
    <row r="230" spans="3:16" x14ac:dyDescent="0.3">
      <c r="C230" s="11"/>
      <c r="D230" s="32"/>
      <c r="E230" s="11"/>
      <c r="G230" s="15"/>
      <c r="H230" s="47"/>
      <c r="I230" s="76"/>
      <c r="J230" s="76"/>
      <c r="K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L230" s="77"/>
      <c r="M230" s="32"/>
      <c r="N230" s="32"/>
      <c r="O230" s="32"/>
      <c r="P230" s="32"/>
    </row>
    <row r="231" spans="3:16" x14ac:dyDescent="0.3">
      <c r="C231" s="11"/>
      <c r="D231" s="32"/>
      <c r="E231" s="11"/>
      <c r="G231" s="15"/>
      <c r="H231" s="47"/>
      <c r="I231" s="76"/>
      <c r="J231" s="76"/>
      <c r="K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L231" s="77"/>
      <c r="M231" s="32"/>
      <c r="N231" s="32"/>
      <c r="O231" s="32"/>
      <c r="P231" s="32"/>
    </row>
    <row r="232" spans="3:16" x14ac:dyDescent="0.3">
      <c r="C232" s="11"/>
      <c r="D232" s="32"/>
      <c r="E232" s="11"/>
      <c r="G232" s="15"/>
      <c r="H232" s="47"/>
      <c r="I232" s="76"/>
      <c r="J232" s="76"/>
      <c r="K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L232" s="77"/>
      <c r="M232" s="32"/>
      <c r="N232" s="32"/>
      <c r="O232" s="32"/>
      <c r="P232" s="32"/>
    </row>
    <row r="233" spans="3:16" x14ac:dyDescent="0.3">
      <c r="C233" s="11"/>
      <c r="D233" s="32"/>
      <c r="E233" s="11"/>
      <c r="G233" s="15"/>
      <c r="H233" s="47"/>
      <c r="I233" s="76"/>
      <c r="J233" s="76"/>
      <c r="K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L233" s="77"/>
      <c r="M233" s="32"/>
      <c r="N233" s="32"/>
      <c r="O233" s="32"/>
      <c r="P233" s="32"/>
    </row>
    <row r="234" spans="3:16" x14ac:dyDescent="0.3">
      <c r="C234" s="11"/>
      <c r="D234" s="32"/>
      <c r="E234" s="11"/>
      <c r="G234" s="15"/>
      <c r="H234" s="47"/>
      <c r="I234" s="76"/>
      <c r="J234" s="76"/>
      <c r="K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L234" s="77"/>
      <c r="M234" s="32"/>
      <c r="N234" s="32"/>
      <c r="O234" s="32"/>
      <c r="P234" s="32"/>
    </row>
    <row r="235" spans="3:16" x14ac:dyDescent="0.3">
      <c r="C235" s="11"/>
      <c r="D235" s="32"/>
      <c r="E235" s="11"/>
      <c r="G235" s="15"/>
      <c r="H235" s="47"/>
      <c r="I235" s="76"/>
      <c r="J235" s="76"/>
      <c r="K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L235" s="77"/>
      <c r="M235" s="32"/>
      <c r="N235" s="32"/>
      <c r="O235" s="32"/>
      <c r="P235" s="32"/>
    </row>
    <row r="236" spans="3:16" x14ac:dyDescent="0.3">
      <c r="C236" s="11"/>
      <c r="D236" s="32"/>
      <c r="E236" s="11"/>
      <c r="G236" s="15"/>
      <c r="H236" s="47"/>
      <c r="I236" s="76"/>
      <c r="J236" s="76"/>
      <c r="K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L236" s="77"/>
      <c r="M236" s="32"/>
      <c r="N236" s="32"/>
      <c r="O236" s="32"/>
      <c r="P236" s="32"/>
    </row>
    <row r="237" spans="3:16" x14ac:dyDescent="0.3">
      <c r="C237" s="11"/>
      <c r="D237" s="32"/>
      <c r="E237" s="11"/>
      <c r="G237" s="15"/>
      <c r="H237" s="47"/>
      <c r="I237" s="76"/>
      <c r="J237" s="76"/>
      <c r="K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L237" s="77"/>
      <c r="M237" s="32"/>
      <c r="N237" s="32"/>
      <c r="O237" s="32"/>
      <c r="P237" s="32"/>
    </row>
    <row r="238" spans="3:16" x14ac:dyDescent="0.3">
      <c r="C238" s="11"/>
      <c r="D238" s="32"/>
      <c r="E238" s="11"/>
      <c r="G238" s="15"/>
      <c r="H238" s="47"/>
      <c r="I238" s="76"/>
      <c r="J238" s="76"/>
      <c r="K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L238" s="77"/>
      <c r="M238" s="32"/>
      <c r="N238" s="32"/>
      <c r="O238" s="32"/>
      <c r="P238" s="32"/>
    </row>
    <row r="239" spans="3:16" x14ac:dyDescent="0.3">
      <c r="C239" s="11"/>
      <c r="D239" s="32"/>
      <c r="E239" s="11"/>
      <c r="G239" s="15"/>
      <c r="H239" s="47"/>
      <c r="I239" s="76"/>
      <c r="J239" s="76"/>
      <c r="K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L239" s="77"/>
      <c r="M239" s="32"/>
      <c r="N239" s="32"/>
      <c r="O239" s="32"/>
      <c r="P239" s="32"/>
    </row>
    <row r="240" spans="3:16" x14ac:dyDescent="0.3">
      <c r="C240" s="11"/>
      <c r="D240" s="32"/>
      <c r="E240" s="11"/>
      <c r="G240" s="15"/>
      <c r="H240" s="47"/>
      <c r="I240" s="76"/>
      <c r="J240" s="76"/>
      <c r="K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L240" s="77"/>
      <c r="M240" s="32"/>
      <c r="N240" s="32"/>
      <c r="O240" s="32"/>
      <c r="P240" s="32"/>
    </row>
    <row r="241" spans="3:16" x14ac:dyDescent="0.3">
      <c r="C241" s="11"/>
      <c r="D241" s="32"/>
      <c r="E241" s="11"/>
      <c r="G241" s="15"/>
      <c r="H241" s="47"/>
      <c r="I241" s="76"/>
      <c r="J241" s="76"/>
      <c r="K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L241" s="77"/>
      <c r="M241" s="32"/>
      <c r="N241" s="32"/>
      <c r="O241" s="32"/>
      <c r="P241" s="32"/>
    </row>
    <row r="242" spans="3:16" x14ac:dyDescent="0.3">
      <c r="C242" s="11"/>
      <c r="D242" s="32"/>
      <c r="E242" s="11"/>
      <c r="G242" s="15"/>
      <c r="H242" s="47"/>
      <c r="I242" s="76"/>
      <c r="J242" s="76"/>
      <c r="K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L242" s="77"/>
      <c r="M242" s="32"/>
      <c r="N242" s="32"/>
      <c r="O242" s="32"/>
      <c r="P242" s="32"/>
    </row>
    <row r="243" spans="3:16" x14ac:dyDescent="0.3">
      <c r="C243" s="11"/>
      <c r="D243" s="32"/>
      <c r="E243" s="11"/>
      <c r="G243" s="15"/>
      <c r="H243" s="47"/>
      <c r="I243" s="76"/>
      <c r="J243" s="76"/>
      <c r="K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L243" s="77"/>
      <c r="M243" s="32"/>
      <c r="N243" s="32"/>
      <c r="O243" s="32"/>
      <c r="P243" s="32"/>
    </row>
    <row r="244" spans="3:16" x14ac:dyDescent="0.3">
      <c r="C244" s="11"/>
      <c r="D244" s="32"/>
      <c r="E244" s="11"/>
      <c r="G244" s="15"/>
      <c r="H244" s="47"/>
      <c r="I244" s="76"/>
      <c r="J244" s="76"/>
      <c r="K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L244" s="77"/>
      <c r="M244" s="32"/>
      <c r="N244" s="32"/>
      <c r="O244" s="32"/>
      <c r="P244" s="32"/>
    </row>
    <row r="245" spans="3:16" x14ac:dyDescent="0.3">
      <c r="C245" s="11"/>
      <c r="D245" s="32"/>
      <c r="E245" s="11"/>
      <c r="G245" s="15"/>
      <c r="H245" s="47"/>
      <c r="I245" s="76"/>
      <c r="J245" s="76"/>
      <c r="K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L245" s="77"/>
      <c r="M245" s="32"/>
      <c r="N245" s="32"/>
      <c r="O245" s="32"/>
      <c r="P245" s="32"/>
    </row>
    <row r="246" spans="3:16" x14ac:dyDescent="0.3">
      <c r="C246" s="11"/>
      <c r="D246" s="32"/>
      <c r="E246" s="11"/>
      <c r="G246" s="15"/>
      <c r="H246" s="47"/>
      <c r="I246" s="76"/>
      <c r="J246" s="76"/>
      <c r="K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L246" s="77"/>
      <c r="M246" s="32"/>
      <c r="N246" s="32"/>
      <c r="O246" s="32"/>
      <c r="P246" s="32"/>
    </row>
    <row r="247" spans="3:16" x14ac:dyDescent="0.3">
      <c r="C247" s="11"/>
      <c r="D247" s="32"/>
      <c r="E247" s="11"/>
      <c r="G247" s="15"/>
      <c r="H247" s="47"/>
      <c r="I247" s="76"/>
      <c r="J247" s="76"/>
      <c r="K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L247" s="77"/>
      <c r="M247" s="32"/>
      <c r="N247" s="32"/>
      <c r="O247" s="32"/>
      <c r="P247" s="32"/>
    </row>
    <row r="248" spans="3:16" x14ac:dyDescent="0.3">
      <c r="C248" s="11"/>
      <c r="D248" s="32"/>
      <c r="E248" s="11"/>
      <c r="G248" s="15"/>
      <c r="H248" s="47"/>
      <c r="I248" s="76"/>
      <c r="J248" s="76"/>
      <c r="K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L248" s="77"/>
      <c r="M248" s="32"/>
      <c r="N248" s="32"/>
      <c r="O248" s="32"/>
      <c r="P248" s="32"/>
    </row>
    <row r="249" spans="3:16" x14ac:dyDescent="0.3">
      <c r="C249" s="11"/>
      <c r="D249" s="32"/>
      <c r="E249" s="11"/>
      <c r="G249" s="15"/>
      <c r="H249" s="47"/>
      <c r="I249" s="76"/>
      <c r="J249" s="76"/>
      <c r="K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L249" s="77"/>
      <c r="M249" s="32"/>
      <c r="N249" s="32"/>
      <c r="O249" s="32"/>
      <c r="P249" s="32"/>
    </row>
    <row r="250" spans="3:16" x14ac:dyDescent="0.3">
      <c r="C250" s="11"/>
      <c r="D250" s="32"/>
      <c r="E250" s="11"/>
      <c r="G250" s="15"/>
      <c r="H250" s="47"/>
      <c r="I250" s="76"/>
      <c r="J250" s="76"/>
      <c r="K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L250" s="77"/>
      <c r="M250" s="32"/>
      <c r="N250" s="32"/>
      <c r="O250" s="32"/>
      <c r="P250" s="32"/>
    </row>
    <row r="251" spans="3:16" x14ac:dyDescent="0.3">
      <c r="C251" s="11"/>
      <c r="D251" s="32"/>
      <c r="E251" s="11"/>
      <c r="G251" s="15"/>
      <c r="H251" s="47"/>
      <c r="I251" s="76"/>
      <c r="J251" s="76"/>
      <c r="K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L251" s="77"/>
      <c r="M251" s="32"/>
      <c r="N251" s="32"/>
      <c r="O251" s="32"/>
      <c r="P251" s="32"/>
    </row>
    <row r="252" spans="3:16" x14ac:dyDescent="0.3">
      <c r="C252" s="11"/>
      <c r="D252" s="32"/>
      <c r="E252" s="11"/>
      <c r="G252" s="15"/>
      <c r="H252" s="47"/>
      <c r="I252" s="76"/>
      <c r="J252" s="76"/>
      <c r="K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L252" s="77"/>
      <c r="M252" s="32"/>
      <c r="N252" s="32"/>
      <c r="O252" s="32"/>
      <c r="P252" s="32"/>
    </row>
    <row r="253" spans="3:16" x14ac:dyDescent="0.3">
      <c r="C253" s="11"/>
      <c r="D253" s="32"/>
      <c r="E253" s="11"/>
      <c r="G253" s="15"/>
      <c r="H253" s="47"/>
      <c r="I253" s="76"/>
      <c r="J253" s="76"/>
      <c r="K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L253" s="77"/>
      <c r="M253" s="32"/>
      <c r="N253" s="32"/>
      <c r="O253" s="32"/>
      <c r="P253" s="32"/>
    </row>
    <row r="254" spans="3:16" x14ac:dyDescent="0.3">
      <c r="C254" s="11"/>
      <c r="D254" s="32"/>
      <c r="E254" s="11"/>
      <c r="G254" s="15"/>
      <c r="H254" s="47"/>
      <c r="I254" s="76"/>
      <c r="J254" s="76"/>
      <c r="K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L254" s="77"/>
      <c r="M254" s="32"/>
      <c r="N254" s="32"/>
      <c r="O254" s="32"/>
      <c r="P254" s="32"/>
    </row>
    <row r="255" spans="3:16" x14ac:dyDescent="0.3">
      <c r="C255" s="11"/>
      <c r="D255" s="32"/>
      <c r="E255" s="11"/>
      <c r="G255" s="15"/>
      <c r="H255" s="47"/>
      <c r="I255" s="76"/>
      <c r="J255" s="76"/>
      <c r="K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L255" s="77"/>
      <c r="M255" s="32"/>
      <c r="N255" s="32"/>
      <c r="O255" s="32"/>
      <c r="P255" s="32"/>
    </row>
    <row r="256" spans="3:16" x14ac:dyDescent="0.3">
      <c r="C256" s="11"/>
      <c r="D256" s="32"/>
      <c r="E256" s="11"/>
      <c r="G256" s="15"/>
      <c r="H256" s="47"/>
      <c r="I256" s="76"/>
      <c r="J256" s="76"/>
      <c r="K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L256" s="77"/>
      <c r="M256" s="32"/>
      <c r="N256" s="32"/>
      <c r="O256" s="32"/>
      <c r="P256" s="32"/>
    </row>
    <row r="257" spans="3:16" x14ac:dyDescent="0.3">
      <c r="C257" s="11"/>
      <c r="D257" s="32"/>
      <c r="E257" s="11"/>
      <c r="G257" s="15"/>
      <c r="H257" s="47"/>
      <c r="I257" s="76"/>
      <c r="J257" s="76"/>
      <c r="K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L257" s="77"/>
      <c r="M257" s="32"/>
      <c r="N257" s="32"/>
      <c r="O257" s="32"/>
      <c r="P257" s="32"/>
    </row>
    <row r="258" spans="3:16" x14ac:dyDescent="0.3">
      <c r="C258" s="11"/>
      <c r="D258" s="32"/>
      <c r="E258" s="11"/>
      <c r="G258" s="15"/>
      <c r="H258" s="47"/>
      <c r="I258" s="76"/>
      <c r="J258" s="76"/>
      <c r="K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L258" s="77"/>
      <c r="M258" s="32"/>
      <c r="N258" s="32"/>
      <c r="O258" s="32"/>
      <c r="P258" s="32"/>
    </row>
    <row r="259" spans="3:16" x14ac:dyDescent="0.3">
      <c r="C259" s="11"/>
      <c r="D259" s="32"/>
      <c r="E259" s="11"/>
      <c r="G259" s="15"/>
      <c r="H259" s="47"/>
      <c r="I259" s="76"/>
      <c r="J259" s="76"/>
      <c r="K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L259" s="77"/>
      <c r="M259" s="32"/>
      <c r="N259" s="32"/>
      <c r="O259" s="32"/>
      <c r="P259" s="32"/>
    </row>
    <row r="260" spans="3:16" x14ac:dyDescent="0.3">
      <c r="C260" s="11"/>
      <c r="D260" s="32"/>
      <c r="E260" s="11"/>
      <c r="G260" s="15"/>
      <c r="H260" s="47"/>
      <c r="I260" s="76"/>
      <c r="J260" s="76"/>
      <c r="K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L260" s="77"/>
      <c r="M260" s="32"/>
      <c r="N260" s="32"/>
      <c r="O260" s="32"/>
      <c r="P260" s="32"/>
    </row>
    <row r="261" spans="3:16" x14ac:dyDescent="0.3">
      <c r="C261" s="11"/>
      <c r="D261" s="32"/>
      <c r="E261" s="11"/>
      <c r="G261" s="15"/>
      <c r="H261" s="47"/>
      <c r="I261" s="76"/>
      <c r="J261" s="76"/>
      <c r="K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L261" s="77"/>
      <c r="M261" s="32"/>
      <c r="N261" s="32"/>
      <c r="O261" s="32"/>
      <c r="P261" s="32"/>
    </row>
    <row r="262" spans="3:16" x14ac:dyDescent="0.3">
      <c r="C262" s="11"/>
      <c r="D262" s="32"/>
      <c r="E262" s="11"/>
      <c r="G262" s="15"/>
      <c r="H262" s="47"/>
      <c r="I262" s="76"/>
      <c r="J262" s="76"/>
      <c r="K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L262" s="77"/>
      <c r="M262" s="32"/>
      <c r="N262" s="32"/>
      <c r="O262" s="32"/>
      <c r="P262" s="32"/>
    </row>
    <row r="263" spans="3:16" x14ac:dyDescent="0.3">
      <c r="C263" s="11"/>
      <c r="D263" s="32"/>
      <c r="E263" s="11"/>
      <c r="G263" s="15"/>
      <c r="H263" s="47"/>
      <c r="I263" s="76"/>
      <c r="J263" s="76"/>
      <c r="K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L263" s="77"/>
      <c r="M263" s="32"/>
      <c r="N263" s="32"/>
      <c r="O263" s="32"/>
      <c r="P263" s="32"/>
    </row>
    <row r="264" spans="3:16" x14ac:dyDescent="0.3">
      <c r="C264" s="11"/>
      <c r="D264" s="32"/>
      <c r="E264" s="11"/>
      <c r="G264" s="15"/>
      <c r="H264" s="47"/>
      <c r="I264" s="76"/>
      <c r="J264" s="76"/>
      <c r="K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L264" s="77"/>
      <c r="M264" s="32"/>
      <c r="N264" s="32"/>
      <c r="O264" s="32"/>
      <c r="P264" s="32"/>
    </row>
    <row r="265" spans="3:16" x14ac:dyDescent="0.3">
      <c r="C265" s="11"/>
      <c r="D265" s="32"/>
      <c r="E265" s="11"/>
      <c r="G265" s="15"/>
      <c r="H265" s="47"/>
      <c r="I265" s="76"/>
      <c r="J265" s="76"/>
      <c r="K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L265" s="77"/>
      <c r="M265" s="32"/>
      <c r="N265" s="32"/>
      <c r="O265" s="32"/>
      <c r="P265" s="32"/>
    </row>
    <row r="266" spans="3:16" x14ac:dyDescent="0.3">
      <c r="C266" s="11"/>
      <c r="D266" s="32"/>
      <c r="E266" s="11"/>
      <c r="G266" s="15"/>
      <c r="H266" s="47"/>
      <c r="I266" s="76"/>
      <c r="J266" s="76"/>
      <c r="K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L266" s="77"/>
      <c r="M266" s="32"/>
      <c r="N266" s="32"/>
      <c r="O266" s="32"/>
      <c r="P266" s="32"/>
    </row>
    <row r="267" spans="3:16" x14ac:dyDescent="0.3">
      <c r="C267" s="11"/>
      <c r="D267" s="32"/>
      <c r="E267" s="11"/>
      <c r="G267" s="15"/>
      <c r="H267" s="47"/>
      <c r="I267" s="76"/>
      <c r="J267" s="76"/>
      <c r="K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L267" s="77"/>
      <c r="M267" s="32"/>
      <c r="N267" s="32"/>
      <c r="O267" s="32"/>
      <c r="P267" s="32"/>
    </row>
    <row r="268" spans="3:16" x14ac:dyDescent="0.3">
      <c r="C268" s="11"/>
      <c r="D268" s="32"/>
      <c r="E268" s="11"/>
      <c r="G268" s="15"/>
      <c r="H268" s="47"/>
      <c r="I268" s="76"/>
      <c r="J268" s="76"/>
      <c r="K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L268" s="77"/>
      <c r="M268" s="32"/>
      <c r="N268" s="32"/>
      <c r="O268" s="32"/>
      <c r="P268" s="32"/>
    </row>
    <row r="269" spans="3:16" x14ac:dyDescent="0.3">
      <c r="C269" s="11"/>
      <c r="D269" s="32"/>
      <c r="E269" s="11"/>
      <c r="G269" s="15"/>
      <c r="H269" s="47"/>
      <c r="I269" s="76"/>
      <c r="J269" s="76"/>
      <c r="K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L269" s="77"/>
      <c r="M269" s="32"/>
      <c r="N269" s="32"/>
      <c r="O269" s="32"/>
      <c r="P269" s="32"/>
    </row>
    <row r="270" spans="3:16" x14ac:dyDescent="0.3">
      <c r="C270" s="11"/>
      <c r="D270" s="32"/>
      <c r="E270" s="11"/>
      <c r="G270" s="15"/>
      <c r="H270" s="47"/>
      <c r="I270" s="76"/>
      <c r="J270" s="76"/>
      <c r="K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L270" s="77"/>
      <c r="M270" s="32"/>
      <c r="N270" s="32"/>
      <c r="O270" s="32"/>
      <c r="P270" s="32"/>
    </row>
    <row r="271" spans="3:16" x14ac:dyDescent="0.3">
      <c r="C271" s="11"/>
      <c r="D271" s="32"/>
      <c r="E271" s="11"/>
      <c r="G271" s="15"/>
      <c r="H271" s="47"/>
      <c r="I271" s="76"/>
      <c r="J271" s="76"/>
      <c r="K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L271" s="77"/>
      <c r="M271" s="32"/>
      <c r="N271" s="32"/>
      <c r="O271" s="32"/>
      <c r="P271" s="32"/>
    </row>
    <row r="272" spans="3:16" x14ac:dyDescent="0.3">
      <c r="C272" s="11"/>
      <c r="D272" s="32"/>
      <c r="E272" s="11"/>
      <c r="G272" s="15"/>
      <c r="H272" s="47"/>
      <c r="I272" s="76"/>
      <c r="J272" s="76"/>
      <c r="K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L272" s="77"/>
      <c r="M272" s="32"/>
      <c r="N272" s="32"/>
      <c r="O272" s="32"/>
      <c r="P272" s="32"/>
    </row>
    <row r="273" spans="3:16" x14ac:dyDescent="0.3">
      <c r="C273" s="11"/>
      <c r="D273" s="32"/>
      <c r="E273" s="11"/>
      <c r="G273" s="15"/>
      <c r="H273" s="47"/>
      <c r="I273" s="76"/>
      <c r="J273" s="76"/>
      <c r="K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L273" s="77"/>
      <c r="M273" s="32"/>
      <c r="N273" s="32"/>
      <c r="O273" s="32"/>
      <c r="P273" s="32"/>
    </row>
    <row r="274" spans="3:16" x14ac:dyDescent="0.3">
      <c r="C274" s="11"/>
      <c r="D274" s="32"/>
      <c r="E274" s="11"/>
      <c r="G274" s="15"/>
      <c r="H274" s="47"/>
      <c r="I274" s="76"/>
      <c r="J274" s="76"/>
      <c r="K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L274" s="77"/>
      <c r="M274" s="32"/>
      <c r="N274" s="32"/>
      <c r="O274" s="32"/>
      <c r="P274" s="32"/>
    </row>
    <row r="275" spans="3:16" x14ac:dyDescent="0.3">
      <c r="C275" s="11"/>
      <c r="D275" s="32"/>
      <c r="E275" s="11"/>
      <c r="G275" s="15"/>
      <c r="H275" s="47"/>
      <c r="I275" s="76"/>
      <c r="J275" s="76"/>
      <c r="K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L275" s="77"/>
      <c r="M275" s="32"/>
      <c r="N275" s="32"/>
      <c r="O275" s="32"/>
      <c r="P275" s="32"/>
    </row>
    <row r="276" spans="3:16" x14ac:dyDescent="0.3">
      <c r="C276" s="11"/>
      <c r="D276" s="32"/>
      <c r="E276" s="11"/>
      <c r="G276" s="15"/>
      <c r="H276" s="47"/>
      <c r="I276" s="76"/>
      <c r="J276" s="76"/>
      <c r="K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L276" s="77"/>
      <c r="M276" s="32"/>
      <c r="N276" s="32"/>
      <c r="O276" s="32"/>
      <c r="P276" s="32"/>
    </row>
    <row r="277" spans="3:16" x14ac:dyDescent="0.3">
      <c r="C277" s="11"/>
      <c r="D277" s="32"/>
      <c r="E277" s="11"/>
      <c r="G277" s="15"/>
      <c r="H277" s="47"/>
      <c r="I277" s="76"/>
      <c r="J277" s="76"/>
      <c r="K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L277" s="77"/>
      <c r="M277" s="32"/>
      <c r="N277" s="32"/>
      <c r="O277" s="32"/>
      <c r="P277" s="32"/>
    </row>
    <row r="278" spans="3:16" x14ac:dyDescent="0.3">
      <c r="C278" s="11"/>
      <c r="D278" s="32"/>
      <c r="E278" s="11"/>
      <c r="G278" s="15"/>
      <c r="H278" s="47"/>
      <c r="I278" s="76"/>
      <c r="J278" s="76"/>
      <c r="K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L278" s="77"/>
      <c r="M278" s="32"/>
      <c r="N278" s="32"/>
      <c r="O278" s="32"/>
      <c r="P278" s="32"/>
    </row>
    <row r="279" spans="3:16" x14ac:dyDescent="0.3">
      <c r="C279" s="11"/>
      <c r="D279" s="32"/>
      <c r="E279" s="11"/>
      <c r="G279" s="15"/>
      <c r="H279" s="47"/>
      <c r="I279" s="76"/>
      <c r="J279" s="76"/>
      <c r="K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L279" s="77"/>
      <c r="M279" s="32"/>
      <c r="N279" s="32"/>
      <c r="O279" s="32"/>
      <c r="P279" s="32"/>
    </row>
    <row r="280" spans="3:16" x14ac:dyDescent="0.3">
      <c r="C280" s="11"/>
      <c r="D280" s="32"/>
      <c r="E280" s="11"/>
      <c r="G280" s="15"/>
      <c r="H280" s="47"/>
      <c r="I280" s="76"/>
      <c r="J280" s="76"/>
      <c r="K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L280" s="77"/>
      <c r="M280" s="32"/>
      <c r="N280" s="32"/>
      <c r="O280" s="32"/>
      <c r="P280" s="32"/>
    </row>
    <row r="281" spans="3:16" x14ac:dyDescent="0.3">
      <c r="C281" s="11"/>
      <c r="D281" s="32"/>
      <c r="E281" s="11"/>
      <c r="G281" s="15"/>
      <c r="H281" s="47"/>
      <c r="I281" s="76"/>
      <c r="J281" s="76"/>
      <c r="K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L281" s="77"/>
      <c r="M281" s="32"/>
      <c r="N281" s="32"/>
      <c r="O281" s="32"/>
      <c r="P281" s="32"/>
    </row>
    <row r="282" spans="3:16" x14ac:dyDescent="0.3">
      <c r="C282" s="11"/>
      <c r="D282" s="32"/>
      <c r="E282" s="11"/>
      <c r="G282" s="15"/>
      <c r="H282" s="47"/>
      <c r="I282" s="76"/>
      <c r="J282" s="76"/>
      <c r="K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L282" s="77"/>
      <c r="M282" s="32"/>
      <c r="N282" s="32"/>
      <c r="O282" s="32"/>
      <c r="P282" s="32"/>
    </row>
    <row r="283" spans="3:16" x14ac:dyDescent="0.3">
      <c r="C283" s="11"/>
      <c r="D283" s="32"/>
      <c r="E283" s="11"/>
      <c r="G283" s="15"/>
      <c r="H283" s="47"/>
      <c r="I283" s="76"/>
      <c r="J283" s="76"/>
      <c r="K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L283" s="77"/>
      <c r="M283" s="32"/>
      <c r="N283" s="32"/>
      <c r="O283" s="32"/>
      <c r="P283" s="32"/>
    </row>
    <row r="284" spans="3:16" x14ac:dyDescent="0.3">
      <c r="C284" s="11"/>
      <c r="D284" s="32"/>
      <c r="E284" s="11"/>
      <c r="G284" s="15"/>
      <c r="H284" s="47"/>
      <c r="I284" s="76"/>
      <c r="J284" s="76"/>
      <c r="K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L284" s="77"/>
      <c r="M284" s="32"/>
      <c r="N284" s="32"/>
      <c r="O284" s="32"/>
      <c r="P284" s="32"/>
    </row>
    <row r="285" spans="3:16" x14ac:dyDescent="0.3">
      <c r="C285" s="11"/>
      <c r="D285" s="32"/>
      <c r="E285" s="11"/>
      <c r="G285" s="15"/>
      <c r="H285" s="47"/>
      <c r="I285" s="76"/>
      <c r="J285" s="76"/>
      <c r="K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L285" s="77"/>
      <c r="M285" s="32"/>
      <c r="N285" s="32"/>
      <c r="O285" s="32"/>
      <c r="P285" s="32"/>
    </row>
    <row r="286" spans="3:16" x14ac:dyDescent="0.3">
      <c r="C286" s="11"/>
      <c r="D286" s="32"/>
      <c r="E286" s="11"/>
      <c r="G286" s="15"/>
      <c r="H286" s="47"/>
      <c r="I286" s="76"/>
      <c r="J286" s="76"/>
      <c r="K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L286" s="77"/>
      <c r="M286" s="32"/>
      <c r="N286" s="32"/>
      <c r="O286" s="32"/>
      <c r="P286" s="32"/>
    </row>
    <row r="287" spans="3:16" x14ac:dyDescent="0.3">
      <c r="C287" s="11"/>
      <c r="D287" s="32"/>
      <c r="E287" s="11"/>
      <c r="G287" s="15"/>
      <c r="H287" s="47"/>
      <c r="I287" s="76"/>
      <c r="J287" s="76"/>
      <c r="K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L287" s="77"/>
      <c r="M287" s="32"/>
      <c r="N287" s="32"/>
      <c r="O287" s="32"/>
      <c r="P287" s="32"/>
    </row>
    <row r="288" spans="3:16" x14ac:dyDescent="0.3">
      <c r="C288" s="11"/>
      <c r="D288" s="32"/>
      <c r="E288" s="11"/>
      <c r="G288" s="15"/>
      <c r="H288" s="47"/>
      <c r="I288" s="76"/>
      <c r="J288" s="76"/>
      <c r="K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L288" s="77"/>
      <c r="M288" s="32"/>
      <c r="N288" s="32"/>
      <c r="O288" s="32"/>
      <c r="P288" s="32"/>
    </row>
    <row r="289" spans="3:16" x14ac:dyDescent="0.3">
      <c r="C289" s="11"/>
      <c r="D289" s="32"/>
      <c r="E289" s="11"/>
      <c r="G289" s="15"/>
      <c r="H289" s="47"/>
      <c r="I289" s="76"/>
      <c r="J289" s="76"/>
      <c r="K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L289" s="77"/>
      <c r="M289" s="32"/>
      <c r="N289" s="32"/>
      <c r="O289" s="32"/>
      <c r="P289" s="32"/>
    </row>
    <row r="290" spans="3:16" x14ac:dyDescent="0.3">
      <c r="C290" s="11"/>
      <c r="D290" s="32"/>
      <c r="E290" s="11"/>
      <c r="G290" s="15"/>
      <c r="H290" s="47"/>
      <c r="I290" s="76"/>
      <c r="J290" s="76"/>
      <c r="K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L290" s="77"/>
      <c r="M290" s="32"/>
      <c r="N290" s="32"/>
      <c r="O290" s="32"/>
      <c r="P290" s="32"/>
    </row>
    <row r="291" spans="3:16" x14ac:dyDescent="0.3">
      <c r="C291" s="11"/>
      <c r="D291" s="32"/>
      <c r="E291" s="11"/>
      <c r="G291" s="15"/>
      <c r="H291" s="47"/>
      <c r="I291" s="76"/>
      <c r="J291" s="76"/>
      <c r="K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L291" s="77"/>
      <c r="M291" s="32"/>
      <c r="N291" s="32"/>
      <c r="O291" s="32"/>
      <c r="P291" s="32"/>
    </row>
    <row r="292" spans="3:16" x14ac:dyDescent="0.3">
      <c r="C292" s="11"/>
      <c r="D292" s="32"/>
      <c r="E292" s="11"/>
      <c r="G292" s="15"/>
      <c r="H292" s="47"/>
      <c r="I292" s="76"/>
      <c r="J292" s="76"/>
      <c r="K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L292" s="77"/>
      <c r="M292" s="32"/>
      <c r="N292" s="32"/>
      <c r="O292" s="32"/>
      <c r="P292" s="32"/>
    </row>
    <row r="293" spans="3:16" x14ac:dyDescent="0.3">
      <c r="C293" s="11"/>
      <c r="D293" s="32"/>
      <c r="E293" s="11"/>
      <c r="G293" s="15"/>
      <c r="H293" s="47"/>
      <c r="I293" s="76"/>
      <c r="J293" s="76"/>
      <c r="K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L293" s="77"/>
      <c r="M293" s="32"/>
      <c r="N293" s="32"/>
      <c r="O293" s="32"/>
      <c r="P293" s="32"/>
    </row>
    <row r="294" spans="3:16" x14ac:dyDescent="0.3">
      <c r="C294" s="11"/>
      <c r="D294" s="32"/>
      <c r="E294" s="11"/>
      <c r="G294" s="15"/>
      <c r="H294" s="47"/>
      <c r="I294" s="76"/>
      <c r="J294" s="76"/>
      <c r="K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L294" s="77"/>
      <c r="M294" s="32"/>
      <c r="N294" s="32"/>
      <c r="O294" s="32"/>
      <c r="P294" s="32"/>
    </row>
    <row r="295" spans="3:16" x14ac:dyDescent="0.3">
      <c r="C295" s="11"/>
      <c r="D295" s="32"/>
      <c r="E295" s="11"/>
      <c r="G295" s="15"/>
      <c r="H295" s="47"/>
      <c r="I295" s="76"/>
      <c r="J295" s="76"/>
      <c r="K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L295" s="77"/>
      <c r="M295" s="32"/>
      <c r="N295" s="32"/>
      <c r="O295" s="32"/>
      <c r="P295" s="32"/>
    </row>
    <row r="296" spans="3:16" x14ac:dyDescent="0.3">
      <c r="C296" s="11"/>
      <c r="D296" s="32"/>
      <c r="E296" s="11"/>
      <c r="G296" s="15"/>
      <c r="H296" s="47"/>
      <c r="I296" s="76"/>
      <c r="J296" s="76"/>
      <c r="K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L296" s="77"/>
      <c r="M296" s="32"/>
      <c r="N296" s="32"/>
      <c r="O296" s="32"/>
      <c r="P296" s="32"/>
    </row>
    <row r="297" spans="3:16" x14ac:dyDescent="0.3">
      <c r="C297" s="11"/>
      <c r="D297" s="32"/>
      <c r="E297" s="11"/>
      <c r="G297" s="15"/>
      <c r="H297" s="47"/>
      <c r="I297" s="76"/>
      <c r="J297" s="76"/>
      <c r="K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L297" s="77"/>
      <c r="M297" s="32"/>
      <c r="N297" s="32"/>
      <c r="O297" s="32"/>
      <c r="P297" s="32"/>
    </row>
    <row r="298" spans="3:16" x14ac:dyDescent="0.3">
      <c r="C298" s="11"/>
      <c r="D298" s="32"/>
      <c r="E298" s="11"/>
      <c r="G298" s="15"/>
      <c r="H298" s="47"/>
      <c r="I298" s="76"/>
      <c r="J298" s="76"/>
      <c r="K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L298" s="77"/>
      <c r="M298" s="32"/>
      <c r="N298" s="32"/>
      <c r="O298" s="32"/>
      <c r="P298" s="32"/>
    </row>
    <row r="299" spans="3:16" x14ac:dyDescent="0.3">
      <c r="C299" s="11"/>
      <c r="D299" s="32"/>
      <c r="E299" s="11"/>
      <c r="G299" s="15"/>
      <c r="H299" s="47"/>
      <c r="I299" s="76"/>
      <c r="J299" s="76"/>
      <c r="K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L299" s="77"/>
      <c r="M299" s="32"/>
      <c r="N299" s="32"/>
      <c r="O299" s="32"/>
      <c r="P299" s="32"/>
    </row>
    <row r="300" spans="3:16" x14ac:dyDescent="0.3">
      <c r="C300" s="11"/>
      <c r="D300" s="32"/>
      <c r="E300" s="11"/>
      <c r="G300" s="15"/>
      <c r="H300" s="47"/>
      <c r="I300" s="76"/>
      <c r="J300" s="76"/>
      <c r="K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L300" s="77"/>
      <c r="M300" s="32"/>
      <c r="N300" s="32"/>
      <c r="O300" s="32"/>
      <c r="P300" s="32"/>
    </row>
    <row r="301" spans="3:16" x14ac:dyDescent="0.3">
      <c r="C301" s="11"/>
      <c r="D301" s="32"/>
      <c r="E301" s="11"/>
      <c r="G301" s="15"/>
      <c r="H301" s="47"/>
      <c r="I301" s="76"/>
      <c r="J301" s="76"/>
      <c r="K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L301" s="77"/>
      <c r="M301" s="32"/>
      <c r="N301" s="32"/>
      <c r="O301" s="32"/>
      <c r="P301" s="32"/>
    </row>
    <row r="302" spans="3:16" x14ac:dyDescent="0.3">
      <c r="C302" s="11"/>
      <c r="D302" s="32"/>
      <c r="E302" s="11"/>
      <c r="G302" s="15"/>
      <c r="H302" s="47"/>
      <c r="I302" s="76"/>
      <c r="J302" s="76"/>
      <c r="K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L302" s="77"/>
      <c r="M302" s="32"/>
      <c r="N302" s="32"/>
      <c r="O302" s="32"/>
      <c r="P302" s="32"/>
    </row>
    <row r="303" spans="3:16" x14ac:dyDescent="0.3">
      <c r="C303" s="11"/>
      <c r="D303" s="32"/>
      <c r="E303" s="11"/>
      <c r="G303" s="15"/>
      <c r="H303" s="47"/>
      <c r="I303" s="76"/>
      <c r="J303" s="76"/>
      <c r="K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L303" s="77"/>
      <c r="M303" s="32"/>
      <c r="N303" s="32"/>
      <c r="O303" s="32"/>
      <c r="P303" s="32"/>
    </row>
    <row r="304" spans="3:16" x14ac:dyDescent="0.3">
      <c r="C304" s="11"/>
      <c r="D304" s="32"/>
      <c r="E304" s="11"/>
      <c r="G304" s="15"/>
      <c r="H304" s="47"/>
      <c r="I304" s="76"/>
      <c r="J304" s="76"/>
      <c r="K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L304" s="77"/>
      <c r="M304" s="32"/>
      <c r="N304" s="32"/>
      <c r="O304" s="32"/>
      <c r="P304" s="32"/>
    </row>
    <row r="305" spans="3:16" x14ac:dyDescent="0.3">
      <c r="C305" s="11"/>
      <c r="D305" s="32"/>
      <c r="E305" s="11"/>
      <c r="G305" s="15"/>
      <c r="H305" s="47"/>
      <c r="I305" s="76"/>
      <c r="J305" s="76"/>
      <c r="K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L305" s="77"/>
      <c r="M305" s="32"/>
      <c r="N305" s="32"/>
      <c r="O305" s="32"/>
      <c r="P305" s="32"/>
    </row>
    <row r="306" spans="3:16" x14ac:dyDescent="0.3">
      <c r="C306" s="11"/>
      <c r="D306" s="32"/>
      <c r="E306" s="11"/>
      <c r="G306" s="15"/>
      <c r="H306" s="47"/>
      <c r="I306" s="76"/>
      <c r="J306" s="76"/>
      <c r="K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L306" s="77"/>
      <c r="M306" s="32"/>
      <c r="N306" s="32"/>
      <c r="O306" s="32"/>
      <c r="P306" s="32"/>
    </row>
    <row r="307" spans="3:16" x14ac:dyDescent="0.3">
      <c r="C307" s="11"/>
      <c r="D307" s="32"/>
      <c r="E307" s="11"/>
      <c r="G307" s="15"/>
      <c r="H307" s="47"/>
      <c r="I307" s="76"/>
      <c r="J307" s="76"/>
      <c r="K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L307" s="77"/>
      <c r="M307" s="32"/>
      <c r="N307" s="32"/>
      <c r="O307" s="32"/>
      <c r="P307" s="32"/>
    </row>
    <row r="308" spans="3:16" x14ac:dyDescent="0.3">
      <c r="C308" s="11"/>
      <c r="D308" s="32"/>
      <c r="E308" s="11"/>
      <c r="G308" s="15"/>
      <c r="H308" s="47"/>
      <c r="I308" s="76"/>
      <c r="J308" s="76"/>
      <c r="K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L308" s="77"/>
      <c r="M308" s="32"/>
      <c r="N308" s="32"/>
      <c r="O308" s="32"/>
      <c r="P308" s="32"/>
    </row>
    <row r="309" spans="3:16" x14ac:dyDescent="0.3">
      <c r="C309" s="11"/>
      <c r="D309" s="32"/>
      <c r="E309" s="11"/>
      <c r="G309" s="15"/>
      <c r="H309" s="47"/>
      <c r="I309" s="76"/>
      <c r="J309" s="76"/>
      <c r="K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L309" s="77"/>
      <c r="M309" s="32"/>
      <c r="N309" s="32"/>
      <c r="O309" s="32"/>
      <c r="P309" s="32"/>
    </row>
    <row r="310" spans="3:16" x14ac:dyDescent="0.3">
      <c r="C310" s="11"/>
      <c r="D310" s="32"/>
      <c r="E310" s="11"/>
      <c r="G310" s="15"/>
      <c r="H310" s="47"/>
      <c r="I310" s="76"/>
      <c r="J310" s="76"/>
      <c r="K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L310" s="77"/>
      <c r="M310" s="32"/>
      <c r="N310" s="32"/>
      <c r="O310" s="32"/>
      <c r="P310" s="32"/>
    </row>
    <row r="311" spans="3:16" x14ac:dyDescent="0.3">
      <c r="C311" s="11"/>
      <c r="D311" s="32"/>
      <c r="E311" s="11"/>
      <c r="G311" s="15"/>
      <c r="H311" s="47"/>
      <c r="I311" s="76"/>
      <c r="J311" s="76"/>
      <c r="K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L311" s="77"/>
      <c r="M311" s="32"/>
      <c r="N311" s="32"/>
      <c r="O311" s="32"/>
      <c r="P311" s="32"/>
    </row>
    <row r="312" spans="3:16" x14ac:dyDescent="0.3">
      <c r="C312" s="11"/>
      <c r="D312" s="32"/>
      <c r="E312" s="11"/>
      <c r="G312" s="15"/>
      <c r="H312" s="47"/>
      <c r="I312" s="76"/>
      <c r="J312" s="76"/>
      <c r="K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L312" s="77"/>
      <c r="M312" s="32"/>
      <c r="N312" s="32"/>
      <c r="O312" s="32"/>
      <c r="P312" s="32"/>
    </row>
    <row r="313" spans="3:16" x14ac:dyDescent="0.3">
      <c r="C313" s="11"/>
      <c r="D313" s="32"/>
      <c r="E313" s="11"/>
      <c r="G313" s="15"/>
      <c r="H313" s="47"/>
      <c r="I313" s="76"/>
      <c r="J313" s="76"/>
      <c r="K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L313" s="77"/>
      <c r="M313" s="32"/>
      <c r="N313" s="32"/>
      <c r="O313" s="32"/>
      <c r="P313" s="32"/>
    </row>
    <row r="314" spans="3:16" x14ac:dyDescent="0.3">
      <c r="C314" s="11"/>
      <c r="D314" s="32"/>
      <c r="E314" s="11"/>
      <c r="G314" s="15"/>
      <c r="H314" s="47"/>
      <c r="I314" s="76"/>
      <c r="J314" s="76"/>
      <c r="K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L314" s="77"/>
      <c r="M314" s="32"/>
      <c r="N314" s="32"/>
      <c r="O314" s="32"/>
      <c r="P314" s="32"/>
    </row>
    <row r="315" spans="3:16" x14ac:dyDescent="0.3">
      <c r="C315" s="11"/>
      <c r="D315" s="32"/>
      <c r="E315" s="11"/>
      <c r="G315" s="15"/>
      <c r="H315" s="47"/>
      <c r="I315" s="76"/>
      <c r="J315" s="76"/>
      <c r="K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L315" s="77"/>
      <c r="M315" s="32"/>
      <c r="N315" s="32"/>
      <c r="O315" s="32"/>
      <c r="P315" s="32"/>
    </row>
    <row r="316" spans="3:16" x14ac:dyDescent="0.3">
      <c r="C316" s="11"/>
      <c r="D316" s="32"/>
      <c r="E316" s="11"/>
      <c r="G316" s="15"/>
      <c r="H316" s="47"/>
      <c r="I316" s="76"/>
      <c r="J316" s="76"/>
      <c r="K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L316" s="77"/>
      <c r="M316" s="32"/>
      <c r="N316" s="32"/>
      <c r="O316" s="32"/>
      <c r="P316" s="32"/>
    </row>
    <row r="317" spans="3:16" x14ac:dyDescent="0.3">
      <c r="C317" s="11"/>
      <c r="D317" s="32"/>
      <c r="E317" s="11"/>
      <c r="G317" s="15"/>
      <c r="H317" s="47"/>
      <c r="I317" s="76"/>
      <c r="J317" s="76"/>
      <c r="K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L317" s="77"/>
      <c r="M317" s="32"/>
      <c r="N317" s="32"/>
      <c r="O317" s="32"/>
      <c r="P317" s="32"/>
    </row>
    <row r="318" spans="3:16" x14ac:dyDescent="0.3">
      <c r="C318" s="11"/>
      <c r="D318" s="32"/>
      <c r="E318" s="11"/>
      <c r="G318" s="15"/>
      <c r="H318" s="47"/>
      <c r="I318" s="76"/>
      <c r="J318" s="76"/>
      <c r="K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L318" s="77"/>
      <c r="M318" s="32"/>
      <c r="N318" s="32"/>
      <c r="O318" s="32"/>
      <c r="P318" s="32"/>
    </row>
    <row r="319" spans="3:16" x14ac:dyDescent="0.3">
      <c r="C319" s="11"/>
      <c r="D319" s="32"/>
      <c r="E319" s="11"/>
      <c r="G319" s="15"/>
      <c r="H319" s="47"/>
      <c r="I319" s="76"/>
      <c r="J319" s="76"/>
      <c r="K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L319" s="77"/>
      <c r="M319" s="32"/>
      <c r="N319" s="32"/>
      <c r="O319" s="32"/>
      <c r="P319" s="32"/>
    </row>
    <row r="320" spans="3:16" x14ac:dyDescent="0.3">
      <c r="C320" s="11"/>
      <c r="D320" s="32"/>
      <c r="E320" s="11"/>
      <c r="G320" s="15"/>
      <c r="H320" s="47"/>
      <c r="I320" s="76"/>
      <c r="J320" s="76"/>
      <c r="K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L320" s="77"/>
      <c r="M320" s="32"/>
      <c r="N320" s="32"/>
      <c r="O320" s="32"/>
      <c r="P320" s="32"/>
    </row>
    <row r="321" spans="3:16" x14ac:dyDescent="0.3">
      <c r="C321" s="11"/>
      <c r="D321" s="32"/>
      <c r="E321" s="11"/>
      <c r="G321" s="15"/>
      <c r="H321" s="47"/>
      <c r="I321" s="76"/>
      <c r="J321" s="76"/>
      <c r="K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L321" s="77"/>
      <c r="M321" s="32"/>
      <c r="N321" s="32"/>
      <c r="O321" s="32"/>
      <c r="P321" s="32"/>
    </row>
    <row r="322" spans="3:16" x14ac:dyDescent="0.3">
      <c r="C322" s="11"/>
      <c r="D322" s="32"/>
      <c r="E322" s="11"/>
      <c r="G322" s="15"/>
      <c r="H322" s="47"/>
      <c r="I322" s="76"/>
      <c r="J322" s="76"/>
      <c r="K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L322" s="77"/>
      <c r="M322" s="32"/>
      <c r="N322" s="32"/>
      <c r="O322" s="32"/>
      <c r="P322" s="32"/>
    </row>
    <row r="323" spans="3:16" x14ac:dyDescent="0.3">
      <c r="C323" s="11"/>
      <c r="D323" s="32"/>
      <c r="E323" s="11"/>
      <c r="G323" s="15"/>
      <c r="H323" s="47"/>
      <c r="I323" s="76"/>
      <c r="J323" s="76"/>
      <c r="K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L323" s="77"/>
      <c r="M323" s="32"/>
      <c r="N323" s="32"/>
      <c r="O323" s="32"/>
      <c r="P323" s="32"/>
    </row>
    <row r="324" spans="3:16" x14ac:dyDescent="0.3">
      <c r="C324" s="11"/>
      <c r="D324" s="32"/>
      <c r="E324" s="11"/>
      <c r="G324" s="15"/>
      <c r="H324" s="47"/>
      <c r="I324" s="76"/>
      <c r="J324" s="76"/>
      <c r="K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L324" s="77"/>
      <c r="M324" s="32"/>
      <c r="N324" s="32"/>
      <c r="O324" s="32"/>
      <c r="P324" s="32"/>
    </row>
    <row r="325" spans="3:16" x14ac:dyDescent="0.3">
      <c r="C325" s="11"/>
      <c r="D325" s="32"/>
      <c r="E325" s="11"/>
      <c r="G325" s="15"/>
      <c r="H325" s="47"/>
      <c r="I325" s="76"/>
      <c r="J325" s="76"/>
      <c r="K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L325" s="77"/>
      <c r="M325" s="32"/>
      <c r="N325" s="32"/>
      <c r="O325" s="32"/>
      <c r="P325" s="32"/>
    </row>
    <row r="326" spans="3:16" x14ac:dyDescent="0.3">
      <c r="C326" s="11"/>
      <c r="D326" s="32"/>
      <c r="E326" s="11"/>
      <c r="G326" s="15"/>
      <c r="H326" s="47"/>
      <c r="I326" s="76"/>
      <c r="J326" s="76"/>
      <c r="K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L326" s="77"/>
      <c r="M326" s="32"/>
      <c r="N326" s="32"/>
      <c r="O326" s="32"/>
      <c r="P326" s="32"/>
    </row>
    <row r="327" spans="3:16" x14ac:dyDescent="0.3">
      <c r="C327" s="11"/>
      <c r="D327" s="32"/>
      <c r="E327" s="11"/>
      <c r="G327" s="15"/>
      <c r="H327" s="47"/>
      <c r="I327" s="76"/>
      <c r="J327" s="76"/>
      <c r="K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L327" s="77"/>
      <c r="M327" s="32"/>
      <c r="N327" s="32"/>
      <c r="O327" s="32"/>
      <c r="P327" s="32"/>
    </row>
    <row r="328" spans="3:16" x14ac:dyDescent="0.3">
      <c r="C328" s="11"/>
      <c r="D328" s="32"/>
      <c r="E328" s="11"/>
      <c r="G328" s="15"/>
      <c r="H328" s="47"/>
      <c r="I328" s="76"/>
      <c r="J328" s="76"/>
      <c r="K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L328" s="77"/>
      <c r="M328" s="32"/>
      <c r="N328" s="32"/>
      <c r="O328" s="32"/>
      <c r="P328" s="32"/>
    </row>
    <row r="329" spans="3:16" x14ac:dyDescent="0.3">
      <c r="C329" s="11"/>
      <c r="D329" s="32"/>
      <c r="E329" s="11"/>
      <c r="G329" s="15"/>
      <c r="H329" s="47"/>
      <c r="I329" s="76"/>
      <c r="J329" s="76"/>
      <c r="K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L329" s="77"/>
      <c r="M329" s="32"/>
      <c r="N329" s="32"/>
      <c r="O329" s="32"/>
      <c r="P329" s="32"/>
    </row>
    <row r="330" spans="3:16" x14ac:dyDescent="0.3">
      <c r="C330" s="11"/>
      <c r="D330" s="32"/>
      <c r="E330" s="11"/>
      <c r="G330" s="15"/>
      <c r="H330" s="47"/>
      <c r="I330" s="76"/>
      <c r="J330" s="76"/>
      <c r="K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L330" s="77"/>
      <c r="M330" s="32"/>
      <c r="N330" s="32"/>
      <c r="O330" s="32"/>
      <c r="P330" s="32"/>
    </row>
    <row r="331" spans="3:16" x14ac:dyDescent="0.3">
      <c r="C331" s="11"/>
      <c r="D331" s="32"/>
      <c r="E331" s="11"/>
      <c r="G331" s="15"/>
      <c r="H331" s="47"/>
      <c r="I331" s="76"/>
      <c r="J331" s="76"/>
      <c r="K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L331" s="77"/>
      <c r="M331" s="32"/>
      <c r="N331" s="32"/>
      <c r="O331" s="32"/>
      <c r="P331" s="32"/>
    </row>
    <row r="332" spans="3:16" x14ac:dyDescent="0.3">
      <c r="C332" s="11"/>
      <c r="D332" s="32"/>
      <c r="E332" s="11"/>
      <c r="G332" s="15"/>
      <c r="H332" s="47"/>
      <c r="I332" s="76"/>
      <c r="J332" s="76"/>
      <c r="K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L332" s="77"/>
      <c r="M332" s="32"/>
      <c r="N332" s="32"/>
      <c r="O332" s="32"/>
      <c r="P332" s="32"/>
    </row>
    <row r="333" spans="3:16" x14ac:dyDescent="0.3">
      <c r="C333" s="11"/>
      <c r="D333" s="32"/>
      <c r="E333" s="11"/>
      <c r="G333" s="15"/>
      <c r="H333" s="47"/>
      <c r="I333" s="76"/>
      <c r="J333" s="76"/>
      <c r="K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L333" s="77"/>
      <c r="M333" s="32"/>
      <c r="N333" s="32"/>
      <c r="O333" s="32"/>
      <c r="P333" s="32"/>
    </row>
    <row r="334" spans="3:16" x14ac:dyDescent="0.3">
      <c r="C334" s="11"/>
      <c r="D334" s="32"/>
      <c r="E334" s="11"/>
      <c r="G334" s="15"/>
      <c r="H334" s="47"/>
      <c r="I334" s="76"/>
      <c r="J334" s="76"/>
      <c r="K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L334" s="77"/>
      <c r="M334" s="32"/>
      <c r="N334" s="32"/>
      <c r="O334" s="32"/>
      <c r="P334" s="32"/>
    </row>
    <row r="335" spans="3:16" x14ac:dyDescent="0.3">
      <c r="C335" s="11"/>
      <c r="D335" s="32"/>
      <c r="E335" s="11"/>
      <c r="G335" s="15"/>
      <c r="H335" s="47"/>
      <c r="I335" s="76"/>
      <c r="J335" s="76"/>
      <c r="K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L335" s="77"/>
      <c r="M335" s="32"/>
      <c r="N335" s="32"/>
      <c r="O335" s="32"/>
      <c r="P335" s="32"/>
    </row>
    <row r="336" spans="3:16" x14ac:dyDescent="0.3">
      <c r="C336" s="11"/>
      <c r="D336" s="32"/>
      <c r="E336" s="11"/>
      <c r="G336" s="15"/>
      <c r="H336" s="47"/>
      <c r="I336" s="76"/>
      <c r="J336" s="76"/>
      <c r="K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L336" s="77"/>
      <c r="M336" s="32"/>
      <c r="N336" s="32"/>
      <c r="O336" s="32"/>
      <c r="P336" s="32"/>
    </row>
    <row r="337" spans="3:16" x14ac:dyDescent="0.3">
      <c r="C337" s="11"/>
      <c r="D337" s="32"/>
      <c r="E337" s="11"/>
      <c r="G337" s="15"/>
      <c r="H337" s="47"/>
      <c r="I337" s="76"/>
      <c r="J337" s="76"/>
      <c r="K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L337" s="77"/>
      <c r="M337" s="32"/>
      <c r="N337" s="32"/>
      <c r="O337" s="32"/>
      <c r="P337" s="32"/>
    </row>
    <row r="338" spans="3:16" x14ac:dyDescent="0.3">
      <c r="C338" s="11"/>
      <c r="D338" s="32"/>
      <c r="E338" s="11"/>
      <c r="G338" s="15"/>
      <c r="H338" s="47"/>
      <c r="I338" s="76"/>
      <c r="J338" s="76"/>
      <c r="K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L338" s="77"/>
      <c r="M338" s="32"/>
      <c r="N338" s="32"/>
      <c r="O338" s="32"/>
      <c r="P338" s="32"/>
    </row>
    <row r="339" spans="3:16" x14ac:dyDescent="0.3">
      <c r="C339" s="11"/>
      <c r="D339" s="32"/>
      <c r="E339" s="11"/>
      <c r="G339" s="15"/>
      <c r="H339" s="47"/>
      <c r="I339" s="76"/>
      <c r="J339" s="76"/>
      <c r="K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L339" s="77"/>
      <c r="M339" s="32"/>
      <c r="N339" s="32"/>
      <c r="O339" s="32"/>
      <c r="P339" s="32"/>
    </row>
    <row r="340" spans="3:16" x14ac:dyDescent="0.3">
      <c r="C340" s="11"/>
      <c r="D340" s="32"/>
      <c r="E340" s="11"/>
      <c r="G340" s="15"/>
      <c r="H340" s="47"/>
      <c r="I340" s="76"/>
      <c r="J340" s="76"/>
      <c r="K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L340" s="77"/>
      <c r="M340" s="32"/>
      <c r="N340" s="32"/>
      <c r="O340" s="32"/>
      <c r="P340" s="32"/>
    </row>
    <row r="341" spans="3:16" x14ac:dyDescent="0.3">
      <c r="C341" s="11"/>
      <c r="D341" s="32"/>
      <c r="E341" s="11"/>
      <c r="G341" s="15"/>
      <c r="H341" s="47"/>
      <c r="I341" s="76"/>
      <c r="J341" s="76"/>
      <c r="K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L341" s="77"/>
      <c r="M341" s="32"/>
      <c r="N341" s="32"/>
      <c r="O341" s="32"/>
      <c r="P341" s="32"/>
    </row>
    <row r="342" spans="3:16" x14ac:dyDescent="0.3">
      <c r="C342" s="11"/>
      <c r="D342" s="32"/>
      <c r="E342" s="11"/>
      <c r="G342" s="15"/>
      <c r="H342" s="47"/>
      <c r="I342" s="76"/>
      <c r="J342" s="76"/>
      <c r="K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L342" s="77"/>
      <c r="M342" s="32"/>
      <c r="N342" s="32"/>
      <c r="O342" s="32"/>
      <c r="P342" s="32"/>
    </row>
    <row r="343" spans="3:16" x14ac:dyDescent="0.3">
      <c r="C343" s="11"/>
      <c r="D343" s="32"/>
      <c r="E343" s="11"/>
      <c r="G343" s="15"/>
      <c r="H343" s="47"/>
      <c r="I343" s="76"/>
      <c r="J343" s="76"/>
      <c r="K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L343" s="77"/>
      <c r="M343" s="32"/>
      <c r="N343" s="32"/>
      <c r="O343" s="32"/>
      <c r="P343" s="32"/>
    </row>
    <row r="344" spans="3:16" x14ac:dyDescent="0.3">
      <c r="C344" s="11"/>
      <c r="D344" s="32"/>
      <c r="E344" s="11"/>
      <c r="G344" s="15"/>
      <c r="H344" s="47"/>
      <c r="I344" s="76"/>
      <c r="J344" s="76"/>
      <c r="K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L344" s="77"/>
      <c r="M344" s="32"/>
      <c r="N344" s="32"/>
      <c r="O344" s="32"/>
      <c r="P344" s="32"/>
    </row>
    <row r="345" spans="3:16" x14ac:dyDescent="0.3">
      <c r="C345" s="11"/>
      <c r="D345" s="32"/>
      <c r="E345" s="11"/>
      <c r="G345" s="15"/>
      <c r="H345" s="47"/>
      <c r="I345" s="76"/>
      <c r="J345" s="76"/>
      <c r="K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L345" s="77"/>
      <c r="M345" s="32"/>
      <c r="N345" s="32"/>
      <c r="O345" s="32"/>
      <c r="P345" s="32"/>
    </row>
    <row r="346" spans="3:16" x14ac:dyDescent="0.3">
      <c r="C346" s="11"/>
      <c r="D346" s="32"/>
      <c r="E346" s="11"/>
      <c r="G346" s="15"/>
      <c r="H346" s="47"/>
      <c r="I346" s="76"/>
      <c r="J346" s="76"/>
      <c r="K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L346" s="77"/>
      <c r="M346" s="32"/>
      <c r="N346" s="32"/>
      <c r="O346" s="32"/>
      <c r="P346" s="32"/>
    </row>
    <row r="347" spans="3:16" x14ac:dyDescent="0.3">
      <c r="C347" s="11"/>
      <c r="D347" s="32"/>
      <c r="E347" s="11"/>
      <c r="G347" s="15"/>
      <c r="H347" s="47"/>
      <c r="I347" s="76"/>
      <c r="J347" s="76"/>
      <c r="K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L347" s="77"/>
      <c r="M347" s="32"/>
      <c r="N347" s="32"/>
      <c r="O347" s="32"/>
      <c r="P347" s="32"/>
    </row>
    <row r="348" spans="3:16" x14ac:dyDescent="0.3">
      <c r="C348" s="11"/>
      <c r="D348" s="32"/>
      <c r="E348" s="11"/>
      <c r="G348" s="15"/>
      <c r="H348" s="47"/>
      <c r="I348" s="76"/>
      <c r="J348" s="76"/>
      <c r="K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L348" s="77"/>
      <c r="M348" s="32"/>
      <c r="N348" s="32"/>
      <c r="O348" s="32"/>
      <c r="P348" s="32"/>
    </row>
    <row r="349" spans="3:16" x14ac:dyDescent="0.3">
      <c r="C349" s="11"/>
      <c r="D349" s="32"/>
      <c r="E349" s="11"/>
      <c r="G349" s="15"/>
      <c r="H349" s="47"/>
      <c r="I349" s="76"/>
      <c r="J349" s="76"/>
      <c r="K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L349" s="77"/>
      <c r="M349" s="32"/>
      <c r="N349" s="32"/>
      <c r="O349" s="32"/>
      <c r="P349" s="32"/>
    </row>
    <row r="350" spans="3:16" x14ac:dyDescent="0.3">
      <c r="C350" s="11"/>
      <c r="D350" s="32"/>
      <c r="E350" s="11"/>
      <c r="G350" s="15"/>
      <c r="H350" s="47"/>
      <c r="I350" s="76"/>
      <c r="J350" s="76"/>
      <c r="K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L350" s="77"/>
      <c r="M350" s="32"/>
      <c r="N350" s="32"/>
      <c r="O350" s="32"/>
      <c r="P350" s="32"/>
    </row>
    <row r="351" spans="3:16" x14ac:dyDescent="0.3">
      <c r="C351" s="11"/>
      <c r="D351" s="32"/>
      <c r="E351" s="11"/>
      <c r="G351" s="15"/>
      <c r="H351" s="47"/>
      <c r="I351" s="76"/>
      <c r="J351" s="76"/>
      <c r="K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L351" s="77"/>
      <c r="M351" s="32"/>
      <c r="N351" s="32"/>
      <c r="O351" s="32"/>
      <c r="P351" s="32"/>
    </row>
    <row r="352" spans="3:16" x14ac:dyDescent="0.3">
      <c r="C352" s="11"/>
      <c r="D352" s="32"/>
      <c r="E352" s="11"/>
      <c r="G352" s="15"/>
      <c r="H352" s="47"/>
      <c r="I352" s="76"/>
      <c r="J352" s="76"/>
      <c r="K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L352" s="77"/>
      <c r="M352" s="32"/>
      <c r="N352" s="32"/>
      <c r="O352" s="32"/>
      <c r="P352" s="32"/>
    </row>
    <row r="353" spans="3:16" x14ac:dyDescent="0.3">
      <c r="C353" s="11"/>
      <c r="D353" s="32"/>
      <c r="E353" s="11"/>
      <c r="G353" s="15"/>
      <c r="H353" s="47"/>
      <c r="I353" s="76"/>
      <c r="J353" s="76"/>
      <c r="K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L353" s="77"/>
      <c r="M353" s="32"/>
      <c r="N353" s="32"/>
      <c r="O353" s="32"/>
      <c r="P353" s="32"/>
    </row>
    <row r="354" spans="3:16" x14ac:dyDescent="0.3">
      <c r="C354" s="11"/>
      <c r="D354" s="32"/>
      <c r="E354" s="11"/>
      <c r="G354" s="15"/>
      <c r="H354" s="47"/>
      <c r="I354" s="76"/>
      <c r="J354" s="76"/>
      <c r="K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L354" s="77"/>
      <c r="M354" s="32"/>
      <c r="N354" s="32"/>
      <c r="O354" s="32"/>
      <c r="P354" s="32"/>
    </row>
    <row r="355" spans="3:16" x14ac:dyDescent="0.3">
      <c r="C355" s="11"/>
      <c r="D355" s="32"/>
      <c r="E355" s="11"/>
      <c r="G355" s="15"/>
      <c r="H355" s="47"/>
      <c r="I355" s="76"/>
      <c r="J355" s="76"/>
      <c r="K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L355" s="77"/>
      <c r="M355" s="32"/>
      <c r="N355" s="32"/>
      <c r="O355" s="32"/>
      <c r="P355" s="32"/>
    </row>
    <row r="356" spans="3:16" x14ac:dyDescent="0.3">
      <c r="C356" s="11"/>
      <c r="D356" s="32"/>
      <c r="E356" s="11"/>
      <c r="G356" s="15"/>
      <c r="H356" s="47"/>
      <c r="I356" s="76"/>
      <c r="J356" s="76"/>
      <c r="K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L356" s="77"/>
      <c r="M356" s="32"/>
      <c r="N356" s="32"/>
      <c r="O356" s="32"/>
      <c r="P356" s="32"/>
    </row>
    <row r="357" spans="3:16" x14ac:dyDescent="0.3">
      <c r="C357" s="11"/>
      <c r="D357" s="32"/>
      <c r="E357" s="11"/>
      <c r="G357" s="15"/>
      <c r="H357" s="47"/>
      <c r="I357" s="76"/>
      <c r="J357" s="76"/>
      <c r="K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L357" s="77"/>
      <c r="M357" s="32"/>
      <c r="N357" s="32"/>
      <c r="O357" s="32"/>
      <c r="P357" s="32"/>
    </row>
    <row r="358" spans="3:16" x14ac:dyDescent="0.3">
      <c r="C358" s="11"/>
      <c r="D358" s="32"/>
      <c r="E358" s="11"/>
      <c r="G358" s="15"/>
      <c r="H358" s="47"/>
      <c r="I358" s="76"/>
      <c r="J358" s="76"/>
      <c r="K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L358" s="77"/>
      <c r="M358" s="32"/>
      <c r="N358" s="32"/>
      <c r="O358" s="32"/>
      <c r="P358" s="32"/>
    </row>
    <row r="359" spans="3:16" x14ac:dyDescent="0.3">
      <c r="C359" s="11"/>
      <c r="D359" s="32"/>
      <c r="E359" s="11"/>
      <c r="G359" s="15"/>
      <c r="H359" s="47"/>
      <c r="I359" s="76"/>
      <c r="J359" s="76"/>
      <c r="K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L359" s="77"/>
      <c r="M359" s="32"/>
      <c r="N359" s="32"/>
      <c r="O359" s="32"/>
      <c r="P359" s="32"/>
    </row>
    <row r="360" spans="3:16" x14ac:dyDescent="0.3">
      <c r="C360" s="11"/>
      <c r="D360" s="32"/>
      <c r="E360" s="11"/>
      <c r="G360" s="15"/>
      <c r="H360" s="47"/>
      <c r="I360" s="76"/>
      <c r="J360" s="76"/>
      <c r="K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L360" s="77"/>
      <c r="M360" s="32"/>
      <c r="N360" s="32"/>
      <c r="O360" s="32"/>
      <c r="P360" s="32"/>
    </row>
    <row r="361" spans="3:16" x14ac:dyDescent="0.3">
      <c r="C361" s="11"/>
      <c r="D361" s="32"/>
      <c r="E361" s="11"/>
      <c r="G361" s="15"/>
      <c r="H361" s="47"/>
      <c r="I361" s="76"/>
      <c r="J361" s="76"/>
      <c r="K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L361" s="77"/>
      <c r="M361" s="32"/>
      <c r="N361" s="32"/>
      <c r="O361" s="32"/>
      <c r="P361" s="32"/>
    </row>
    <row r="362" spans="3:16" x14ac:dyDescent="0.3">
      <c r="C362" s="11"/>
      <c r="D362" s="32"/>
      <c r="E362" s="11"/>
      <c r="G362" s="15"/>
      <c r="H362" s="47"/>
      <c r="I362" s="76"/>
      <c r="J362" s="76"/>
      <c r="K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L362" s="77"/>
      <c r="M362" s="32"/>
      <c r="N362" s="32"/>
      <c r="O362" s="32"/>
      <c r="P362" s="32"/>
    </row>
    <row r="363" spans="3:16" x14ac:dyDescent="0.3">
      <c r="C363" s="11"/>
      <c r="D363" s="32"/>
      <c r="E363" s="11"/>
      <c r="G363" s="15"/>
      <c r="H363" s="47"/>
      <c r="I363" s="76"/>
      <c r="J363" s="76"/>
      <c r="K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L363" s="77"/>
      <c r="M363" s="32"/>
      <c r="N363" s="32"/>
      <c r="O363" s="32"/>
      <c r="P363" s="32"/>
    </row>
    <row r="364" spans="3:16" x14ac:dyDescent="0.3">
      <c r="C364" s="11"/>
      <c r="D364" s="32"/>
      <c r="E364" s="11"/>
      <c r="G364" s="15"/>
      <c r="H364" s="47"/>
      <c r="I364" s="76"/>
      <c r="J364" s="76"/>
      <c r="K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L364" s="77"/>
      <c r="M364" s="32"/>
      <c r="N364" s="32"/>
      <c r="O364" s="32"/>
      <c r="P364" s="32"/>
    </row>
    <row r="365" spans="3:16" x14ac:dyDescent="0.3">
      <c r="C365" s="11"/>
      <c r="D365" s="32"/>
      <c r="E365" s="11"/>
      <c r="G365" s="15"/>
      <c r="H365" s="47"/>
      <c r="I365" s="76"/>
      <c r="J365" s="76"/>
      <c r="K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L365" s="77"/>
      <c r="M365" s="32"/>
      <c r="N365" s="32"/>
      <c r="O365" s="32"/>
      <c r="P365" s="32"/>
    </row>
    <row r="366" spans="3:16" x14ac:dyDescent="0.3">
      <c r="C366" s="11"/>
      <c r="D366" s="32"/>
      <c r="E366" s="11"/>
      <c r="G366" s="15"/>
      <c r="H366" s="47"/>
      <c r="I366" s="76"/>
      <c r="J366" s="76"/>
      <c r="K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L366" s="77"/>
      <c r="M366" s="32"/>
      <c r="N366" s="32"/>
      <c r="O366" s="32"/>
      <c r="P366" s="32"/>
    </row>
    <row r="367" spans="3:16" x14ac:dyDescent="0.3">
      <c r="C367" s="11"/>
      <c r="D367" s="32"/>
      <c r="E367" s="11"/>
      <c r="G367" s="15"/>
      <c r="H367" s="47"/>
      <c r="I367" s="76"/>
      <c r="J367" s="76"/>
      <c r="K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L367" s="77"/>
      <c r="M367" s="32"/>
      <c r="N367" s="32"/>
      <c r="O367" s="32"/>
      <c r="P367" s="32"/>
    </row>
    <row r="368" spans="3:16" x14ac:dyDescent="0.3">
      <c r="C368" s="11"/>
      <c r="D368" s="32"/>
      <c r="E368" s="11"/>
      <c r="G368" s="15"/>
      <c r="H368" s="47"/>
      <c r="I368" s="76"/>
      <c r="J368" s="76"/>
      <c r="K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L368" s="77"/>
      <c r="M368" s="32"/>
      <c r="N368" s="32"/>
      <c r="O368" s="32"/>
      <c r="P368" s="32"/>
    </row>
    <row r="369" spans="3:16" x14ac:dyDescent="0.3">
      <c r="C369" s="11"/>
      <c r="D369" s="32"/>
      <c r="E369" s="11"/>
      <c r="G369" s="15"/>
      <c r="H369" s="47"/>
      <c r="I369" s="76"/>
      <c r="J369" s="76"/>
      <c r="K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L369" s="77"/>
      <c r="M369" s="32"/>
      <c r="N369" s="32"/>
      <c r="O369" s="32"/>
      <c r="P369" s="32"/>
    </row>
    <row r="370" spans="3:16" x14ac:dyDescent="0.3">
      <c r="C370" s="11"/>
      <c r="D370" s="32"/>
      <c r="E370" s="11"/>
      <c r="G370" s="15"/>
      <c r="H370" s="47"/>
      <c r="I370" s="76"/>
      <c r="J370" s="76"/>
      <c r="K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L370" s="77"/>
      <c r="M370" s="32"/>
      <c r="N370" s="32"/>
      <c r="O370" s="32"/>
      <c r="P370" s="32"/>
    </row>
    <row r="371" spans="3:16" x14ac:dyDescent="0.3">
      <c r="C371" s="11"/>
      <c r="D371" s="32"/>
      <c r="E371" s="11"/>
      <c r="G371" s="15"/>
      <c r="H371" s="47"/>
      <c r="I371" s="76"/>
      <c r="J371" s="76"/>
      <c r="K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L371" s="77"/>
      <c r="M371" s="32"/>
      <c r="N371" s="32"/>
      <c r="O371" s="32"/>
      <c r="P371" s="32"/>
    </row>
    <row r="372" spans="3:16" x14ac:dyDescent="0.3">
      <c r="C372" s="11"/>
      <c r="D372" s="32"/>
      <c r="E372" s="11"/>
      <c r="G372" s="15"/>
      <c r="H372" s="47"/>
      <c r="I372" s="76"/>
      <c r="J372" s="76"/>
      <c r="K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L372" s="77"/>
      <c r="M372" s="32"/>
      <c r="N372" s="32"/>
      <c r="O372" s="32"/>
      <c r="P372" s="32"/>
    </row>
    <row r="373" spans="3:16" x14ac:dyDescent="0.3">
      <c r="C373" s="11"/>
      <c r="D373" s="32"/>
      <c r="E373" s="11"/>
      <c r="G373" s="15"/>
      <c r="H373" s="47"/>
      <c r="I373" s="76"/>
      <c r="J373" s="76"/>
      <c r="K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L373" s="77"/>
      <c r="M373" s="32"/>
      <c r="N373" s="32"/>
      <c r="O373" s="32"/>
      <c r="P373" s="32"/>
    </row>
    <row r="374" spans="3:16" x14ac:dyDescent="0.3">
      <c r="C374" s="11"/>
      <c r="D374" s="32"/>
      <c r="E374" s="11"/>
      <c r="G374" s="15"/>
      <c r="H374" s="47"/>
      <c r="I374" s="76"/>
      <c r="J374" s="76"/>
      <c r="K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L374" s="77"/>
      <c r="M374" s="32"/>
      <c r="N374" s="32"/>
      <c r="O374" s="32"/>
      <c r="P374" s="32"/>
    </row>
    <row r="375" spans="3:16" x14ac:dyDescent="0.3">
      <c r="C375" s="11"/>
      <c r="D375" s="32"/>
      <c r="E375" s="11"/>
      <c r="G375" s="15"/>
      <c r="H375" s="47"/>
      <c r="I375" s="76"/>
      <c r="J375" s="76"/>
      <c r="K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L375" s="77"/>
      <c r="M375" s="32"/>
      <c r="N375" s="32"/>
      <c r="O375" s="32"/>
      <c r="P375" s="32"/>
    </row>
    <row r="376" spans="3:16" x14ac:dyDescent="0.3">
      <c r="C376" s="11"/>
      <c r="D376" s="32"/>
      <c r="E376" s="11"/>
      <c r="G376" s="15"/>
      <c r="H376" s="47"/>
      <c r="I376" s="76"/>
      <c r="J376" s="76"/>
      <c r="K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L376" s="77"/>
      <c r="M376" s="32"/>
      <c r="N376" s="32"/>
      <c r="O376" s="32"/>
      <c r="P376" s="32"/>
    </row>
    <row r="377" spans="3:16" x14ac:dyDescent="0.3">
      <c r="C377" s="11"/>
      <c r="D377" s="32"/>
      <c r="E377" s="11"/>
      <c r="G377" s="15"/>
      <c r="H377" s="47"/>
      <c r="I377" s="76"/>
      <c r="J377" s="76"/>
      <c r="K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L377" s="77"/>
      <c r="M377" s="32"/>
      <c r="N377" s="32"/>
      <c r="O377" s="32"/>
      <c r="P377" s="32"/>
    </row>
    <row r="378" spans="3:16" x14ac:dyDescent="0.3">
      <c r="C378" s="11"/>
      <c r="D378" s="32"/>
      <c r="E378" s="11"/>
      <c r="G378" s="15"/>
      <c r="H378" s="47"/>
      <c r="I378" s="76"/>
      <c r="J378" s="76"/>
      <c r="K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L378" s="77"/>
      <c r="M378" s="32"/>
      <c r="N378" s="32"/>
      <c r="O378" s="32"/>
      <c r="P378" s="32"/>
    </row>
    <row r="379" spans="3:16" x14ac:dyDescent="0.3">
      <c r="C379" s="11"/>
      <c r="D379" s="32"/>
      <c r="E379" s="11"/>
      <c r="G379" s="15"/>
      <c r="H379" s="47"/>
      <c r="I379" s="76"/>
      <c r="J379" s="76"/>
      <c r="K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L379" s="77"/>
      <c r="M379" s="32"/>
      <c r="N379" s="32"/>
      <c r="O379" s="32"/>
      <c r="P379" s="32"/>
    </row>
    <row r="380" spans="3:16" x14ac:dyDescent="0.3">
      <c r="C380" s="11"/>
      <c r="D380" s="32"/>
      <c r="E380" s="11"/>
      <c r="G380" s="15"/>
      <c r="H380" s="47"/>
      <c r="I380" s="76"/>
      <c r="J380" s="76"/>
      <c r="K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L380" s="77"/>
      <c r="M380" s="32"/>
      <c r="N380" s="32"/>
      <c r="O380" s="32"/>
      <c r="P380" s="32"/>
    </row>
    <row r="381" spans="3:16" x14ac:dyDescent="0.3">
      <c r="C381" s="11"/>
      <c r="D381" s="32"/>
      <c r="E381" s="11"/>
      <c r="G381" s="15"/>
      <c r="H381" s="47"/>
      <c r="I381" s="76"/>
      <c r="J381" s="76"/>
      <c r="K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L381" s="77"/>
      <c r="M381" s="32"/>
      <c r="N381" s="32"/>
      <c r="O381" s="32"/>
      <c r="P381" s="32"/>
    </row>
    <row r="382" spans="3:16" x14ac:dyDescent="0.3">
      <c r="C382" s="11"/>
      <c r="D382" s="32"/>
      <c r="E382" s="11"/>
      <c r="G382" s="15"/>
      <c r="H382" s="47"/>
      <c r="I382" s="76"/>
      <c r="J382" s="76"/>
      <c r="K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L382" s="77"/>
      <c r="M382" s="32"/>
      <c r="N382" s="32"/>
      <c r="O382" s="32"/>
      <c r="P382" s="32"/>
    </row>
    <row r="383" spans="3:16" x14ac:dyDescent="0.3">
      <c r="C383" s="11"/>
      <c r="D383" s="32"/>
      <c r="E383" s="11"/>
      <c r="G383" s="15"/>
      <c r="H383" s="47"/>
      <c r="I383" s="76"/>
      <c r="J383" s="76"/>
      <c r="K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L383" s="77"/>
      <c r="M383" s="32"/>
      <c r="N383" s="32"/>
      <c r="O383" s="32"/>
      <c r="P383" s="32"/>
    </row>
    <row r="384" spans="3:16" x14ac:dyDescent="0.3">
      <c r="C384" s="11"/>
      <c r="D384" s="32"/>
      <c r="E384" s="11"/>
      <c r="G384" s="15"/>
      <c r="H384" s="47"/>
      <c r="I384" s="76"/>
      <c r="J384" s="76"/>
      <c r="K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L384" s="77"/>
      <c r="M384" s="32"/>
      <c r="N384" s="32"/>
      <c r="O384" s="32"/>
      <c r="P384" s="32"/>
    </row>
    <row r="385" spans="3:16" x14ac:dyDescent="0.3">
      <c r="C385" s="11"/>
      <c r="D385" s="32"/>
      <c r="E385" s="11"/>
      <c r="G385" s="15"/>
      <c r="H385" s="47"/>
      <c r="I385" s="76"/>
      <c r="J385" s="76"/>
      <c r="K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L385" s="77"/>
      <c r="M385" s="32"/>
      <c r="N385" s="32"/>
      <c r="O385" s="32"/>
      <c r="P385" s="32"/>
    </row>
    <row r="386" spans="3:16" x14ac:dyDescent="0.3">
      <c r="C386" s="11"/>
      <c r="D386" s="32"/>
      <c r="E386" s="11"/>
      <c r="G386" s="15"/>
      <c r="H386" s="47"/>
      <c r="I386" s="76"/>
      <c r="J386" s="76"/>
      <c r="K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L386" s="77"/>
      <c r="M386" s="32"/>
      <c r="N386" s="32"/>
      <c r="O386" s="32"/>
      <c r="P386" s="32"/>
    </row>
    <row r="387" spans="3:16" x14ac:dyDescent="0.3">
      <c r="C387" s="11"/>
      <c r="D387" s="32"/>
      <c r="E387" s="11"/>
      <c r="G387" s="15"/>
      <c r="H387" s="47"/>
      <c r="I387" s="76"/>
      <c r="J387" s="76"/>
      <c r="K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L387" s="77"/>
      <c r="M387" s="32"/>
      <c r="N387" s="32"/>
      <c r="O387" s="32"/>
      <c r="P387" s="32"/>
    </row>
    <row r="388" spans="3:16" x14ac:dyDescent="0.3">
      <c r="C388" s="11"/>
      <c r="D388" s="32"/>
      <c r="E388" s="11"/>
      <c r="G388" s="15"/>
      <c r="H388" s="47"/>
      <c r="I388" s="76"/>
      <c r="J388" s="76"/>
      <c r="K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L388" s="77"/>
      <c r="M388" s="32"/>
      <c r="N388" s="32"/>
      <c r="O388" s="32"/>
      <c r="P388" s="32"/>
    </row>
    <row r="389" spans="3:16" x14ac:dyDescent="0.3">
      <c r="C389" s="11"/>
      <c r="D389" s="32"/>
      <c r="E389" s="11"/>
      <c r="G389" s="15"/>
      <c r="H389" s="47"/>
      <c r="I389" s="76"/>
      <c r="J389" s="76"/>
      <c r="K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L389" s="77"/>
      <c r="M389" s="32"/>
      <c r="N389" s="32"/>
      <c r="O389" s="32"/>
      <c r="P389" s="32"/>
    </row>
    <row r="390" spans="3:16" x14ac:dyDescent="0.3">
      <c r="C390" s="11"/>
      <c r="D390" s="32"/>
      <c r="E390" s="11"/>
      <c r="G390" s="15"/>
      <c r="H390" s="47"/>
      <c r="I390" s="76"/>
      <c r="J390" s="76"/>
      <c r="K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L390" s="77"/>
      <c r="M390" s="32"/>
      <c r="N390" s="32"/>
      <c r="O390" s="32"/>
      <c r="P390" s="32"/>
    </row>
    <row r="391" spans="3:16" x14ac:dyDescent="0.3">
      <c r="C391" s="11"/>
      <c r="D391" s="32"/>
      <c r="E391" s="11"/>
      <c r="G391" s="15"/>
      <c r="H391" s="47"/>
      <c r="I391" s="76"/>
      <c r="J391" s="76"/>
      <c r="K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L391" s="77"/>
      <c r="M391" s="32"/>
      <c r="N391" s="32"/>
      <c r="O391" s="32"/>
      <c r="P391" s="32"/>
    </row>
    <row r="392" spans="3:16" x14ac:dyDescent="0.3">
      <c r="C392" s="11"/>
      <c r="D392" s="32"/>
      <c r="E392" s="11"/>
      <c r="G392" s="15"/>
      <c r="H392" s="47"/>
      <c r="I392" s="76"/>
      <c r="J392" s="76"/>
      <c r="K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L392" s="77"/>
      <c r="M392" s="32"/>
      <c r="N392" s="32"/>
      <c r="O392" s="32"/>
      <c r="P392" s="32"/>
    </row>
    <row r="393" spans="3:16" x14ac:dyDescent="0.3">
      <c r="C393" s="11"/>
      <c r="D393" s="32"/>
      <c r="E393" s="11"/>
      <c r="G393" s="15"/>
      <c r="H393" s="47"/>
      <c r="I393" s="76"/>
      <c r="J393" s="76"/>
      <c r="K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L393" s="77"/>
      <c r="M393" s="32"/>
      <c r="N393" s="32"/>
      <c r="O393" s="32"/>
      <c r="P393" s="32"/>
    </row>
    <row r="394" spans="3:16" x14ac:dyDescent="0.3">
      <c r="C394" s="11"/>
      <c r="D394" s="32"/>
      <c r="E394" s="11"/>
      <c r="G394" s="15"/>
      <c r="H394" s="47"/>
      <c r="I394" s="76"/>
      <c r="J394" s="76"/>
      <c r="K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L394" s="77"/>
      <c r="M394" s="32"/>
      <c r="N394" s="32"/>
      <c r="O394" s="32"/>
      <c r="P394" s="32"/>
    </row>
    <row r="395" spans="3:16" x14ac:dyDescent="0.3">
      <c r="C395" s="11"/>
      <c r="D395" s="32"/>
      <c r="E395" s="11"/>
      <c r="G395" s="15"/>
      <c r="H395" s="47"/>
      <c r="I395" s="76"/>
      <c r="J395" s="76"/>
      <c r="K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L395" s="77"/>
      <c r="M395" s="32"/>
      <c r="N395" s="32"/>
      <c r="O395" s="32"/>
      <c r="P395" s="32"/>
    </row>
    <row r="396" spans="3:16" x14ac:dyDescent="0.3">
      <c r="C396" s="11"/>
      <c r="D396" s="32"/>
      <c r="E396" s="11"/>
      <c r="G396" s="15"/>
      <c r="H396" s="47"/>
      <c r="I396" s="76"/>
      <c r="J396" s="76"/>
      <c r="K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L396" s="77"/>
      <c r="M396" s="32"/>
      <c r="N396" s="32"/>
      <c r="O396" s="32"/>
      <c r="P396" s="32"/>
    </row>
    <row r="397" spans="3:16" x14ac:dyDescent="0.3">
      <c r="C397" s="11"/>
      <c r="D397" s="32"/>
      <c r="E397" s="11"/>
      <c r="G397" s="15"/>
      <c r="H397" s="47"/>
      <c r="I397" s="76"/>
      <c r="J397" s="76"/>
      <c r="K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L397" s="77"/>
      <c r="M397" s="32"/>
      <c r="N397" s="32"/>
      <c r="O397" s="32"/>
      <c r="P397" s="32"/>
    </row>
    <row r="398" spans="3:16" x14ac:dyDescent="0.3">
      <c r="C398" s="11"/>
      <c r="D398" s="32"/>
      <c r="E398" s="11"/>
      <c r="G398" s="15"/>
      <c r="H398" s="47"/>
      <c r="I398" s="76"/>
      <c r="J398" s="76"/>
      <c r="K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L398" s="77"/>
      <c r="M398" s="32"/>
      <c r="N398" s="32"/>
      <c r="O398" s="32"/>
      <c r="P398" s="32"/>
    </row>
    <row r="399" spans="3:16" x14ac:dyDescent="0.3">
      <c r="C399" s="11"/>
      <c r="D399" s="32"/>
      <c r="E399" s="11"/>
      <c r="G399" s="15"/>
      <c r="H399" s="47"/>
      <c r="I399" s="76"/>
      <c r="J399" s="76"/>
      <c r="K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L399" s="77"/>
      <c r="M399" s="32"/>
      <c r="N399" s="32"/>
      <c r="O399" s="32"/>
      <c r="P399" s="32"/>
    </row>
    <row r="400" spans="3:16" x14ac:dyDescent="0.3">
      <c r="C400" s="11"/>
      <c r="D400" s="32"/>
      <c r="E400" s="11"/>
      <c r="G400" s="15"/>
      <c r="H400" s="47"/>
      <c r="I400" s="76"/>
      <c r="J400" s="76"/>
      <c r="K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L400" s="77"/>
      <c r="M400" s="32"/>
      <c r="N400" s="32"/>
      <c r="O400" s="32"/>
      <c r="P400" s="32"/>
    </row>
    <row r="401" spans="3:16" x14ac:dyDescent="0.3">
      <c r="C401" s="11"/>
      <c r="D401" s="32"/>
      <c r="E401" s="11"/>
      <c r="G401" s="15"/>
      <c r="H401" s="47"/>
      <c r="I401" s="76"/>
      <c r="J401" s="76"/>
      <c r="K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L401" s="77"/>
      <c r="M401" s="32"/>
      <c r="N401" s="32"/>
      <c r="O401" s="32"/>
      <c r="P401" s="32"/>
    </row>
    <row r="402" spans="3:16" x14ac:dyDescent="0.3">
      <c r="C402" s="11"/>
      <c r="D402" s="32"/>
      <c r="E402" s="11"/>
      <c r="G402" s="15"/>
      <c r="H402" s="47"/>
      <c r="I402" s="76"/>
      <c r="J402" s="76"/>
      <c r="K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L402" s="77"/>
      <c r="M402" s="32"/>
      <c r="N402" s="32"/>
      <c r="O402" s="32"/>
      <c r="P402" s="32"/>
    </row>
    <row r="403" spans="3:16" x14ac:dyDescent="0.3">
      <c r="C403" s="11"/>
      <c r="D403" s="32"/>
      <c r="E403" s="11"/>
      <c r="G403" s="15"/>
      <c r="H403" s="47"/>
      <c r="I403" s="76"/>
      <c r="J403" s="76"/>
      <c r="K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L403" s="77"/>
      <c r="M403" s="32"/>
      <c r="N403" s="32"/>
      <c r="O403" s="32"/>
      <c r="P403" s="32"/>
    </row>
    <row r="404" spans="3:16" x14ac:dyDescent="0.3">
      <c r="C404" s="11"/>
      <c r="D404" s="32"/>
      <c r="E404" s="11"/>
      <c r="G404" s="15"/>
      <c r="H404" s="47"/>
      <c r="I404" s="76"/>
      <c r="J404" s="76"/>
      <c r="K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L404" s="77"/>
      <c r="M404" s="32"/>
      <c r="N404" s="32"/>
      <c r="O404" s="32"/>
      <c r="P404" s="32"/>
    </row>
    <row r="405" spans="3:16" x14ac:dyDescent="0.3">
      <c r="C405" s="11"/>
      <c r="D405" s="32"/>
      <c r="E405" s="11"/>
      <c r="G405" s="15"/>
      <c r="H405" s="47"/>
      <c r="I405" s="76"/>
      <c r="J405" s="76"/>
      <c r="K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L405" s="77"/>
      <c r="M405" s="32"/>
      <c r="N405" s="32"/>
      <c r="O405" s="32"/>
      <c r="P405" s="32"/>
    </row>
    <row r="406" spans="3:16" x14ac:dyDescent="0.3">
      <c r="C406" s="11"/>
      <c r="D406" s="32"/>
      <c r="E406" s="11"/>
      <c r="G406" s="15"/>
      <c r="H406" s="47"/>
      <c r="I406" s="76"/>
      <c r="J406" s="76"/>
      <c r="K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L406" s="77"/>
      <c r="M406" s="32"/>
      <c r="N406" s="32"/>
      <c r="O406" s="32"/>
      <c r="P406" s="32"/>
    </row>
    <row r="407" spans="3:16" x14ac:dyDescent="0.3">
      <c r="C407" s="11"/>
      <c r="D407" s="32"/>
      <c r="E407" s="11"/>
      <c r="G407" s="15"/>
      <c r="H407" s="47"/>
      <c r="I407" s="76"/>
      <c r="J407" s="76"/>
      <c r="K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L407" s="77"/>
      <c r="M407" s="32"/>
      <c r="N407" s="32"/>
      <c r="O407" s="32"/>
      <c r="P407" s="32"/>
    </row>
    <row r="408" spans="3:16" x14ac:dyDescent="0.3">
      <c r="C408" s="11"/>
      <c r="D408" s="32"/>
      <c r="E408" s="11"/>
      <c r="G408" s="15"/>
      <c r="H408" s="47"/>
      <c r="I408" s="76"/>
      <c r="J408" s="76"/>
      <c r="K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L408" s="77"/>
      <c r="M408" s="32"/>
      <c r="N408" s="32"/>
      <c r="O408" s="32"/>
      <c r="P408" s="32"/>
    </row>
    <row r="409" spans="3:16" x14ac:dyDescent="0.3">
      <c r="C409" s="11"/>
      <c r="D409" s="32"/>
      <c r="E409" s="11"/>
      <c r="G409" s="15"/>
      <c r="H409" s="47"/>
      <c r="I409" s="76"/>
      <c r="J409" s="76"/>
      <c r="K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L409" s="77"/>
      <c r="M409" s="32"/>
      <c r="N409" s="32"/>
      <c r="O409" s="32"/>
      <c r="P409" s="32"/>
    </row>
    <row r="410" spans="3:16" x14ac:dyDescent="0.3">
      <c r="C410" s="11"/>
      <c r="D410" s="32"/>
      <c r="E410" s="11"/>
      <c r="G410" s="15"/>
      <c r="H410" s="47"/>
      <c r="I410" s="76"/>
      <c r="J410" s="76"/>
      <c r="K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L410" s="77"/>
      <c r="M410" s="32"/>
      <c r="N410" s="32"/>
      <c r="O410" s="32"/>
      <c r="P410" s="32"/>
    </row>
    <row r="411" spans="3:16" x14ac:dyDescent="0.3">
      <c r="C411" s="11"/>
      <c r="D411" s="32"/>
      <c r="E411" s="11"/>
      <c r="G411" s="15"/>
      <c r="H411" s="47"/>
      <c r="I411" s="76"/>
      <c r="J411" s="76"/>
      <c r="K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L411" s="77"/>
      <c r="M411" s="32"/>
      <c r="N411" s="32"/>
      <c r="O411" s="32"/>
      <c r="P411" s="32"/>
    </row>
    <row r="412" spans="3:16" x14ac:dyDescent="0.3">
      <c r="C412" s="11"/>
      <c r="D412" s="32"/>
      <c r="E412" s="11"/>
      <c r="G412" s="15"/>
      <c r="H412" s="47"/>
      <c r="I412" s="76"/>
      <c r="J412" s="76"/>
      <c r="K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L412" s="77"/>
      <c r="M412" s="32"/>
      <c r="N412" s="32"/>
      <c r="O412" s="32"/>
      <c r="P412" s="32"/>
    </row>
    <row r="413" spans="3:16" x14ac:dyDescent="0.3">
      <c r="C413" s="11"/>
      <c r="D413" s="32"/>
      <c r="E413" s="11"/>
      <c r="G413" s="15"/>
      <c r="H413" s="47"/>
      <c r="I413" s="76"/>
      <c r="J413" s="76"/>
      <c r="K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L413" s="77"/>
      <c r="M413" s="32"/>
      <c r="N413" s="32"/>
      <c r="O413" s="32"/>
      <c r="P413" s="32"/>
    </row>
    <row r="414" spans="3:16" x14ac:dyDescent="0.3">
      <c r="C414" s="11"/>
      <c r="D414" s="32"/>
      <c r="E414" s="11"/>
      <c r="G414" s="15"/>
      <c r="H414" s="47"/>
      <c r="I414" s="76"/>
      <c r="J414" s="76"/>
      <c r="K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L414" s="77"/>
      <c r="M414" s="32"/>
      <c r="N414" s="32"/>
      <c r="O414" s="32"/>
      <c r="P414" s="32"/>
    </row>
    <row r="415" spans="3:16" x14ac:dyDescent="0.3">
      <c r="C415" s="11"/>
      <c r="D415" s="32"/>
      <c r="E415" s="11"/>
      <c r="G415" s="15"/>
      <c r="H415" s="47"/>
      <c r="I415" s="76"/>
      <c r="J415" s="76"/>
      <c r="K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L415" s="77"/>
      <c r="M415" s="32"/>
      <c r="N415" s="32"/>
      <c r="O415" s="32"/>
      <c r="P415" s="32"/>
    </row>
    <row r="416" spans="3:16" x14ac:dyDescent="0.3">
      <c r="C416" s="11"/>
      <c r="D416" s="32"/>
      <c r="E416" s="11"/>
      <c r="G416" s="15"/>
      <c r="H416" s="47"/>
      <c r="I416" s="76"/>
      <c r="J416" s="76"/>
      <c r="K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L416" s="77"/>
      <c r="M416" s="32"/>
      <c r="N416" s="32"/>
      <c r="O416" s="32"/>
      <c r="P416" s="32"/>
    </row>
    <row r="417" spans="3:16" x14ac:dyDescent="0.3">
      <c r="C417" s="11"/>
      <c r="D417" s="32"/>
      <c r="E417" s="11"/>
      <c r="G417" s="15"/>
      <c r="H417" s="47"/>
      <c r="I417" s="76"/>
      <c r="J417" s="76"/>
      <c r="K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L417" s="77"/>
      <c r="M417" s="32"/>
      <c r="N417" s="32"/>
      <c r="O417" s="32"/>
      <c r="P417" s="32"/>
    </row>
    <row r="418" spans="3:16" x14ac:dyDescent="0.3">
      <c r="C418" s="11"/>
      <c r="D418" s="32"/>
      <c r="E418" s="11"/>
      <c r="G418" s="15"/>
      <c r="H418" s="47"/>
      <c r="I418" s="76"/>
      <c r="J418" s="76"/>
      <c r="K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L418" s="77"/>
      <c r="M418" s="32"/>
      <c r="N418" s="32"/>
      <c r="O418" s="32"/>
      <c r="P418" s="32"/>
    </row>
    <row r="419" spans="3:16" x14ac:dyDescent="0.3">
      <c r="C419" s="11"/>
      <c r="D419" s="32"/>
      <c r="E419" s="11"/>
      <c r="G419" s="15"/>
      <c r="H419" s="47"/>
      <c r="I419" s="76"/>
      <c r="J419" s="76"/>
      <c r="K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L419" s="77"/>
      <c r="M419" s="32"/>
      <c r="N419" s="32"/>
      <c r="O419" s="32"/>
      <c r="P419" s="32"/>
    </row>
    <row r="420" spans="3:16" x14ac:dyDescent="0.3">
      <c r="C420" s="11"/>
      <c r="D420" s="32"/>
      <c r="E420" s="11"/>
      <c r="G420" s="15"/>
      <c r="H420" s="47"/>
      <c r="I420" s="76"/>
      <c r="J420" s="76"/>
      <c r="K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L420" s="77"/>
      <c r="M420" s="32"/>
      <c r="N420" s="32"/>
      <c r="O420" s="32"/>
      <c r="P420" s="32"/>
    </row>
    <row r="421" spans="3:16" x14ac:dyDescent="0.3">
      <c r="C421" s="11"/>
      <c r="D421" s="32"/>
      <c r="E421" s="11"/>
      <c r="G421" s="15"/>
      <c r="H421" s="47"/>
      <c r="I421" s="76"/>
      <c r="J421" s="76"/>
      <c r="K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L421" s="77"/>
      <c r="M421" s="32"/>
      <c r="N421" s="32"/>
      <c r="O421" s="32"/>
      <c r="P421" s="32"/>
    </row>
    <row r="422" spans="3:16" x14ac:dyDescent="0.3">
      <c r="C422" s="11"/>
      <c r="D422" s="32"/>
      <c r="E422" s="11"/>
      <c r="G422" s="15"/>
      <c r="H422" s="47"/>
      <c r="I422" s="76"/>
      <c r="J422" s="76"/>
      <c r="K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L422" s="77"/>
      <c r="M422" s="32"/>
      <c r="N422" s="32"/>
      <c r="O422" s="32"/>
      <c r="P422" s="32"/>
    </row>
    <row r="423" spans="3:16" x14ac:dyDescent="0.3">
      <c r="C423" s="11"/>
      <c r="D423" s="32"/>
      <c r="E423" s="11"/>
      <c r="G423" s="15"/>
      <c r="H423" s="47"/>
      <c r="I423" s="76"/>
      <c r="J423" s="76"/>
      <c r="K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L423" s="77"/>
      <c r="M423" s="32"/>
      <c r="N423" s="32"/>
      <c r="O423" s="32"/>
      <c r="P423" s="32"/>
    </row>
    <row r="424" spans="3:16" x14ac:dyDescent="0.3">
      <c r="C424" s="11"/>
      <c r="D424" s="32"/>
      <c r="E424" s="11"/>
      <c r="G424" s="15"/>
      <c r="H424" s="47"/>
      <c r="I424" s="76"/>
      <c r="J424" s="76"/>
      <c r="K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L424" s="77"/>
      <c r="M424" s="32"/>
      <c r="N424" s="32"/>
      <c r="O424" s="32"/>
      <c r="P424" s="32"/>
    </row>
    <row r="425" spans="3:16" x14ac:dyDescent="0.3">
      <c r="C425" s="11"/>
      <c r="D425" s="32"/>
      <c r="E425" s="11"/>
      <c r="G425" s="15"/>
      <c r="H425" s="47"/>
      <c r="I425" s="76"/>
      <c r="J425" s="76"/>
      <c r="K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L425" s="77"/>
      <c r="M425" s="32"/>
      <c r="N425" s="32"/>
      <c r="O425" s="32"/>
      <c r="P425" s="32"/>
    </row>
    <row r="426" spans="3:16" x14ac:dyDescent="0.3">
      <c r="C426" s="11"/>
      <c r="D426" s="32"/>
      <c r="E426" s="11"/>
      <c r="G426" s="15"/>
      <c r="H426" s="47"/>
      <c r="I426" s="76"/>
      <c r="J426" s="76"/>
      <c r="K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L426" s="77"/>
      <c r="M426" s="32"/>
      <c r="N426" s="32"/>
      <c r="O426" s="32"/>
      <c r="P426" s="32"/>
    </row>
    <row r="427" spans="3:16" x14ac:dyDescent="0.3">
      <c r="C427" s="11"/>
      <c r="D427" s="32"/>
      <c r="E427" s="11"/>
      <c r="G427" s="15"/>
      <c r="H427" s="47"/>
      <c r="I427" s="76"/>
      <c r="J427" s="76"/>
      <c r="K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L427" s="77"/>
      <c r="M427" s="32"/>
      <c r="N427" s="32"/>
      <c r="O427" s="32"/>
      <c r="P427" s="32"/>
    </row>
    <row r="428" spans="3:16" x14ac:dyDescent="0.3">
      <c r="C428" s="11"/>
      <c r="D428" s="32"/>
      <c r="E428" s="11"/>
      <c r="G428" s="15"/>
      <c r="H428" s="47"/>
      <c r="I428" s="76"/>
      <c r="J428" s="76"/>
      <c r="K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L428" s="77"/>
      <c r="M428" s="32"/>
      <c r="N428" s="32"/>
      <c r="O428" s="32"/>
      <c r="P428" s="32"/>
    </row>
    <row r="429" spans="3:16" x14ac:dyDescent="0.3">
      <c r="C429" s="11"/>
      <c r="D429" s="32"/>
      <c r="E429" s="11"/>
      <c r="G429" s="15"/>
      <c r="H429" s="47"/>
      <c r="I429" s="76"/>
      <c r="J429" s="76"/>
      <c r="K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L429" s="77"/>
      <c r="M429" s="32"/>
      <c r="N429" s="32"/>
      <c r="O429" s="32"/>
      <c r="P429" s="32"/>
    </row>
    <row r="430" spans="3:16" x14ac:dyDescent="0.3">
      <c r="C430" s="11"/>
      <c r="D430" s="32"/>
      <c r="E430" s="11"/>
      <c r="G430" s="15"/>
      <c r="H430" s="47"/>
      <c r="I430" s="76"/>
      <c r="J430" s="76"/>
      <c r="K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L430" s="77"/>
      <c r="M430" s="32"/>
      <c r="N430" s="32"/>
      <c r="O430" s="32"/>
      <c r="P430" s="32"/>
    </row>
    <row r="431" spans="3:16" x14ac:dyDescent="0.3">
      <c r="C431" s="11"/>
      <c r="D431" s="32"/>
      <c r="E431" s="11"/>
      <c r="G431" s="15"/>
      <c r="H431" s="47"/>
      <c r="I431" s="76"/>
      <c r="J431" s="76"/>
      <c r="K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L431" s="77"/>
      <c r="M431" s="32"/>
      <c r="N431" s="32"/>
      <c r="O431" s="32"/>
      <c r="P431" s="32"/>
    </row>
    <row r="432" spans="3:16" x14ac:dyDescent="0.3">
      <c r="C432" s="11"/>
      <c r="D432" s="32"/>
      <c r="E432" s="11"/>
      <c r="G432" s="15"/>
      <c r="H432" s="47"/>
      <c r="I432" s="76"/>
      <c r="J432" s="76"/>
      <c r="K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L432" s="77"/>
      <c r="M432" s="32"/>
      <c r="N432" s="32"/>
      <c r="O432" s="32"/>
      <c r="P432" s="32"/>
    </row>
    <row r="433" spans="3:16" x14ac:dyDescent="0.3">
      <c r="C433" s="11"/>
      <c r="D433" s="32"/>
      <c r="E433" s="11"/>
      <c r="G433" s="15"/>
      <c r="H433" s="47"/>
      <c r="I433" s="76"/>
      <c r="J433" s="76"/>
      <c r="K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L433" s="77"/>
      <c r="M433" s="32"/>
      <c r="N433" s="32"/>
      <c r="O433" s="32"/>
      <c r="P433" s="32"/>
    </row>
    <row r="434" spans="3:16" x14ac:dyDescent="0.3">
      <c r="C434" s="11"/>
      <c r="D434" s="32"/>
      <c r="E434" s="11"/>
      <c r="G434" s="15"/>
      <c r="H434" s="47"/>
      <c r="I434" s="76"/>
      <c r="J434" s="76"/>
      <c r="K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L434" s="77"/>
      <c r="M434" s="32"/>
      <c r="N434" s="32"/>
      <c r="O434" s="32"/>
      <c r="P434" s="32"/>
    </row>
    <row r="435" spans="3:16" x14ac:dyDescent="0.3">
      <c r="C435" s="11"/>
      <c r="D435" s="32"/>
      <c r="E435" s="11"/>
      <c r="G435" s="15"/>
      <c r="H435" s="47"/>
      <c r="I435" s="76"/>
      <c r="J435" s="76"/>
      <c r="K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L435" s="77"/>
      <c r="M435" s="32"/>
      <c r="N435" s="32"/>
      <c r="O435" s="32"/>
      <c r="P435" s="32"/>
    </row>
    <row r="436" spans="3:16" x14ac:dyDescent="0.3">
      <c r="C436" s="11"/>
      <c r="D436" s="32"/>
      <c r="E436" s="11"/>
      <c r="G436" s="15"/>
      <c r="H436" s="47"/>
      <c r="I436" s="76"/>
      <c r="J436" s="76"/>
      <c r="K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L436" s="77"/>
      <c r="M436" s="32"/>
      <c r="N436" s="32"/>
      <c r="O436" s="32"/>
      <c r="P436" s="32"/>
    </row>
    <row r="437" spans="3:16" x14ac:dyDescent="0.3">
      <c r="C437" s="11"/>
      <c r="D437" s="32"/>
      <c r="E437" s="11"/>
      <c r="G437" s="15"/>
      <c r="H437" s="47"/>
      <c r="I437" s="76"/>
      <c r="J437" s="76"/>
      <c r="K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L437" s="77"/>
      <c r="M437" s="32"/>
      <c r="N437" s="32"/>
      <c r="O437" s="32"/>
      <c r="P437" s="32"/>
    </row>
    <row r="438" spans="3:16" x14ac:dyDescent="0.3">
      <c r="C438" s="11"/>
      <c r="D438" s="32"/>
      <c r="E438" s="11"/>
      <c r="G438" s="15"/>
      <c r="H438" s="47"/>
      <c r="I438" s="76"/>
      <c r="J438" s="76"/>
      <c r="K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L438" s="77"/>
      <c r="M438" s="32"/>
      <c r="N438" s="32"/>
      <c r="O438" s="32"/>
      <c r="P438" s="32"/>
    </row>
    <row r="439" spans="3:16" x14ac:dyDescent="0.3">
      <c r="C439" s="11"/>
      <c r="D439" s="32"/>
      <c r="E439" s="11"/>
      <c r="G439" s="15"/>
      <c r="H439" s="47"/>
      <c r="I439" s="76"/>
      <c r="J439" s="76"/>
      <c r="K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L439" s="77"/>
      <c r="M439" s="32"/>
      <c r="N439" s="32"/>
      <c r="O439" s="32"/>
      <c r="P439" s="32"/>
    </row>
    <row r="440" spans="3:16" x14ac:dyDescent="0.3">
      <c r="C440" s="11"/>
      <c r="D440" s="32"/>
      <c r="E440" s="11"/>
      <c r="G440" s="15"/>
      <c r="H440" s="47"/>
      <c r="I440" s="76"/>
      <c r="J440" s="76"/>
      <c r="K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L440" s="77"/>
      <c r="M440" s="32"/>
      <c r="N440" s="32"/>
      <c r="O440" s="32"/>
      <c r="P440" s="32"/>
    </row>
    <row r="441" spans="3:16" x14ac:dyDescent="0.3">
      <c r="C441" s="11"/>
      <c r="D441" s="32"/>
      <c r="E441" s="11"/>
      <c r="G441" s="15"/>
      <c r="H441" s="47"/>
      <c r="I441" s="76"/>
      <c r="J441" s="76"/>
      <c r="K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L441" s="77"/>
      <c r="M441" s="32"/>
      <c r="N441" s="32"/>
      <c r="O441" s="32"/>
      <c r="P441" s="32"/>
    </row>
    <row r="442" spans="3:16" x14ac:dyDescent="0.3">
      <c r="C442" s="11"/>
      <c r="D442" s="32"/>
      <c r="E442" s="11"/>
      <c r="G442" s="15"/>
      <c r="H442" s="47"/>
      <c r="I442" s="76"/>
      <c r="J442" s="76"/>
      <c r="K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L442" s="77"/>
      <c r="M442" s="32"/>
      <c r="N442" s="32"/>
      <c r="O442" s="32"/>
      <c r="P442" s="32"/>
    </row>
    <row r="443" spans="3:16" x14ac:dyDescent="0.3">
      <c r="C443" s="11"/>
      <c r="D443" s="32"/>
      <c r="E443" s="11"/>
      <c r="G443" s="15"/>
      <c r="H443" s="47"/>
      <c r="I443" s="76"/>
      <c r="J443" s="76"/>
      <c r="K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L443" s="77"/>
      <c r="M443" s="32"/>
      <c r="N443" s="32"/>
      <c r="O443" s="32"/>
      <c r="P443" s="32"/>
    </row>
    <row r="444" spans="3:16" x14ac:dyDescent="0.3">
      <c r="C444" s="11"/>
      <c r="D444" s="32"/>
      <c r="E444" s="11"/>
      <c r="G444" s="15"/>
      <c r="H444" s="47"/>
      <c r="I444" s="76"/>
      <c r="J444" s="76"/>
      <c r="K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L444" s="77"/>
      <c r="M444" s="32"/>
      <c r="N444" s="32"/>
      <c r="O444" s="32"/>
      <c r="P444" s="32"/>
    </row>
    <row r="445" spans="3:16" x14ac:dyDescent="0.3">
      <c r="C445" s="11"/>
      <c r="D445" s="32"/>
      <c r="E445" s="11"/>
      <c r="G445" s="15"/>
      <c r="H445" s="47"/>
      <c r="I445" s="76"/>
      <c r="J445" s="76"/>
      <c r="K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L445" s="77"/>
      <c r="M445" s="32"/>
      <c r="N445" s="32"/>
      <c r="O445" s="32"/>
      <c r="P445" s="32"/>
    </row>
    <row r="446" spans="3:16" x14ac:dyDescent="0.3">
      <c r="C446" s="11"/>
      <c r="D446" s="32"/>
      <c r="E446" s="11"/>
      <c r="G446" s="15"/>
      <c r="H446" s="47"/>
      <c r="I446" s="76"/>
      <c r="J446" s="76"/>
      <c r="K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L446" s="77"/>
      <c r="M446" s="32"/>
      <c r="N446" s="32"/>
      <c r="O446" s="32"/>
      <c r="P446" s="32"/>
    </row>
    <row r="447" spans="3:16" x14ac:dyDescent="0.3">
      <c r="C447" s="11"/>
      <c r="D447" s="32"/>
      <c r="E447" s="11"/>
      <c r="G447" s="15"/>
      <c r="H447" s="47"/>
      <c r="I447" s="76"/>
      <c r="J447" s="76"/>
      <c r="K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L447" s="77"/>
      <c r="M447" s="32"/>
      <c r="N447" s="32"/>
      <c r="O447" s="32"/>
      <c r="P447" s="32"/>
    </row>
    <row r="448" spans="3:16" x14ac:dyDescent="0.3">
      <c r="C448" s="11"/>
      <c r="D448" s="32"/>
      <c r="E448" s="11"/>
      <c r="G448" s="15"/>
      <c r="H448" s="47"/>
      <c r="I448" s="76"/>
      <c r="J448" s="76"/>
      <c r="K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L448" s="77"/>
      <c r="M448" s="32"/>
      <c r="N448" s="32"/>
      <c r="O448" s="32"/>
      <c r="P448" s="32"/>
    </row>
    <row r="449" spans="3:16" x14ac:dyDescent="0.3">
      <c r="C449" s="11"/>
      <c r="D449" s="32"/>
      <c r="E449" s="11"/>
      <c r="G449" s="15"/>
      <c r="H449" s="47"/>
      <c r="I449" s="76"/>
      <c r="J449" s="76"/>
      <c r="K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L449" s="77"/>
      <c r="M449" s="32"/>
      <c r="N449" s="32"/>
      <c r="O449" s="32"/>
      <c r="P449" s="32"/>
    </row>
    <row r="450" spans="3:16" x14ac:dyDescent="0.3">
      <c r="C450" s="11"/>
      <c r="D450" s="32"/>
      <c r="E450" s="11"/>
      <c r="G450" s="15"/>
      <c r="H450" s="47"/>
      <c r="I450" s="76"/>
      <c r="J450" s="76"/>
      <c r="K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L450" s="77"/>
      <c r="M450" s="32"/>
      <c r="N450" s="32"/>
      <c r="O450" s="32"/>
      <c r="P450" s="32"/>
    </row>
    <row r="451" spans="3:16" x14ac:dyDescent="0.3">
      <c r="C451" s="11"/>
      <c r="D451" s="32"/>
      <c r="E451" s="11"/>
      <c r="G451" s="15"/>
      <c r="H451" s="47"/>
      <c r="I451" s="76"/>
      <c r="J451" s="76"/>
      <c r="K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L451" s="77"/>
      <c r="M451" s="32"/>
      <c r="N451" s="32"/>
      <c r="O451" s="32"/>
      <c r="P451" s="32"/>
    </row>
    <row r="452" spans="3:16" x14ac:dyDescent="0.3">
      <c r="C452" s="11"/>
      <c r="D452" s="32"/>
      <c r="E452" s="11"/>
      <c r="G452" s="15"/>
      <c r="H452" s="47"/>
      <c r="I452" s="76"/>
      <c r="J452" s="76"/>
      <c r="K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L452" s="77"/>
      <c r="M452" s="32"/>
      <c r="N452" s="32"/>
      <c r="O452" s="32"/>
      <c r="P452" s="32"/>
    </row>
    <row r="453" spans="3:16" x14ac:dyDescent="0.3">
      <c r="C453" s="11"/>
      <c r="D453" s="32"/>
      <c r="E453" s="11"/>
      <c r="G453" s="15"/>
      <c r="H453" s="47"/>
      <c r="I453" s="76"/>
      <c r="J453" s="76"/>
      <c r="K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L453" s="77"/>
      <c r="M453" s="32"/>
      <c r="N453" s="32"/>
      <c r="O453" s="32"/>
      <c r="P453" s="32"/>
    </row>
    <row r="454" spans="3:16" x14ac:dyDescent="0.3">
      <c r="C454" s="11"/>
      <c r="D454" s="32"/>
      <c r="E454" s="11"/>
      <c r="G454" s="15"/>
      <c r="H454" s="47"/>
      <c r="I454" s="76"/>
      <c r="J454" s="76"/>
      <c r="K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L454" s="77"/>
      <c r="M454" s="32"/>
      <c r="N454" s="32"/>
      <c r="O454" s="32"/>
      <c r="P454" s="32"/>
    </row>
    <row r="455" spans="3:16" x14ac:dyDescent="0.3">
      <c r="C455" s="11"/>
      <c r="D455" s="32"/>
      <c r="E455" s="11"/>
      <c r="G455" s="15"/>
      <c r="H455" s="47"/>
      <c r="I455" s="76"/>
      <c r="J455" s="76"/>
      <c r="K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L455" s="77"/>
      <c r="M455" s="32"/>
      <c r="N455" s="32"/>
      <c r="O455" s="32"/>
      <c r="P455" s="32"/>
    </row>
    <row r="456" spans="3:16" x14ac:dyDescent="0.3">
      <c r="C456" s="11"/>
      <c r="D456" s="32"/>
      <c r="E456" s="11"/>
      <c r="G456" s="15"/>
      <c r="H456" s="47"/>
      <c r="I456" s="76"/>
      <c r="J456" s="76"/>
      <c r="K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L456" s="77"/>
      <c r="M456" s="32"/>
      <c r="N456" s="32"/>
      <c r="O456" s="32"/>
      <c r="P456" s="32"/>
    </row>
    <row r="457" spans="3:16" x14ac:dyDescent="0.3">
      <c r="C457" s="11"/>
      <c r="D457" s="32"/>
      <c r="E457" s="11"/>
      <c r="G457" s="15"/>
      <c r="H457" s="47"/>
      <c r="I457" s="76"/>
      <c r="J457" s="76"/>
      <c r="K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L457" s="77"/>
      <c r="M457" s="32"/>
      <c r="N457" s="32"/>
      <c r="O457" s="32"/>
      <c r="P457" s="32"/>
    </row>
    <row r="458" spans="3:16" x14ac:dyDescent="0.3">
      <c r="C458" s="11"/>
      <c r="D458" s="32"/>
      <c r="E458" s="11"/>
      <c r="G458" s="15"/>
      <c r="H458" s="47"/>
      <c r="I458" s="76"/>
      <c r="J458" s="76"/>
      <c r="K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L458" s="77"/>
      <c r="M458" s="32"/>
      <c r="N458" s="32"/>
      <c r="O458" s="32"/>
      <c r="P458" s="32"/>
    </row>
    <row r="459" spans="3:16" x14ac:dyDescent="0.3">
      <c r="C459" s="11"/>
      <c r="D459" s="32"/>
      <c r="E459" s="11"/>
      <c r="G459" s="15"/>
      <c r="H459" s="47"/>
      <c r="I459" s="76"/>
      <c r="J459" s="76"/>
      <c r="K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L459" s="77"/>
      <c r="M459" s="32"/>
      <c r="N459" s="32"/>
      <c r="O459" s="32"/>
      <c r="P459" s="32"/>
    </row>
    <row r="460" spans="3:16" x14ac:dyDescent="0.3">
      <c r="C460" s="11"/>
      <c r="D460" s="32"/>
      <c r="E460" s="11"/>
      <c r="G460" s="15"/>
      <c r="H460" s="47"/>
      <c r="I460" s="76"/>
      <c r="J460" s="76"/>
      <c r="K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L460" s="77"/>
      <c r="M460" s="32"/>
      <c r="N460" s="32"/>
      <c r="O460" s="32"/>
      <c r="P460" s="32"/>
    </row>
    <row r="461" spans="3:16" x14ac:dyDescent="0.3">
      <c r="C461" s="11"/>
      <c r="D461" s="32"/>
      <c r="E461" s="11"/>
      <c r="G461" s="15"/>
      <c r="H461" s="47"/>
      <c r="I461" s="76"/>
      <c r="J461" s="76"/>
      <c r="K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L461" s="77"/>
      <c r="M461" s="32"/>
      <c r="N461" s="32"/>
      <c r="O461" s="32"/>
      <c r="P461" s="32"/>
    </row>
    <row r="462" spans="3:16" x14ac:dyDescent="0.3">
      <c r="C462" s="11"/>
      <c r="D462" s="32"/>
      <c r="E462" s="11"/>
      <c r="G462" s="15"/>
      <c r="H462" s="47"/>
      <c r="I462" s="76"/>
      <c r="J462" s="76"/>
      <c r="K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L462" s="77"/>
      <c r="M462" s="32"/>
      <c r="N462" s="32"/>
      <c r="O462" s="32"/>
      <c r="P462" s="32"/>
    </row>
    <row r="463" spans="3:16" x14ac:dyDescent="0.3">
      <c r="C463" s="11"/>
      <c r="D463" s="32"/>
      <c r="E463" s="11"/>
      <c r="G463" s="15"/>
      <c r="H463" s="47"/>
      <c r="I463" s="76"/>
      <c r="J463" s="76"/>
      <c r="K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L463" s="77"/>
      <c r="M463" s="32"/>
      <c r="N463" s="32"/>
      <c r="O463" s="32"/>
      <c r="P463" s="32"/>
    </row>
    <row r="464" spans="3:16" x14ac:dyDescent="0.3">
      <c r="C464" s="11"/>
      <c r="D464" s="32"/>
      <c r="E464" s="11"/>
      <c r="G464" s="15"/>
      <c r="H464" s="47"/>
      <c r="I464" s="76"/>
      <c r="J464" s="76"/>
      <c r="K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L464" s="77"/>
      <c r="M464" s="32"/>
      <c r="N464" s="32"/>
      <c r="O464" s="32"/>
      <c r="P464" s="32"/>
    </row>
    <row r="465" spans="3:16" x14ac:dyDescent="0.3">
      <c r="C465" s="11"/>
      <c r="D465" s="32"/>
      <c r="E465" s="11"/>
      <c r="G465" s="15"/>
      <c r="H465" s="47"/>
      <c r="I465" s="76"/>
      <c r="J465" s="76"/>
      <c r="K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L465" s="77"/>
      <c r="M465" s="32"/>
      <c r="N465" s="32"/>
      <c r="O465" s="32"/>
      <c r="P465" s="32"/>
    </row>
    <row r="466" spans="3:16" x14ac:dyDescent="0.3">
      <c r="C466" s="11"/>
      <c r="D466" s="32"/>
      <c r="E466" s="11"/>
      <c r="G466" s="15"/>
      <c r="H466" s="47"/>
      <c r="I466" s="76"/>
      <c r="J466" s="76"/>
      <c r="K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L466" s="77"/>
      <c r="M466" s="32"/>
      <c r="N466" s="32"/>
      <c r="O466" s="32"/>
      <c r="P466" s="32"/>
    </row>
    <row r="467" spans="3:16" x14ac:dyDescent="0.3">
      <c r="C467" s="11"/>
      <c r="D467" s="32"/>
      <c r="E467" s="11"/>
      <c r="G467" s="15"/>
      <c r="H467" s="47"/>
      <c r="I467" s="76"/>
      <c r="J467" s="76"/>
      <c r="K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L467" s="77"/>
      <c r="M467" s="32"/>
      <c r="N467" s="32"/>
      <c r="O467" s="32"/>
      <c r="P467" s="32"/>
    </row>
    <row r="468" spans="3:16" x14ac:dyDescent="0.3">
      <c r="C468" s="11"/>
      <c r="D468" s="32"/>
      <c r="E468" s="11"/>
      <c r="G468" s="15"/>
      <c r="H468" s="47"/>
      <c r="I468" s="76"/>
      <c r="J468" s="76"/>
      <c r="K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L468" s="77"/>
      <c r="M468" s="32"/>
      <c r="N468" s="32"/>
      <c r="O468" s="32"/>
      <c r="P468" s="32"/>
    </row>
    <row r="469" spans="3:16" x14ac:dyDescent="0.3">
      <c r="C469" s="11"/>
      <c r="D469" s="32"/>
      <c r="E469" s="11"/>
      <c r="G469" s="15"/>
      <c r="H469" s="47"/>
      <c r="I469" s="76"/>
      <c r="J469" s="76"/>
      <c r="K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L469" s="77"/>
      <c r="M469" s="32"/>
      <c r="N469" s="32"/>
      <c r="O469" s="32"/>
      <c r="P469" s="32"/>
    </row>
    <row r="470" spans="3:16" x14ac:dyDescent="0.3">
      <c r="C470" s="11"/>
      <c r="D470" s="32"/>
      <c r="E470" s="11"/>
      <c r="G470" s="15"/>
      <c r="H470" s="47"/>
      <c r="I470" s="76"/>
      <c r="J470" s="76"/>
      <c r="K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L470" s="77"/>
      <c r="M470" s="32"/>
      <c r="N470" s="32"/>
      <c r="O470" s="32"/>
      <c r="P470" s="32"/>
    </row>
    <row r="471" spans="3:16" x14ac:dyDescent="0.3">
      <c r="C471" s="11"/>
      <c r="D471" s="32"/>
      <c r="E471" s="11"/>
      <c r="G471" s="15"/>
      <c r="H471" s="47"/>
      <c r="I471" s="76"/>
      <c r="J471" s="76"/>
      <c r="K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L471" s="77"/>
      <c r="M471" s="32"/>
      <c r="N471" s="32"/>
      <c r="O471" s="32"/>
      <c r="P471" s="32"/>
    </row>
    <row r="472" spans="3:16" x14ac:dyDescent="0.3">
      <c r="C472" s="11"/>
      <c r="D472" s="32"/>
      <c r="E472" s="11"/>
      <c r="G472" s="15"/>
      <c r="H472" s="47"/>
      <c r="I472" s="76"/>
      <c r="J472" s="76"/>
      <c r="K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L472" s="77"/>
      <c r="M472" s="32"/>
      <c r="N472" s="32"/>
      <c r="O472" s="32"/>
      <c r="P472" s="32"/>
    </row>
    <row r="473" spans="3:16" x14ac:dyDescent="0.3">
      <c r="C473" s="11"/>
      <c r="D473" s="32"/>
      <c r="E473" s="11"/>
      <c r="G473" s="15"/>
      <c r="H473" s="47"/>
      <c r="I473" s="76"/>
      <c r="J473" s="76"/>
      <c r="K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L473" s="77"/>
      <c r="M473" s="32"/>
      <c r="N473" s="32"/>
      <c r="O473" s="32"/>
      <c r="P473" s="32"/>
    </row>
    <row r="474" spans="3:16" x14ac:dyDescent="0.3">
      <c r="C474" s="11"/>
      <c r="D474" s="32"/>
      <c r="E474" s="11"/>
      <c r="G474" s="15"/>
      <c r="H474" s="47"/>
      <c r="I474" s="76"/>
      <c r="J474" s="76"/>
      <c r="K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L474" s="77"/>
      <c r="M474" s="32"/>
      <c r="N474" s="32"/>
      <c r="O474" s="32"/>
      <c r="P474" s="32"/>
    </row>
    <row r="475" spans="3:16" x14ac:dyDescent="0.3">
      <c r="C475" s="11"/>
      <c r="D475" s="32"/>
      <c r="E475" s="11"/>
      <c r="G475" s="15"/>
      <c r="H475" s="47"/>
      <c r="I475" s="76"/>
      <c r="J475" s="76"/>
      <c r="K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L475" s="77"/>
      <c r="M475" s="32"/>
      <c r="N475" s="32"/>
      <c r="O475" s="32"/>
      <c r="P475" s="32"/>
    </row>
    <row r="476" spans="3:16" x14ac:dyDescent="0.3">
      <c r="C476" s="11"/>
      <c r="D476" s="32"/>
      <c r="E476" s="11"/>
      <c r="G476" s="15"/>
      <c r="H476" s="47"/>
      <c r="I476" s="76"/>
      <c r="J476" s="76"/>
      <c r="K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L476" s="77"/>
      <c r="M476" s="32"/>
      <c r="N476" s="32"/>
      <c r="O476" s="32"/>
      <c r="P476" s="32"/>
    </row>
    <row r="477" spans="3:16" x14ac:dyDescent="0.3">
      <c r="C477" s="11"/>
      <c r="D477" s="32"/>
      <c r="E477" s="11"/>
      <c r="G477" s="15"/>
      <c r="H477" s="47"/>
      <c r="I477" s="76"/>
      <c r="J477" s="76"/>
      <c r="K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L477" s="77"/>
      <c r="M477" s="32"/>
      <c r="N477" s="32"/>
      <c r="O477" s="32"/>
      <c r="P477" s="32"/>
    </row>
    <row r="478" spans="3:16" x14ac:dyDescent="0.3">
      <c r="C478" s="11"/>
      <c r="D478" s="32"/>
      <c r="E478" s="11"/>
      <c r="G478" s="15"/>
      <c r="H478" s="47"/>
      <c r="I478" s="76"/>
      <c r="J478" s="76"/>
      <c r="K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L478" s="77"/>
      <c r="M478" s="32"/>
      <c r="N478" s="32"/>
      <c r="O478" s="32"/>
      <c r="P478" s="32"/>
    </row>
    <row r="479" spans="3:16" x14ac:dyDescent="0.3">
      <c r="C479" s="11"/>
      <c r="D479" s="32"/>
      <c r="E479" s="11"/>
      <c r="G479" s="15"/>
      <c r="H479" s="47"/>
      <c r="I479" s="76"/>
      <c r="J479" s="76"/>
      <c r="K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L479" s="77"/>
      <c r="M479" s="32"/>
      <c r="N479" s="32"/>
      <c r="O479" s="32"/>
      <c r="P479" s="32"/>
    </row>
    <row r="480" spans="3:16" x14ac:dyDescent="0.3">
      <c r="C480" s="11"/>
      <c r="D480" s="32"/>
      <c r="E480" s="11"/>
      <c r="G480" s="15"/>
      <c r="H480" s="47"/>
      <c r="I480" s="76"/>
      <c r="J480" s="76"/>
      <c r="K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L480" s="77"/>
      <c r="M480" s="32"/>
      <c r="N480" s="32"/>
      <c r="O480" s="32"/>
      <c r="P480" s="32"/>
    </row>
    <row r="481" spans="3:16" x14ac:dyDescent="0.3">
      <c r="C481" s="11"/>
      <c r="D481" s="32"/>
      <c r="E481" s="11"/>
      <c r="G481" s="15"/>
      <c r="H481" s="47"/>
      <c r="I481" s="76"/>
      <c r="J481" s="76"/>
      <c r="K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L481" s="77"/>
      <c r="M481" s="32"/>
      <c r="N481" s="32"/>
      <c r="O481" s="32"/>
      <c r="P481" s="32"/>
    </row>
    <row r="482" spans="3:16" x14ac:dyDescent="0.3">
      <c r="C482" s="11"/>
      <c r="D482" s="32"/>
      <c r="E482" s="11"/>
      <c r="G482" s="15"/>
      <c r="H482" s="47"/>
      <c r="I482" s="76"/>
      <c r="J482" s="76"/>
      <c r="K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L482" s="77"/>
      <c r="M482" s="32"/>
      <c r="N482" s="32"/>
      <c r="O482" s="32"/>
      <c r="P482" s="32"/>
    </row>
    <row r="483" spans="3:16" x14ac:dyDescent="0.3">
      <c r="C483" s="11"/>
      <c r="D483" s="32"/>
      <c r="E483" s="11"/>
      <c r="G483" s="15"/>
      <c r="H483" s="47"/>
      <c r="I483" s="76"/>
      <c r="J483" s="76"/>
      <c r="K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L483" s="77"/>
      <c r="M483" s="32"/>
      <c r="N483" s="32"/>
      <c r="O483" s="32"/>
      <c r="P483" s="32"/>
    </row>
    <row r="484" spans="3:16" x14ac:dyDescent="0.3">
      <c r="C484" s="11"/>
      <c r="D484" s="32"/>
      <c r="E484" s="11"/>
      <c r="G484" s="15"/>
      <c r="H484" s="47"/>
      <c r="I484" s="76"/>
      <c r="J484" s="76"/>
      <c r="K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L484" s="77"/>
      <c r="M484" s="32"/>
      <c r="N484" s="32"/>
      <c r="O484" s="32"/>
      <c r="P484" s="32"/>
    </row>
    <row r="485" spans="3:16" x14ac:dyDescent="0.3">
      <c r="C485" s="11"/>
      <c r="D485" s="32"/>
      <c r="E485" s="11"/>
      <c r="G485" s="15"/>
      <c r="H485" s="47"/>
      <c r="I485" s="76"/>
      <c r="J485" s="76"/>
      <c r="K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L485" s="77"/>
      <c r="M485" s="32"/>
      <c r="N485" s="32"/>
      <c r="O485" s="32"/>
      <c r="P485" s="32"/>
    </row>
    <row r="486" spans="3:16" x14ac:dyDescent="0.3">
      <c r="C486" s="11"/>
      <c r="D486" s="32"/>
      <c r="E486" s="11"/>
      <c r="G486" s="15"/>
      <c r="H486" s="47"/>
      <c r="I486" s="76"/>
      <c r="J486" s="76"/>
      <c r="K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L486" s="77"/>
      <c r="M486" s="32"/>
      <c r="N486" s="32"/>
      <c r="O486" s="32"/>
      <c r="P486" s="32"/>
    </row>
    <row r="487" spans="3:16" x14ac:dyDescent="0.3">
      <c r="C487" s="11"/>
      <c r="D487" s="32"/>
      <c r="E487" s="11"/>
      <c r="G487" s="15"/>
      <c r="H487" s="47"/>
      <c r="I487" s="76"/>
      <c r="J487" s="76"/>
      <c r="K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L487" s="77"/>
      <c r="M487" s="32"/>
      <c r="N487" s="32"/>
      <c r="O487" s="32"/>
      <c r="P487" s="32"/>
    </row>
    <row r="488" spans="3:16" x14ac:dyDescent="0.3">
      <c r="C488" s="11"/>
      <c r="D488" s="32"/>
      <c r="E488" s="11"/>
      <c r="G488" s="15"/>
      <c r="H488" s="47"/>
      <c r="I488" s="76"/>
      <c r="J488" s="76"/>
      <c r="K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L488" s="77"/>
      <c r="M488" s="32"/>
      <c r="N488" s="32"/>
      <c r="O488" s="32"/>
      <c r="P488" s="32"/>
    </row>
    <row r="489" spans="3:16" x14ac:dyDescent="0.3">
      <c r="C489" s="11"/>
      <c r="D489" s="32"/>
      <c r="E489" s="11"/>
      <c r="G489" s="15"/>
      <c r="H489" s="47"/>
      <c r="I489" s="76"/>
      <c r="J489" s="76"/>
      <c r="K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L489" s="77"/>
      <c r="M489" s="32"/>
      <c r="N489" s="32"/>
      <c r="O489" s="32"/>
      <c r="P489" s="32"/>
    </row>
    <row r="490" spans="3:16" x14ac:dyDescent="0.3">
      <c r="C490" s="11"/>
      <c r="D490" s="32"/>
      <c r="E490" s="11"/>
      <c r="G490" s="15"/>
      <c r="H490" s="47"/>
      <c r="I490" s="76"/>
      <c r="J490" s="76"/>
      <c r="K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L490" s="77"/>
      <c r="M490" s="32"/>
      <c r="N490" s="32"/>
      <c r="O490" s="32"/>
      <c r="P490" s="32"/>
    </row>
    <row r="491" spans="3:16" x14ac:dyDescent="0.3">
      <c r="C491" s="11"/>
      <c r="D491" s="32"/>
      <c r="E491" s="11"/>
      <c r="G491" s="15"/>
      <c r="H491" s="47"/>
      <c r="I491" s="76"/>
      <c r="J491" s="76"/>
      <c r="K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L491" s="77"/>
      <c r="M491" s="32"/>
      <c r="N491" s="32"/>
      <c r="O491" s="32"/>
      <c r="P491" s="32"/>
    </row>
    <row r="492" spans="3:16" x14ac:dyDescent="0.3">
      <c r="C492" s="11"/>
      <c r="D492" s="32"/>
      <c r="E492" s="11"/>
      <c r="G492" s="15"/>
      <c r="H492" s="47"/>
      <c r="I492" s="76"/>
      <c r="J492" s="76"/>
      <c r="K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L492" s="77"/>
      <c r="M492" s="32"/>
      <c r="N492" s="32"/>
      <c r="O492" s="32"/>
      <c r="P492" s="32"/>
    </row>
    <row r="493" spans="3:16" x14ac:dyDescent="0.3">
      <c r="C493" s="11"/>
      <c r="D493" s="32"/>
      <c r="E493" s="11"/>
      <c r="G493" s="15"/>
      <c r="H493" s="47"/>
      <c r="I493" s="76"/>
      <c r="J493" s="76"/>
      <c r="K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L493" s="77"/>
      <c r="M493" s="32"/>
      <c r="N493" s="32"/>
      <c r="O493" s="32"/>
      <c r="P493" s="32"/>
    </row>
    <row r="494" spans="3:16" x14ac:dyDescent="0.3">
      <c r="C494" s="11"/>
      <c r="D494" s="32"/>
      <c r="E494" s="11"/>
      <c r="G494" s="15"/>
      <c r="H494" s="47"/>
      <c r="I494" s="76"/>
      <c r="J494" s="76"/>
      <c r="K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L494" s="77"/>
      <c r="M494" s="32"/>
      <c r="N494" s="32"/>
      <c r="O494" s="32"/>
      <c r="P494" s="32"/>
    </row>
    <row r="495" spans="3:16" x14ac:dyDescent="0.3">
      <c r="C495" s="11"/>
      <c r="D495" s="32"/>
      <c r="E495" s="11"/>
      <c r="G495" s="15"/>
      <c r="H495" s="47"/>
      <c r="I495" s="76"/>
      <c r="J495" s="76"/>
      <c r="K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L495" s="77"/>
      <c r="M495" s="32"/>
      <c r="N495" s="32"/>
      <c r="O495" s="32"/>
      <c r="P495" s="32"/>
    </row>
    <row r="496" spans="3:16" x14ac:dyDescent="0.3">
      <c r="C496" s="11"/>
      <c r="D496" s="32"/>
      <c r="E496" s="11"/>
      <c r="G496" s="15"/>
      <c r="H496" s="47"/>
      <c r="I496" s="76"/>
      <c r="J496" s="76"/>
      <c r="K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L496" s="77"/>
      <c r="M496" s="32"/>
      <c r="N496" s="32"/>
      <c r="O496" s="32"/>
      <c r="P496" s="32"/>
    </row>
    <row r="497" spans="3:16" x14ac:dyDescent="0.3">
      <c r="C497" s="11"/>
      <c r="D497" s="32"/>
      <c r="E497" s="11"/>
      <c r="G497" s="15"/>
      <c r="H497" s="47"/>
      <c r="I497" s="76"/>
      <c r="J497" s="76"/>
      <c r="K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L497" s="77"/>
      <c r="M497" s="32"/>
      <c r="N497" s="32"/>
      <c r="O497" s="32"/>
      <c r="P497" s="32"/>
    </row>
    <row r="498" spans="3:16" x14ac:dyDescent="0.3">
      <c r="C498" s="11"/>
      <c r="D498" s="32"/>
      <c r="E498" s="11"/>
      <c r="G498" s="15"/>
      <c r="H498" s="47"/>
      <c r="I498" s="76"/>
      <c r="J498" s="76"/>
      <c r="K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L498" s="77"/>
      <c r="M498" s="32"/>
      <c r="N498" s="32"/>
      <c r="O498" s="32"/>
      <c r="P498" s="32"/>
    </row>
    <row r="499" spans="3:16" x14ac:dyDescent="0.3">
      <c r="C499" s="11"/>
      <c r="D499" s="32"/>
      <c r="E499" s="11"/>
      <c r="G499" s="15"/>
      <c r="H499" s="47"/>
      <c r="I499" s="76"/>
      <c r="J499" s="76"/>
      <c r="K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L499" s="77"/>
      <c r="M499" s="32"/>
      <c r="N499" s="32"/>
      <c r="O499" s="32"/>
      <c r="P499" s="32"/>
    </row>
    <row r="500" spans="3:16" x14ac:dyDescent="0.3">
      <c r="C500" s="11"/>
      <c r="D500" s="32"/>
      <c r="E500" s="11"/>
      <c r="G500" s="15"/>
      <c r="H500" s="47"/>
      <c r="I500" s="76"/>
      <c r="J500" s="76"/>
      <c r="K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L500" s="77"/>
      <c r="M500" s="32"/>
      <c r="N500" s="32"/>
      <c r="O500" s="32"/>
      <c r="P500" s="32"/>
    </row>
    <row r="501" spans="3:16" x14ac:dyDescent="0.3">
      <c r="C501" s="11"/>
      <c r="D501" s="32"/>
      <c r="E501" s="11"/>
      <c r="G501" s="15"/>
      <c r="H501" s="47"/>
      <c r="I501" s="76"/>
      <c r="J501" s="76"/>
      <c r="K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L501" s="77"/>
      <c r="M501" s="32"/>
      <c r="N501" s="32"/>
      <c r="O501" s="32"/>
      <c r="P501" s="32"/>
    </row>
    <row r="502" spans="3:16" x14ac:dyDescent="0.3">
      <c r="C502" s="11"/>
      <c r="D502" s="32"/>
      <c r="E502" s="11"/>
      <c r="G502" s="15"/>
      <c r="H502" s="47"/>
      <c r="I502" s="76"/>
      <c r="J502" s="76"/>
      <c r="K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L502" s="77"/>
      <c r="M502" s="32"/>
      <c r="N502" s="32"/>
      <c r="O502" s="32"/>
      <c r="P502" s="32"/>
    </row>
    <row r="503" spans="3:16" x14ac:dyDescent="0.3">
      <c r="C503" s="11"/>
      <c r="D503" s="32"/>
      <c r="E503" s="11"/>
      <c r="G503" s="15"/>
      <c r="H503" s="47"/>
      <c r="I503" s="76"/>
      <c r="J503" s="76"/>
      <c r="K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L503" s="77"/>
      <c r="M503" s="32"/>
      <c r="N503" s="32"/>
      <c r="O503" s="32"/>
      <c r="P503" s="32"/>
    </row>
    <row r="504" spans="3:16" x14ac:dyDescent="0.3">
      <c r="C504" s="11"/>
      <c r="D504" s="32"/>
      <c r="E504" s="11"/>
      <c r="G504" s="15"/>
      <c r="H504" s="47"/>
      <c r="I504" s="76"/>
      <c r="J504" s="76"/>
      <c r="K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L504" s="77"/>
      <c r="M504" s="32"/>
      <c r="N504" s="32"/>
      <c r="O504" s="32"/>
      <c r="P504" s="32"/>
    </row>
    <row r="505" spans="3:16" x14ac:dyDescent="0.3">
      <c r="C505" s="11"/>
      <c r="D505" s="32"/>
      <c r="E505" s="11"/>
      <c r="G505" s="15"/>
      <c r="H505" s="47"/>
      <c r="I505" s="76"/>
      <c r="J505" s="76"/>
      <c r="K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L505" s="77"/>
      <c r="M505" s="32"/>
      <c r="N505" s="32"/>
      <c r="O505" s="32"/>
      <c r="P505" s="32"/>
    </row>
    <row r="506" spans="3:16" x14ac:dyDescent="0.3">
      <c r="C506" s="11"/>
      <c r="D506" s="32"/>
      <c r="E506" s="11"/>
      <c r="G506" s="15"/>
      <c r="H506" s="47"/>
      <c r="I506" s="76"/>
      <c r="J506" s="76"/>
      <c r="K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L506" s="77"/>
      <c r="M506" s="32"/>
      <c r="N506" s="32"/>
      <c r="O506" s="32"/>
      <c r="P506" s="32"/>
    </row>
    <row r="507" spans="3:16" x14ac:dyDescent="0.3">
      <c r="C507" s="11"/>
      <c r="D507" s="32"/>
      <c r="E507" s="11"/>
      <c r="G507" s="15"/>
      <c r="H507" s="47"/>
      <c r="I507" s="76"/>
      <c r="J507" s="76"/>
      <c r="K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L507" s="77"/>
      <c r="M507" s="32"/>
      <c r="N507" s="32"/>
      <c r="O507" s="32"/>
      <c r="P507" s="32"/>
    </row>
    <row r="508" spans="3:16" x14ac:dyDescent="0.3">
      <c r="C508" s="11"/>
      <c r="D508" s="32"/>
      <c r="E508" s="11"/>
      <c r="G508" s="15"/>
      <c r="H508" s="47"/>
      <c r="I508" s="76"/>
      <c r="J508" s="76"/>
      <c r="K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L508" s="77"/>
      <c r="M508" s="32"/>
      <c r="N508" s="32"/>
      <c r="O508" s="32"/>
      <c r="P508" s="32"/>
    </row>
    <row r="509" spans="3:16" x14ac:dyDescent="0.3">
      <c r="C509" s="11"/>
      <c r="D509" s="32"/>
      <c r="E509" s="11"/>
      <c r="G509" s="15"/>
      <c r="H509" s="47"/>
      <c r="I509" s="76"/>
      <c r="J509" s="76"/>
      <c r="K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L509" s="77"/>
      <c r="M509" s="32"/>
      <c r="N509" s="32"/>
      <c r="O509" s="32"/>
      <c r="P509" s="32"/>
    </row>
    <row r="510" spans="3:16" x14ac:dyDescent="0.3">
      <c r="C510" s="11"/>
      <c r="D510" s="32"/>
      <c r="E510" s="11"/>
      <c r="G510" s="15"/>
      <c r="H510" s="47"/>
      <c r="I510" s="76"/>
      <c r="J510" s="76"/>
      <c r="K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L510" s="77"/>
      <c r="M510" s="32"/>
      <c r="N510" s="32"/>
      <c r="O510" s="32"/>
      <c r="P510" s="32"/>
    </row>
    <row r="511" spans="3:16" x14ac:dyDescent="0.3">
      <c r="C511" s="11"/>
      <c r="D511" s="32"/>
      <c r="E511" s="11"/>
      <c r="G511" s="15"/>
      <c r="H511" s="47"/>
      <c r="I511" s="76"/>
      <c r="J511" s="76"/>
      <c r="K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L511" s="77"/>
      <c r="M511" s="32"/>
      <c r="N511" s="32"/>
      <c r="O511" s="32"/>
      <c r="P511" s="32"/>
    </row>
    <row r="512" spans="3:16" x14ac:dyDescent="0.3">
      <c r="C512" s="11"/>
      <c r="D512" s="32"/>
      <c r="E512" s="11"/>
      <c r="G512" s="15"/>
      <c r="H512" s="47"/>
      <c r="I512" s="76"/>
      <c r="J512" s="76"/>
      <c r="K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L512" s="77"/>
      <c r="M512" s="32"/>
      <c r="N512" s="32"/>
      <c r="O512" s="32"/>
      <c r="P512" s="32"/>
    </row>
    <row r="513" spans="3:16" x14ac:dyDescent="0.3">
      <c r="C513" s="11"/>
      <c r="D513" s="32"/>
      <c r="E513" s="11"/>
      <c r="G513" s="15"/>
      <c r="H513" s="47"/>
      <c r="I513" s="76"/>
      <c r="J513" s="76"/>
      <c r="K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L513" s="77"/>
      <c r="M513" s="32"/>
      <c r="N513" s="32"/>
      <c r="O513" s="32"/>
      <c r="P513" s="32"/>
    </row>
    <row r="514" spans="3:16" x14ac:dyDescent="0.3">
      <c r="C514" s="11"/>
      <c r="D514" s="32"/>
      <c r="E514" s="11"/>
      <c r="G514" s="15"/>
      <c r="H514" s="47"/>
      <c r="I514" s="76"/>
      <c r="J514" s="76"/>
      <c r="K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L514" s="77"/>
      <c r="M514" s="32"/>
      <c r="N514" s="32"/>
      <c r="O514" s="32"/>
      <c r="P514" s="32"/>
    </row>
    <row r="515" spans="3:16" x14ac:dyDescent="0.3">
      <c r="C515" s="11"/>
      <c r="D515" s="32"/>
      <c r="E515" s="11"/>
      <c r="G515" s="15"/>
      <c r="H515" s="47"/>
      <c r="I515" s="76"/>
      <c r="J515" s="76"/>
      <c r="K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L515" s="77"/>
      <c r="M515" s="32"/>
      <c r="N515" s="32"/>
      <c r="O515" s="32"/>
      <c r="P515" s="32"/>
    </row>
    <row r="516" spans="3:16" x14ac:dyDescent="0.3">
      <c r="C516" s="11"/>
      <c r="D516" s="32"/>
      <c r="E516" s="11"/>
      <c r="G516" s="15"/>
      <c r="H516" s="47"/>
      <c r="I516" s="76"/>
      <c r="J516" s="76"/>
      <c r="K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L516" s="77"/>
      <c r="M516" s="32"/>
      <c r="N516" s="32"/>
      <c r="O516" s="32"/>
      <c r="P516" s="32"/>
    </row>
    <row r="517" spans="3:16" x14ac:dyDescent="0.3">
      <c r="C517" s="11"/>
      <c r="D517" s="32"/>
      <c r="E517" s="11"/>
      <c r="G517" s="15"/>
      <c r="H517" s="47"/>
      <c r="I517" s="76"/>
      <c r="J517" s="76"/>
      <c r="K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L517" s="77"/>
      <c r="M517" s="32"/>
      <c r="N517" s="32"/>
      <c r="O517" s="32"/>
      <c r="P517" s="32"/>
    </row>
    <row r="518" spans="3:16" x14ac:dyDescent="0.3">
      <c r="C518" s="11"/>
      <c r="D518" s="32"/>
      <c r="E518" s="11"/>
      <c r="G518" s="15"/>
      <c r="H518" s="47"/>
      <c r="I518" s="76"/>
      <c r="J518" s="76"/>
      <c r="K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L518" s="77"/>
      <c r="M518" s="32"/>
      <c r="N518" s="32"/>
      <c r="O518" s="32"/>
      <c r="P518" s="32"/>
    </row>
    <row r="519" spans="3:16" x14ac:dyDescent="0.3">
      <c r="C519" s="11"/>
      <c r="D519" s="32"/>
      <c r="E519" s="11"/>
      <c r="G519" s="15"/>
      <c r="H519" s="47"/>
      <c r="I519" s="76"/>
      <c r="J519" s="76"/>
      <c r="K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L519" s="77"/>
      <c r="M519" s="32"/>
      <c r="N519" s="32"/>
      <c r="O519" s="32"/>
      <c r="P519" s="32"/>
    </row>
    <row r="520" spans="3:16" x14ac:dyDescent="0.3">
      <c r="C520" s="11"/>
      <c r="D520" s="32"/>
      <c r="E520" s="11"/>
      <c r="G520" s="15"/>
      <c r="H520" s="47"/>
      <c r="I520" s="76"/>
      <c r="J520" s="76"/>
      <c r="K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L520" s="77"/>
      <c r="M520" s="32"/>
      <c r="N520" s="32"/>
      <c r="O520" s="32"/>
      <c r="P520" s="32"/>
    </row>
    <row r="521" spans="3:16" x14ac:dyDescent="0.3">
      <c r="C521" s="11"/>
      <c r="D521" s="32"/>
      <c r="E521" s="11"/>
      <c r="G521" s="15"/>
      <c r="H521" s="47"/>
      <c r="I521" s="76"/>
      <c r="J521" s="76"/>
      <c r="K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L521" s="77"/>
      <c r="M521" s="32"/>
      <c r="N521" s="32"/>
      <c r="O521" s="32"/>
      <c r="P521" s="32"/>
    </row>
    <row r="522" spans="3:16" x14ac:dyDescent="0.3">
      <c r="C522" s="11"/>
      <c r="D522" s="32"/>
      <c r="E522" s="11"/>
      <c r="G522" s="15"/>
      <c r="H522" s="47"/>
      <c r="I522" s="76"/>
      <c r="J522" s="76"/>
      <c r="K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L522" s="77"/>
      <c r="M522" s="32"/>
      <c r="N522" s="32"/>
      <c r="O522" s="32"/>
      <c r="P522" s="32"/>
    </row>
    <row r="523" spans="3:16" x14ac:dyDescent="0.3">
      <c r="C523" s="11"/>
      <c r="D523" s="32"/>
      <c r="E523" s="11"/>
      <c r="G523" s="15"/>
      <c r="H523" s="47"/>
      <c r="I523" s="76"/>
      <c r="J523" s="76"/>
      <c r="K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L523" s="77"/>
      <c r="M523" s="32"/>
      <c r="N523" s="32"/>
      <c r="O523" s="32"/>
      <c r="P523" s="32"/>
    </row>
    <row r="524" spans="3:16" x14ac:dyDescent="0.3">
      <c r="C524" s="11"/>
      <c r="D524" s="32"/>
      <c r="E524" s="11"/>
      <c r="G524" s="15"/>
      <c r="H524" s="47"/>
      <c r="I524" s="76"/>
      <c r="J524" s="76"/>
      <c r="K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L524" s="77"/>
      <c r="M524" s="32"/>
      <c r="N524" s="32"/>
      <c r="O524" s="32"/>
      <c r="P524" s="32"/>
    </row>
    <row r="525" spans="3:16" x14ac:dyDescent="0.3">
      <c r="C525" s="11"/>
      <c r="D525" s="32"/>
      <c r="E525" s="11"/>
      <c r="G525" s="15"/>
      <c r="H525" s="47"/>
      <c r="I525" s="76"/>
      <c r="J525" s="76"/>
      <c r="K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L525" s="77"/>
      <c r="M525" s="32"/>
      <c r="N525" s="32"/>
      <c r="O525" s="32"/>
      <c r="P525" s="32"/>
    </row>
    <row r="526" spans="3:16" x14ac:dyDescent="0.3">
      <c r="C526" s="11"/>
      <c r="D526" s="32"/>
      <c r="E526" s="11"/>
      <c r="G526" s="15"/>
      <c r="H526" s="47"/>
      <c r="I526" s="76"/>
      <c r="J526" s="76"/>
      <c r="K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L526" s="77"/>
      <c r="M526" s="32"/>
      <c r="N526" s="32"/>
      <c r="O526" s="32"/>
      <c r="P526" s="32"/>
    </row>
    <row r="527" spans="3:16" x14ac:dyDescent="0.3">
      <c r="C527" s="11"/>
      <c r="D527" s="32"/>
      <c r="E527" s="11"/>
      <c r="G527" s="15"/>
      <c r="H527" s="47"/>
      <c r="I527" s="76"/>
      <c r="J527" s="76"/>
      <c r="K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L527" s="77"/>
      <c r="M527" s="32"/>
      <c r="N527" s="32"/>
      <c r="O527" s="32"/>
      <c r="P527" s="32"/>
    </row>
    <row r="528" spans="3:16" x14ac:dyDescent="0.3">
      <c r="C528" s="11"/>
      <c r="D528" s="32"/>
      <c r="E528" s="11"/>
      <c r="G528" s="15"/>
      <c r="H528" s="47"/>
      <c r="I528" s="76"/>
      <c r="J528" s="76"/>
      <c r="K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L528" s="77"/>
      <c r="M528" s="32"/>
      <c r="N528" s="32"/>
      <c r="O528" s="32"/>
      <c r="P528" s="32"/>
    </row>
    <row r="529" spans="3:16" x14ac:dyDescent="0.3">
      <c r="C529" s="11"/>
      <c r="D529" s="32"/>
      <c r="E529" s="11"/>
      <c r="G529" s="15"/>
      <c r="H529" s="47"/>
      <c r="I529" s="76"/>
      <c r="J529" s="76"/>
      <c r="K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L529" s="77"/>
      <c r="M529" s="32"/>
      <c r="N529" s="32"/>
      <c r="O529" s="32"/>
      <c r="P529" s="32"/>
    </row>
    <row r="530" spans="3:16" x14ac:dyDescent="0.3">
      <c r="C530" s="11"/>
      <c r="D530" s="32"/>
      <c r="E530" s="11"/>
      <c r="G530" s="15"/>
      <c r="H530" s="47"/>
      <c r="I530" s="76"/>
      <c r="J530" s="76"/>
      <c r="K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L530" s="77"/>
      <c r="M530" s="32"/>
      <c r="N530" s="32"/>
      <c r="O530" s="32"/>
      <c r="P530" s="32"/>
    </row>
    <row r="531" spans="3:16" x14ac:dyDescent="0.3">
      <c r="C531" s="11"/>
      <c r="D531" s="32"/>
      <c r="E531" s="11"/>
      <c r="G531" s="15"/>
      <c r="H531" s="47"/>
      <c r="I531" s="76"/>
      <c r="J531" s="76"/>
      <c r="K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L531" s="77"/>
      <c r="M531" s="32"/>
      <c r="N531" s="32"/>
      <c r="O531" s="32"/>
      <c r="P531" s="32"/>
    </row>
    <row r="532" spans="3:16" x14ac:dyDescent="0.3">
      <c r="C532" s="11"/>
      <c r="D532" s="32"/>
      <c r="E532" s="11"/>
      <c r="G532" s="15"/>
      <c r="H532" s="47"/>
      <c r="I532" s="76"/>
      <c r="J532" s="76"/>
      <c r="K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L532" s="77"/>
      <c r="M532" s="32"/>
      <c r="N532" s="32"/>
      <c r="O532" s="32"/>
      <c r="P532" s="32"/>
    </row>
    <row r="533" spans="3:16" x14ac:dyDescent="0.3">
      <c r="C533" s="11"/>
      <c r="D533" s="32"/>
      <c r="E533" s="11"/>
      <c r="G533" s="15"/>
      <c r="H533" s="47"/>
      <c r="I533" s="76"/>
      <c r="J533" s="76"/>
      <c r="K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L533" s="77"/>
      <c r="M533" s="32"/>
      <c r="N533" s="32"/>
      <c r="O533" s="32"/>
      <c r="P533" s="32"/>
    </row>
    <row r="534" spans="3:16" x14ac:dyDescent="0.3">
      <c r="C534" s="11"/>
      <c r="D534" s="32"/>
      <c r="E534" s="11"/>
      <c r="G534" s="15"/>
      <c r="H534" s="78"/>
      <c r="I534" s="76"/>
      <c r="J534" s="76"/>
      <c r="K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L534" s="77"/>
      <c r="M534" s="32"/>
      <c r="N534" s="32"/>
      <c r="O534" s="32"/>
      <c r="P534" s="32"/>
    </row>
    <row r="535" spans="3:16" x14ac:dyDescent="0.3">
      <c r="C535" s="11"/>
      <c r="D535" s="32"/>
      <c r="E535" s="11"/>
      <c r="G535" s="15"/>
      <c r="H535" s="47"/>
      <c r="I535" s="76"/>
      <c r="J535" s="76"/>
      <c r="K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L535" s="77"/>
      <c r="M535" s="32"/>
      <c r="N535" s="32"/>
      <c r="O535" s="32"/>
      <c r="P535" s="32"/>
    </row>
    <row r="536" spans="3:16" x14ac:dyDescent="0.3">
      <c r="C536" s="11"/>
      <c r="D536" s="32"/>
      <c r="E536" s="11"/>
      <c r="G536" s="15"/>
      <c r="H536" s="47"/>
      <c r="I536" s="76"/>
      <c r="J536" s="76"/>
      <c r="K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L536" s="77"/>
      <c r="M536" s="32"/>
      <c r="N536" s="32"/>
      <c r="O536" s="32"/>
      <c r="P536" s="32"/>
    </row>
    <row r="537" spans="3:16" x14ac:dyDescent="0.3">
      <c r="C537" s="11"/>
      <c r="D537" s="32"/>
      <c r="E537" s="11"/>
      <c r="G537" s="15"/>
      <c r="H537" s="47"/>
      <c r="I537" s="76"/>
      <c r="J537" s="76"/>
      <c r="K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L537" s="77"/>
      <c r="M537" s="32"/>
      <c r="N537" s="32"/>
      <c r="O537" s="32"/>
      <c r="P537" s="32"/>
    </row>
    <row r="538" spans="3:16" x14ac:dyDescent="0.3">
      <c r="C538" s="11"/>
      <c r="D538" s="32"/>
      <c r="E538" s="11"/>
      <c r="G538" s="15"/>
      <c r="H538" s="47"/>
      <c r="I538" s="76"/>
      <c r="J538" s="76"/>
      <c r="K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L538" s="77"/>
      <c r="M538" s="32"/>
      <c r="N538" s="32"/>
      <c r="O538" s="32"/>
      <c r="P538" s="32"/>
    </row>
    <row r="539" spans="3:16" x14ac:dyDescent="0.3">
      <c r="C539" s="11"/>
      <c r="D539" s="32"/>
      <c r="E539" s="11"/>
      <c r="G539" s="15"/>
      <c r="H539" s="47"/>
      <c r="I539" s="76"/>
      <c r="J539" s="76"/>
      <c r="K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L539" s="77"/>
      <c r="M539" s="32"/>
      <c r="N539" s="32"/>
      <c r="O539" s="32"/>
      <c r="P539" s="32"/>
    </row>
    <row r="540" spans="3:16" x14ac:dyDescent="0.3">
      <c r="C540" s="11"/>
      <c r="D540" s="32"/>
      <c r="E540" s="11"/>
      <c r="G540" s="15"/>
      <c r="H540" s="47"/>
      <c r="I540" s="76"/>
      <c r="J540" s="76"/>
      <c r="K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L540" s="77"/>
      <c r="M540" s="32"/>
      <c r="N540" s="32"/>
      <c r="O540" s="32"/>
      <c r="P540" s="32"/>
    </row>
    <row r="541" spans="3:16" x14ac:dyDescent="0.3">
      <c r="C541" s="11"/>
      <c r="D541" s="32"/>
      <c r="E541" s="11"/>
      <c r="G541" s="15"/>
      <c r="H541" s="47"/>
      <c r="I541" s="76"/>
      <c r="J541" s="76"/>
      <c r="K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L541" s="77"/>
      <c r="M541" s="32"/>
      <c r="N541" s="32"/>
      <c r="O541" s="32"/>
      <c r="P541" s="32"/>
    </row>
    <row r="542" spans="3:16" x14ac:dyDescent="0.3">
      <c r="C542" s="11"/>
      <c r="D542" s="32"/>
      <c r="E542" s="11"/>
      <c r="G542" s="15"/>
      <c r="H542" s="47"/>
      <c r="I542" s="76"/>
      <c r="J542" s="76"/>
      <c r="K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L542" s="77"/>
      <c r="M542" s="32"/>
      <c r="N542" s="32"/>
      <c r="O542" s="32"/>
      <c r="P542" s="32"/>
    </row>
    <row r="543" spans="3:16" x14ac:dyDescent="0.3">
      <c r="C543" s="11"/>
      <c r="D543" s="32"/>
      <c r="E543" s="11"/>
      <c r="G543" s="15"/>
      <c r="H543" s="47"/>
      <c r="I543" s="76"/>
      <c r="J543" s="76"/>
      <c r="K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L543" s="77"/>
      <c r="M543" s="32"/>
      <c r="N543" s="32"/>
      <c r="O543" s="32"/>
      <c r="P543" s="32"/>
    </row>
    <row r="544" spans="3:16" x14ac:dyDescent="0.3">
      <c r="C544" s="11"/>
      <c r="D544" s="32"/>
      <c r="E544" s="11"/>
      <c r="G544" s="15"/>
      <c r="H544" s="47"/>
      <c r="I544" s="76"/>
      <c r="J544" s="76"/>
      <c r="K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L544" s="77"/>
      <c r="M544" s="32"/>
      <c r="N544" s="32"/>
      <c r="O544" s="32"/>
      <c r="P544" s="32"/>
    </row>
    <row r="545" spans="3:16" x14ac:dyDescent="0.3">
      <c r="C545" s="11"/>
      <c r="D545" s="32"/>
      <c r="E545" s="11"/>
      <c r="G545" s="15"/>
      <c r="H545" s="47"/>
      <c r="I545" s="76"/>
      <c r="J545" s="76"/>
      <c r="K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L545" s="77"/>
      <c r="M545" s="32"/>
      <c r="N545" s="32"/>
      <c r="O545" s="32"/>
      <c r="P545" s="32"/>
    </row>
    <row r="546" spans="3:16" x14ac:dyDescent="0.3">
      <c r="C546" s="11"/>
      <c r="D546" s="32"/>
      <c r="E546" s="11"/>
      <c r="G546" s="15"/>
      <c r="H546" s="47"/>
      <c r="I546" s="76"/>
      <c r="J546" s="76"/>
      <c r="K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L546" s="77"/>
      <c r="M546" s="32"/>
      <c r="N546" s="32"/>
      <c r="O546" s="32"/>
      <c r="P546" s="32"/>
    </row>
    <row r="547" spans="3:16" x14ac:dyDescent="0.3">
      <c r="C547" s="11"/>
      <c r="D547" s="32"/>
      <c r="E547" s="11"/>
      <c r="G547" s="15"/>
      <c r="H547" s="47"/>
      <c r="I547" s="76"/>
      <c r="J547" s="76"/>
      <c r="K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L547" s="77"/>
      <c r="M547" s="32"/>
      <c r="N547" s="32"/>
      <c r="O547" s="32"/>
      <c r="P547" s="32"/>
    </row>
    <row r="548" spans="3:16" x14ac:dyDescent="0.3">
      <c r="C548" s="11"/>
      <c r="D548" s="32"/>
      <c r="E548" s="11"/>
      <c r="G548" s="15"/>
      <c r="H548" s="47"/>
      <c r="I548" s="76"/>
      <c r="J548" s="76"/>
      <c r="K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L548" s="77"/>
      <c r="M548" s="32"/>
      <c r="N548" s="32"/>
      <c r="O548" s="32"/>
      <c r="P548" s="32"/>
    </row>
    <row r="549" spans="3:16" x14ac:dyDescent="0.3">
      <c r="C549" s="11"/>
      <c r="D549" s="32"/>
      <c r="E549" s="11"/>
      <c r="G549" s="15"/>
      <c r="H549" s="47"/>
      <c r="I549" s="76"/>
      <c r="J549" s="76"/>
      <c r="K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L549" s="77"/>
      <c r="M549" s="32"/>
      <c r="N549" s="32"/>
      <c r="O549" s="32"/>
      <c r="P549" s="32"/>
    </row>
    <row r="550" spans="3:16" x14ac:dyDescent="0.3">
      <c r="C550" s="11"/>
      <c r="D550" s="32"/>
      <c r="E550" s="11"/>
      <c r="G550" s="15"/>
      <c r="H550" s="47"/>
      <c r="I550" s="76"/>
      <c r="J550" s="76"/>
      <c r="K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L550" s="77"/>
      <c r="M550" s="32"/>
      <c r="N550" s="32"/>
      <c r="O550" s="32"/>
      <c r="P550" s="32"/>
    </row>
    <row r="551" spans="3:16" x14ac:dyDescent="0.3">
      <c r="C551" s="11"/>
      <c r="D551" s="32"/>
      <c r="E551" s="11"/>
      <c r="G551" s="15"/>
      <c r="H551" s="47"/>
      <c r="I551" s="76"/>
      <c r="J551" s="76"/>
      <c r="K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L551" s="77"/>
      <c r="M551" s="32"/>
      <c r="N551" s="32"/>
      <c r="O551" s="32"/>
      <c r="P551" s="32"/>
    </row>
    <row r="552" spans="3:16" x14ac:dyDescent="0.3">
      <c r="C552" s="11"/>
      <c r="D552" s="32"/>
      <c r="E552" s="11"/>
      <c r="G552" s="15"/>
      <c r="H552" s="47"/>
      <c r="I552" s="76"/>
      <c r="J552" s="76"/>
      <c r="K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L552" s="77"/>
      <c r="M552" s="32"/>
      <c r="N552" s="32"/>
      <c r="O552" s="32"/>
      <c r="P552" s="32"/>
    </row>
    <row r="553" spans="3:16" x14ac:dyDescent="0.3">
      <c r="C553" s="11"/>
      <c r="D553" s="32"/>
      <c r="E553" s="11"/>
      <c r="G553" s="15"/>
      <c r="H553" s="47"/>
      <c r="I553" s="76"/>
      <c r="J553" s="76"/>
      <c r="K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L553" s="77"/>
      <c r="M553" s="32"/>
      <c r="N553" s="32"/>
      <c r="O553" s="32"/>
      <c r="P553" s="32"/>
    </row>
    <row r="554" spans="3:16" x14ac:dyDescent="0.3">
      <c r="C554" s="11"/>
      <c r="D554" s="32"/>
      <c r="E554" s="11"/>
      <c r="G554" s="15"/>
      <c r="H554" s="47"/>
      <c r="I554" s="76"/>
      <c r="J554" s="76"/>
      <c r="K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L554" s="77"/>
      <c r="M554" s="32"/>
      <c r="N554" s="32"/>
      <c r="O554" s="32"/>
      <c r="P554" s="32"/>
    </row>
    <row r="555" spans="3:16" x14ac:dyDescent="0.3">
      <c r="C555" s="11"/>
      <c r="D555" s="32"/>
      <c r="E555" s="11"/>
      <c r="G555" s="15"/>
      <c r="H555" s="47"/>
      <c r="I555" s="76"/>
      <c r="J555" s="76"/>
      <c r="K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L555" s="77"/>
      <c r="M555" s="32"/>
      <c r="N555" s="32"/>
      <c r="O555" s="32"/>
      <c r="P555" s="32"/>
    </row>
    <row r="556" spans="3:16" x14ac:dyDescent="0.3">
      <c r="C556" s="11"/>
      <c r="D556" s="32"/>
      <c r="E556" s="11"/>
      <c r="G556" s="15"/>
      <c r="H556" s="47"/>
      <c r="I556" s="76"/>
      <c r="J556" s="76"/>
      <c r="K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L556" s="77"/>
      <c r="M556" s="32"/>
      <c r="N556" s="32"/>
      <c r="O556" s="32"/>
      <c r="P556" s="32"/>
    </row>
    <row r="557" spans="3:16" x14ac:dyDescent="0.3">
      <c r="C557" s="11"/>
      <c r="D557" s="32"/>
      <c r="E557" s="11"/>
      <c r="G557" s="15"/>
      <c r="H557" s="47"/>
      <c r="I557" s="76"/>
      <c r="J557" s="76"/>
      <c r="K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L557" s="77"/>
      <c r="M557" s="32"/>
      <c r="N557" s="32"/>
      <c r="O557" s="32"/>
      <c r="P557" s="32"/>
    </row>
    <row r="558" spans="3:16" x14ac:dyDescent="0.3">
      <c r="C558" s="11"/>
      <c r="D558" s="32"/>
      <c r="E558" s="11"/>
      <c r="G558" s="15"/>
      <c r="H558" s="47"/>
      <c r="I558" s="76"/>
      <c r="J558" s="76"/>
      <c r="K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L558" s="77"/>
      <c r="M558" s="32"/>
      <c r="N558" s="32"/>
      <c r="O558" s="32"/>
      <c r="P558" s="32"/>
    </row>
    <row r="559" spans="3:16" x14ac:dyDescent="0.3">
      <c r="C559" s="11"/>
      <c r="D559" s="32"/>
      <c r="E559" s="11"/>
      <c r="G559" s="15"/>
      <c r="H559" s="47"/>
      <c r="I559" s="76"/>
      <c r="J559" s="76"/>
      <c r="K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L559" s="77"/>
      <c r="M559" s="32"/>
      <c r="N559" s="32"/>
      <c r="O559" s="32"/>
      <c r="P559" s="32"/>
    </row>
    <row r="560" spans="3:16" x14ac:dyDescent="0.3">
      <c r="C560" s="11"/>
      <c r="D560" s="32"/>
      <c r="E560" s="11"/>
      <c r="G560" s="15"/>
      <c r="H560" s="47"/>
      <c r="I560" s="76"/>
      <c r="J560" s="76"/>
      <c r="K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L560" s="77"/>
      <c r="M560" s="32"/>
      <c r="N560" s="32"/>
      <c r="O560" s="32"/>
      <c r="P560" s="32"/>
    </row>
    <row r="561" spans="3:16" x14ac:dyDescent="0.3">
      <c r="C561" s="11"/>
      <c r="D561" s="32"/>
      <c r="E561" s="11"/>
      <c r="G561" s="15"/>
      <c r="H561" s="47"/>
      <c r="I561" s="76"/>
      <c r="J561" s="76"/>
      <c r="K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L561" s="77"/>
      <c r="M561" s="32"/>
      <c r="N561" s="32"/>
      <c r="O561" s="32"/>
      <c r="P561" s="32"/>
    </row>
    <row r="562" spans="3:16" x14ac:dyDescent="0.3">
      <c r="C562" s="11"/>
      <c r="D562" s="32"/>
      <c r="E562" s="11"/>
      <c r="G562" s="15"/>
      <c r="H562" s="47"/>
      <c r="I562" s="76"/>
      <c r="J562" s="76"/>
      <c r="K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L562" s="77"/>
      <c r="M562" s="32"/>
      <c r="N562" s="32"/>
      <c r="O562" s="32"/>
      <c r="P562" s="32"/>
    </row>
    <row r="563" spans="3:16" x14ac:dyDescent="0.3">
      <c r="C563" s="11"/>
      <c r="D563" s="32"/>
      <c r="E563" s="11"/>
      <c r="G563" s="15"/>
      <c r="H563" s="47"/>
      <c r="I563" s="76"/>
      <c r="J563" s="76"/>
      <c r="K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L563" s="77"/>
      <c r="M563" s="32"/>
      <c r="N563" s="32"/>
      <c r="O563" s="32"/>
      <c r="P563" s="32"/>
    </row>
    <row r="564" spans="3:16" x14ac:dyDescent="0.3">
      <c r="C564" s="11"/>
      <c r="D564" s="32"/>
      <c r="E564" s="11"/>
      <c r="G564" s="15"/>
      <c r="H564" s="47"/>
      <c r="I564" s="76"/>
      <c r="J564" s="76"/>
      <c r="K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L564" s="77"/>
      <c r="M564" s="32"/>
      <c r="N564" s="32"/>
      <c r="O564" s="32"/>
      <c r="P564" s="32"/>
    </row>
    <row r="565" spans="3:16" x14ac:dyDescent="0.3">
      <c r="C565" s="11"/>
      <c r="D565" s="32"/>
      <c r="E565" s="11"/>
      <c r="G565" s="15"/>
      <c r="H565" s="47"/>
      <c r="I565" s="76"/>
      <c r="J565" s="76"/>
      <c r="K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L565" s="77"/>
      <c r="M565" s="32"/>
      <c r="N565" s="32"/>
      <c r="O565" s="32"/>
      <c r="P565" s="32"/>
    </row>
    <row r="566" spans="3:16" x14ac:dyDescent="0.3">
      <c r="C566" s="11"/>
      <c r="D566" s="32"/>
      <c r="E566" s="11"/>
      <c r="G566" s="15"/>
      <c r="H566" s="47"/>
      <c r="I566" s="76"/>
      <c r="J566" s="76"/>
      <c r="K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L566" s="77"/>
      <c r="M566" s="32"/>
      <c r="N566" s="32"/>
      <c r="O566" s="32"/>
      <c r="P566" s="32"/>
    </row>
    <row r="567" spans="3:16" x14ac:dyDescent="0.3">
      <c r="C567" s="11"/>
      <c r="D567" s="32"/>
      <c r="E567" s="11"/>
      <c r="G567" s="15"/>
      <c r="H567" s="47"/>
      <c r="I567" s="76"/>
      <c r="J567" s="76"/>
      <c r="K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L567" s="77"/>
      <c r="M567" s="32"/>
      <c r="N567" s="32"/>
      <c r="O567" s="32"/>
      <c r="P567" s="32"/>
    </row>
    <row r="568" spans="3:16" x14ac:dyDescent="0.3">
      <c r="C568" s="11"/>
      <c r="D568" s="32"/>
      <c r="E568" s="11"/>
      <c r="G568" s="15"/>
      <c r="H568" s="47"/>
      <c r="I568" s="76"/>
      <c r="J568" s="76"/>
      <c r="K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L568" s="77"/>
      <c r="M568" s="32"/>
      <c r="N568" s="32"/>
      <c r="O568" s="32"/>
      <c r="P568" s="32"/>
    </row>
    <row r="569" spans="3:16" x14ac:dyDescent="0.3">
      <c r="C569" s="11"/>
      <c r="D569" s="32"/>
      <c r="E569" s="11"/>
      <c r="G569" s="15"/>
      <c r="H569" s="47"/>
      <c r="I569" s="76"/>
      <c r="J569" s="76"/>
      <c r="K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L569" s="77"/>
      <c r="M569" s="32"/>
      <c r="N569" s="32"/>
      <c r="O569" s="32"/>
      <c r="P569" s="32"/>
    </row>
    <row r="570" spans="3:16" x14ac:dyDescent="0.3">
      <c r="C570" s="11"/>
      <c r="D570" s="32"/>
      <c r="E570" s="11"/>
      <c r="G570" s="15"/>
      <c r="H570" s="47"/>
      <c r="I570" s="76"/>
      <c r="J570" s="76"/>
      <c r="K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L570" s="77"/>
      <c r="M570" s="32"/>
      <c r="N570" s="32"/>
      <c r="O570" s="32"/>
      <c r="P570" s="32"/>
    </row>
    <row r="571" spans="3:16" x14ac:dyDescent="0.3">
      <c r="C571" s="11"/>
      <c r="D571" s="32"/>
      <c r="E571" s="11"/>
      <c r="G571" s="15"/>
      <c r="H571" s="47"/>
      <c r="I571" s="76"/>
      <c r="J571" s="76"/>
      <c r="K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L571" s="77"/>
      <c r="M571" s="32"/>
      <c r="N571" s="32"/>
      <c r="O571" s="32"/>
      <c r="P571" s="32"/>
    </row>
    <row r="572" spans="3:16" x14ac:dyDescent="0.3">
      <c r="C572" s="11"/>
      <c r="D572" s="32"/>
      <c r="E572" s="11"/>
      <c r="G572" s="15"/>
      <c r="H572" s="47"/>
      <c r="I572" s="76"/>
      <c r="J572" s="76"/>
      <c r="K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L572" s="77"/>
      <c r="M572" s="32"/>
      <c r="N572" s="32"/>
      <c r="O572" s="32"/>
      <c r="P572" s="32"/>
    </row>
    <row r="573" spans="3:16" x14ac:dyDescent="0.3">
      <c r="C573" s="11"/>
      <c r="D573" s="32"/>
      <c r="E573" s="11"/>
      <c r="G573" s="15"/>
      <c r="H573" s="47"/>
      <c r="I573" s="76"/>
      <c r="J573" s="76"/>
      <c r="K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L573" s="77"/>
      <c r="M573" s="32"/>
      <c r="N573" s="32"/>
      <c r="O573" s="32"/>
      <c r="P573" s="32"/>
    </row>
    <row r="574" spans="3:16" x14ac:dyDescent="0.3">
      <c r="C574" s="11"/>
      <c r="D574" s="32"/>
      <c r="E574" s="11"/>
      <c r="G574" s="15"/>
      <c r="H574" s="47"/>
      <c r="I574" s="76"/>
      <c r="J574" s="76"/>
      <c r="K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L574" s="77"/>
      <c r="M574" s="32"/>
      <c r="N574" s="32"/>
      <c r="O574" s="32"/>
      <c r="P574" s="32"/>
    </row>
    <row r="575" spans="3:16" x14ac:dyDescent="0.3">
      <c r="C575" s="11"/>
      <c r="D575" s="32"/>
      <c r="E575" s="11"/>
      <c r="G575" s="15"/>
      <c r="H575" s="47"/>
      <c r="I575" s="76"/>
      <c r="J575" s="76"/>
      <c r="K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L575" s="77"/>
      <c r="M575" s="32"/>
      <c r="N575" s="32"/>
      <c r="O575" s="32"/>
      <c r="P575" s="32"/>
    </row>
    <row r="576" spans="3:16" x14ac:dyDescent="0.3">
      <c r="C576" s="11"/>
      <c r="D576" s="32"/>
      <c r="E576" s="11"/>
      <c r="G576" s="15"/>
      <c r="H576" s="47"/>
      <c r="I576" s="76"/>
      <c r="J576" s="76"/>
      <c r="K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L576" s="77"/>
      <c r="M576" s="32"/>
      <c r="N576" s="32"/>
      <c r="O576" s="32"/>
      <c r="P576" s="32"/>
    </row>
    <row r="577" spans="3:16" x14ac:dyDescent="0.3">
      <c r="C577" s="11"/>
      <c r="D577" s="32"/>
      <c r="E577" s="11"/>
      <c r="G577" s="15"/>
      <c r="H577" s="47"/>
      <c r="I577" s="76"/>
      <c r="J577" s="76"/>
      <c r="K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L577" s="77"/>
      <c r="M577" s="32"/>
      <c r="N577" s="32"/>
      <c r="O577" s="32"/>
      <c r="P577" s="32"/>
    </row>
    <row r="578" spans="3:16" x14ac:dyDescent="0.3">
      <c r="C578" s="11"/>
      <c r="D578" s="32"/>
      <c r="E578" s="11"/>
      <c r="G578" s="15"/>
      <c r="H578" s="47"/>
      <c r="I578" s="76"/>
      <c r="J578" s="76"/>
      <c r="K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L578" s="77"/>
      <c r="M578" s="32"/>
      <c r="N578" s="32"/>
      <c r="O578" s="32"/>
      <c r="P578" s="32"/>
    </row>
    <row r="579" spans="3:16" x14ac:dyDescent="0.3">
      <c r="C579" s="11"/>
      <c r="D579" s="32"/>
      <c r="E579" s="11"/>
      <c r="G579" s="15"/>
      <c r="H579" s="47"/>
      <c r="I579" s="76"/>
      <c r="J579" s="76"/>
      <c r="K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L579" s="77"/>
      <c r="M579" s="32"/>
      <c r="N579" s="32"/>
      <c r="O579" s="32"/>
      <c r="P579" s="32"/>
    </row>
    <row r="580" spans="3:16" x14ac:dyDescent="0.3">
      <c r="C580" s="11"/>
      <c r="D580" s="32"/>
      <c r="E580" s="11"/>
      <c r="G580" s="15"/>
      <c r="H580" s="47"/>
      <c r="I580" s="76"/>
      <c r="J580" s="76"/>
      <c r="K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L580" s="77"/>
      <c r="M580" s="32"/>
      <c r="N580" s="32"/>
      <c r="O580" s="32"/>
      <c r="P580" s="32"/>
    </row>
    <row r="581" spans="3:16" x14ac:dyDescent="0.3">
      <c r="C581" s="11"/>
      <c r="D581" s="32"/>
      <c r="E581" s="11"/>
      <c r="G581" s="15"/>
      <c r="H581" s="47"/>
      <c r="I581" s="76"/>
      <c r="J581" s="76"/>
      <c r="K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L581" s="77"/>
      <c r="M581" s="32"/>
      <c r="N581" s="32"/>
      <c r="O581" s="32"/>
      <c r="P581" s="32"/>
    </row>
    <row r="582" spans="3:16" x14ac:dyDescent="0.3">
      <c r="C582" s="11"/>
      <c r="D582" s="32"/>
      <c r="E582" s="11"/>
      <c r="G582" s="15"/>
      <c r="H582" s="47"/>
      <c r="I582" s="76"/>
      <c r="J582" s="76"/>
      <c r="K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L582" s="77"/>
      <c r="M582" s="32"/>
      <c r="N582" s="32"/>
      <c r="O582" s="32"/>
      <c r="P582" s="32"/>
    </row>
    <row r="583" spans="3:16" x14ac:dyDescent="0.3">
      <c r="C583" s="11"/>
      <c r="D583" s="32"/>
      <c r="E583" s="11"/>
      <c r="G583" s="15"/>
      <c r="H583" s="47"/>
      <c r="I583" s="76"/>
      <c r="J583" s="76"/>
      <c r="K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L583" s="77"/>
      <c r="M583" s="32"/>
      <c r="N583" s="32"/>
      <c r="O583" s="32"/>
      <c r="P583" s="32"/>
    </row>
    <row r="584" spans="3:16" x14ac:dyDescent="0.3">
      <c r="C584" s="11"/>
      <c r="D584" s="32"/>
      <c r="E584" s="11"/>
      <c r="G584" s="15"/>
      <c r="H584" s="47"/>
      <c r="I584" s="76"/>
      <c r="J584" s="76"/>
      <c r="K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L584" s="77"/>
      <c r="M584" s="32"/>
      <c r="N584" s="32"/>
      <c r="O584" s="32"/>
      <c r="P584" s="32"/>
    </row>
    <row r="585" spans="3:16" x14ac:dyDescent="0.3">
      <c r="C585" s="11"/>
      <c r="D585" s="32"/>
      <c r="E585" s="11"/>
      <c r="G585" s="15"/>
      <c r="H585" s="47"/>
      <c r="I585" s="76"/>
      <c r="J585" s="76"/>
      <c r="K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L585" s="77"/>
      <c r="M585" s="32"/>
      <c r="N585" s="32"/>
      <c r="O585" s="32"/>
      <c r="P585" s="32"/>
    </row>
    <row r="586" spans="3:16" x14ac:dyDescent="0.3">
      <c r="C586" s="11"/>
      <c r="D586" s="32"/>
      <c r="E586" s="11"/>
      <c r="G586" s="15"/>
      <c r="H586" s="47"/>
      <c r="I586" s="76"/>
      <c r="J586" s="76"/>
      <c r="K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L586" s="77"/>
      <c r="M586" s="32"/>
      <c r="N586" s="32"/>
      <c r="O586" s="32"/>
      <c r="P586" s="32"/>
    </row>
    <row r="587" spans="3:16" x14ac:dyDescent="0.3">
      <c r="C587" s="11"/>
      <c r="D587" s="32"/>
      <c r="E587" s="11"/>
      <c r="G587" s="15"/>
      <c r="H587" s="47"/>
      <c r="I587" s="76"/>
      <c r="J587" s="76"/>
      <c r="K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L587" s="77"/>
      <c r="M587" s="32"/>
      <c r="N587" s="32"/>
      <c r="O587" s="32"/>
      <c r="P587" s="32"/>
    </row>
    <row r="588" spans="3:16" x14ac:dyDescent="0.3">
      <c r="C588" s="11"/>
      <c r="D588" s="32"/>
      <c r="E588" s="11"/>
      <c r="G588" s="15"/>
      <c r="H588" s="47"/>
      <c r="I588" s="76"/>
      <c r="J588" s="76"/>
      <c r="K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L588" s="77"/>
      <c r="M588" s="32"/>
      <c r="N588" s="32"/>
      <c r="O588" s="32"/>
      <c r="P588" s="32"/>
    </row>
    <row r="589" spans="3:16" x14ac:dyDescent="0.3">
      <c r="C589" s="11"/>
      <c r="D589" s="32"/>
      <c r="E589" s="11"/>
      <c r="G589" s="15"/>
      <c r="H589" s="47"/>
      <c r="I589" s="76"/>
      <c r="J589" s="76"/>
      <c r="K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L589" s="77"/>
      <c r="M589" s="32"/>
      <c r="N589" s="32"/>
      <c r="O589" s="32"/>
      <c r="P589" s="32"/>
    </row>
    <row r="590" spans="3:16" x14ac:dyDescent="0.3">
      <c r="C590" s="11"/>
      <c r="D590" s="32"/>
      <c r="E590" s="11"/>
      <c r="G590" s="15"/>
      <c r="H590" s="47"/>
      <c r="I590" s="76"/>
      <c r="J590" s="76"/>
      <c r="K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L590" s="77"/>
      <c r="M590" s="32"/>
      <c r="N590" s="32"/>
      <c r="O590" s="32"/>
      <c r="P590" s="32"/>
    </row>
    <row r="591" spans="3:16" x14ac:dyDescent="0.3">
      <c r="C591" s="11"/>
      <c r="D591" s="32"/>
      <c r="E591" s="11"/>
      <c r="G591" s="15"/>
      <c r="H591" s="47"/>
      <c r="I591" s="76"/>
      <c r="J591" s="76"/>
      <c r="K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L591" s="77"/>
      <c r="M591" s="32"/>
      <c r="N591" s="32"/>
      <c r="O591" s="32"/>
      <c r="P591" s="32"/>
    </row>
    <row r="592" spans="3:16" x14ac:dyDescent="0.3">
      <c r="C592" s="11"/>
      <c r="D592" s="32"/>
      <c r="E592" s="11"/>
      <c r="G592" s="15"/>
      <c r="H592" s="47"/>
      <c r="I592" s="76"/>
      <c r="J592" s="76"/>
      <c r="K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L592" s="77"/>
      <c r="M592" s="32"/>
      <c r="N592" s="32"/>
      <c r="O592" s="32"/>
      <c r="P592" s="32"/>
    </row>
    <row r="593" spans="3:16" x14ac:dyDescent="0.3">
      <c r="C593" s="11"/>
      <c r="D593" s="32"/>
      <c r="E593" s="11"/>
      <c r="G593" s="15"/>
      <c r="H593" s="47"/>
      <c r="I593" s="76"/>
      <c r="J593" s="76"/>
      <c r="K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L593" s="77"/>
      <c r="M593" s="32"/>
      <c r="N593" s="32"/>
      <c r="O593" s="32"/>
      <c r="P593" s="32"/>
    </row>
    <row r="594" spans="3:16" x14ac:dyDescent="0.3">
      <c r="C594" s="11"/>
      <c r="D594" s="32"/>
      <c r="E594" s="11"/>
      <c r="G594" s="15"/>
      <c r="H594" s="47"/>
      <c r="I594" s="76"/>
      <c r="J594" s="76"/>
      <c r="K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L594" s="77"/>
      <c r="M594" s="32"/>
      <c r="N594" s="32"/>
      <c r="O594" s="32"/>
      <c r="P594" s="32"/>
    </row>
    <row r="595" spans="3:16" x14ac:dyDescent="0.3">
      <c r="C595" s="11"/>
      <c r="D595" s="32"/>
      <c r="E595" s="11"/>
      <c r="G595" s="15"/>
      <c r="H595" s="47"/>
      <c r="I595" s="76"/>
      <c r="J595" s="76"/>
      <c r="K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L595" s="77"/>
      <c r="M595" s="32"/>
      <c r="N595" s="32"/>
      <c r="O595" s="32"/>
      <c r="P595" s="32"/>
    </row>
    <row r="596" spans="3:16" x14ac:dyDescent="0.3">
      <c r="C596" s="11"/>
      <c r="D596" s="32"/>
      <c r="E596" s="11"/>
      <c r="G596" s="15"/>
      <c r="H596" s="47"/>
      <c r="I596" s="76"/>
      <c r="J596" s="76"/>
      <c r="K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L596" s="77"/>
      <c r="M596" s="32"/>
      <c r="N596" s="32"/>
      <c r="O596" s="32"/>
      <c r="P596" s="32"/>
    </row>
    <row r="597" spans="3:16" x14ac:dyDescent="0.3">
      <c r="C597" s="11"/>
      <c r="D597" s="32"/>
      <c r="E597" s="11"/>
      <c r="G597" s="15"/>
      <c r="H597" s="47"/>
      <c r="I597" s="76"/>
      <c r="J597" s="76"/>
      <c r="K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L597" s="77"/>
      <c r="M597" s="32"/>
      <c r="N597" s="32"/>
      <c r="O597" s="32"/>
      <c r="P597" s="32"/>
    </row>
    <row r="598" spans="3:16" x14ac:dyDescent="0.3">
      <c r="C598" s="11"/>
      <c r="D598" s="32"/>
      <c r="E598" s="11"/>
      <c r="G598" s="15"/>
      <c r="H598" s="47"/>
      <c r="I598" s="76"/>
      <c r="J598" s="76"/>
      <c r="K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L598" s="77"/>
      <c r="M598" s="32"/>
      <c r="N598" s="32"/>
      <c r="O598" s="32"/>
      <c r="P598" s="32"/>
    </row>
    <row r="599" spans="3:16" x14ac:dyDescent="0.3">
      <c r="C599" s="11"/>
      <c r="D599" s="32"/>
      <c r="E599" s="11"/>
      <c r="G599" s="15"/>
      <c r="H599" s="47"/>
      <c r="I599" s="76"/>
      <c r="J599" s="76"/>
      <c r="K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L599" s="77"/>
      <c r="M599" s="32"/>
      <c r="N599" s="32"/>
      <c r="O599" s="32"/>
      <c r="P599" s="32"/>
    </row>
    <row r="600" spans="3:16" x14ac:dyDescent="0.3">
      <c r="C600" s="11"/>
      <c r="D600" s="32"/>
      <c r="E600" s="11"/>
      <c r="G600" s="15"/>
      <c r="H600" s="47"/>
      <c r="I600" s="76"/>
      <c r="J600" s="76"/>
      <c r="K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L600" s="77"/>
      <c r="M600" s="32"/>
      <c r="N600" s="32"/>
      <c r="O600" s="32"/>
      <c r="P600" s="32"/>
    </row>
    <row r="601" spans="3:16" x14ac:dyDescent="0.3">
      <c r="C601" s="11"/>
      <c r="D601" s="32"/>
      <c r="E601" s="11"/>
      <c r="G601" s="15"/>
      <c r="H601" s="47"/>
      <c r="I601" s="76"/>
      <c r="J601" s="76"/>
      <c r="K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L601" s="77"/>
      <c r="M601" s="32"/>
      <c r="N601" s="32"/>
      <c r="O601" s="32"/>
      <c r="P601" s="32"/>
    </row>
    <row r="602" spans="3:16" x14ac:dyDescent="0.3">
      <c r="C602" s="11"/>
      <c r="D602" s="32"/>
      <c r="E602" s="11"/>
      <c r="G602" s="15"/>
      <c r="H602" s="47"/>
      <c r="I602" s="76"/>
      <c r="J602" s="76"/>
      <c r="K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L602" s="77"/>
      <c r="M602" s="32"/>
      <c r="N602" s="32"/>
      <c r="O602" s="32"/>
      <c r="P602" s="32"/>
    </row>
    <row r="603" spans="3:16" x14ac:dyDescent="0.3">
      <c r="C603" s="11"/>
      <c r="D603" s="32"/>
      <c r="E603" s="11"/>
      <c r="G603" s="15"/>
      <c r="H603" s="47"/>
      <c r="I603" s="76"/>
      <c r="J603" s="76"/>
      <c r="K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L603" s="77"/>
      <c r="M603" s="32"/>
      <c r="N603" s="32"/>
      <c r="O603" s="32"/>
      <c r="P603" s="32"/>
    </row>
    <row r="604" spans="3:16" x14ac:dyDescent="0.3">
      <c r="C604" s="11"/>
      <c r="D604" s="32"/>
      <c r="E604" s="11"/>
      <c r="G604" s="15"/>
      <c r="H604" s="47"/>
      <c r="I604" s="76"/>
      <c r="J604" s="76"/>
      <c r="K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L604" s="77"/>
      <c r="M604" s="32"/>
      <c r="N604" s="32"/>
      <c r="O604" s="32"/>
      <c r="P604" s="32"/>
    </row>
    <row r="605" spans="3:16" x14ac:dyDescent="0.3">
      <c r="C605" s="11"/>
      <c r="D605" s="32"/>
      <c r="E605" s="11"/>
      <c r="G605" s="15"/>
      <c r="H605" s="47"/>
      <c r="I605" s="76"/>
      <c r="J605" s="76"/>
      <c r="K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L605" s="77"/>
      <c r="M605" s="32"/>
      <c r="N605" s="32"/>
      <c r="O605" s="32"/>
      <c r="P605" s="32"/>
    </row>
    <row r="606" spans="3:16" x14ac:dyDescent="0.3">
      <c r="C606" s="11"/>
      <c r="D606" s="32"/>
      <c r="E606" s="11"/>
      <c r="G606" s="15"/>
      <c r="H606" s="47"/>
      <c r="I606" s="76"/>
      <c r="J606" s="76"/>
      <c r="K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L606" s="77"/>
      <c r="M606" s="32"/>
      <c r="N606" s="32"/>
      <c r="O606" s="32"/>
      <c r="P606" s="32"/>
    </row>
    <row r="607" spans="3:16" x14ac:dyDescent="0.3">
      <c r="C607" s="11"/>
      <c r="D607" s="32"/>
      <c r="E607" s="11"/>
      <c r="G607" s="15"/>
      <c r="H607" s="47"/>
      <c r="I607" s="76"/>
      <c r="J607" s="76"/>
      <c r="K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L607" s="77"/>
      <c r="M607" s="32"/>
      <c r="N607" s="32"/>
      <c r="O607" s="32"/>
      <c r="P607" s="32"/>
    </row>
    <row r="608" spans="3:16" x14ac:dyDescent="0.3">
      <c r="C608" s="11"/>
      <c r="D608" s="32"/>
      <c r="E608" s="11"/>
      <c r="G608" s="15"/>
      <c r="H608" s="47"/>
      <c r="I608" s="76"/>
      <c r="J608" s="76"/>
      <c r="K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L608" s="77"/>
      <c r="M608" s="32"/>
      <c r="N608" s="32"/>
      <c r="O608" s="32"/>
      <c r="P608" s="32"/>
    </row>
    <row r="609" spans="3:16" x14ac:dyDescent="0.3">
      <c r="C609" s="11"/>
      <c r="D609" s="32"/>
      <c r="E609" s="11"/>
      <c r="G609" s="15"/>
      <c r="H609" s="47"/>
      <c r="I609" s="76"/>
      <c r="J609" s="76"/>
      <c r="K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L609" s="77"/>
      <c r="M609" s="32"/>
      <c r="N609" s="32"/>
      <c r="O609" s="32"/>
      <c r="P609" s="32"/>
    </row>
    <row r="610" spans="3:16" x14ac:dyDescent="0.3">
      <c r="C610" s="11"/>
      <c r="D610" s="32"/>
      <c r="E610" s="11"/>
      <c r="G610" s="15"/>
      <c r="H610" s="47"/>
      <c r="I610" s="76"/>
      <c r="J610" s="76"/>
      <c r="K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L610" s="77"/>
      <c r="M610" s="32"/>
      <c r="N610" s="32"/>
      <c r="O610" s="32"/>
      <c r="P610" s="32"/>
    </row>
    <row r="611" spans="3:16" x14ac:dyDescent="0.3">
      <c r="C611" s="11"/>
      <c r="D611" s="32"/>
      <c r="E611" s="11"/>
      <c r="G611" s="15"/>
      <c r="H611" s="47"/>
      <c r="I611" s="76"/>
      <c r="J611" s="76"/>
      <c r="K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L611" s="77"/>
      <c r="M611" s="32"/>
      <c r="N611" s="32"/>
      <c r="O611" s="32"/>
      <c r="P611" s="32"/>
    </row>
    <row r="612" spans="3:16" x14ac:dyDescent="0.3">
      <c r="C612" s="11"/>
    </row>
    <row r="613" spans="3:16" x14ac:dyDescent="0.3">
      <c r="C613" s="11"/>
    </row>
    <row r="614" spans="3:16" x14ac:dyDescent="0.3">
      <c r="C614" s="11"/>
    </row>
    <row r="615" spans="3:16" x14ac:dyDescent="0.3">
      <c r="C615" s="11"/>
    </row>
    <row r="616" spans="3:16" x14ac:dyDescent="0.3">
      <c r="C616" s="11"/>
    </row>
    <row r="617" spans="3:16" x14ac:dyDescent="0.3">
      <c r="C617" s="11"/>
    </row>
    <row r="618" spans="3:16" x14ac:dyDescent="0.3">
      <c r="C618" s="11"/>
    </row>
  </sheetData>
  <dataValidations count="9">
    <dataValidation type="list" allowBlank="1" showInputMessage="1" showErrorMessage="1" sqref="E2:E203" xr:uid="{7513CB53-720F-42FB-8914-AD7F1065FBD2}">
      <formula1>$AB$1:$AI$1</formula1>
    </dataValidation>
    <dataValidation type="list" allowBlank="1" showInputMessage="1" showErrorMessage="1" sqref="E204:E615" xr:uid="{637D5BBA-0E31-4A66-9636-255720968281}">
      <formula1>$Y$2:$Y$7</formula1>
    </dataValidation>
    <dataValidation type="list" allowBlank="1" showInputMessage="1" showErrorMessage="1" sqref="C2:C618" xr:uid="{58BCE844-F781-455F-AE7A-3C7CC5EE596E}">
      <formula1>$S$2:$S$12</formula1>
    </dataValidation>
    <dataValidation type="list" allowBlank="1" showInputMessage="1" promptTitle="Guia" prompt="puede realizar Las siguientes opciones_x000a_si eligio electricos tiene las siguientes opciones de una posible sublista_x000a_" sqref="F140:F613" xr:uid="{EDFD957F-EE38-4909-83AE-D408E9427B3D}">
      <formula1>INDIRECT($E$2:$E$611)</formula1>
    </dataValidation>
    <dataValidation allowBlank="1" showInputMessage="1" showErrorMessage="1" sqref="D140:D618" xr:uid="{09581630-4F3A-4E37-975C-5F99B0884868}"/>
    <dataValidation type="list" allowBlank="1" showInputMessage="1" showErrorMessage="1" sqref="N2:N611" xr:uid="{76C3BE6B-26DF-439F-9E13-51E8583DCD9D}">
      <formula1>$X$10:$X$12</formula1>
    </dataValidation>
    <dataValidation type="list" allowBlank="1" showInputMessage="1" promptTitle="Guia" prompt="Si tiene dudas sobre que dato colocar consulte las siguientes tablas y no olvide revisar los comentarios_x000a__x000a_" sqref="F2:F139" xr:uid="{BB24F2EE-3B52-4F7C-9F3F-FF565C40DC4D}">
      <formula1>INDIRECT($E$2:$E$611)</formula1>
    </dataValidation>
    <dataValidation type="whole" allowBlank="1" showInputMessage="1" showErrorMessage="1" sqref="D2:D139" xr:uid="{9D03EFF6-EC17-40E5-B3D7-61EA29A93461}">
      <formula1>1</formula1>
      <formula2>100</formula2>
    </dataValidation>
    <dataValidation type="list" allowBlank="1" showInputMessage="1" showErrorMessage="1" sqref="O2:O611" xr:uid="{1EAF8D76-6975-41EA-8E8E-BC708003277F}">
      <formula1>$V$2:$V$4</formula1>
    </dataValidation>
  </dataValidations>
  <pageMargins left="0.7" right="0.7" top="0.75" bottom="0.75" header="0.3" footer="0.3"/>
  <legacyDrawing r:id="rId1"/>
  <tableParts count="4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6041D-37EA-4CEE-BEAD-48A75D07F370}">
          <x14:formula1>
            <xm:f>Hoja2!$B$3:$B$78</xm:f>
          </x14:formula1>
          <xm:sqref>B35:B611</xm:sqref>
        </x14:dataValidation>
        <x14:dataValidation type="list" allowBlank="1" showInputMessage="1" showErrorMessage="1" xr:uid="{C96AEA1A-2AD9-43F7-9DDC-0BA0D9BB06C9}">
          <x14:formula1>
            <xm:f>Hoja2!$B$3:$B$79</xm:f>
          </x14:formula1>
          <xm:sqref>B2:B34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4C42E-1D65-4E1C-BD24-2E378E85A40B}">
  <dimension ref="B1:BO618"/>
  <sheetViews>
    <sheetView tabSelected="1" topLeftCell="A73" zoomScale="85" zoomScaleNormal="85" workbookViewId="0">
      <pane xSplit="3" topLeftCell="I1" activePane="topRight" state="frozen"/>
      <selection pane="topRight" activeCell="J77" sqref="J77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8" width="36.33203125" customWidth="1"/>
    <col min="9" max="9" width="18.88671875" customWidth="1"/>
    <col min="10" max="10" width="13.88671875" customWidth="1"/>
    <col min="11" max="11" width="15.109375" customWidth="1"/>
    <col min="12" max="12" width="22.6640625" customWidth="1"/>
    <col min="13" max="13" width="21.33203125" customWidth="1"/>
    <col min="14" max="14" width="23.109375" customWidth="1"/>
    <col min="15" max="15" width="17.44140625" customWidth="1"/>
    <col min="16" max="16" width="24.109375" customWidth="1"/>
    <col min="17" max="17" width="18.6640625" customWidth="1"/>
    <col min="18" max="18" width="43.6640625" customWidth="1"/>
    <col min="19" max="19" width="15.6640625" customWidth="1"/>
    <col min="20" max="20" width="11.6640625" customWidth="1"/>
    <col min="21" max="21" width="18.6640625" customWidth="1"/>
    <col min="24" max="24" width="11.33203125" customWidth="1"/>
    <col min="26" max="26" width="19.5546875" customWidth="1"/>
    <col min="27" max="27" width="23.44140625" bestFit="1" customWidth="1"/>
    <col min="28" max="28" width="21.33203125" customWidth="1"/>
    <col min="29" max="29" width="22.33203125" customWidth="1"/>
    <col min="30" max="30" width="24" customWidth="1"/>
    <col min="31" max="31" width="24.44140625" customWidth="1"/>
    <col min="32" max="32" width="26.109375" customWidth="1"/>
    <col min="33" max="33" width="23.6640625" customWidth="1"/>
    <col min="34" max="34" width="24" customWidth="1"/>
    <col min="35" max="35" width="21.33203125" customWidth="1"/>
    <col min="36" max="36" width="21.109375" customWidth="1"/>
    <col min="37" max="37" width="19.44140625" bestFit="1" customWidth="1"/>
    <col min="38" max="38" width="22.5546875" customWidth="1"/>
    <col min="39" max="39" width="29.6640625" customWidth="1"/>
    <col min="40" max="40" width="25" customWidth="1"/>
    <col min="41" max="41" width="26.6640625" customWidth="1"/>
    <col min="42" max="42" width="28.33203125" customWidth="1"/>
    <col min="43" max="43" width="27.109375" customWidth="1"/>
    <col min="44" max="46" width="33.6640625" customWidth="1"/>
    <col min="47" max="47" width="22.5546875" customWidth="1"/>
    <col min="48" max="48" width="26.109375" customWidth="1"/>
    <col min="49" max="49" width="25.33203125" customWidth="1"/>
    <col min="50" max="50" width="21.109375" customWidth="1"/>
    <col min="51" max="51" width="19" customWidth="1"/>
    <col min="52" max="52" width="15.5546875" customWidth="1"/>
    <col min="53" max="53" width="18.33203125" customWidth="1"/>
    <col min="54" max="54" width="18.109375" customWidth="1"/>
  </cols>
  <sheetData>
    <row r="1" spans="2:67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7" t="s">
        <v>633</v>
      </c>
      <c r="H1" s="37" t="s">
        <v>632</v>
      </c>
      <c r="I1" s="36" t="s">
        <v>205</v>
      </c>
      <c r="J1" s="36" t="s">
        <v>206</v>
      </c>
      <c r="K1" s="36" t="s">
        <v>342</v>
      </c>
      <c r="L1" s="37" t="s">
        <v>207</v>
      </c>
      <c r="M1" s="37" t="s">
        <v>343</v>
      </c>
      <c r="N1" s="37" t="s">
        <v>208</v>
      </c>
      <c r="O1" s="37" t="s">
        <v>209</v>
      </c>
      <c r="P1" s="37" t="s">
        <v>210</v>
      </c>
      <c r="Q1" s="38" t="s">
        <v>211</v>
      </c>
      <c r="R1" s="37" t="s">
        <v>212</v>
      </c>
      <c r="S1" s="39"/>
      <c r="T1" s="40" t="s">
        <v>213</v>
      </c>
      <c r="U1" s="41" t="s">
        <v>201</v>
      </c>
      <c r="W1" s="42" t="s">
        <v>213</v>
      </c>
      <c r="X1" s="43" t="s">
        <v>211</v>
      </c>
      <c r="Z1" s="44" t="s">
        <v>213</v>
      </c>
      <c r="AA1" s="45" t="s">
        <v>214</v>
      </c>
      <c r="AC1" s="46"/>
      <c r="AD1" s="1" t="s">
        <v>4</v>
      </c>
      <c r="AE1" s="2" t="s">
        <v>5</v>
      </c>
      <c r="AF1" s="3" t="s">
        <v>6</v>
      </c>
      <c r="AG1" s="2" t="s">
        <v>7</v>
      </c>
      <c r="AH1" s="3" t="s">
        <v>8</v>
      </c>
      <c r="AI1" s="3" t="s">
        <v>160</v>
      </c>
      <c r="AJ1" s="2" t="s">
        <v>9</v>
      </c>
      <c r="AK1" s="4" t="s">
        <v>10</v>
      </c>
      <c r="AL1" t="s">
        <v>11</v>
      </c>
      <c r="AM1" t="s">
        <v>12</v>
      </c>
      <c r="AP1" t="s">
        <v>215</v>
      </c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</row>
    <row r="2" spans="2:67" ht="26.4" customHeight="1" x14ac:dyDescent="0.3">
      <c r="B2" t="s">
        <v>13</v>
      </c>
      <c r="C2" s="11" t="s">
        <v>177</v>
      </c>
      <c r="D2">
        <v>1</v>
      </c>
      <c r="E2" s="11" t="str" cm="1">
        <f t="array" ref="E2">_xlfn.IFS(
    COUNTIF(Herramientas_eléctricas1862106149[Herramientas_eléctricas], B2) &gt; 0, Herramientas_eléctricas1862106149[[#Headers],[Herramientas_eléctricas]],
    COUNTIF(Herramientas_neumáticas1963107150[Herramientas_neumáticas], B2) &gt; 0, Herramientas_neumáticas1963107150[[#Headers],[Herramientas_neumáticas]],
    COUNTIF(Herramientas_de_medición2064108151[Herramientas_de_medición], B2) &gt; 0, Herramientas_de_medición2064108151[[#Headers],[Herramientas_de_medición]],
    COUNTIF(Herrramientas_mecánicas2165109152[Herramientas_mecánicas], B2) &gt; 0, Herrramientas_mecánicas2165109152[[#Headers],[Herramientas_mecánicas]],
    COUNTIF(AH2:AH8, B2) &gt; 0, Herramientas_hidráulicas2266110153[[#Headers],[Herramientas_hidráulicas]],
    COUNTIF(EPP_2367111154[SPCC], B2) &gt; 0, EPP_2367111154[[#Headers],[SPCC]],
   COUNTIF(Herramientas_de_izaje2468112155[Herramientas_de_izaje], B2) &gt; 0, Herramientas_de_izaje2468112155[[#Headers],[Herramientas_de_izaje]],
COUNTIF(Tabla162670114157[Equipos], B2) &gt; 0, Tabla162670114157[[#Headers],[Equipos]],
    TRUE, "Sin clasificación"
)</f>
        <v>Herramientas_eléctricas</v>
      </c>
      <c r="F2" s="15"/>
      <c r="G2" s="15" t="s">
        <v>630</v>
      </c>
      <c r="H2" s="15" t="s">
        <v>631</v>
      </c>
      <c r="I2" s="15" t="s">
        <v>627</v>
      </c>
      <c r="J2" s="47" t="s">
        <v>629</v>
      </c>
      <c r="L2" s="47" t="s">
        <v>628</v>
      </c>
      <c r="M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ZE-SO-INS-0001</v>
      </c>
      <c r="O2" s="15"/>
      <c r="Q2" s="48"/>
      <c r="T2" s="49">
        <v>1</v>
      </c>
      <c r="U2" s="50" t="s">
        <v>171</v>
      </c>
      <c r="W2" s="51">
        <v>1</v>
      </c>
      <c r="X2" s="52" t="s">
        <v>216</v>
      </c>
      <c r="Z2" s="51">
        <v>1</v>
      </c>
      <c r="AA2" s="52" t="s">
        <v>4</v>
      </c>
      <c r="AD2" s="5" t="s">
        <v>13</v>
      </c>
      <c r="AE2" t="s">
        <v>14</v>
      </c>
      <c r="AF2" t="s">
        <v>15</v>
      </c>
      <c r="AG2" t="s">
        <v>16</v>
      </c>
      <c r="AH2" s="6" t="s">
        <v>17</v>
      </c>
      <c r="AI2" t="s">
        <v>18</v>
      </c>
      <c r="AJ2" t="s">
        <v>19</v>
      </c>
      <c r="AK2" s="6" t="s">
        <v>20</v>
      </c>
      <c r="AL2" t="s">
        <v>21</v>
      </c>
      <c r="AM2" s="7" t="s">
        <v>22</v>
      </c>
      <c r="AP2" s="25" t="s">
        <v>217</v>
      </c>
      <c r="AQ2" t="s">
        <v>218</v>
      </c>
      <c r="AR2" t="s">
        <v>219</v>
      </c>
      <c r="AS2" s="25" t="s">
        <v>220</v>
      </c>
      <c r="AT2" t="s">
        <v>221</v>
      </c>
      <c r="AZ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</row>
    <row r="3" spans="2:67" ht="29.25" customHeight="1" x14ac:dyDescent="0.3">
      <c r="B3" t="s">
        <v>13</v>
      </c>
      <c r="C3" s="11" t="s">
        <v>177</v>
      </c>
      <c r="D3">
        <v>1</v>
      </c>
      <c r="E3" s="11" t="str" cm="1">
        <f t="array" ref="E3">_xlfn.IFS(
    COUNTIF(Herramientas_eléctricas1862106149[Herramientas_eléctricas], B3) &gt; 0, Herramientas_eléctricas1862106149[[#Headers],[Herramientas_eléctricas]],
    COUNTIF(Herramientas_neumáticas1963107150[Herramientas_neumáticas], B3) &gt; 0, Herramientas_neumáticas1963107150[[#Headers],[Herramientas_neumáticas]],
    COUNTIF(Herramientas_de_medición2064108151[Herramientas_de_medición], B3) &gt; 0, Herramientas_de_medición2064108151[[#Headers],[Herramientas_de_medición]],
    COUNTIF(Herrramientas_mecánicas2165109152[Herramientas_mecánicas], B3) &gt; 0, Herrramientas_mecánicas2165109152[[#Headers],[Herramientas_mecánicas]],
    COUNTIF(AH3:AH9, B3) &gt; 0, Herramientas_hidráulicas2266110153[[#Headers],[Herramientas_hidráulicas]],
    COUNTIF(EPP_2367111154[SPCC], B3) &gt; 0, EPP_2367111154[[#Headers],[SPCC]],
   COUNTIF(Herramientas_de_izaje2468112155[Herramientas_de_izaje], B3) &gt; 0, Herramientas_de_izaje2468112155[[#Headers],[Herramientas_de_izaje]],
COUNTIF(Tabla162670114157[Equipos], B3) &gt; 0, Tabla162670114157[[#Headers],[Equipos]],
    TRUE, "Sin clasificación"
)</f>
        <v>Herramientas_eléctricas</v>
      </c>
      <c r="F3" s="15"/>
      <c r="G3" s="15">
        <v>280</v>
      </c>
      <c r="H3" s="15">
        <v>31.2</v>
      </c>
      <c r="I3" s="15" t="s">
        <v>627</v>
      </c>
      <c r="J3" s="47" t="s">
        <v>635</v>
      </c>
      <c r="L3" s="47" t="s">
        <v>634</v>
      </c>
      <c r="M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ZE-SO-INS-0002</v>
      </c>
      <c r="O3" s="15"/>
      <c r="Q3" s="48"/>
      <c r="T3" s="49">
        <v>2</v>
      </c>
      <c r="U3" s="50" t="s">
        <v>172</v>
      </c>
      <c r="W3" s="51">
        <v>2</v>
      </c>
      <c r="X3" s="52" t="s">
        <v>222</v>
      </c>
      <c r="Z3" s="51">
        <v>2</v>
      </c>
      <c r="AA3" s="53" t="s">
        <v>5</v>
      </c>
      <c r="AD3" s="6" t="s">
        <v>23</v>
      </c>
      <c r="AE3" t="s">
        <v>24</v>
      </c>
      <c r="AF3" t="s">
        <v>25</v>
      </c>
      <c r="AG3" t="s">
        <v>26</v>
      </c>
      <c r="AH3" s="6" t="s">
        <v>27</v>
      </c>
      <c r="AI3" t="s">
        <v>28</v>
      </c>
      <c r="AJ3" t="s">
        <v>29</v>
      </c>
      <c r="AL3" s="8" t="s">
        <v>30</v>
      </c>
      <c r="AM3" s="9" t="s">
        <v>31</v>
      </c>
      <c r="AP3" s="25" t="s">
        <v>223</v>
      </c>
      <c r="AQ3" t="s">
        <v>70</v>
      </c>
      <c r="AZ3" s="11"/>
      <c r="BA3" s="11"/>
      <c r="BB3" s="11"/>
      <c r="BC3" s="11"/>
      <c r="BD3" s="11"/>
      <c r="BE3" s="11"/>
      <c r="BF3" s="11"/>
      <c r="BG3" s="11"/>
      <c r="BH3" s="54"/>
      <c r="BI3" s="54"/>
      <c r="BJ3" s="11"/>
      <c r="BK3" s="11"/>
      <c r="BL3" s="11"/>
      <c r="BM3" s="11"/>
      <c r="BN3" s="11"/>
      <c r="BO3" s="11"/>
    </row>
    <row r="4" spans="2:67" ht="33" customHeight="1" x14ac:dyDescent="0.3">
      <c r="B4" t="s">
        <v>13</v>
      </c>
      <c r="C4" s="11" t="s">
        <v>177</v>
      </c>
      <c r="D4">
        <v>1</v>
      </c>
      <c r="E4" s="11" t="str" cm="1">
        <f t="array" ref="E4">_xlfn.IFS(
    COUNTIF(Herramientas_eléctricas1862106149[Herramientas_eléctricas], B4) &gt; 0, Herramientas_eléctricas1862106149[[#Headers],[Herramientas_eléctricas]],
    COUNTIF(Herramientas_neumáticas1963107150[Herramientas_neumáticas], B4) &gt; 0, Herramientas_neumáticas1963107150[[#Headers],[Herramientas_neumáticas]],
    COUNTIF(Herramientas_de_medición2064108151[Herramientas_de_medición], B4) &gt; 0, Herramientas_de_medición2064108151[[#Headers],[Herramientas_de_medición]],
    COUNTIF(Herrramientas_mecánicas2165109152[Herramientas_mecánicas], B4) &gt; 0, Herrramientas_mecánicas2165109152[[#Headers],[Herramientas_mecánicas]],
    COUNTIF(AH4:AH10, B4) &gt; 0, Herramientas_hidráulicas2266110153[[#Headers],[Herramientas_hidráulicas]],
    COUNTIF(EPP_2367111154[SPCC], B4) &gt; 0, EPP_2367111154[[#Headers],[SPCC]],
   COUNTIF(Herramientas_de_izaje2468112155[Herramientas_de_izaje], B4) &gt; 0, Herramientas_de_izaje2468112155[[#Headers],[Herramientas_de_izaje]],
COUNTIF(Tabla162670114157[Equipos], B4) &gt; 0, Tabla162670114157[[#Headers],[Equipos]],
    TRUE, "Sin clasificación"
)</f>
        <v>Herramientas_eléctricas</v>
      </c>
      <c r="F4" s="15"/>
      <c r="G4" s="15">
        <v>230</v>
      </c>
      <c r="H4" s="15">
        <v>21.7</v>
      </c>
      <c r="I4" s="15" t="s">
        <v>638</v>
      </c>
      <c r="J4" s="47" t="s">
        <v>637</v>
      </c>
      <c r="L4" s="47" t="s">
        <v>636</v>
      </c>
      <c r="M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ZE-SO-INS-0003</v>
      </c>
      <c r="O4" s="15"/>
      <c r="Q4" s="48"/>
      <c r="T4" s="49">
        <v>3</v>
      </c>
      <c r="U4" s="50" t="s">
        <v>173</v>
      </c>
      <c r="W4" s="55">
        <v>3</v>
      </c>
      <c r="X4" s="56" t="s">
        <v>224</v>
      </c>
      <c r="Z4" s="51">
        <v>3</v>
      </c>
      <c r="AA4" s="53" t="s">
        <v>6</v>
      </c>
      <c r="AD4" s="10" t="s">
        <v>32</v>
      </c>
      <c r="AE4" t="s">
        <v>33</v>
      </c>
      <c r="AF4" t="s">
        <v>34</v>
      </c>
      <c r="AG4" t="s">
        <v>35</v>
      </c>
      <c r="AH4" s="5" t="s">
        <v>36</v>
      </c>
      <c r="AI4" s="11" t="s">
        <v>37</v>
      </c>
      <c r="AJ4" t="s">
        <v>38</v>
      </c>
      <c r="AL4" s="11" t="s">
        <v>39</v>
      </c>
      <c r="AM4" s="7" t="s">
        <v>40</v>
      </c>
      <c r="AP4" s="25" t="s">
        <v>225</v>
      </c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</row>
    <row r="5" spans="2:67" x14ac:dyDescent="0.3">
      <c r="B5" t="s">
        <v>13</v>
      </c>
      <c r="C5" s="11" t="s">
        <v>176</v>
      </c>
      <c r="D5">
        <v>1</v>
      </c>
      <c r="E5" s="11" t="str" cm="1">
        <f t="array" ref="E5">_xlfn.IFS(
    COUNTIF(Herramientas_eléctricas1862106149[Herramientas_eléctricas], B5) &gt; 0, Herramientas_eléctricas1862106149[[#Headers],[Herramientas_eléctricas]],
    COUNTIF(Herramientas_neumáticas1963107150[Herramientas_neumáticas], B5) &gt; 0, Herramientas_neumáticas1963107150[[#Headers],[Herramientas_neumáticas]],
    COUNTIF(Herramientas_de_medición2064108151[Herramientas_de_medición], B5) &gt; 0, Herramientas_de_medición2064108151[[#Headers],[Herramientas_de_medición]],
    COUNTIF(Herrramientas_mecánicas2165109152[Herramientas_mecánicas], B5) &gt; 0, Herrramientas_mecánicas2165109152[[#Headers],[Herramientas_mecánicas]],
    COUNTIF(AH5:AH11, B5) &gt; 0, Herramientas_hidráulicas2266110153[[#Headers],[Herramientas_hidráulicas]],
    COUNTIF(EPP_2367111154[SPCC], B5) &gt; 0, EPP_2367111154[[#Headers],[SPCC]],
   COUNTIF(Herramientas_de_izaje2468112155[Herramientas_de_izaje], B5) &gt; 0, Herramientas_de_izaje2468112155[[#Headers],[Herramientas_de_izaje]],
COUNTIF(Tabla162670114157[Equipos], B5) &gt; 0, Tabla162670114157[[#Headers],[Equipos]],
    TRUE, "Sin clasificación"
)</f>
        <v>Herramientas_eléctricas</v>
      </c>
      <c r="F5" s="15"/>
      <c r="G5" s="15" t="s">
        <v>693</v>
      </c>
      <c r="H5" s="15" t="s">
        <v>692</v>
      </c>
      <c r="I5" s="15" t="s">
        <v>627</v>
      </c>
      <c r="J5" s="47" t="s">
        <v>689</v>
      </c>
      <c r="K5" t="s">
        <v>690</v>
      </c>
      <c r="L5" s="47" t="s">
        <v>691</v>
      </c>
      <c r="M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ZE-SO-ELT-0001</v>
      </c>
      <c r="O5" s="15"/>
      <c r="Q5" s="48"/>
      <c r="T5" s="49">
        <v>4</v>
      </c>
      <c r="U5" s="50" t="s">
        <v>174</v>
      </c>
      <c r="Z5" s="51">
        <v>4</v>
      </c>
      <c r="AA5" s="53" t="s">
        <v>7</v>
      </c>
      <c r="AD5" t="s">
        <v>41</v>
      </c>
      <c r="AE5" t="s">
        <v>42</v>
      </c>
      <c r="AF5" t="s">
        <v>43</v>
      </c>
      <c r="AG5" t="s">
        <v>44</v>
      </c>
      <c r="AH5" s="5" t="s">
        <v>45</v>
      </c>
      <c r="AJ5" t="s">
        <v>46</v>
      </c>
      <c r="AL5" s="12" t="s">
        <v>47</v>
      </c>
      <c r="AM5" s="9" t="s">
        <v>48</v>
      </c>
      <c r="AP5" s="25" t="s">
        <v>226</v>
      </c>
      <c r="AQ5" t="s">
        <v>80</v>
      </c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</row>
    <row r="6" spans="2:67" ht="30" customHeight="1" x14ac:dyDescent="0.3">
      <c r="B6" t="s">
        <v>13</v>
      </c>
      <c r="C6" s="11" t="s">
        <v>176</v>
      </c>
      <c r="D6">
        <v>1</v>
      </c>
      <c r="E6" s="11" t="str" cm="1">
        <f t="array" ref="E6">_xlfn.IFS(
    COUNTIF(Herramientas_eléctricas1862106149[Herramientas_eléctricas], B6) &gt; 0, Herramientas_eléctricas1862106149[[#Headers],[Herramientas_eléctricas]],
    COUNTIF(Herramientas_neumáticas1963107150[Herramientas_neumáticas], B6) &gt; 0, Herramientas_neumáticas1963107150[[#Headers],[Herramientas_neumáticas]],
    COUNTIF(Herramientas_de_medición2064108151[Herramientas_de_medición], B6) &gt; 0, Herramientas_de_medición2064108151[[#Headers],[Herramientas_de_medición]],
    COUNTIF(Herrramientas_mecánicas2165109152[Herramientas_mecánicas], B6) &gt; 0, Herrramientas_mecánicas2165109152[[#Headers],[Herramientas_mecánicas]],
    COUNTIF(AH6:AH12, B6) &gt; 0, Herramientas_hidráulicas2266110153[[#Headers],[Herramientas_hidráulicas]],
    COUNTIF(EPP_2367111154[SPCC], B6) &gt; 0, EPP_2367111154[[#Headers],[SPCC]],
   COUNTIF(Herramientas_de_izaje2468112155[Herramientas_de_izaje], B6) &gt; 0, Herramientas_de_izaje2468112155[[#Headers],[Herramientas_de_izaje]],
COUNTIF(Tabla162670114157[Equipos], B6) &gt; 0, Tabla162670114157[[#Headers],[Equipos]],
    TRUE, "Sin clasificación"
)</f>
        <v>Herramientas_eléctricas</v>
      </c>
      <c r="F6" s="15"/>
      <c r="G6" s="15">
        <v>230</v>
      </c>
      <c r="H6" s="15">
        <v>41</v>
      </c>
      <c r="I6" s="15" t="s">
        <v>627</v>
      </c>
      <c r="J6" s="47" t="s">
        <v>696</v>
      </c>
      <c r="K6" t="s">
        <v>697</v>
      </c>
      <c r="L6" s="47" t="s">
        <v>573</v>
      </c>
      <c r="M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ZE-SO-ELT-0002</v>
      </c>
      <c r="O6" s="15"/>
      <c r="Q6" s="48"/>
      <c r="T6" s="49">
        <v>5</v>
      </c>
      <c r="U6" s="50" t="s">
        <v>175</v>
      </c>
      <c r="Z6" s="51">
        <v>5</v>
      </c>
      <c r="AA6" s="53" t="s">
        <v>8</v>
      </c>
      <c r="AD6" t="s">
        <v>49</v>
      </c>
      <c r="AE6" t="s">
        <v>36</v>
      </c>
      <c r="AF6" t="s">
        <v>50</v>
      </c>
      <c r="AG6" t="s">
        <v>51</v>
      </c>
      <c r="AH6" s="5" t="s">
        <v>52</v>
      </c>
      <c r="AL6" t="s">
        <v>53</v>
      </c>
      <c r="AM6" s="7" t="s">
        <v>54</v>
      </c>
      <c r="AP6" s="25" t="s">
        <v>227</v>
      </c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</row>
    <row r="7" spans="2:67" ht="30" customHeight="1" x14ac:dyDescent="0.3">
      <c r="B7" t="s">
        <v>13</v>
      </c>
      <c r="C7" s="11" t="s">
        <v>176</v>
      </c>
      <c r="D7">
        <v>1</v>
      </c>
      <c r="E7" s="11" t="str" cm="1">
        <f t="array" ref="E7">_xlfn.IFS(
    COUNTIF(Herramientas_eléctricas1862106149[Herramientas_eléctricas], B7) &gt; 0, Herramientas_eléctricas1862106149[[#Headers],[Herramientas_eléctricas]],
    COUNTIF(Herramientas_neumáticas1963107150[Herramientas_neumáticas], B7) &gt; 0, Herramientas_neumáticas1963107150[[#Headers],[Herramientas_neumáticas]],
    COUNTIF(Herramientas_de_medición2064108151[Herramientas_de_medición], B7) &gt; 0, Herramientas_de_medición2064108151[[#Headers],[Herramientas_de_medición]],
    COUNTIF(Herrramientas_mecánicas2165109152[Herramientas_mecánicas], B7) &gt; 0, Herrramientas_mecánicas2165109152[[#Headers],[Herramientas_mecánicas]],
    COUNTIF(AH7:AH13, B7) &gt; 0, Herramientas_hidráulicas2266110153[[#Headers],[Herramientas_hidráulicas]],
    COUNTIF(EPP_2367111154[SPCC], B7) &gt; 0, EPP_2367111154[[#Headers],[SPCC]],
   COUNTIF(Herramientas_de_izaje2468112155[Herramientas_de_izaje], B7) &gt; 0, Herramientas_de_izaje2468112155[[#Headers],[Herramientas_de_izaje]],
COUNTIF(Tabla162670114157[Equipos], B7) &gt; 0, Tabla162670114157[[#Headers],[Equipos]],
    TRUE, "Sin clasificación"
)</f>
        <v>Herramientas_eléctricas</v>
      </c>
      <c r="F7" s="15"/>
      <c r="G7" s="15">
        <v>350</v>
      </c>
      <c r="H7" s="15">
        <v>180</v>
      </c>
      <c r="I7" s="15" t="s">
        <v>627</v>
      </c>
      <c r="J7" s="47" t="s">
        <v>573</v>
      </c>
      <c r="K7" t="s">
        <v>699</v>
      </c>
      <c r="L7" s="47" t="s">
        <v>698</v>
      </c>
      <c r="M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ZE-SO-ELT-0003</v>
      </c>
      <c r="O7" s="15"/>
      <c r="Q7" s="48"/>
      <c r="T7" s="49">
        <v>6</v>
      </c>
      <c r="U7" s="50" t="s">
        <v>176</v>
      </c>
      <c r="Z7" s="55">
        <v>6</v>
      </c>
      <c r="AA7" s="56" t="s">
        <v>10</v>
      </c>
      <c r="AD7" t="s">
        <v>55</v>
      </c>
      <c r="AF7" s="11" t="s">
        <v>56</v>
      </c>
      <c r="AG7" s="5" t="s">
        <v>57</v>
      </c>
      <c r="AH7" t="s">
        <v>58</v>
      </c>
      <c r="AM7" s="13" t="s">
        <v>59</v>
      </c>
      <c r="AP7" s="15" t="s">
        <v>228</v>
      </c>
      <c r="AQ7" s="15" t="s">
        <v>229</v>
      </c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</row>
    <row r="8" spans="2:67" ht="33.6" customHeight="1" x14ac:dyDescent="0.3">
      <c r="B8" t="s">
        <v>13</v>
      </c>
      <c r="C8" s="11" t="s">
        <v>175</v>
      </c>
      <c r="D8">
        <v>1</v>
      </c>
      <c r="E8" s="11" t="str" cm="1">
        <f t="array" ref="E8">_xlfn.IFS(
    COUNTIF(Herramientas_eléctricas1862106149[Herramientas_eléctricas], B8) &gt; 0, Herramientas_eléctricas1862106149[[#Headers],[Herramientas_eléctricas]],
    COUNTIF(Herramientas_neumáticas1963107150[Herramientas_neumáticas], B8) &gt; 0, Herramientas_neumáticas1963107150[[#Headers],[Herramientas_neumáticas]],
    COUNTIF(Herramientas_de_medición2064108151[Herramientas_de_medición], B8) &gt; 0, Herramientas_de_medición2064108151[[#Headers],[Herramientas_de_medición]],
    COUNTIF(Herrramientas_mecánicas2165109152[Herramientas_mecánicas], B8) &gt; 0, Herrramientas_mecánicas2165109152[[#Headers],[Herramientas_mecánicas]],
    COUNTIF(AH8:AH14, B8) &gt; 0, Herramientas_hidráulicas2266110153[[#Headers],[Herramientas_hidráulicas]],
    COUNTIF(EPP_2367111154[SPCC], B8) &gt; 0, EPP_2367111154[[#Headers],[SPCC]],
   COUNTIF(Herramientas_de_izaje2468112155[Herramientas_de_izaje], B8) &gt; 0, Herramientas_de_izaje2468112155[[#Headers],[Herramientas_de_izaje]],
COUNTIF(Tabla162670114157[Equipos], B8) &gt; 0, Tabla162670114157[[#Headers],[Equipos]],
    TRUE, "Sin clasificación"
)</f>
        <v>Herramientas_eléctricas</v>
      </c>
      <c r="F8" s="15"/>
      <c r="G8" s="15" t="s">
        <v>707</v>
      </c>
      <c r="H8" s="15" t="s">
        <v>708</v>
      </c>
      <c r="I8" s="15" t="s">
        <v>638</v>
      </c>
      <c r="J8" s="47" t="s">
        <v>635</v>
      </c>
      <c r="L8" s="47" t="s">
        <v>573</v>
      </c>
      <c r="M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ZE-SO-LU-0001</v>
      </c>
      <c r="O8" s="15"/>
      <c r="Q8" s="48"/>
      <c r="T8" s="49">
        <v>7</v>
      </c>
      <c r="U8" s="50" t="s">
        <v>177</v>
      </c>
      <c r="AD8" t="s">
        <v>60</v>
      </c>
      <c r="AF8" s="11" t="s">
        <v>61</v>
      </c>
      <c r="AG8" t="s">
        <v>62</v>
      </c>
      <c r="AH8" t="s">
        <v>35</v>
      </c>
      <c r="AM8" s="14" t="s">
        <v>63</v>
      </c>
      <c r="AP8" s="25" t="s">
        <v>230</v>
      </c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</row>
    <row r="9" spans="2:67" ht="30" customHeight="1" x14ac:dyDescent="0.3">
      <c r="B9" t="s">
        <v>13</v>
      </c>
      <c r="C9" s="11" t="s">
        <v>175</v>
      </c>
      <c r="D9">
        <v>1</v>
      </c>
      <c r="E9" s="11" t="str" cm="1">
        <f t="array" ref="E9">_xlfn.IFS(
    COUNTIF(Herramientas_eléctricas1862106149[Herramientas_eléctricas], B9) &gt; 0, Herramientas_eléctricas1862106149[[#Headers],[Herramientas_eléctricas]],
    COUNTIF(Herramientas_neumáticas1963107150[Herramientas_neumáticas], B9) &gt; 0, Herramientas_neumáticas1963107150[[#Headers],[Herramientas_neumáticas]],
    COUNTIF(Herramientas_de_medición2064108151[Herramientas_de_medición], B9) &gt; 0, Herramientas_de_medición2064108151[[#Headers],[Herramientas_de_medición]],
    COUNTIF(Herrramientas_mecánicas2165109152[Herramientas_mecánicas], B9) &gt; 0, Herrramientas_mecánicas2165109152[[#Headers],[Herramientas_mecánicas]],
    COUNTIF(AH9:AH15, B9) &gt; 0, Herramientas_hidráulicas2266110153[[#Headers],[Herramientas_hidráulicas]],
    COUNTIF(EPP_2367111154[SPCC], B9) &gt; 0, EPP_2367111154[[#Headers],[SPCC]],
   COUNTIF(Herramientas_de_izaje2468112155[Herramientas_de_izaje], B9) &gt; 0, Herramientas_de_izaje2468112155[[#Headers],[Herramientas_de_izaje]],
COUNTIF(Tabla162670114157[Equipos], B9) &gt; 0, Tabla162670114157[[#Headers],[Equipos]],
    TRUE, "Sin clasificación"
)</f>
        <v>Herramientas_eléctricas</v>
      </c>
      <c r="F9" s="15"/>
      <c r="G9" s="15" t="s">
        <v>707</v>
      </c>
      <c r="H9" s="15" t="s">
        <v>708</v>
      </c>
      <c r="I9" s="15" t="s">
        <v>638</v>
      </c>
      <c r="J9" s="47" t="s">
        <v>635</v>
      </c>
      <c r="K9" t="s">
        <v>710</v>
      </c>
      <c r="L9" s="47" t="s">
        <v>709</v>
      </c>
      <c r="M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ZE-SO-LU-0002</v>
      </c>
      <c r="O9" s="15"/>
      <c r="Q9" s="48"/>
      <c r="T9" s="49">
        <v>8</v>
      </c>
      <c r="U9" s="57" t="s">
        <v>178</v>
      </c>
      <c r="Z9" s="58" t="s">
        <v>210</v>
      </c>
      <c r="AD9" t="s">
        <v>64</v>
      </c>
      <c r="AF9" s="15" t="s">
        <v>65</v>
      </c>
      <c r="AG9" t="s">
        <v>66</v>
      </c>
      <c r="AH9" s="16"/>
      <c r="AM9" s="9" t="s">
        <v>67</v>
      </c>
      <c r="AP9" s="25" t="s">
        <v>231</v>
      </c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</row>
    <row r="10" spans="2:67" ht="26.4" customHeight="1" x14ac:dyDescent="0.3">
      <c r="B10" t="s">
        <v>13</v>
      </c>
      <c r="C10" s="11" t="s">
        <v>173</v>
      </c>
      <c r="D10">
        <v>1</v>
      </c>
      <c r="E10" s="11" t="str" cm="1">
        <f t="array" ref="E10">_xlfn.IFS(
    COUNTIF(Herramientas_eléctricas1862106149[Herramientas_eléctricas], B10) &gt; 0, Herramientas_eléctricas1862106149[[#Headers],[Herramientas_eléctricas]],
    COUNTIF(Herramientas_neumáticas1963107150[Herramientas_neumáticas], B10) &gt; 0, Herramientas_neumáticas1963107150[[#Headers],[Herramientas_neumáticas]],
    COUNTIF(Herramientas_de_medición2064108151[Herramientas_de_medición], B10) &gt; 0, Herramientas_de_medición2064108151[[#Headers],[Herramientas_de_medición]],
    COUNTIF(Herrramientas_mecánicas2165109152[Herramientas_mecánicas], B10) &gt; 0, Herrramientas_mecánicas2165109152[[#Headers],[Herramientas_mecánicas]],
    COUNTIF(AH10:AH16, B10) &gt; 0, Herramientas_hidráulicas2266110153[[#Headers],[Herramientas_hidráulicas]],
    COUNTIF(EPP_2367111154[SPCC], B10) &gt; 0, EPP_2367111154[[#Headers],[SPCC]],
   COUNTIF(Herramientas_de_izaje2468112155[Herramientas_de_izaje], B10) &gt; 0, Herramientas_de_izaje2468112155[[#Headers],[Herramientas_de_izaje]],
COUNTIF(Tabla162670114157[Equipos], B10) &gt; 0, Tabla162670114157[[#Headers],[Equipos]],
    TRUE, "Sin clasificación"
)</f>
        <v>Herramientas_eléctricas</v>
      </c>
      <c r="F10" s="15"/>
      <c r="G10" s="15" t="s">
        <v>717</v>
      </c>
      <c r="H10" s="15">
        <v>225</v>
      </c>
      <c r="I10" s="15" t="s">
        <v>638</v>
      </c>
      <c r="J10" s="47" t="s">
        <v>719</v>
      </c>
      <c r="K10" t="s">
        <v>720</v>
      </c>
      <c r="L10" s="47" t="s">
        <v>718</v>
      </c>
      <c r="M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ZE-SO-FL-0001</v>
      </c>
      <c r="O10" s="15" t="s">
        <v>721</v>
      </c>
      <c r="Q10" s="48"/>
      <c r="T10" s="49">
        <v>9</v>
      </c>
      <c r="U10" s="57" t="s">
        <v>179</v>
      </c>
      <c r="Z10" s="59" t="s">
        <v>232</v>
      </c>
      <c r="AD10" s="17" t="s">
        <v>68</v>
      </c>
      <c r="AF10" s="15" t="s">
        <v>69</v>
      </c>
      <c r="AG10" t="s">
        <v>70</v>
      </c>
      <c r="AM10" s="18" t="s">
        <v>71</v>
      </c>
      <c r="AP10" s="15" t="s">
        <v>95</v>
      </c>
    </row>
    <row r="11" spans="2:67" ht="33.6" customHeight="1" x14ac:dyDescent="0.3">
      <c r="B11" t="s">
        <v>13</v>
      </c>
      <c r="C11" s="11" t="s">
        <v>173</v>
      </c>
      <c r="E11" s="11" t="str" cm="1">
        <f t="array" ref="E11">_xlfn.IFS(
    COUNTIF(Herramientas_eléctricas1862106149[Herramientas_eléctricas], B11) &gt; 0, Herramientas_eléctricas1862106149[[#Headers],[Herramientas_eléctricas]],
    COUNTIF(Herramientas_neumáticas1963107150[Herramientas_neumáticas], B11) &gt; 0, Herramientas_neumáticas1963107150[[#Headers],[Herramientas_neumáticas]],
    COUNTIF(Herramientas_de_medición2064108151[Herramientas_de_medición], B11) &gt; 0, Herramientas_de_medición2064108151[[#Headers],[Herramientas_de_medición]],
    COUNTIF(Herrramientas_mecánicas2165109152[Herramientas_mecánicas], B11) &gt; 0, Herrramientas_mecánicas2165109152[[#Headers],[Herramientas_mecánicas]],
    COUNTIF(AH11:AH17, B11) &gt; 0, Herramientas_hidráulicas2266110153[[#Headers],[Herramientas_hidráulicas]],
    COUNTIF(EPP_2367111154[SPCC], B11) &gt; 0, EPP_2367111154[[#Headers],[SPCC]],
   COUNTIF(Herramientas_de_izaje2468112155[Herramientas_de_izaje], B11) &gt; 0, Herramientas_de_izaje2468112155[[#Headers],[Herramientas_de_izaje]],
COUNTIF(Tabla162670114157[Equipos], B11) &gt; 0, Tabla162670114157[[#Headers],[Equipos]],
    TRUE, "Sin clasificación"
)</f>
        <v>Herramientas_eléctricas</v>
      </c>
      <c r="F11" s="15"/>
      <c r="G11" s="15" t="s">
        <v>723</v>
      </c>
      <c r="H11" s="15" t="s">
        <v>724</v>
      </c>
      <c r="I11" s="15" t="s">
        <v>638</v>
      </c>
      <c r="J11" s="85" t="s">
        <v>722</v>
      </c>
      <c r="L11" s="47"/>
      <c r="M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ZE-SO-FL-0002</v>
      </c>
      <c r="O11" s="15"/>
      <c r="Q11" s="48"/>
      <c r="T11" s="60">
        <v>10</v>
      </c>
      <c r="U11" s="61" t="s">
        <v>180</v>
      </c>
      <c r="Z11" s="59" t="s">
        <v>233</v>
      </c>
      <c r="AD11" s="8" t="s">
        <v>72</v>
      </c>
      <c r="AF11" s="15" t="s">
        <v>73</v>
      </c>
      <c r="AG11" t="s">
        <v>74</v>
      </c>
      <c r="AM11" s="18" t="s">
        <v>75</v>
      </c>
      <c r="BA11" s="62"/>
    </row>
    <row r="12" spans="2:67" ht="28.8" x14ac:dyDescent="0.3">
      <c r="B12" t="s">
        <v>13</v>
      </c>
      <c r="C12" s="11" t="s">
        <v>173</v>
      </c>
      <c r="E12" s="11" t="str" cm="1">
        <f t="array" ref="E12">_xlfn.IFS(
    COUNTIF(Herramientas_eléctricas1862106149[Herramientas_eléctricas], B12) &gt; 0, Herramientas_eléctricas1862106149[[#Headers],[Herramientas_eléctricas]],
    COUNTIF(Herramientas_neumáticas1963107150[Herramientas_neumáticas], B12) &gt; 0, Herramientas_neumáticas1963107150[[#Headers],[Herramientas_neumáticas]],
    COUNTIF(Herramientas_de_medición2064108151[Herramientas_de_medición], B12) &gt; 0, Herramientas_de_medición2064108151[[#Headers],[Herramientas_de_medición]],
    COUNTIF(Herrramientas_mecánicas2165109152[Herramientas_mecánicas], B12) &gt; 0, Herrramientas_mecánicas2165109152[[#Headers],[Herramientas_mecánicas]],
    COUNTIF(AH12:AH18, B12) &gt; 0, Herramientas_hidráulicas2266110153[[#Headers],[Herramientas_hidráulicas]],
    COUNTIF(EPP_2367111154[SPCC], B12) &gt; 0, EPP_2367111154[[#Headers],[SPCC]],
   COUNTIF(Herramientas_de_izaje2468112155[Herramientas_de_izaje], B12) &gt; 0, Herramientas_de_izaje2468112155[[#Headers],[Herramientas_de_izaje]],
COUNTIF(Tabla162670114157[Equipos], B12) &gt; 0, Tabla162670114157[[#Headers],[Equipos]],
    TRUE, "Sin clasificación"
)</f>
        <v>Herramientas_eléctricas</v>
      </c>
      <c r="F12" s="15"/>
      <c r="G12" s="15">
        <v>230</v>
      </c>
      <c r="H12" s="15" t="s">
        <v>727</v>
      </c>
      <c r="I12" s="15" t="s">
        <v>627</v>
      </c>
      <c r="J12" s="47" t="s">
        <v>725</v>
      </c>
      <c r="K12" t="s">
        <v>726</v>
      </c>
      <c r="L12" s="47"/>
      <c r="M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ZE-SO-FL-0003</v>
      </c>
      <c r="O12" s="15" t="s">
        <v>728</v>
      </c>
      <c r="Q12" s="48"/>
      <c r="T12" s="60">
        <v>11</v>
      </c>
      <c r="U12" s="61" t="s">
        <v>181</v>
      </c>
      <c r="Z12" s="33" t="s">
        <v>234</v>
      </c>
      <c r="AD12" t="s">
        <v>19</v>
      </c>
      <c r="AE12" t="s">
        <v>76</v>
      </c>
      <c r="AF12" s="15" t="s">
        <v>77</v>
      </c>
      <c r="AG12" t="s">
        <v>78</v>
      </c>
      <c r="AM12" s="19" t="s">
        <v>79</v>
      </c>
      <c r="AP12" s="11"/>
    </row>
    <row r="13" spans="2:67" x14ac:dyDescent="0.3">
      <c r="B13" t="s">
        <v>13</v>
      </c>
      <c r="C13" s="11" t="s">
        <v>173</v>
      </c>
      <c r="E13" s="11" t="str" cm="1">
        <f t="array" ref="E13">_xlfn.IFS(
    COUNTIF(Herramientas_eléctricas1862106149[Herramientas_eléctricas], B13) &gt; 0, Herramientas_eléctricas1862106149[[#Headers],[Herramientas_eléctricas]],
    COUNTIF(Herramientas_neumáticas1963107150[Herramientas_neumáticas], B13) &gt; 0, Herramientas_neumáticas1963107150[[#Headers],[Herramientas_neumáticas]],
    COUNTIF(Herramientas_de_medición2064108151[Herramientas_de_medición], B13) &gt; 0, Herramientas_de_medición2064108151[[#Headers],[Herramientas_de_medición]],
    COUNTIF(Herrramientas_mecánicas2165109152[Herramientas_mecánicas], B13) &gt; 0, Herrramientas_mecánicas2165109152[[#Headers],[Herramientas_mecánicas]],
    COUNTIF(AH13:AH19, B13) &gt; 0, Herramientas_hidráulicas2266110153[[#Headers],[Herramientas_hidráulicas]],
    COUNTIF(EPP_2367111154[SPCC], B13) &gt; 0, EPP_2367111154[[#Headers],[SPCC]],
   COUNTIF(Herramientas_de_izaje2468112155[Herramientas_de_izaje], B13) &gt; 0, Herramientas_de_izaje2468112155[[#Headers],[Herramientas_de_izaje]],
COUNTIF(Tabla162670114157[Equipos], B13) &gt; 0, Tabla162670114157[[#Headers],[Equipos]],
    TRUE, "Sin clasificación"
)</f>
        <v>Herramientas_eléctricas</v>
      </c>
      <c r="F13" s="15"/>
      <c r="G13" s="15"/>
      <c r="H13" s="15"/>
      <c r="I13" s="15" t="s">
        <v>627</v>
      </c>
      <c r="J13" s="47" t="s">
        <v>629</v>
      </c>
      <c r="L13" s="47"/>
      <c r="M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ZE-SO-FL-0004</v>
      </c>
      <c r="O13" s="15"/>
      <c r="Q13" s="48"/>
      <c r="AD13" t="s">
        <v>80</v>
      </c>
      <c r="AF13" s="15" t="s">
        <v>81</v>
      </c>
      <c r="AG13" t="s">
        <v>82</v>
      </c>
      <c r="AM13" s="20" t="s">
        <v>83</v>
      </c>
      <c r="AP13" s="11"/>
      <c r="AU13" s="11"/>
    </row>
    <row r="14" spans="2:67" x14ac:dyDescent="0.3">
      <c r="B14" t="s">
        <v>13</v>
      </c>
      <c r="C14" s="11" t="s">
        <v>173</v>
      </c>
      <c r="E14" s="11" t="str" cm="1">
        <f t="array" ref="E14">_xlfn.IFS(
    COUNTIF(Herramientas_eléctricas1862106149[Herramientas_eléctricas], B14) &gt; 0, Herramientas_eléctricas1862106149[[#Headers],[Herramientas_eléctricas]],
    COUNTIF(Herramientas_neumáticas1963107150[Herramientas_neumáticas], B14) &gt; 0, Herramientas_neumáticas1963107150[[#Headers],[Herramientas_neumáticas]],
    COUNTIF(Herramientas_de_medición2064108151[Herramientas_de_medición], B14) &gt; 0, Herramientas_de_medición2064108151[[#Headers],[Herramientas_de_medición]],
    COUNTIF(Herrramientas_mecánicas2165109152[Herramientas_mecánicas], B14) &gt; 0, Herrramientas_mecánicas2165109152[[#Headers],[Herramientas_mecánicas]],
    COUNTIF(AH14:AH20, B14) &gt; 0, Herramientas_hidráulicas2266110153[[#Headers],[Herramientas_hidráulicas]],
    COUNTIF(EPP_2367111154[SPCC], B14) &gt; 0, EPP_2367111154[[#Headers],[SPCC]],
   COUNTIF(Herramientas_de_izaje2468112155[Herramientas_de_izaje], B14) &gt; 0, Herramientas_de_izaje2468112155[[#Headers],[Herramientas_de_izaje]],
COUNTIF(Tabla162670114157[Equipos], B14) &gt; 0, Tabla162670114157[[#Headers],[Equipos]],
    TRUE, "Sin clasificación"
)</f>
        <v>Herramientas_eléctricas</v>
      </c>
      <c r="F14" s="15"/>
      <c r="G14" s="15"/>
      <c r="H14" s="15"/>
      <c r="I14" s="15" t="s">
        <v>627</v>
      </c>
      <c r="J14" s="47" t="s">
        <v>729</v>
      </c>
      <c r="K14">
        <v>13070</v>
      </c>
      <c r="L14" s="47" t="s">
        <v>730</v>
      </c>
      <c r="M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ZE-SO-FL-0005</v>
      </c>
      <c r="O14" s="15"/>
      <c r="Q14" s="48"/>
      <c r="AD14" t="s">
        <v>84</v>
      </c>
      <c r="AF14" s="15" t="s">
        <v>85</v>
      </c>
      <c r="AG14" t="s">
        <v>86</v>
      </c>
      <c r="AM14" s="18" t="s">
        <v>87</v>
      </c>
    </row>
    <row r="15" spans="2:67" ht="43.95" customHeight="1" x14ac:dyDescent="0.3">
      <c r="B15" t="s">
        <v>13</v>
      </c>
      <c r="C15" s="11" t="s">
        <v>173</v>
      </c>
      <c r="E15" s="11" t="str" cm="1">
        <f t="array" ref="E15">_xlfn.IFS(
    COUNTIF(Herramientas_eléctricas1862106149[Herramientas_eléctricas], B15) &gt; 0, Herramientas_eléctricas1862106149[[#Headers],[Herramientas_eléctricas]],
    COUNTIF(Herramientas_neumáticas1963107150[Herramientas_neumáticas], B15) &gt; 0, Herramientas_neumáticas1963107150[[#Headers],[Herramientas_neumáticas]],
    COUNTIF(Herramientas_de_medición2064108151[Herramientas_de_medición], B15) &gt; 0, Herramientas_de_medición2064108151[[#Headers],[Herramientas_de_medición]],
    COUNTIF(Herrramientas_mecánicas2165109152[Herramientas_mecánicas], B15) &gt; 0, Herrramientas_mecánicas2165109152[[#Headers],[Herramientas_mecánicas]],
    COUNTIF(AH15:AH21, B15) &gt; 0, Herramientas_hidráulicas2266110153[[#Headers],[Herramientas_hidráulicas]],
    COUNTIF(EPP_2367111154[SPCC], B15) &gt; 0, EPP_2367111154[[#Headers],[SPCC]],
   COUNTIF(Herramientas_de_izaje2468112155[Herramientas_de_izaje], B15) &gt; 0, Herramientas_de_izaje2468112155[[#Headers],[Herramientas_de_izaje]],
COUNTIF(Tabla162670114157[Equipos], B15) &gt; 0, Tabla162670114157[[#Headers],[Equipos]],
    TRUE, "Sin clasificación"
)</f>
        <v>Herramientas_eléctricas</v>
      </c>
      <c r="F15" s="15"/>
      <c r="G15" s="15" t="s">
        <v>616</v>
      </c>
      <c r="H15" s="15">
        <v>25</v>
      </c>
      <c r="I15" s="15" t="s">
        <v>731</v>
      </c>
      <c r="J15" s="47" t="s">
        <v>732</v>
      </c>
      <c r="K15">
        <v>250</v>
      </c>
      <c r="L15" s="47" t="s">
        <v>733</v>
      </c>
      <c r="M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ZE-SO-FL-0006</v>
      </c>
      <c r="O15" s="15" t="s">
        <v>737</v>
      </c>
      <c r="Q15" s="48"/>
      <c r="AD15" t="s">
        <v>88</v>
      </c>
      <c r="AF15" t="s">
        <v>89</v>
      </c>
      <c r="AG15" t="s">
        <v>90</v>
      </c>
      <c r="AM15" s="21" t="s">
        <v>91</v>
      </c>
      <c r="AP15" s="11"/>
    </row>
    <row r="16" spans="2:67" x14ac:dyDescent="0.3">
      <c r="B16" t="s">
        <v>13</v>
      </c>
      <c r="C16" s="11" t="s">
        <v>173</v>
      </c>
      <c r="E16" s="11" t="str" cm="1">
        <f t="array" ref="E16">_xlfn.IFS(
    COUNTIF(Herramientas_eléctricas1862106149[Herramientas_eléctricas], B16) &gt; 0, Herramientas_eléctricas1862106149[[#Headers],[Herramientas_eléctricas]],
    COUNTIF(Herramientas_neumáticas1963107150[Herramientas_neumáticas], B16) &gt; 0, Herramientas_neumáticas1963107150[[#Headers],[Herramientas_neumáticas]],
    COUNTIF(Herramientas_de_medición2064108151[Herramientas_de_medición], B16) &gt; 0, Herramientas_de_medición2064108151[[#Headers],[Herramientas_de_medición]],
    COUNTIF(Herrramientas_mecánicas2165109152[Herramientas_mecánicas], B16) &gt; 0, Herrramientas_mecánicas2165109152[[#Headers],[Herramientas_mecánicas]],
    COUNTIF(AH16:AH22, B16) &gt; 0, Herramientas_hidráulicas2266110153[[#Headers],[Herramientas_hidráulicas]],
    COUNTIF(EPP_2367111154[SPCC], B16) &gt; 0, EPP_2367111154[[#Headers],[SPCC]],
   COUNTIF(Herramientas_de_izaje2468112155[Herramientas_de_izaje], B16) &gt; 0, Herramientas_de_izaje2468112155[[#Headers],[Herramientas_de_izaje]],
COUNTIF(Tabla162670114157[Equipos], B16) &gt; 0, Tabla162670114157[[#Headers],[Equipos]],
    TRUE, "Sin clasificación"
)</f>
        <v>Herramientas_eléctricas</v>
      </c>
      <c r="F16" s="15"/>
      <c r="G16" s="15"/>
      <c r="H16" s="15"/>
      <c r="I16" s="15" t="s">
        <v>734</v>
      </c>
      <c r="J16" s="47" t="s">
        <v>735</v>
      </c>
      <c r="L16" s="47" t="s">
        <v>736</v>
      </c>
      <c r="M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ZE-SO-FL-0007</v>
      </c>
      <c r="O16" s="15"/>
      <c r="Q16" s="48"/>
      <c r="AD16" t="s">
        <v>41</v>
      </c>
      <c r="AF16" t="s">
        <v>62</v>
      </c>
      <c r="AG16" s="11" t="s">
        <v>92</v>
      </c>
      <c r="AH16" s="22"/>
      <c r="AM16" s="23" t="s">
        <v>93</v>
      </c>
    </row>
    <row r="17" spans="2:42" x14ac:dyDescent="0.3">
      <c r="B17" t="s">
        <v>13</v>
      </c>
      <c r="C17" s="11" t="s">
        <v>173</v>
      </c>
      <c r="E17" s="11" t="str" cm="1">
        <f t="array" ref="E17">_xlfn.IFS(
    COUNTIF(Herramientas_eléctricas1862106149[Herramientas_eléctricas], B17) &gt; 0, Herramientas_eléctricas1862106149[[#Headers],[Herramientas_eléctricas]],
    COUNTIF(Herramientas_neumáticas1963107150[Herramientas_neumáticas], B17) &gt; 0, Herramientas_neumáticas1963107150[[#Headers],[Herramientas_neumáticas]],
    COUNTIF(Herramientas_de_medición2064108151[Herramientas_de_medición], B17) &gt; 0, Herramientas_de_medición2064108151[[#Headers],[Herramientas_de_medición]],
    COUNTIF(Herrramientas_mecánicas2165109152[Herramientas_mecánicas], B17) &gt; 0, Herrramientas_mecánicas2165109152[[#Headers],[Herramientas_mecánicas]],
    COUNTIF(AH17:AH23, B17) &gt; 0, Herramientas_hidráulicas2266110153[[#Headers],[Herramientas_hidráulicas]],
    COUNTIF(EPP_2367111154[SPCC], B17) &gt; 0, EPP_2367111154[[#Headers],[SPCC]],
   COUNTIF(Herramientas_de_izaje2468112155[Herramientas_de_izaje], B17) &gt; 0, Herramientas_de_izaje2468112155[[#Headers],[Herramientas_de_izaje]],
COUNTIF(Tabla162670114157[Equipos], B17) &gt; 0, Tabla162670114157[[#Headers],[Equipos]],
    TRUE, "Sin clasificación"
)</f>
        <v>Herramientas_eléctricas</v>
      </c>
      <c r="F17" s="15"/>
      <c r="G17" s="15" t="s">
        <v>741</v>
      </c>
      <c r="H17" s="15" t="s">
        <v>740</v>
      </c>
      <c r="I17" s="15" t="s">
        <v>627</v>
      </c>
      <c r="J17" s="47" t="s">
        <v>738</v>
      </c>
      <c r="K17">
        <v>20</v>
      </c>
      <c r="L17" s="47" t="s">
        <v>739</v>
      </c>
      <c r="M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ZE-SO-FL-0008</v>
      </c>
      <c r="O17" s="15"/>
      <c r="Q17" s="48"/>
      <c r="AD17" s="24" t="s">
        <v>94</v>
      </c>
      <c r="AG17" s="15" t="s">
        <v>95</v>
      </c>
      <c r="AH17" s="14"/>
      <c r="AM17" s="25" t="s">
        <v>96</v>
      </c>
      <c r="AP17" s="11"/>
    </row>
    <row r="18" spans="2:42" x14ac:dyDescent="0.3">
      <c r="B18" t="s">
        <v>13</v>
      </c>
      <c r="C18" s="11" t="s">
        <v>173</v>
      </c>
      <c r="E18" s="11" t="str" cm="1">
        <f t="array" ref="E18">_xlfn.IFS(
    COUNTIF(Herramientas_eléctricas1862106149[Herramientas_eléctricas], B18) &gt; 0, Herramientas_eléctricas1862106149[[#Headers],[Herramientas_eléctricas]],
    COUNTIF(Herramientas_neumáticas1963107150[Herramientas_neumáticas], B18) &gt; 0, Herramientas_neumáticas1963107150[[#Headers],[Herramientas_neumáticas]],
    COUNTIF(Herramientas_de_medición2064108151[Herramientas_de_medición], B18) &gt; 0, Herramientas_de_medición2064108151[[#Headers],[Herramientas_de_medición]],
    COUNTIF(Herrramientas_mecánicas2165109152[Herramientas_mecánicas], B18) &gt; 0, Herrramientas_mecánicas2165109152[[#Headers],[Herramientas_mecánicas]],
    COUNTIF(AH18:AH24, B18) &gt; 0, Herramientas_hidráulicas2266110153[[#Headers],[Herramientas_hidráulicas]],
    COUNTIF(EPP_2367111154[SPCC], B18) &gt; 0, EPP_2367111154[[#Headers],[SPCC]],
   COUNTIF(Herramientas_de_izaje2468112155[Herramientas_de_izaje], B18) &gt; 0, Herramientas_de_izaje2468112155[[#Headers],[Herramientas_de_izaje]],
COUNTIF(Tabla162670114157[Equipos], B18) &gt; 0, Tabla162670114157[[#Headers],[Equipos]],
    TRUE, "Sin clasificación"
)</f>
        <v>Herramientas_eléctricas</v>
      </c>
      <c r="F18" s="15"/>
      <c r="G18" s="15" t="s">
        <v>744</v>
      </c>
      <c r="H18" s="15" t="s">
        <v>745</v>
      </c>
      <c r="I18" s="15" t="s">
        <v>742</v>
      </c>
      <c r="J18" s="47" t="s">
        <v>743</v>
      </c>
      <c r="L18" s="47"/>
      <c r="M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ZE-SO-FL-0009</v>
      </c>
      <c r="O18" s="15"/>
      <c r="Q18" s="48"/>
      <c r="AD18" t="s">
        <v>97</v>
      </c>
      <c r="AG18" t="s">
        <v>98</v>
      </c>
      <c r="AM18" s="25" t="s">
        <v>99</v>
      </c>
    </row>
    <row r="19" spans="2:42" x14ac:dyDescent="0.3">
      <c r="B19" t="s">
        <v>13</v>
      </c>
      <c r="C19" s="11" t="s">
        <v>173</v>
      </c>
      <c r="E19" s="11" t="str" cm="1">
        <f t="array" ref="E19">_xlfn.IFS(
    COUNTIF(Herramientas_eléctricas1862106149[Herramientas_eléctricas], B19) &gt; 0, Herramientas_eléctricas1862106149[[#Headers],[Herramientas_eléctricas]],
    COUNTIF(Herramientas_neumáticas1963107150[Herramientas_neumáticas], B19) &gt; 0, Herramientas_neumáticas1963107150[[#Headers],[Herramientas_neumáticas]],
    COUNTIF(Herramientas_de_medición2064108151[Herramientas_de_medición], B19) &gt; 0, Herramientas_de_medición2064108151[[#Headers],[Herramientas_de_medición]],
    COUNTIF(Herrramientas_mecánicas2165109152[Herramientas_mecánicas], B19) &gt; 0, Herrramientas_mecánicas2165109152[[#Headers],[Herramientas_mecánicas]],
    COUNTIF(AH19:AH25, B19) &gt; 0, Herramientas_hidráulicas2266110153[[#Headers],[Herramientas_hidráulicas]],
    COUNTIF(EPP_2367111154[SPCC], B19) &gt; 0, EPP_2367111154[[#Headers],[SPCC]],
   COUNTIF(Herramientas_de_izaje2468112155[Herramientas_de_izaje], B19) &gt; 0, Herramientas_de_izaje2468112155[[#Headers],[Herramientas_de_izaje]],
COUNTIF(Tabla162670114157[Equipos], B19) &gt; 0, Tabla162670114157[[#Headers],[Equipos]],
    TRUE, "Sin clasificación"
)</f>
        <v>Herramientas_eléctricas</v>
      </c>
      <c r="F19" s="15"/>
      <c r="G19" s="15" t="s">
        <v>744</v>
      </c>
      <c r="H19" s="15" t="s">
        <v>745</v>
      </c>
      <c r="I19" s="15" t="s">
        <v>742</v>
      </c>
      <c r="J19" s="47" t="s">
        <v>743</v>
      </c>
      <c r="L19" s="47"/>
      <c r="M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ZE-SO-FL-0010</v>
      </c>
      <c r="O19" s="15"/>
      <c r="Q19" s="48"/>
      <c r="AD19" t="s">
        <v>42</v>
      </c>
      <c r="AG19" s="11" t="s">
        <v>41</v>
      </c>
      <c r="AM19" t="s">
        <v>100</v>
      </c>
    </row>
    <row r="20" spans="2:42" x14ac:dyDescent="0.3">
      <c r="B20" t="s">
        <v>13</v>
      </c>
      <c r="C20" s="11" t="s">
        <v>171</v>
      </c>
      <c r="E20" s="11" t="str" cm="1">
        <f t="array" ref="E20">_xlfn.IFS(
    COUNTIF(Herramientas_eléctricas1862106149[Herramientas_eléctricas], B20) &gt; 0, Herramientas_eléctricas1862106149[[#Headers],[Herramientas_eléctricas]],
    COUNTIF(Herramientas_neumáticas1963107150[Herramientas_neumáticas], B20) &gt; 0, Herramientas_neumáticas1963107150[[#Headers],[Herramientas_neumáticas]],
    COUNTIF(Herramientas_de_medición2064108151[Herramientas_de_medición], B20) &gt; 0, Herramientas_de_medición2064108151[[#Headers],[Herramientas_de_medición]],
    COUNTIF(Herrramientas_mecánicas2165109152[Herramientas_mecánicas], B20) &gt; 0, Herrramientas_mecánicas2165109152[[#Headers],[Herramientas_mecánicas]],
    COUNTIF(AH20:AH26, B20) &gt; 0, Herramientas_hidráulicas2266110153[[#Headers],[Herramientas_hidráulicas]],
    COUNTIF(EPP_2367111154[SPCC], B20) &gt; 0, EPP_2367111154[[#Headers],[SPCC]],
   COUNTIF(Herramientas_de_izaje2468112155[Herramientas_de_izaje], B20) &gt; 0, Herramientas_de_izaje2468112155[[#Headers],[Herramientas_de_izaje]],
COUNTIF(Tabla162670114157[Equipos], B20) &gt; 0, Tabla162670114157[[#Headers],[Equipos]],
    TRUE, "Sin clasificación"
)</f>
        <v>Herramientas_eléctricas</v>
      </c>
      <c r="F20" s="15"/>
      <c r="G20" s="15" t="s">
        <v>758</v>
      </c>
      <c r="H20" s="15" t="s">
        <v>759</v>
      </c>
      <c r="I20" s="15" t="s">
        <v>627</v>
      </c>
      <c r="J20" s="47" t="s">
        <v>756</v>
      </c>
      <c r="K20" t="s">
        <v>760</v>
      </c>
      <c r="L20" s="47" t="s">
        <v>757</v>
      </c>
      <c r="M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ZE-SO-CH-0001</v>
      </c>
      <c r="O20" s="15"/>
      <c r="Q20" s="48" t="s">
        <v>224</v>
      </c>
      <c r="AD20" t="s">
        <v>101</v>
      </c>
      <c r="AG20" t="s">
        <v>102</v>
      </c>
      <c r="AM20" s="26" t="s">
        <v>103</v>
      </c>
    </row>
    <row r="21" spans="2:42" x14ac:dyDescent="0.3">
      <c r="B21" t="s">
        <v>13</v>
      </c>
      <c r="C21" s="11" t="s">
        <v>171</v>
      </c>
      <c r="E21" s="11" t="str" cm="1">
        <f t="array" ref="E21">_xlfn.IFS(
    COUNTIF(Herramientas_eléctricas1862106149[Herramientas_eléctricas], B21) &gt; 0, Herramientas_eléctricas1862106149[[#Headers],[Herramientas_eléctricas]],
    COUNTIF(Herramientas_neumáticas1963107150[Herramientas_neumáticas], B21) &gt; 0, Herramientas_neumáticas1963107150[[#Headers],[Herramientas_neumáticas]],
    COUNTIF(Herramientas_de_medición2064108151[Herramientas_de_medición], B21) &gt; 0, Herramientas_de_medición2064108151[[#Headers],[Herramientas_de_medición]],
    COUNTIF(Herrramientas_mecánicas2165109152[Herramientas_mecánicas], B21) &gt; 0, Herrramientas_mecánicas2165109152[[#Headers],[Herramientas_mecánicas]],
    COUNTIF(AH21:AH27, B21) &gt; 0, Herramientas_hidráulicas2266110153[[#Headers],[Herramientas_hidráulicas]],
    COUNTIF(EPP_2367111154[SPCC], B21) &gt; 0, EPP_2367111154[[#Headers],[SPCC]],
   COUNTIF(Herramientas_de_izaje2468112155[Herramientas_de_izaje], B21) &gt; 0, Herramientas_de_izaje2468112155[[#Headers],[Herramientas_de_izaje]],
COUNTIF(Tabla162670114157[Equipos], B21) &gt; 0, Tabla162670114157[[#Headers],[Equipos]],
    TRUE, "Sin clasificación"
)</f>
        <v>Herramientas_eléctricas</v>
      </c>
      <c r="F21" s="15"/>
      <c r="G21" s="15" t="s">
        <v>761</v>
      </c>
      <c r="H21" s="15" t="s">
        <v>762</v>
      </c>
      <c r="I21" s="15" t="s">
        <v>638</v>
      </c>
      <c r="J21" s="47" t="s">
        <v>763</v>
      </c>
      <c r="K21" t="s">
        <v>764</v>
      </c>
      <c r="L21" s="47"/>
      <c r="M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ZE-SO-CH-0002</v>
      </c>
      <c r="O21" s="15"/>
      <c r="Q21" s="48"/>
      <c r="AD21" s="6"/>
      <c r="AG21" s="6" t="s">
        <v>20</v>
      </c>
    </row>
    <row r="22" spans="2:42" x14ac:dyDescent="0.3">
      <c r="B22" t="s">
        <v>13</v>
      </c>
      <c r="C22" s="11" t="s">
        <v>171</v>
      </c>
      <c r="E22" s="11" t="str" cm="1">
        <f t="array" ref="E22">_xlfn.IFS(
    COUNTIF(Herramientas_eléctricas1862106149[Herramientas_eléctricas], B22) &gt; 0, Herramientas_eléctricas1862106149[[#Headers],[Herramientas_eléctricas]],
    COUNTIF(Herramientas_neumáticas1963107150[Herramientas_neumáticas], B22) &gt; 0, Herramientas_neumáticas1963107150[[#Headers],[Herramientas_neumáticas]],
    COUNTIF(Herramientas_de_medición2064108151[Herramientas_de_medición], B22) &gt; 0, Herramientas_de_medición2064108151[[#Headers],[Herramientas_de_medición]],
    COUNTIF(Herrramientas_mecánicas2165109152[Herramientas_mecánicas], B22) &gt; 0, Herrramientas_mecánicas2165109152[[#Headers],[Herramientas_mecánicas]],
    COUNTIF(AH22:AH28, B22) &gt; 0, Herramientas_hidráulicas2266110153[[#Headers],[Herramientas_hidráulicas]],
    COUNTIF(EPP_2367111154[SPCC], B22) &gt; 0, EPP_2367111154[[#Headers],[SPCC]],
   COUNTIF(Herramientas_de_izaje2468112155[Herramientas_de_izaje], B22) &gt; 0, Herramientas_de_izaje2468112155[[#Headers],[Herramientas_de_izaje]],
COUNTIF(Tabla162670114157[Equipos], B22) &gt; 0, Tabla162670114157[[#Headers],[Equipos]],
    TRUE, "Sin clasificación"
)</f>
        <v>Herramientas_eléctricas</v>
      </c>
      <c r="F22" s="15"/>
      <c r="G22" s="15" t="s">
        <v>765</v>
      </c>
      <c r="H22" s="15" t="s">
        <v>766</v>
      </c>
      <c r="I22" s="15" t="s">
        <v>627</v>
      </c>
      <c r="J22" s="47" t="s">
        <v>729</v>
      </c>
      <c r="K22" t="s">
        <v>767</v>
      </c>
      <c r="L22" s="47"/>
      <c r="M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ZE-SO-CH-0003</v>
      </c>
      <c r="O22" s="15"/>
      <c r="Q22" s="48"/>
    </row>
    <row r="23" spans="2:42" x14ac:dyDescent="0.3">
      <c r="B23" t="s">
        <v>13</v>
      </c>
      <c r="C23" s="11" t="s">
        <v>171</v>
      </c>
      <c r="E23" s="11" t="str" cm="1">
        <f t="array" ref="E23">_xlfn.IFS(
    COUNTIF(Herramientas_eléctricas1862106149[Herramientas_eléctricas], B23) &gt; 0, Herramientas_eléctricas1862106149[[#Headers],[Herramientas_eléctricas]],
    COUNTIF(Herramientas_neumáticas1963107150[Herramientas_neumáticas], B23) &gt; 0, Herramientas_neumáticas1963107150[[#Headers],[Herramientas_neumáticas]],
    COUNTIF(Herramientas_de_medición2064108151[Herramientas_de_medición], B23) &gt; 0, Herramientas_de_medición2064108151[[#Headers],[Herramientas_de_medición]],
    COUNTIF(Herrramientas_mecánicas2165109152[Herramientas_mecánicas], B23) &gt; 0, Herrramientas_mecánicas2165109152[[#Headers],[Herramientas_mecánicas]],
    COUNTIF(AH23:AH29, B23) &gt; 0, Herramientas_hidráulicas2266110153[[#Headers],[Herramientas_hidráulicas]],
    COUNTIF(EPP_2367111154[SPCC], B23) &gt; 0, EPP_2367111154[[#Headers],[SPCC]],
   COUNTIF(Herramientas_de_izaje2468112155[Herramientas_de_izaje], B23) &gt; 0, Herramientas_de_izaje2468112155[[#Headers],[Herramientas_de_izaje]],
COUNTIF(Tabla162670114157[Equipos], B23) &gt; 0, Tabla162670114157[[#Headers],[Equipos]],
    TRUE, "Sin clasificación"
)</f>
        <v>Herramientas_eléctricas</v>
      </c>
      <c r="F23" s="15"/>
      <c r="G23" s="15" t="s">
        <v>769</v>
      </c>
      <c r="H23" s="15" t="s">
        <v>770</v>
      </c>
      <c r="I23" s="15" t="s">
        <v>734</v>
      </c>
      <c r="J23" s="47" t="s">
        <v>768</v>
      </c>
      <c r="K23" t="s">
        <v>771</v>
      </c>
      <c r="L23" s="47"/>
      <c r="M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ZE-SO-CH-0004</v>
      </c>
      <c r="O23" s="15"/>
      <c r="Q23" s="48"/>
    </row>
    <row r="24" spans="2:42" x14ac:dyDescent="0.3">
      <c r="B24" t="s">
        <v>13</v>
      </c>
      <c r="C24" s="11" t="s">
        <v>171</v>
      </c>
      <c r="E24" s="11" t="str" cm="1">
        <f t="array" ref="E24">_xlfn.IFS(
    COUNTIF(Herramientas_eléctricas1862106149[Herramientas_eléctricas], B24) &gt; 0, Herramientas_eléctricas1862106149[[#Headers],[Herramientas_eléctricas]],
    COUNTIF(Herramientas_neumáticas1963107150[Herramientas_neumáticas], B24) &gt; 0, Herramientas_neumáticas1963107150[[#Headers],[Herramientas_neumáticas]],
    COUNTIF(Herramientas_de_medición2064108151[Herramientas_de_medición], B24) &gt; 0, Herramientas_de_medición2064108151[[#Headers],[Herramientas_de_medición]],
    COUNTIF(Herrramientas_mecánicas2165109152[Herramientas_mecánicas], B24) &gt; 0, Herrramientas_mecánicas2165109152[[#Headers],[Herramientas_mecánicas]],
    COUNTIF(AH24:AH30, B24) &gt; 0, Herramientas_hidráulicas2266110153[[#Headers],[Herramientas_hidráulicas]],
    COUNTIF(EPP_2367111154[SPCC], B24) &gt; 0, EPP_2367111154[[#Headers],[SPCC]],
   COUNTIF(Herramientas_de_izaje2468112155[Herramientas_de_izaje], B24) &gt; 0, Herramientas_de_izaje2468112155[[#Headers],[Herramientas_de_izaje]],
COUNTIF(Tabla162670114157[Equipos], B24) &gt; 0, Tabla162670114157[[#Headers],[Equipos]],
    TRUE, "Sin clasificación"
)</f>
        <v>Herramientas_eléctricas</v>
      </c>
      <c r="F24" s="15"/>
      <c r="G24" s="15"/>
      <c r="H24" s="15"/>
      <c r="I24" s="15" t="s">
        <v>627</v>
      </c>
      <c r="J24" s="47" t="s">
        <v>772</v>
      </c>
      <c r="K24" t="s">
        <v>773</v>
      </c>
      <c r="L24" s="47"/>
      <c r="M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ZE-SO-CH-0005</v>
      </c>
      <c r="O24" s="15"/>
      <c r="Q24" s="48" t="s">
        <v>224</v>
      </c>
      <c r="AN24" s="18"/>
    </row>
    <row r="25" spans="2:42" x14ac:dyDescent="0.3">
      <c r="B25" t="s">
        <v>13</v>
      </c>
      <c r="C25" s="11" t="s">
        <v>171</v>
      </c>
      <c r="E25" s="11" t="str" cm="1">
        <f t="array" ref="E25">_xlfn.IFS(
    COUNTIF(Herramientas_eléctricas1862106149[Herramientas_eléctricas], B25) &gt; 0, Herramientas_eléctricas1862106149[[#Headers],[Herramientas_eléctricas]],
    COUNTIF(Herramientas_neumáticas1963107150[Herramientas_neumáticas], B25) &gt; 0, Herramientas_neumáticas1963107150[[#Headers],[Herramientas_neumáticas]],
    COUNTIF(Herramientas_de_medición2064108151[Herramientas_de_medición], B25) &gt; 0, Herramientas_de_medición2064108151[[#Headers],[Herramientas_de_medición]],
    COUNTIF(Herrramientas_mecánicas2165109152[Herramientas_mecánicas], B25) &gt; 0, Herrramientas_mecánicas2165109152[[#Headers],[Herramientas_mecánicas]],
    COUNTIF(AH25:AH31, B25) &gt; 0, Herramientas_hidráulicas2266110153[[#Headers],[Herramientas_hidráulicas]],
    COUNTIF(EPP_2367111154[SPCC], B25) &gt; 0, EPP_2367111154[[#Headers],[SPCC]],
   COUNTIF(Herramientas_de_izaje2468112155[Herramientas_de_izaje], B25) &gt; 0, Herramientas_de_izaje2468112155[[#Headers],[Herramientas_de_izaje]],
COUNTIF(Tabla162670114157[Equipos], B25) &gt; 0, Tabla162670114157[[#Headers],[Equipos]],
    TRUE, "Sin clasificación"
)</f>
        <v>Herramientas_eléctricas</v>
      </c>
      <c r="F25" s="15"/>
      <c r="G25" s="15"/>
      <c r="H25" s="15"/>
      <c r="I25" s="15" t="s">
        <v>627</v>
      </c>
      <c r="J25" s="47" t="s">
        <v>772</v>
      </c>
      <c r="K25" t="s">
        <v>774</v>
      </c>
      <c r="L25" s="47"/>
      <c r="M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ZE-SO-CH-0006</v>
      </c>
      <c r="O25" s="15"/>
      <c r="Q25" s="48"/>
      <c r="AN25" s="22"/>
    </row>
    <row r="26" spans="2:42" x14ac:dyDescent="0.3">
      <c r="B26" t="s">
        <v>13</v>
      </c>
      <c r="C26" s="11" t="s">
        <v>172</v>
      </c>
      <c r="E26" s="11" t="str" cm="1">
        <f t="array" ref="E26">_xlfn.IFS(
    COUNTIF(Herramientas_eléctricas1862106149[Herramientas_eléctricas], B26) &gt; 0, Herramientas_eléctricas1862106149[[#Headers],[Herramientas_eléctricas]],
    COUNTIF(Herramientas_neumáticas1963107150[Herramientas_neumáticas], B26) &gt; 0, Herramientas_neumáticas1963107150[[#Headers],[Herramientas_neumáticas]],
    COUNTIF(Herramientas_de_medición2064108151[Herramientas_de_medición], B26) &gt; 0, Herramientas_de_medición2064108151[[#Headers],[Herramientas_de_medición]],
    COUNTIF(Herrramientas_mecánicas2165109152[Herramientas_mecánicas], B26) &gt; 0, Herrramientas_mecánicas2165109152[[#Headers],[Herramientas_mecánicas]],
    COUNTIF(AH26:AH32, B26) &gt; 0, Herramientas_hidráulicas2266110153[[#Headers],[Herramientas_hidráulicas]],
    COUNTIF(EPP_2367111154[SPCC], B26) &gt; 0, EPP_2367111154[[#Headers],[SPCC]],
   COUNTIF(Herramientas_de_izaje2468112155[Herramientas_de_izaje], B26) &gt; 0, Herramientas_de_izaje2468112155[[#Headers],[Herramientas_de_izaje]],
COUNTIF(Tabla162670114157[Equipos], B26) &gt; 0, Tabla162670114157[[#Headers],[Equipos]],
    TRUE, "Sin clasificación"
)</f>
        <v>Herramientas_eléctricas</v>
      </c>
      <c r="F26" s="15"/>
      <c r="G26" s="15" t="s">
        <v>824</v>
      </c>
      <c r="H26" s="15" t="s">
        <v>823</v>
      </c>
      <c r="I26" s="15" t="s">
        <v>638</v>
      </c>
      <c r="J26" s="47" t="s">
        <v>821</v>
      </c>
      <c r="K26" t="s">
        <v>822</v>
      </c>
      <c r="L26" s="47"/>
      <c r="M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ZE-SO-ML-0001</v>
      </c>
      <c r="O26" s="15"/>
      <c r="Q26" s="48" t="s">
        <v>224</v>
      </c>
      <c r="AE26" s="18"/>
      <c r="AO26" t="s">
        <v>235</v>
      </c>
    </row>
    <row r="27" spans="2:42" ht="28.8" x14ac:dyDescent="0.3">
      <c r="B27" t="s">
        <v>13</v>
      </c>
      <c r="C27" s="11" t="s">
        <v>172</v>
      </c>
      <c r="E27" s="11" t="str" cm="1">
        <f t="array" ref="E27">_xlfn.IFS(
    COUNTIF(Herramientas_eléctricas1862106149[Herramientas_eléctricas], B27) &gt; 0, Herramientas_eléctricas1862106149[[#Headers],[Herramientas_eléctricas]],
    COUNTIF(Herramientas_neumáticas1963107150[Herramientas_neumáticas], B27) &gt; 0, Herramientas_neumáticas1963107150[[#Headers],[Herramientas_neumáticas]],
    COUNTIF(Herramientas_de_medición2064108151[Herramientas_de_medición], B27) &gt; 0, Herramientas_de_medición2064108151[[#Headers],[Herramientas_de_medición]],
    COUNTIF(Herrramientas_mecánicas2165109152[Herramientas_mecánicas], B27) &gt; 0, Herrramientas_mecánicas2165109152[[#Headers],[Herramientas_mecánicas]],
    COUNTIF(AH27:AH33, B27) &gt; 0, Herramientas_hidráulicas2266110153[[#Headers],[Herramientas_hidráulicas]],
    COUNTIF(EPP_2367111154[SPCC], B27) &gt; 0, EPP_2367111154[[#Headers],[SPCC]],
   COUNTIF(Herramientas_de_izaje2468112155[Herramientas_de_izaje], B27) &gt; 0, Herramientas_de_izaje2468112155[[#Headers],[Herramientas_de_izaje]],
COUNTIF(Tabla162670114157[Equipos], B27) &gt; 0, Tabla162670114157[[#Headers],[Equipos]],
    TRUE, "Sin clasificación"
)</f>
        <v>Herramientas_eléctricas</v>
      </c>
      <c r="F27" s="15"/>
      <c r="G27" s="15" t="s">
        <v>825</v>
      </c>
      <c r="H27" s="15" t="s">
        <v>826</v>
      </c>
      <c r="I27" s="15" t="s">
        <v>638</v>
      </c>
      <c r="J27" s="47" t="s">
        <v>635</v>
      </c>
      <c r="K27">
        <v>20142</v>
      </c>
      <c r="L27" s="47" t="s">
        <v>827</v>
      </c>
      <c r="M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ZE-SO-ML-0002</v>
      </c>
      <c r="O27" s="15"/>
      <c r="Q27" s="48"/>
      <c r="AD27" s="11" t="s">
        <v>236</v>
      </c>
      <c r="AE27" s="11" t="s">
        <v>237</v>
      </c>
      <c r="AF27" s="11" t="s">
        <v>238</v>
      </c>
      <c r="AG27" s="11" t="s">
        <v>239</v>
      </c>
      <c r="AH27" s="11" t="s">
        <v>240</v>
      </c>
      <c r="AI27" s="11" t="s">
        <v>241</v>
      </c>
      <c r="AJ27" s="11" t="s">
        <v>242</v>
      </c>
      <c r="AK27" s="11" t="s">
        <v>243</v>
      </c>
      <c r="AL27" s="11" t="s">
        <v>244</v>
      </c>
      <c r="AM27" s="11" t="s">
        <v>245</v>
      </c>
    </row>
    <row r="28" spans="2:42" x14ac:dyDescent="0.3">
      <c r="B28" t="s">
        <v>13</v>
      </c>
      <c r="C28" s="11" t="s">
        <v>172</v>
      </c>
      <c r="E28" s="11" t="str" cm="1">
        <f t="array" ref="E28">_xlfn.IFS(
    COUNTIF(Herramientas_eléctricas1862106149[Herramientas_eléctricas], B28) &gt; 0, Herramientas_eléctricas1862106149[[#Headers],[Herramientas_eléctricas]],
    COUNTIF(Herramientas_neumáticas1963107150[Herramientas_neumáticas], B28) &gt; 0, Herramientas_neumáticas1963107150[[#Headers],[Herramientas_neumáticas]],
    COUNTIF(Herramientas_de_medición2064108151[Herramientas_de_medición], B28) &gt; 0, Herramientas_de_medición2064108151[[#Headers],[Herramientas_de_medición]],
    COUNTIF(Herrramientas_mecánicas2165109152[Herramientas_mecánicas], B28) &gt; 0, Herrramientas_mecánicas2165109152[[#Headers],[Herramientas_mecánicas]],
    COUNTIF(AH28:AH34, B28) &gt; 0, Herramientas_hidráulicas2266110153[[#Headers],[Herramientas_hidráulicas]],
    COUNTIF(EPP_2367111154[SPCC], B28) &gt; 0, EPP_2367111154[[#Headers],[SPCC]],
   COUNTIF(Herramientas_de_izaje2468112155[Herramientas_de_izaje], B28) &gt; 0, Herramientas_de_izaje2468112155[[#Headers],[Herramientas_de_izaje]],
COUNTIF(Tabla162670114157[Equipos], B28) &gt; 0, Tabla162670114157[[#Headers],[Equipos]],
    TRUE, "Sin clasificación"
)</f>
        <v>Herramientas_eléctricas</v>
      </c>
      <c r="F28" s="15"/>
      <c r="G28" s="15" t="s">
        <v>824</v>
      </c>
      <c r="H28" s="15" t="s">
        <v>823</v>
      </c>
      <c r="I28" s="15" t="s">
        <v>638</v>
      </c>
      <c r="J28" s="47" t="s">
        <v>821</v>
      </c>
      <c r="K28" t="s">
        <v>829</v>
      </c>
      <c r="L28" s="47" t="s">
        <v>831</v>
      </c>
      <c r="M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ZE-SO-ML-0003</v>
      </c>
      <c r="O28" s="15"/>
      <c r="Q28" s="48"/>
    </row>
    <row r="29" spans="2:42" x14ac:dyDescent="0.3">
      <c r="B29" t="s">
        <v>13</v>
      </c>
      <c r="C29" s="11" t="s">
        <v>172</v>
      </c>
      <c r="E29" s="11" t="str" cm="1">
        <f t="array" ref="E29">_xlfn.IFS(
    COUNTIF(Herramientas_eléctricas1862106149[Herramientas_eléctricas], B29) &gt; 0, Herramientas_eléctricas1862106149[[#Headers],[Herramientas_eléctricas]],
    COUNTIF(Herramientas_neumáticas1963107150[Herramientas_neumáticas], B29) &gt; 0, Herramientas_neumáticas1963107150[[#Headers],[Herramientas_neumáticas]],
    COUNTIF(Herramientas_de_medición2064108151[Herramientas_de_medición], B29) &gt; 0, Herramientas_de_medición2064108151[[#Headers],[Herramientas_de_medición]],
    COUNTIF(Herrramientas_mecánicas2165109152[Herramientas_mecánicas], B29) &gt; 0, Herrramientas_mecánicas2165109152[[#Headers],[Herramientas_mecánicas]],
    COUNTIF(AH29:AH35, B29) &gt; 0, Herramientas_hidráulicas2266110153[[#Headers],[Herramientas_hidráulicas]],
    COUNTIF(EPP_2367111154[SPCC], B29) &gt; 0, EPP_2367111154[[#Headers],[SPCC]],
   COUNTIF(Herramientas_de_izaje2468112155[Herramientas_de_izaje], B29) &gt; 0, Herramientas_de_izaje2468112155[[#Headers],[Herramientas_de_izaje]],
COUNTIF(Tabla162670114157[Equipos], B29) &gt; 0, Tabla162670114157[[#Headers],[Equipos]],
    TRUE, "Sin clasificación"
)</f>
        <v>Herramientas_eléctricas</v>
      </c>
      <c r="F29" s="15"/>
      <c r="G29" s="15" t="s">
        <v>832</v>
      </c>
      <c r="H29" s="15" t="s">
        <v>833</v>
      </c>
      <c r="I29" s="15" t="s">
        <v>638</v>
      </c>
      <c r="J29" s="47" t="s">
        <v>821</v>
      </c>
      <c r="K29" t="s">
        <v>830</v>
      </c>
      <c r="L29" s="47"/>
      <c r="M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ZE-SO-ML-0004</v>
      </c>
      <c r="O29" s="15"/>
      <c r="Q29" s="48"/>
      <c r="AD29" t="s">
        <v>246</v>
      </c>
      <c r="AE29" t="s">
        <v>97</v>
      </c>
      <c r="AF29" t="s">
        <v>34</v>
      </c>
      <c r="AG29" t="s">
        <v>66</v>
      </c>
      <c r="AH29" s="63" t="s">
        <v>247</v>
      </c>
      <c r="AJ29" t="s">
        <v>19</v>
      </c>
      <c r="AM29" t="s">
        <v>75</v>
      </c>
    </row>
    <row r="30" spans="2:42" ht="28.8" x14ac:dyDescent="0.3">
      <c r="B30" t="s">
        <v>13</v>
      </c>
      <c r="C30" s="11" t="s">
        <v>172</v>
      </c>
      <c r="E30" s="11" t="str" cm="1">
        <f t="array" ref="E30">_xlfn.IFS(
    COUNTIF(Herramientas_eléctricas1862106149[Herramientas_eléctricas], B30) &gt; 0, Herramientas_eléctricas1862106149[[#Headers],[Herramientas_eléctricas]],
    COUNTIF(Herramientas_neumáticas1963107150[Herramientas_neumáticas], B30) &gt; 0, Herramientas_neumáticas1963107150[[#Headers],[Herramientas_neumáticas]],
    COUNTIF(Herramientas_de_medición2064108151[Herramientas_de_medición], B30) &gt; 0, Herramientas_de_medición2064108151[[#Headers],[Herramientas_de_medición]],
    COUNTIF(Herrramientas_mecánicas2165109152[Herramientas_mecánicas], B30) &gt; 0, Herrramientas_mecánicas2165109152[[#Headers],[Herramientas_mecánicas]],
    COUNTIF(AH30:AH36, B30) &gt; 0, Herramientas_hidráulicas2266110153[[#Headers],[Herramientas_hidráulicas]],
    COUNTIF(EPP_2367111154[SPCC], B30) &gt; 0, EPP_2367111154[[#Headers],[SPCC]],
   COUNTIF(Herramientas_de_izaje2468112155[Herramientas_de_izaje], B30) &gt; 0, Herramientas_de_izaje2468112155[[#Headers],[Herramientas_de_izaje]],
COUNTIF(Tabla162670114157[Equipos], B30) &gt; 0, Tabla162670114157[[#Headers],[Equipos]],
    TRUE, "Sin clasificación"
)</f>
        <v>Herramientas_eléctricas</v>
      </c>
      <c r="F30" s="15"/>
      <c r="G30" s="15" t="s">
        <v>825</v>
      </c>
      <c r="H30" s="15" t="s">
        <v>826</v>
      </c>
      <c r="I30" s="15" t="s">
        <v>638</v>
      </c>
      <c r="J30" s="47" t="s">
        <v>635</v>
      </c>
      <c r="K30" t="s">
        <v>834</v>
      </c>
      <c r="L30" s="47" t="s">
        <v>835</v>
      </c>
      <c r="M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ZE-SO-ML-0005</v>
      </c>
      <c r="O30" s="15"/>
      <c r="Q30" s="48" t="s">
        <v>224</v>
      </c>
      <c r="AD30" s="22" t="s">
        <v>248</v>
      </c>
      <c r="AE30" t="s">
        <v>17</v>
      </c>
      <c r="AF30" s="18" t="s">
        <v>249</v>
      </c>
      <c r="AG30" t="s">
        <v>250</v>
      </c>
      <c r="AH30" s="64" t="s">
        <v>251</v>
      </c>
      <c r="AJ30" t="s">
        <v>252</v>
      </c>
      <c r="AM30" s="18" t="s">
        <v>253</v>
      </c>
    </row>
    <row r="31" spans="2:42" x14ac:dyDescent="0.3">
      <c r="B31" t="s">
        <v>13</v>
      </c>
      <c r="C31" s="11" t="s">
        <v>172</v>
      </c>
      <c r="E31" s="11" t="str" cm="1">
        <f t="array" ref="E31">_xlfn.IFS(
    COUNTIF(Herramientas_eléctricas1862106149[Herramientas_eléctricas], B31) &gt; 0, Herramientas_eléctricas1862106149[[#Headers],[Herramientas_eléctricas]],
    COUNTIF(Herramientas_neumáticas1963107150[Herramientas_neumáticas], B31) &gt; 0, Herramientas_neumáticas1963107150[[#Headers],[Herramientas_neumáticas]],
    COUNTIF(Herramientas_de_medición2064108151[Herramientas_de_medición], B31) &gt; 0, Herramientas_de_medición2064108151[[#Headers],[Herramientas_de_medición]],
    COUNTIF(Herrramientas_mecánicas2165109152[Herramientas_mecánicas], B31) &gt; 0, Herrramientas_mecánicas2165109152[[#Headers],[Herramientas_mecánicas]],
    COUNTIF(AH31:AH37, B31) &gt; 0, Herramientas_hidráulicas2266110153[[#Headers],[Herramientas_hidráulicas]],
    COUNTIF(EPP_2367111154[SPCC], B31) &gt; 0, EPP_2367111154[[#Headers],[SPCC]],
   COUNTIF(Herramientas_de_izaje2468112155[Herramientas_de_izaje], B31) &gt; 0, Herramientas_de_izaje2468112155[[#Headers],[Herramientas_de_izaje]],
COUNTIF(Tabla162670114157[Equipos], B31) &gt; 0, Tabla162670114157[[#Headers],[Equipos]],
    TRUE, "Sin clasificación"
)</f>
        <v>Herramientas_eléctricas</v>
      </c>
      <c r="F31" s="15"/>
      <c r="G31" s="15" t="s">
        <v>825</v>
      </c>
      <c r="H31" s="15" t="s">
        <v>826</v>
      </c>
      <c r="I31" s="15" t="s">
        <v>638</v>
      </c>
      <c r="J31" s="47" t="s">
        <v>635</v>
      </c>
      <c r="K31">
        <v>3</v>
      </c>
      <c r="L31" s="47" t="s">
        <v>836</v>
      </c>
      <c r="M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ZE-SO-ML-0006</v>
      </c>
      <c r="O31" s="15"/>
      <c r="Q31" s="48"/>
      <c r="AD31" s="65" t="s">
        <v>254</v>
      </c>
      <c r="AF31" t="s">
        <v>255</v>
      </c>
      <c r="AM31" s="26" t="s">
        <v>256</v>
      </c>
    </row>
    <row r="32" spans="2:42" ht="28.5" customHeight="1" x14ac:dyDescent="0.3">
      <c r="B32" t="s">
        <v>13</v>
      </c>
      <c r="C32" s="11" t="s">
        <v>172</v>
      </c>
      <c r="E32" s="11" t="str" cm="1">
        <f t="array" ref="E32">_xlfn.IFS(
    COUNTIF(Herramientas_eléctricas1862106149[Herramientas_eléctricas], B32) &gt; 0, Herramientas_eléctricas1862106149[[#Headers],[Herramientas_eléctricas]],
    COUNTIF(Herramientas_neumáticas1963107150[Herramientas_neumáticas], B32) &gt; 0, Herramientas_neumáticas1963107150[[#Headers],[Herramientas_neumáticas]],
    COUNTIF(Herramientas_de_medición2064108151[Herramientas_de_medición], B32) &gt; 0, Herramientas_de_medición2064108151[[#Headers],[Herramientas_de_medición]],
    COUNTIF(Herrramientas_mecánicas2165109152[Herramientas_mecánicas], B32) &gt; 0, Herrramientas_mecánicas2165109152[[#Headers],[Herramientas_mecánicas]],
    COUNTIF(AH32:AH38, B32) &gt; 0, Herramientas_hidráulicas2266110153[[#Headers],[Herramientas_hidráulicas]],
    COUNTIF(EPP_2367111154[SPCC], B32) &gt; 0, EPP_2367111154[[#Headers],[SPCC]],
   COUNTIF(Herramientas_de_izaje2468112155[Herramientas_de_izaje], B32) &gt; 0, Herramientas_de_izaje2468112155[[#Headers],[Herramientas_de_izaje]],
COUNTIF(Tabla162670114157[Equipos], B32) &gt; 0, Tabla162670114157[[#Headers],[Equipos]],
    TRUE, "Sin clasificación"
)</f>
        <v>Herramientas_eléctricas</v>
      </c>
      <c r="F32" s="15"/>
      <c r="G32" s="15" t="s">
        <v>825</v>
      </c>
      <c r="H32" s="15" t="s">
        <v>826</v>
      </c>
      <c r="I32" s="15" t="s">
        <v>638</v>
      </c>
      <c r="J32" s="47" t="s">
        <v>635</v>
      </c>
      <c r="K32">
        <v>5</v>
      </c>
      <c r="L32" s="47" t="s">
        <v>837</v>
      </c>
      <c r="M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ZE-SO-ML-0007</v>
      </c>
      <c r="O32" s="15"/>
      <c r="Q32" s="48"/>
    </row>
    <row r="33" spans="2:42" x14ac:dyDescent="0.3">
      <c r="B33" t="s">
        <v>13</v>
      </c>
      <c r="C33" s="11" t="s">
        <v>179</v>
      </c>
      <c r="E33" s="11" t="str" cm="1">
        <f t="array" ref="E33">_xlfn.IFS(
    COUNTIF(Herramientas_eléctricas1862106149[Herramientas_eléctricas], B33) &gt; 0, Herramientas_eléctricas1862106149[[#Headers],[Herramientas_eléctricas]],
    COUNTIF(Herramientas_neumáticas1963107150[Herramientas_neumáticas], B33) &gt; 0, Herramientas_neumáticas1963107150[[#Headers],[Herramientas_neumáticas]],
    COUNTIF(Herramientas_de_medición2064108151[Herramientas_de_medición], B33) &gt; 0, Herramientas_de_medición2064108151[[#Headers],[Herramientas_de_medición]],
    COUNTIF(Herrramientas_mecánicas2165109152[Herramientas_mecánicas], B33) &gt; 0, Herrramientas_mecánicas2165109152[[#Headers],[Herramientas_mecánicas]],
    COUNTIF(AH33:AH39, B33) &gt; 0, Herramientas_hidráulicas2266110153[[#Headers],[Herramientas_hidráulicas]],
    COUNTIF(EPP_2367111154[SPCC], B33) &gt; 0, EPP_2367111154[[#Headers],[SPCC]],
   COUNTIF(Herramientas_de_izaje2468112155[Herramientas_de_izaje], B33) &gt; 0, Herramientas_de_izaje2468112155[[#Headers],[Herramientas_de_izaje]],
COUNTIF(Tabla162670114157[Equipos], B33) &gt; 0, Tabla162670114157[[#Headers],[Equipos]],
    TRUE, "Sin clasificación"
)</f>
        <v>Herramientas_eléctricas</v>
      </c>
      <c r="F33" s="15"/>
      <c r="G33" s="15" t="s">
        <v>846</v>
      </c>
      <c r="H33" s="15" t="s">
        <v>826</v>
      </c>
      <c r="I33" s="15" t="s">
        <v>638</v>
      </c>
      <c r="J33" s="47" t="s">
        <v>635</v>
      </c>
      <c r="L33" s="47" t="s">
        <v>847</v>
      </c>
      <c r="M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ZE-SO-GE-0001</v>
      </c>
      <c r="O33" s="15"/>
      <c r="Q33" s="48"/>
      <c r="AD33" t="s">
        <v>68</v>
      </c>
      <c r="AE33" t="s">
        <v>36</v>
      </c>
      <c r="AF33" t="s">
        <v>257</v>
      </c>
      <c r="AG33" t="s">
        <v>258</v>
      </c>
    </row>
    <row r="34" spans="2:42" x14ac:dyDescent="0.3">
      <c r="B34" t="s">
        <v>13</v>
      </c>
      <c r="C34" s="11" t="s">
        <v>174</v>
      </c>
      <c r="E34" s="11" t="str" cm="1">
        <f t="array" ref="E34">_xlfn.IFS(
    COUNTIF(Herramientas_eléctricas1862106149[Herramientas_eléctricas], B34) &gt; 0, Herramientas_eléctricas1862106149[[#Headers],[Herramientas_eléctricas]],
    COUNTIF(Herramientas_neumáticas1963107150[Herramientas_neumáticas], B34) &gt; 0, Herramientas_neumáticas1963107150[[#Headers],[Herramientas_neumáticas]],
    COUNTIF(Herramientas_de_medición2064108151[Herramientas_de_medición], B34) &gt; 0, Herramientas_de_medición2064108151[[#Headers],[Herramientas_de_medición]],
    COUNTIF(Herrramientas_mecánicas2165109152[Herramientas_mecánicas], B34) &gt; 0, Herrramientas_mecánicas2165109152[[#Headers],[Herramientas_mecánicas]],
    COUNTIF(AH34:AH40, B34) &gt; 0, Herramientas_hidráulicas2266110153[[#Headers],[Herramientas_hidráulicas]],
    COUNTIF(EPP_2367111154[SPCC], B34) &gt; 0, EPP_2367111154[[#Headers],[SPCC]],
   COUNTIF(Herramientas_de_izaje2468112155[Herramientas_de_izaje], B34) &gt; 0, Herramientas_de_izaje2468112155[[#Headers],[Herramientas_de_izaje]],
COUNTIF(Tabla162670114157[Equipos], B34) &gt; 0, Tabla162670114157[[#Headers],[Equipos]],
    TRUE, "Sin clasificación"
)</f>
        <v>Herramientas_eléctricas</v>
      </c>
      <c r="F34" s="15"/>
      <c r="G34" s="15" t="s">
        <v>864</v>
      </c>
      <c r="H34" s="15">
        <v>4.0599999999999996</v>
      </c>
      <c r="I34" s="15" t="s">
        <v>731</v>
      </c>
      <c r="J34" s="47" t="s">
        <v>862</v>
      </c>
      <c r="K34" t="s">
        <v>863</v>
      </c>
      <c r="L34" s="47">
        <v>31287650</v>
      </c>
      <c r="M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ZE-SO-FI-0001</v>
      </c>
      <c r="O34" s="15"/>
      <c r="Q34" s="48"/>
      <c r="AD34" s="20" t="s">
        <v>259</v>
      </c>
      <c r="AE34" t="s">
        <v>260</v>
      </c>
      <c r="AF34" s="19" t="s">
        <v>261</v>
      </c>
      <c r="AG34" s="22" t="s">
        <v>262</v>
      </c>
    </row>
    <row r="35" spans="2:42" ht="28.8" x14ac:dyDescent="0.3">
      <c r="B35" t="s">
        <v>13</v>
      </c>
      <c r="C35" s="11" t="s">
        <v>174</v>
      </c>
      <c r="E35" s="11" t="str" cm="1">
        <f t="array" ref="E35">_xlfn.IFS(
    COUNTIF(Herramientas_eléctricas1862106149[Herramientas_eléctricas], B35) &gt; 0, Herramientas_eléctricas1862106149[[#Headers],[Herramientas_eléctricas]],
    COUNTIF(Herramientas_neumáticas1963107150[Herramientas_neumáticas], B35) &gt; 0, Herramientas_neumáticas1963107150[[#Headers],[Herramientas_neumáticas]],
    COUNTIF(Herramientas_de_medición2064108151[Herramientas_de_medición], B35) &gt; 0, Herramientas_de_medición2064108151[[#Headers],[Herramientas_de_medición]],
    COUNTIF(Herrramientas_mecánicas2165109152[Herramientas_mecánicas], B35) &gt; 0, Herrramientas_mecánicas2165109152[[#Headers],[Herramientas_mecánicas]],
    COUNTIF(AH35:AH41, B35) &gt; 0, Herramientas_hidráulicas2266110153[[#Headers],[Herramientas_hidráulicas]],
    COUNTIF(EPP_2367111154[SPCC], B35) &gt; 0, EPP_2367111154[[#Headers],[SPCC]],
   COUNTIF(Herramientas_de_izaje2468112155[Herramientas_de_izaje], B35) &gt; 0, Herramientas_de_izaje2468112155[[#Headers],[Herramientas_de_izaje]],
COUNTIF(Tabla162670114157[Equipos], B35) &gt; 0, Tabla162670114157[[#Headers],[Equipos]],
    TRUE, "Sin clasificación"
)</f>
        <v>Herramientas_eléctricas</v>
      </c>
      <c r="F35" s="15"/>
      <c r="G35" s="15" t="s">
        <v>864</v>
      </c>
      <c r="H35" s="15">
        <v>4.0599999999999996</v>
      </c>
      <c r="I35" s="15" t="s">
        <v>731</v>
      </c>
      <c r="J35" s="47" t="s">
        <v>866</v>
      </c>
      <c r="K35" t="s">
        <v>865</v>
      </c>
      <c r="L35" s="47">
        <v>3208616</v>
      </c>
      <c r="M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ZE-SO-FI-0002</v>
      </c>
      <c r="O35" s="15"/>
      <c r="Q35" s="48"/>
      <c r="AD35" s="66" t="s">
        <v>263</v>
      </c>
      <c r="AF35" s="13" t="s">
        <v>264</v>
      </c>
      <c r="AG35" s="67" t="s">
        <v>265</v>
      </c>
    </row>
    <row r="36" spans="2:42" x14ac:dyDescent="0.3">
      <c r="B36" t="s">
        <v>13</v>
      </c>
      <c r="C36" s="11" t="s">
        <v>174</v>
      </c>
      <c r="E36" s="11" t="str" cm="1">
        <f t="array" ref="E36">_xlfn.IFS(
    COUNTIF(Herramientas_eléctricas1862106149[Herramientas_eléctricas], B36) &gt; 0, Herramientas_eléctricas1862106149[[#Headers],[Herramientas_eléctricas]],
    COUNTIF(Herramientas_neumáticas1963107150[Herramientas_neumáticas], B36) &gt; 0, Herramientas_neumáticas1963107150[[#Headers],[Herramientas_neumáticas]],
    COUNTIF(Herramientas_de_medición2064108151[Herramientas_de_medición], B36) &gt; 0, Herramientas_de_medición2064108151[[#Headers],[Herramientas_de_medición]],
    COUNTIF(Herrramientas_mecánicas2165109152[Herramientas_mecánicas], B36) &gt; 0, Herrramientas_mecánicas2165109152[[#Headers],[Herramientas_mecánicas]],
    COUNTIF(AH36:AH42, B36) &gt; 0, Herramientas_hidráulicas2266110153[[#Headers],[Herramientas_hidráulicas]],
    COUNTIF(EPP_2367111154[SPCC], B36) &gt; 0, EPP_2367111154[[#Headers],[SPCC]],
   COUNTIF(Herramientas_de_izaje2468112155[Herramientas_de_izaje], B36) &gt; 0, Herramientas_de_izaje2468112155[[#Headers],[Herramientas_de_izaje]],
COUNTIF(Tabla162670114157[Equipos], B36) &gt; 0, Tabla162670114157[[#Headers],[Equipos]],
    TRUE, "Sin clasificación"
)</f>
        <v>Herramientas_eléctricas</v>
      </c>
      <c r="F36" s="15"/>
      <c r="G36" s="15" t="s">
        <v>869</v>
      </c>
      <c r="H36" s="15" t="s">
        <v>826</v>
      </c>
      <c r="I36" s="15" t="s">
        <v>638</v>
      </c>
      <c r="J36" s="47" t="s">
        <v>635</v>
      </c>
      <c r="K36" t="s">
        <v>867</v>
      </c>
      <c r="L36" s="47" t="s">
        <v>868</v>
      </c>
      <c r="M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ZE-SO-FI-0003</v>
      </c>
      <c r="O36" s="15"/>
      <c r="Q36" s="48"/>
      <c r="AF36" s="68" t="s">
        <v>266</v>
      </c>
      <c r="AG36" s="22" t="s">
        <v>267</v>
      </c>
    </row>
    <row r="37" spans="2:42" ht="43.2" x14ac:dyDescent="0.3">
      <c r="B37" t="s">
        <v>13</v>
      </c>
      <c r="C37" s="11" t="s">
        <v>181</v>
      </c>
      <c r="E37" s="11" t="str" cm="1">
        <f t="array" ref="E37">_xlfn.IFS(
    COUNTIF(Herramientas_eléctricas1862106149[Herramientas_eléctricas], B37) &gt; 0, Herramientas_eléctricas1862106149[[#Headers],[Herramientas_eléctricas]],
    COUNTIF(Herramientas_neumáticas1963107150[Herramientas_neumáticas], B37) &gt; 0, Herramientas_neumáticas1963107150[[#Headers],[Herramientas_neumáticas]],
    COUNTIF(Herramientas_de_medición2064108151[Herramientas_de_medición], B37) &gt; 0, Herramientas_de_medición2064108151[[#Headers],[Herramientas_de_medición]],
    COUNTIF(Herrramientas_mecánicas2165109152[Herramientas_mecánicas], B37) &gt; 0, Herrramientas_mecánicas2165109152[[#Headers],[Herramientas_mecánicas]],
    COUNTIF(AH37:AH43, B37) &gt; 0, Herramientas_hidráulicas2266110153[[#Headers],[Herramientas_hidráulicas]],
    COUNTIF(EPP_2367111154[SPCC], B37) &gt; 0, EPP_2367111154[[#Headers],[SPCC]],
   COUNTIF(Herramientas_de_izaje2468112155[Herramientas_de_izaje], B37) &gt; 0, Herramientas_de_izaje2468112155[[#Headers],[Herramientas_de_izaje]],
COUNTIF(Tabla162670114157[Equipos], B37) &gt; 0, Tabla162670114157[[#Headers],[Equipos]],
    TRUE, "Sin clasificación"
)</f>
        <v>Herramientas_eléctricas</v>
      </c>
      <c r="F37" s="15"/>
      <c r="G37" s="15" t="s">
        <v>884</v>
      </c>
      <c r="H37" s="15" t="s">
        <v>885</v>
      </c>
      <c r="I37" s="15" t="s">
        <v>627</v>
      </c>
      <c r="J37" s="47" t="s">
        <v>881</v>
      </c>
      <c r="K37" t="s">
        <v>882</v>
      </c>
      <c r="L37" s="47" t="s">
        <v>883</v>
      </c>
      <c r="M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ZE-SO-RH-0001</v>
      </c>
      <c r="O37" s="15"/>
      <c r="Q37" s="48"/>
      <c r="AG37" s="18" t="s">
        <v>268</v>
      </c>
    </row>
    <row r="38" spans="2:42" ht="43.2" x14ac:dyDescent="0.3">
      <c r="B38" t="s">
        <v>13</v>
      </c>
      <c r="C38" s="11" t="s">
        <v>181</v>
      </c>
      <c r="E38" s="11" t="str" cm="1">
        <f t="array" ref="E38">_xlfn.IFS(
    COUNTIF(Herramientas_eléctricas1862106149[Herramientas_eléctricas], B38) &gt; 0, Herramientas_eléctricas1862106149[[#Headers],[Herramientas_eléctricas]],
    COUNTIF(Herramientas_neumáticas1963107150[Herramientas_neumáticas], B38) &gt; 0, Herramientas_neumáticas1963107150[[#Headers],[Herramientas_neumáticas]],
    COUNTIF(Herramientas_de_medición2064108151[Herramientas_de_medición], B38) &gt; 0, Herramientas_de_medición2064108151[[#Headers],[Herramientas_de_medición]],
    COUNTIF(Herrramientas_mecánicas2165109152[Herramientas_mecánicas], B38) &gt; 0, Herrramientas_mecánicas2165109152[[#Headers],[Herramientas_mecánicas]],
    COUNTIF(AH38:AH44, B38) &gt; 0, Herramientas_hidráulicas2266110153[[#Headers],[Herramientas_hidráulicas]],
    COUNTIF(EPP_2367111154[SPCC], B38) &gt; 0, EPP_2367111154[[#Headers],[SPCC]],
   COUNTIF(Herramientas_de_izaje2468112155[Herramientas_de_izaje], B38) &gt; 0, Herramientas_de_izaje2468112155[[#Headers],[Herramientas_de_izaje]],
COUNTIF(Tabla162670114157[Equipos], B38) &gt; 0, Tabla162670114157[[#Headers],[Equipos]],
    TRUE, "Sin clasificación"
)</f>
        <v>Herramientas_eléctricas</v>
      </c>
      <c r="F38" s="15"/>
      <c r="G38" s="15" t="s">
        <v>890</v>
      </c>
      <c r="H38" s="15" t="s">
        <v>889</v>
      </c>
      <c r="I38" s="15" t="s">
        <v>627</v>
      </c>
      <c r="J38" s="47" t="s">
        <v>886</v>
      </c>
      <c r="K38" t="s">
        <v>887</v>
      </c>
      <c r="L38" s="47" t="s">
        <v>888</v>
      </c>
      <c r="M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ZE-SO-RH-0002</v>
      </c>
      <c r="O38" s="15"/>
      <c r="Q38" s="48"/>
      <c r="AD38" s="69" t="s">
        <v>24</v>
      </c>
      <c r="AF38" t="s">
        <v>269</v>
      </c>
      <c r="AG38" s="18" t="s">
        <v>270</v>
      </c>
    </row>
    <row r="39" spans="2:42" ht="28.8" x14ac:dyDescent="0.3">
      <c r="B39" t="s">
        <v>13</v>
      </c>
      <c r="C39" s="11" t="s">
        <v>178</v>
      </c>
      <c r="E39" s="11" t="str" cm="1">
        <f t="array" ref="E39">_xlfn.IFS(
    COUNTIF(Herramientas_eléctricas1862106149[Herramientas_eléctricas], B39) &gt; 0, Herramientas_eléctricas1862106149[[#Headers],[Herramientas_eléctricas]],
    COUNTIF(Herramientas_neumáticas1963107150[Herramientas_neumáticas], B39) &gt; 0, Herramientas_neumáticas1963107150[[#Headers],[Herramientas_neumáticas]],
    COUNTIF(Herramientas_de_medición2064108151[Herramientas_de_medición], B39) &gt; 0, Herramientas_de_medición2064108151[[#Headers],[Herramientas_de_medición]],
    COUNTIF(Herrramientas_mecánicas2165109152[Herramientas_mecánicas], B39) &gt; 0, Herrramientas_mecánicas2165109152[[#Headers],[Herramientas_mecánicas]],
    COUNTIF(AH39:AH45, B39) &gt; 0, Herramientas_hidráulicas2266110153[[#Headers],[Herramientas_hidráulicas]],
    COUNTIF(EPP_2367111154[SPCC], B39) &gt; 0, EPP_2367111154[[#Headers],[SPCC]],
   COUNTIF(Herramientas_de_izaje2468112155[Herramientas_de_izaje], B39) &gt; 0, Herramientas_de_izaje2468112155[[#Headers],[Herramientas_de_izaje]],
COUNTIF(Tabla162670114157[Equipos], B39) &gt; 0, Tabla162670114157[[#Headers],[Equipos]],
    TRUE, "Sin clasificación"
)</f>
        <v>Herramientas_eléctricas</v>
      </c>
      <c r="F39" s="15"/>
      <c r="G39" s="15" t="s">
        <v>924</v>
      </c>
      <c r="H39" s="15" t="s">
        <v>925</v>
      </c>
      <c r="I39" s="15" t="s">
        <v>638</v>
      </c>
      <c r="J39" s="47" t="s">
        <v>821</v>
      </c>
      <c r="K39" t="s">
        <v>936</v>
      </c>
      <c r="L39" t="s">
        <v>923</v>
      </c>
      <c r="M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ZE-SO-TG-0001</v>
      </c>
      <c r="O39" s="15" t="s">
        <v>934</v>
      </c>
      <c r="Q39" s="48"/>
      <c r="AD39" s="62" t="s">
        <v>271</v>
      </c>
      <c r="AF39" s="68" t="s">
        <v>272</v>
      </c>
      <c r="AG39" s="22" t="s">
        <v>273</v>
      </c>
    </row>
    <row r="40" spans="2:42" ht="28.8" x14ac:dyDescent="0.3">
      <c r="B40" t="s">
        <v>13</v>
      </c>
      <c r="C40" s="11" t="s">
        <v>178</v>
      </c>
      <c r="E40" s="11" t="str" cm="1">
        <f t="array" ref="E40">_xlfn.IFS(
    COUNTIF(Herramientas_eléctricas1862106149[Herramientas_eléctricas], B40) &gt; 0, Herramientas_eléctricas1862106149[[#Headers],[Herramientas_eléctricas]],
    COUNTIF(Herramientas_neumáticas1963107150[Herramientas_neumáticas], B40) &gt; 0, Herramientas_neumáticas1963107150[[#Headers],[Herramientas_neumáticas]],
    COUNTIF(Herramientas_de_medición2064108151[Herramientas_de_medición], B40) &gt; 0, Herramientas_de_medición2064108151[[#Headers],[Herramientas_de_medición]],
    COUNTIF(Herrramientas_mecánicas2165109152[Herramientas_mecánicas], B40) &gt; 0, Herrramientas_mecánicas2165109152[[#Headers],[Herramientas_mecánicas]],
    COUNTIF(AH40:AH46, B40) &gt; 0, Herramientas_hidráulicas2266110153[[#Headers],[Herramientas_hidráulicas]],
    COUNTIF(EPP_2367111154[SPCC], B40) &gt; 0, EPP_2367111154[[#Headers],[SPCC]],
   COUNTIF(Herramientas_de_izaje2468112155[Herramientas_de_izaje], B40) &gt; 0, Herramientas_de_izaje2468112155[[#Headers],[Herramientas_de_izaje]],
COUNTIF(Tabla162670114157[Equipos], B40) &gt; 0, Tabla162670114157[[#Headers],[Equipos]],
    TRUE, "Sin clasificación"
)</f>
        <v>Herramientas_eléctricas</v>
      </c>
      <c r="F40" s="15"/>
      <c r="G40" s="15" t="s">
        <v>933</v>
      </c>
      <c r="H40" s="15" t="s">
        <v>932</v>
      </c>
      <c r="I40" s="15" t="s">
        <v>627</v>
      </c>
      <c r="J40" s="47" t="s">
        <v>931</v>
      </c>
      <c r="K40" t="s">
        <v>935</v>
      </c>
      <c r="L40" s="47">
        <v>609741</v>
      </c>
      <c r="M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ZE-SO-TG-0002</v>
      </c>
      <c r="O40" s="15" t="s">
        <v>934</v>
      </c>
      <c r="Q40" s="48"/>
      <c r="AD40" s="70" t="s">
        <v>17</v>
      </c>
      <c r="AG40" t="s">
        <v>274</v>
      </c>
    </row>
    <row r="41" spans="2:42" ht="28.8" x14ac:dyDescent="0.3">
      <c r="B41" t="s">
        <v>13</v>
      </c>
      <c r="C41" s="11" t="s">
        <v>178</v>
      </c>
      <c r="E41" s="11" t="str" cm="1">
        <f t="array" ref="E41">_xlfn.IFS(
    COUNTIF(Herramientas_eléctricas1862106149[Herramientas_eléctricas], B41) &gt; 0, Herramientas_eléctricas1862106149[[#Headers],[Herramientas_eléctricas]],
    COUNTIF(Herramientas_neumáticas1963107150[Herramientas_neumáticas], B41) &gt; 0, Herramientas_neumáticas1963107150[[#Headers],[Herramientas_neumáticas]],
    COUNTIF(Herramientas_de_medición2064108151[Herramientas_de_medición], B41) &gt; 0, Herramientas_de_medición2064108151[[#Headers],[Herramientas_de_medición]],
    COUNTIF(Herrramientas_mecánicas2165109152[Herramientas_mecánicas], B41) &gt; 0, Herrramientas_mecánicas2165109152[[#Headers],[Herramientas_mecánicas]],
    COUNTIF(AH41:AH47, B41) &gt; 0, Herramientas_hidráulicas2266110153[[#Headers],[Herramientas_hidráulicas]],
    COUNTIF(EPP_2367111154[SPCC], B41) &gt; 0, EPP_2367111154[[#Headers],[SPCC]],
   COUNTIF(Herramientas_de_izaje2468112155[Herramientas_de_izaje], B41) &gt; 0, Herramientas_de_izaje2468112155[[#Headers],[Herramientas_de_izaje]],
COUNTIF(Tabla162670114157[Equipos], B41) &gt; 0, Tabla162670114157[[#Headers],[Equipos]],
    TRUE, "Sin clasificación"
)</f>
        <v>Herramientas_eléctricas</v>
      </c>
      <c r="F41" s="15"/>
      <c r="G41" s="15"/>
      <c r="H41" s="15"/>
      <c r="I41" s="15" t="s">
        <v>937</v>
      </c>
      <c r="J41" s="47" t="s">
        <v>938</v>
      </c>
      <c r="K41" t="s">
        <v>975</v>
      </c>
      <c r="L41" s="47">
        <v>36057</v>
      </c>
      <c r="M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ZE-SO-TG-0003</v>
      </c>
      <c r="O41" s="15" t="s">
        <v>934</v>
      </c>
      <c r="Q41" s="48"/>
      <c r="AF41" t="s">
        <v>61</v>
      </c>
    </row>
    <row r="42" spans="2:42" ht="28.8" x14ac:dyDescent="0.3">
      <c r="B42" t="s">
        <v>13</v>
      </c>
      <c r="C42" s="11" t="s">
        <v>178</v>
      </c>
      <c r="E42" s="11" t="str" cm="1">
        <f t="array" ref="E42">_xlfn.IFS(
    COUNTIF(Herramientas_eléctricas1862106149[Herramientas_eléctricas], B42) &gt; 0, Herramientas_eléctricas1862106149[[#Headers],[Herramientas_eléctricas]],
    COUNTIF(Herramientas_neumáticas1963107150[Herramientas_neumáticas], B42) &gt; 0, Herramientas_neumáticas1963107150[[#Headers],[Herramientas_neumáticas]],
    COUNTIF(Herramientas_de_medición2064108151[Herramientas_de_medición], B42) &gt; 0, Herramientas_de_medición2064108151[[#Headers],[Herramientas_de_medición]],
    COUNTIF(Herrramientas_mecánicas2165109152[Herramientas_mecánicas], B42) &gt; 0, Herrramientas_mecánicas2165109152[[#Headers],[Herramientas_mecánicas]],
    COUNTIF(AH42:AH48, B42) &gt; 0, Herramientas_hidráulicas2266110153[[#Headers],[Herramientas_hidráulicas]],
    COUNTIF(EPP_2367111154[SPCC], B42) &gt; 0, EPP_2367111154[[#Headers],[SPCC]],
   COUNTIF(Herramientas_de_izaje2468112155[Herramientas_de_izaje], B42) &gt; 0, Herramientas_de_izaje2468112155[[#Headers],[Herramientas_de_izaje]],
COUNTIF(Tabla162670114157[Equipos], B42) &gt; 0, Tabla162670114157[[#Headers],[Equipos]],
    TRUE, "Sin clasificación"
)</f>
        <v>Herramientas_eléctricas</v>
      </c>
      <c r="F42" s="15"/>
      <c r="G42" s="15" t="s">
        <v>940</v>
      </c>
      <c r="H42" s="15" t="s">
        <v>941</v>
      </c>
      <c r="I42" s="15" t="s">
        <v>627</v>
      </c>
      <c r="J42" s="47" t="s">
        <v>939</v>
      </c>
      <c r="K42" t="s">
        <v>942</v>
      </c>
      <c r="L42" s="47">
        <v>2118601177</v>
      </c>
      <c r="M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ZE-SO-TG-0004</v>
      </c>
      <c r="O42" s="15"/>
      <c r="Q42" s="48"/>
      <c r="AD42" s="71" t="s">
        <v>94</v>
      </c>
      <c r="AF42" t="s">
        <v>275</v>
      </c>
    </row>
    <row r="43" spans="2:42" ht="28.8" x14ac:dyDescent="0.3">
      <c r="B43" t="s">
        <v>13</v>
      </c>
      <c r="C43" s="11" t="s">
        <v>178</v>
      </c>
      <c r="E43" s="11" t="str" cm="1">
        <f t="array" ref="E43">_xlfn.IFS(
    COUNTIF(Herramientas_eléctricas1862106149[Herramientas_eléctricas], B43) &gt; 0, Herramientas_eléctricas1862106149[[#Headers],[Herramientas_eléctricas]],
    COUNTIF(Herramientas_neumáticas1963107150[Herramientas_neumáticas], B43) &gt; 0, Herramientas_neumáticas1963107150[[#Headers],[Herramientas_neumáticas]],
    COUNTIF(Herramientas_de_medición2064108151[Herramientas_de_medición], B43) &gt; 0, Herramientas_de_medición2064108151[[#Headers],[Herramientas_de_medición]],
    COUNTIF(Herrramientas_mecánicas2165109152[Herramientas_mecánicas], B43) &gt; 0, Herrramientas_mecánicas2165109152[[#Headers],[Herramientas_mecánicas]],
    COUNTIF(AH43:AH49, B43) &gt; 0, Herramientas_hidráulicas2266110153[[#Headers],[Herramientas_hidráulicas]],
    COUNTIF(EPP_2367111154[SPCC], B43) &gt; 0, EPP_2367111154[[#Headers],[SPCC]],
   COUNTIF(Herramientas_de_izaje2468112155[Herramientas_de_izaje], B43) &gt; 0, Herramientas_de_izaje2468112155[[#Headers],[Herramientas_de_izaje]],
COUNTIF(Tabla162670114157[Equipos], B43) &gt; 0, Tabla162670114157[[#Headers],[Equipos]],
    TRUE, "Sin clasificación"
)</f>
        <v>Herramientas_eléctricas</v>
      </c>
      <c r="F43" s="15"/>
      <c r="G43" s="15"/>
      <c r="H43" s="15"/>
      <c r="I43" s="15" t="s">
        <v>627</v>
      </c>
      <c r="J43" s="47" t="s">
        <v>947</v>
      </c>
      <c r="K43" t="s">
        <v>946</v>
      </c>
      <c r="L43" s="47"/>
      <c r="M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ZE-SO-TG-0005</v>
      </c>
      <c r="O43" s="15"/>
      <c r="Q43" s="48"/>
      <c r="AD43" s="72" t="s">
        <v>276</v>
      </c>
      <c r="AF43" s="20" t="s">
        <v>277</v>
      </c>
      <c r="AG43" t="s">
        <v>98</v>
      </c>
    </row>
    <row r="44" spans="2:42" ht="28.8" x14ac:dyDescent="0.3">
      <c r="B44" t="s">
        <v>13</v>
      </c>
      <c r="C44" s="11" t="s">
        <v>178</v>
      </c>
      <c r="E44" s="11" t="str" cm="1">
        <f t="array" ref="E44">_xlfn.IFS(
    COUNTIF(Herramientas_eléctricas1862106149[Herramientas_eléctricas], B44) &gt; 0, Herramientas_eléctricas1862106149[[#Headers],[Herramientas_eléctricas]],
    COUNTIF(Herramientas_neumáticas1963107150[Herramientas_neumáticas], B44) &gt; 0, Herramientas_neumáticas1963107150[[#Headers],[Herramientas_neumáticas]],
    COUNTIF(Herramientas_de_medición2064108151[Herramientas_de_medición], B44) &gt; 0, Herramientas_de_medición2064108151[[#Headers],[Herramientas_de_medición]],
    COUNTIF(Herrramientas_mecánicas2165109152[Herramientas_mecánicas], B44) &gt; 0, Herrramientas_mecánicas2165109152[[#Headers],[Herramientas_mecánicas]],
    COUNTIF(AH44:AH50, B44) &gt; 0, Herramientas_hidráulicas2266110153[[#Headers],[Herramientas_hidráulicas]],
    COUNTIF(EPP_2367111154[SPCC], B44) &gt; 0, EPP_2367111154[[#Headers],[SPCC]],
   COUNTIF(Herramientas_de_izaje2468112155[Herramientas_de_izaje], B44) &gt; 0, Herramientas_de_izaje2468112155[[#Headers],[Herramientas_de_izaje]],
COUNTIF(Tabla162670114157[Equipos], B44) &gt; 0, Tabla162670114157[[#Headers],[Equipos]],
    TRUE, "Sin clasificación"
)</f>
        <v>Herramientas_eléctricas</v>
      </c>
      <c r="F44" s="15"/>
      <c r="G44" s="15" t="s">
        <v>761</v>
      </c>
      <c r="H44" s="15" t="s">
        <v>949</v>
      </c>
      <c r="I44" s="15" t="s">
        <v>638</v>
      </c>
      <c r="J44" s="47" t="s">
        <v>821</v>
      </c>
      <c r="K44" t="s">
        <v>950</v>
      </c>
      <c r="L44" s="47" t="s">
        <v>948</v>
      </c>
      <c r="M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ZE-SO-TG-0006</v>
      </c>
      <c r="O44" s="15"/>
      <c r="Q44" s="48"/>
      <c r="AD44" s="73" t="s">
        <v>278</v>
      </c>
      <c r="AF44" s="18" t="s">
        <v>279</v>
      </c>
      <c r="AG44" s="26" t="s">
        <v>280</v>
      </c>
    </row>
    <row r="45" spans="2:42" ht="28.8" x14ac:dyDescent="0.3">
      <c r="B45" t="s">
        <v>13</v>
      </c>
      <c r="C45" s="11" t="s">
        <v>178</v>
      </c>
      <c r="E45" s="11" t="str" cm="1">
        <f t="array" ref="E45">_xlfn.IFS(
    COUNTIF(Herramientas_eléctricas1862106149[Herramientas_eléctricas], B45) &gt; 0, Herramientas_eléctricas1862106149[[#Headers],[Herramientas_eléctricas]],
    COUNTIF(Herramientas_neumáticas1963107150[Herramientas_neumáticas], B45) &gt; 0, Herramientas_neumáticas1963107150[[#Headers],[Herramientas_neumáticas]],
    COUNTIF(Herramientas_de_medición2064108151[Herramientas_de_medición], B45) &gt; 0, Herramientas_de_medición2064108151[[#Headers],[Herramientas_de_medición]],
    COUNTIF(Herrramientas_mecánicas2165109152[Herramientas_mecánicas], B45) &gt; 0, Herrramientas_mecánicas2165109152[[#Headers],[Herramientas_mecánicas]],
    COUNTIF(AH45:AH51, B45) &gt; 0, Herramientas_hidráulicas2266110153[[#Headers],[Herramientas_hidráulicas]],
    COUNTIF(EPP_2367111154[SPCC], B45) &gt; 0, EPP_2367111154[[#Headers],[SPCC]],
   COUNTIF(Herramientas_de_izaje2468112155[Herramientas_de_izaje], B45) &gt; 0, Herramientas_de_izaje2468112155[[#Headers],[Herramientas_de_izaje]],
COUNTIF(Tabla162670114157[Equipos], B45) &gt; 0, Tabla162670114157[[#Headers],[Equipos]],
    TRUE, "Sin clasificación"
)</f>
        <v>Herramientas_eléctricas</v>
      </c>
      <c r="F45" s="15"/>
      <c r="G45" s="15" t="s">
        <v>957</v>
      </c>
      <c r="H45" s="15" t="s">
        <v>949</v>
      </c>
      <c r="I45" s="15" t="s">
        <v>638</v>
      </c>
      <c r="J45" s="47" t="s">
        <v>821</v>
      </c>
      <c r="K45" t="s">
        <v>955</v>
      </c>
      <c r="L45" s="47" t="s">
        <v>956</v>
      </c>
      <c r="M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ZE-SO-TG-0007</v>
      </c>
      <c r="O45" s="15"/>
      <c r="Q45" s="48"/>
      <c r="AD45" t="s">
        <v>42</v>
      </c>
      <c r="AF45" s="26" t="s">
        <v>281</v>
      </c>
    </row>
    <row r="46" spans="2:42" ht="28.8" x14ac:dyDescent="0.3">
      <c r="B46" t="s">
        <v>13</v>
      </c>
      <c r="C46" s="11" t="s">
        <v>178</v>
      </c>
      <c r="E46" s="11" t="str" cm="1">
        <f t="array" ref="E46">_xlfn.IFS(
    COUNTIF(Herramientas_eléctricas1862106149[Herramientas_eléctricas], B46) &gt; 0, Herramientas_eléctricas1862106149[[#Headers],[Herramientas_eléctricas]],
    COUNTIF(Herramientas_neumáticas1963107150[Herramientas_neumáticas], B46) &gt; 0, Herramientas_neumáticas1963107150[[#Headers],[Herramientas_neumáticas]],
    COUNTIF(Herramientas_de_medición2064108151[Herramientas_de_medición], B46) &gt; 0, Herramientas_de_medición2064108151[[#Headers],[Herramientas_de_medición]],
    COUNTIF(Herrramientas_mecánicas2165109152[Herramientas_mecánicas], B46) &gt; 0, Herrramientas_mecánicas2165109152[[#Headers],[Herramientas_mecánicas]],
    COUNTIF(AH46:AH52, B46) &gt; 0, Herramientas_hidráulicas2266110153[[#Headers],[Herramientas_hidráulicas]],
    COUNTIF(EPP_2367111154[SPCC], B46) &gt; 0, EPP_2367111154[[#Headers],[SPCC]],
   COUNTIF(Herramientas_de_izaje2468112155[Herramientas_de_izaje], B46) &gt; 0, Herramientas_de_izaje2468112155[[#Headers],[Herramientas_de_izaje]],
COUNTIF(Tabla162670114157[Equipos], B46) &gt; 0, Tabla162670114157[[#Headers],[Equipos]],
    TRUE, "Sin clasificación"
)</f>
        <v>Herramientas_eléctricas</v>
      </c>
      <c r="F46" s="15"/>
      <c r="G46" s="15" t="s">
        <v>957</v>
      </c>
      <c r="H46" s="15" t="s">
        <v>949</v>
      </c>
      <c r="I46" s="15" t="s">
        <v>638</v>
      </c>
      <c r="J46" s="47" t="s">
        <v>821</v>
      </c>
      <c r="K46" t="s">
        <v>958</v>
      </c>
      <c r="L46" s="47"/>
      <c r="M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ZE-SO-TG-0008</v>
      </c>
      <c r="N46">
        <v>24482</v>
      </c>
      <c r="O46" s="15"/>
      <c r="Q46" s="48"/>
    </row>
    <row r="47" spans="2:42" ht="28.8" x14ac:dyDescent="0.3">
      <c r="B47" t="s">
        <v>13</v>
      </c>
      <c r="C47" s="11" t="s">
        <v>178</v>
      </c>
      <c r="E47" s="11" t="str" cm="1">
        <f t="array" ref="E47">_xlfn.IFS(
    COUNTIF(Herramientas_eléctricas1862106149[Herramientas_eléctricas], B47) &gt; 0, Herramientas_eléctricas1862106149[[#Headers],[Herramientas_eléctricas]],
    COUNTIF(Herramientas_neumáticas1963107150[Herramientas_neumáticas], B47) &gt; 0, Herramientas_neumáticas1963107150[[#Headers],[Herramientas_neumáticas]],
    COUNTIF(Herramientas_de_medición2064108151[Herramientas_de_medición], B47) &gt; 0, Herramientas_de_medición2064108151[[#Headers],[Herramientas_de_medición]],
    COUNTIF(Herrramientas_mecánicas2165109152[Herramientas_mecánicas], B47) &gt; 0, Herrramientas_mecánicas2165109152[[#Headers],[Herramientas_mecánicas]],
    COUNTIF(AH47:AH53, B47) &gt; 0, Herramientas_hidráulicas2266110153[[#Headers],[Herramientas_hidráulicas]],
    COUNTIF(EPP_2367111154[SPCC], B47) &gt; 0, EPP_2367111154[[#Headers],[SPCC]],
   COUNTIF(Herramientas_de_izaje2468112155[Herramientas_de_izaje], B47) &gt; 0, Herramientas_de_izaje2468112155[[#Headers],[Herramientas_de_izaje]],
COUNTIF(Tabla162670114157[Equipos], B47) &gt; 0, Tabla162670114157[[#Headers],[Equipos]],
    TRUE, "Sin clasificación"
)</f>
        <v>Herramientas_eléctricas</v>
      </c>
      <c r="F47" s="15"/>
      <c r="G47" s="15"/>
      <c r="H47" s="15"/>
      <c r="I47" s="15" t="s">
        <v>627</v>
      </c>
      <c r="J47" s="47" t="s">
        <v>960</v>
      </c>
      <c r="K47" t="s">
        <v>959</v>
      </c>
      <c r="L47" s="47" t="s">
        <v>961</v>
      </c>
      <c r="M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ZE-SO-TG-0009</v>
      </c>
      <c r="O47" s="15"/>
      <c r="Q47" s="48"/>
      <c r="AD47" t="s">
        <v>41</v>
      </c>
      <c r="AG47" t="s">
        <v>282</v>
      </c>
    </row>
    <row r="48" spans="2:42" ht="28.8" x14ac:dyDescent="0.3">
      <c r="B48" t="s">
        <v>13</v>
      </c>
      <c r="C48" s="11" t="s">
        <v>178</v>
      </c>
      <c r="E48" s="11" t="str" cm="1">
        <f t="array" ref="E48">_xlfn.IFS(
    COUNTIF(Herramientas_eléctricas1862106149[Herramientas_eléctricas], B48) &gt; 0, Herramientas_eléctricas1862106149[[#Headers],[Herramientas_eléctricas]],
    COUNTIF(Herramientas_neumáticas1963107150[Herramientas_neumáticas], B48) &gt; 0, Herramientas_neumáticas1963107150[[#Headers],[Herramientas_neumáticas]],
    COUNTIF(Herramientas_de_medición2064108151[Herramientas_de_medición], B48) &gt; 0, Herramientas_de_medición2064108151[[#Headers],[Herramientas_de_medición]],
    COUNTIF(Herrramientas_mecánicas2165109152[Herramientas_mecánicas], B48) &gt; 0, Herrramientas_mecánicas2165109152[[#Headers],[Herramientas_mecánicas]],
    COUNTIF(AH48:AH54, B48) &gt; 0, Herramientas_hidráulicas2266110153[[#Headers],[Herramientas_hidráulicas]],
    COUNTIF(EPP_2367111154[SPCC], B48) &gt; 0, EPP_2367111154[[#Headers],[SPCC]],
   COUNTIF(Herramientas_de_izaje2468112155[Herramientas_de_izaje], B48) &gt; 0, Herramientas_de_izaje2468112155[[#Headers],[Herramientas_de_izaje]],
COUNTIF(Tabla162670114157[Equipos], B48) &gt; 0, Tabla162670114157[[#Headers],[Equipos]],
    TRUE, "Sin clasificación"
)</f>
        <v>Herramientas_eléctricas</v>
      </c>
      <c r="F48" s="15"/>
      <c r="G48" s="15"/>
      <c r="H48" s="15"/>
      <c r="I48" s="15" t="s">
        <v>638</v>
      </c>
      <c r="J48" s="47" t="s">
        <v>821</v>
      </c>
      <c r="K48" t="s">
        <v>962</v>
      </c>
      <c r="L48" s="47" t="s">
        <v>963</v>
      </c>
      <c r="M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ZE-SO-TG-0010</v>
      </c>
      <c r="O48" s="15"/>
      <c r="Q48" s="48"/>
      <c r="AD48" t="s">
        <v>41</v>
      </c>
      <c r="AF48" t="s">
        <v>283</v>
      </c>
      <c r="AG48" s="74" t="s">
        <v>284</v>
      </c>
      <c r="AP48" t="s">
        <v>74</v>
      </c>
    </row>
    <row r="49" spans="2:42" ht="28.8" x14ac:dyDescent="0.3">
      <c r="B49" t="s">
        <v>13</v>
      </c>
      <c r="C49" s="11" t="s">
        <v>178</v>
      </c>
      <c r="E49" s="11" t="str" cm="1">
        <f t="array" ref="E49">_xlfn.IFS(
    COUNTIF(Herramientas_eléctricas1862106149[Herramientas_eléctricas], B49) &gt; 0, Herramientas_eléctricas1862106149[[#Headers],[Herramientas_eléctricas]],
    COUNTIF(Herramientas_neumáticas1963107150[Herramientas_neumáticas], B49) &gt; 0, Herramientas_neumáticas1963107150[[#Headers],[Herramientas_neumáticas]],
    COUNTIF(Herramientas_de_medición2064108151[Herramientas_de_medición], B49) &gt; 0, Herramientas_de_medición2064108151[[#Headers],[Herramientas_de_medición]],
    COUNTIF(Herrramientas_mecánicas2165109152[Herramientas_mecánicas], B49) &gt; 0, Herrramientas_mecánicas2165109152[[#Headers],[Herramientas_mecánicas]],
    COUNTIF(AH49:AH55, B49) &gt; 0, Herramientas_hidráulicas2266110153[[#Headers],[Herramientas_hidráulicas]],
    COUNTIF(EPP_2367111154[SPCC], B49) &gt; 0, EPP_2367111154[[#Headers],[SPCC]],
   COUNTIF(Herramientas_de_izaje2468112155[Herramientas_de_izaje], B49) &gt; 0, Herramientas_de_izaje2468112155[[#Headers],[Herramientas_de_izaje]],
COUNTIF(Tabla162670114157[Equipos], B49) &gt; 0, Tabla162670114157[[#Headers],[Equipos]],
    TRUE, "Sin clasificación"
)</f>
        <v>Herramientas_eléctricas</v>
      </c>
      <c r="F49" s="15"/>
      <c r="G49" s="15"/>
      <c r="H49" s="15"/>
      <c r="I49" s="15" t="s">
        <v>627</v>
      </c>
      <c r="J49" s="47" t="s">
        <v>881</v>
      </c>
      <c r="K49" t="s">
        <v>964</v>
      </c>
      <c r="L49" s="47" t="s">
        <v>965</v>
      </c>
      <c r="M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ZE-SO-TG-0011</v>
      </c>
      <c r="O49" s="15"/>
      <c r="Q49" s="48"/>
      <c r="AD49" t="s">
        <v>285</v>
      </c>
      <c r="AF49" t="s">
        <v>286</v>
      </c>
      <c r="AP49" s="22" t="s">
        <v>74</v>
      </c>
    </row>
    <row r="50" spans="2:42" ht="28.8" x14ac:dyDescent="0.3">
      <c r="B50" t="s">
        <v>13</v>
      </c>
      <c r="C50" s="11" t="s">
        <v>178</v>
      </c>
      <c r="E50" s="11" t="str" cm="1">
        <f t="array" ref="E50">_xlfn.IFS(
    COUNTIF(Herramientas_eléctricas1862106149[Herramientas_eléctricas], B50) &gt; 0, Herramientas_eléctricas1862106149[[#Headers],[Herramientas_eléctricas]],
    COUNTIF(Herramientas_neumáticas1963107150[Herramientas_neumáticas], B50) &gt; 0, Herramientas_neumáticas1963107150[[#Headers],[Herramientas_neumáticas]],
    COUNTIF(Herramientas_de_medición2064108151[Herramientas_de_medición], B50) &gt; 0, Herramientas_de_medición2064108151[[#Headers],[Herramientas_de_medición]],
    COUNTIF(Herrramientas_mecánicas2165109152[Herramientas_mecánicas], B50) &gt; 0, Herrramientas_mecánicas2165109152[[#Headers],[Herramientas_mecánicas]],
    COUNTIF(AH50:AH56, B50) &gt; 0, Herramientas_hidráulicas2266110153[[#Headers],[Herramientas_hidráulicas]],
    COUNTIF(EPP_2367111154[SPCC], B50) &gt; 0, EPP_2367111154[[#Headers],[SPCC]],
   COUNTIF(Herramientas_de_izaje2468112155[Herramientas_de_izaje], B50) &gt; 0, Herramientas_de_izaje2468112155[[#Headers],[Herramientas_de_izaje]],
COUNTIF(Tabla162670114157[Equipos], B50) &gt; 0, Tabla162670114157[[#Headers],[Equipos]],
    TRUE, "Sin clasificación"
)</f>
        <v>Herramientas_eléctricas</v>
      </c>
      <c r="F50" s="15"/>
      <c r="G50" s="15" t="s">
        <v>967</v>
      </c>
      <c r="H50" s="15"/>
      <c r="I50" s="15" t="s">
        <v>638</v>
      </c>
      <c r="J50" s="47" t="s">
        <v>968</v>
      </c>
      <c r="K50" t="s">
        <v>804</v>
      </c>
      <c r="L50" s="47" t="s">
        <v>966</v>
      </c>
      <c r="M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ZE-SO-TG-0012</v>
      </c>
      <c r="O50" s="15"/>
      <c r="Q50" s="48"/>
      <c r="AD50" t="s">
        <v>287</v>
      </c>
      <c r="AF50" t="s">
        <v>288</v>
      </c>
      <c r="AG50" t="s">
        <v>289</v>
      </c>
      <c r="AP50" s="18" t="s">
        <v>290</v>
      </c>
    </row>
    <row r="51" spans="2:42" ht="28.8" x14ac:dyDescent="0.3">
      <c r="B51" t="s">
        <v>13</v>
      </c>
      <c r="C51" s="11" t="s">
        <v>178</v>
      </c>
      <c r="E51" s="11" t="str" cm="1">
        <f t="array" ref="E51">_xlfn.IFS(
    COUNTIF(Herramientas_eléctricas1862106149[Herramientas_eléctricas], B51) &gt; 0, Herramientas_eléctricas1862106149[[#Headers],[Herramientas_eléctricas]],
    COUNTIF(Herramientas_neumáticas1963107150[Herramientas_neumáticas], B51) &gt; 0, Herramientas_neumáticas1963107150[[#Headers],[Herramientas_neumáticas]],
    COUNTIF(Herramientas_de_medición2064108151[Herramientas_de_medición], B51) &gt; 0, Herramientas_de_medición2064108151[[#Headers],[Herramientas_de_medición]],
    COUNTIF(Herrramientas_mecánicas2165109152[Herramientas_mecánicas], B51) &gt; 0, Herrramientas_mecánicas2165109152[[#Headers],[Herramientas_mecánicas]],
    COUNTIF(AH51:AH57, B51) &gt; 0, Herramientas_hidráulicas2266110153[[#Headers],[Herramientas_hidráulicas]],
    COUNTIF(EPP_2367111154[SPCC], B51) &gt; 0, EPP_2367111154[[#Headers],[SPCC]],
   COUNTIF(Herramientas_de_izaje2468112155[Herramientas_de_izaje], B51) &gt; 0, Herramientas_de_izaje2468112155[[#Headers],[Herramientas_de_izaje]],
COUNTIF(Tabla162670114157[Equipos], B51) &gt; 0, Tabla162670114157[[#Headers],[Equipos]],
    TRUE, "Sin clasificación"
)</f>
        <v>Herramientas_eléctricas</v>
      </c>
      <c r="F51" s="15"/>
      <c r="G51" s="15"/>
      <c r="H51" s="15" t="s">
        <v>970</v>
      </c>
      <c r="I51" s="15" t="s">
        <v>638</v>
      </c>
      <c r="J51" s="47" t="s">
        <v>969</v>
      </c>
      <c r="K51" t="s">
        <v>804</v>
      </c>
      <c r="L51" s="47"/>
      <c r="M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ZE-SO-TG-0013</v>
      </c>
      <c r="O51" s="15"/>
      <c r="Q51" s="48"/>
      <c r="AG51" s="22" t="s">
        <v>291</v>
      </c>
    </row>
    <row r="52" spans="2:42" ht="28.8" x14ac:dyDescent="0.3">
      <c r="B52" t="s">
        <v>13</v>
      </c>
      <c r="C52" s="11" t="s">
        <v>178</v>
      </c>
      <c r="E52" s="11" t="str" cm="1">
        <f t="array" ref="E52">_xlfn.IFS(
    COUNTIF(Herramientas_eléctricas1862106149[Herramientas_eléctricas], B52) &gt; 0, Herramientas_eléctricas1862106149[[#Headers],[Herramientas_eléctricas]],
    COUNTIF(Herramientas_neumáticas1963107150[Herramientas_neumáticas], B52) &gt; 0, Herramientas_neumáticas1963107150[[#Headers],[Herramientas_neumáticas]],
    COUNTIF(Herramientas_de_medición2064108151[Herramientas_de_medición], B52) &gt; 0, Herramientas_de_medición2064108151[[#Headers],[Herramientas_de_medición]],
    COUNTIF(Herrramientas_mecánicas2165109152[Herramientas_mecánicas], B52) &gt; 0, Herrramientas_mecánicas2165109152[[#Headers],[Herramientas_mecánicas]],
    COUNTIF(AH52:AH58, B52) &gt; 0, Herramientas_hidráulicas2266110153[[#Headers],[Herramientas_hidráulicas]],
    COUNTIF(EPP_2367111154[SPCC], B52) &gt; 0, EPP_2367111154[[#Headers],[SPCC]],
   COUNTIF(Herramientas_de_izaje2468112155[Herramientas_de_izaje], B52) &gt; 0, Herramientas_de_izaje2468112155[[#Headers],[Herramientas_de_izaje]],
COUNTIF(Tabla162670114157[Equipos], B52) &gt; 0, Tabla162670114157[[#Headers],[Equipos]],
    TRUE, "Sin clasificación"
)</f>
        <v>Herramientas_eléctricas</v>
      </c>
      <c r="F52" s="15"/>
      <c r="G52" s="15"/>
      <c r="H52" s="15"/>
      <c r="I52" s="15" t="s">
        <v>627</v>
      </c>
      <c r="J52" s="47" t="s">
        <v>881</v>
      </c>
      <c r="K52" t="s">
        <v>971</v>
      </c>
      <c r="L52" s="47"/>
      <c r="M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ZE-SO-TG-0014</v>
      </c>
      <c r="O52" s="15"/>
      <c r="Q52" s="48"/>
      <c r="AD52" t="s">
        <v>60</v>
      </c>
      <c r="AG52" s="67" t="s">
        <v>292</v>
      </c>
    </row>
    <row r="53" spans="2:42" ht="28.8" x14ac:dyDescent="0.3">
      <c r="B53" t="s">
        <v>13</v>
      </c>
      <c r="C53" s="11" t="s">
        <v>178</v>
      </c>
      <c r="E53" s="11" t="str" cm="1">
        <f t="array" ref="E53">_xlfn.IFS(
    COUNTIF(Herramientas_eléctricas1862106149[Herramientas_eléctricas], B53) &gt; 0, Herramientas_eléctricas1862106149[[#Headers],[Herramientas_eléctricas]],
    COUNTIF(Herramientas_neumáticas1963107150[Herramientas_neumáticas], B53) &gt; 0, Herramientas_neumáticas1963107150[[#Headers],[Herramientas_neumáticas]],
    COUNTIF(Herramientas_de_medición2064108151[Herramientas_de_medición], B53) &gt; 0, Herramientas_de_medición2064108151[[#Headers],[Herramientas_de_medición]],
    COUNTIF(Herrramientas_mecánicas2165109152[Herramientas_mecánicas], B53) &gt; 0, Herrramientas_mecánicas2165109152[[#Headers],[Herramientas_mecánicas]],
    COUNTIF(AH53:AH59, B53) &gt; 0, Herramientas_hidráulicas2266110153[[#Headers],[Herramientas_hidráulicas]],
    COUNTIF(EPP_2367111154[SPCC], B53) &gt; 0, EPP_2367111154[[#Headers],[SPCC]],
   COUNTIF(Herramientas_de_izaje2468112155[Herramientas_de_izaje], B53) &gt; 0, Herramientas_de_izaje2468112155[[#Headers],[Herramientas_de_izaje]],
COUNTIF(Tabla162670114157[Equipos], B53) &gt; 0, Tabla162670114157[[#Headers],[Equipos]],
    TRUE, "Sin clasificación"
)</f>
        <v>Herramientas_eléctricas</v>
      </c>
      <c r="F53" s="15"/>
      <c r="G53" s="15"/>
      <c r="H53" s="15"/>
      <c r="I53" s="15" t="s">
        <v>638</v>
      </c>
      <c r="J53" s="47" t="s">
        <v>821</v>
      </c>
      <c r="K53" t="s">
        <v>972</v>
      </c>
      <c r="L53" s="47" t="s">
        <v>973</v>
      </c>
      <c r="M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ZE-SO-TG-0015</v>
      </c>
      <c r="O53" s="15"/>
      <c r="Q53" s="48"/>
      <c r="AD53" s="70" t="s">
        <v>293</v>
      </c>
      <c r="AG53" s="22" t="s">
        <v>294</v>
      </c>
    </row>
    <row r="54" spans="2:42" ht="28.8" x14ac:dyDescent="0.3">
      <c r="B54" t="s">
        <v>13</v>
      </c>
      <c r="C54" s="11" t="s">
        <v>178</v>
      </c>
      <c r="E54" s="11" t="str" cm="1">
        <f t="array" ref="E54">_xlfn.IFS(
    COUNTIF(Herramientas_eléctricas1862106149[Herramientas_eléctricas], B54) &gt; 0, Herramientas_eléctricas1862106149[[#Headers],[Herramientas_eléctricas]],
    COUNTIF(Herramientas_neumáticas1963107150[Herramientas_neumáticas], B54) &gt; 0, Herramientas_neumáticas1963107150[[#Headers],[Herramientas_neumáticas]],
    COUNTIF(Herramientas_de_medición2064108151[Herramientas_de_medición], B54) &gt; 0, Herramientas_de_medición2064108151[[#Headers],[Herramientas_de_medición]],
    COUNTIF(Herrramientas_mecánicas2165109152[Herramientas_mecánicas], B54) &gt; 0, Herrramientas_mecánicas2165109152[[#Headers],[Herramientas_mecánicas]],
    COUNTIF(AH54:AH60, B54) &gt; 0, Herramientas_hidráulicas2266110153[[#Headers],[Herramientas_hidráulicas]],
    COUNTIF(EPP_2367111154[SPCC], B54) &gt; 0, EPP_2367111154[[#Headers],[SPCC]],
   COUNTIF(Herramientas_de_izaje2468112155[Herramientas_de_izaje], B54) &gt; 0, Herramientas_de_izaje2468112155[[#Headers],[Herramientas_de_izaje]],
COUNTIF(Tabla162670114157[Equipos], B54) &gt; 0, Tabla162670114157[[#Headers],[Equipos]],
    TRUE, "Sin clasificación"
)</f>
        <v>Herramientas_eléctricas</v>
      </c>
      <c r="F54" s="15"/>
      <c r="G54" s="15"/>
      <c r="H54" s="15"/>
      <c r="I54" s="15" t="s">
        <v>638</v>
      </c>
      <c r="J54" s="47" t="s">
        <v>821</v>
      </c>
      <c r="K54" t="s">
        <v>922</v>
      </c>
      <c r="L54" s="47"/>
      <c r="M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ZE-SO-TG-0016</v>
      </c>
      <c r="O54" s="15"/>
      <c r="Q54" s="48"/>
      <c r="AG54" s="22" t="s">
        <v>295</v>
      </c>
    </row>
    <row r="55" spans="2:42" ht="28.8" x14ac:dyDescent="0.3">
      <c r="B55" t="s">
        <v>13</v>
      </c>
      <c r="C55" s="11" t="s">
        <v>178</v>
      </c>
      <c r="E55" s="11" t="str" cm="1">
        <f t="array" ref="E55">_xlfn.IFS(
    COUNTIF(Herramientas_eléctricas1862106149[Herramientas_eléctricas], B55) &gt; 0, Herramientas_eléctricas1862106149[[#Headers],[Herramientas_eléctricas]],
    COUNTIF(Herramientas_neumáticas1963107150[Herramientas_neumáticas], B55) &gt; 0, Herramientas_neumáticas1963107150[[#Headers],[Herramientas_neumáticas]],
    COUNTIF(Herramientas_de_medición2064108151[Herramientas_de_medición], B55) &gt; 0, Herramientas_de_medición2064108151[[#Headers],[Herramientas_de_medición]],
    COUNTIF(Herrramientas_mecánicas2165109152[Herramientas_mecánicas], B55) &gt; 0, Herrramientas_mecánicas2165109152[[#Headers],[Herramientas_mecánicas]],
    COUNTIF(AH55:AH61, B55) &gt; 0, Herramientas_hidráulicas2266110153[[#Headers],[Herramientas_hidráulicas]],
    COUNTIF(EPP_2367111154[SPCC], B55) &gt; 0, EPP_2367111154[[#Headers],[SPCC]],
   COUNTIF(Herramientas_de_izaje2468112155[Herramientas_de_izaje], B55) &gt; 0, Herramientas_de_izaje2468112155[[#Headers],[Herramientas_de_izaje]],
COUNTIF(Tabla162670114157[Equipos], B55) &gt; 0, Tabla162670114157[[#Headers],[Equipos]],
    TRUE, "Sin clasificación"
)</f>
        <v>Herramientas_eléctricas</v>
      </c>
      <c r="F55" s="15"/>
      <c r="G55" s="15"/>
      <c r="H55" s="15"/>
      <c r="I55" s="15" t="s">
        <v>638</v>
      </c>
      <c r="J55" s="47" t="s">
        <v>974</v>
      </c>
      <c r="K55" t="s">
        <v>804</v>
      </c>
      <c r="L55" s="47">
        <v>217491</v>
      </c>
      <c r="M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ZE-SO-TG-0017</v>
      </c>
      <c r="O55" s="15"/>
      <c r="Q55" s="48"/>
      <c r="AG55" s="22" t="s">
        <v>296</v>
      </c>
    </row>
    <row r="56" spans="2:42" ht="28.8" x14ac:dyDescent="0.3">
      <c r="B56" t="s">
        <v>13</v>
      </c>
      <c r="C56" s="11" t="s">
        <v>178</v>
      </c>
      <c r="E56" s="11" t="str" cm="1">
        <f t="array" ref="E56">_xlfn.IFS(
    COUNTIF(Herramientas_eléctricas1862106149[Herramientas_eléctricas], B56) &gt; 0, Herramientas_eléctricas1862106149[[#Headers],[Herramientas_eléctricas]],
    COUNTIF(Herramientas_neumáticas1963107150[Herramientas_neumáticas], B56) &gt; 0, Herramientas_neumáticas1963107150[[#Headers],[Herramientas_neumáticas]],
    COUNTIF(Herramientas_de_medición2064108151[Herramientas_de_medición], B56) &gt; 0, Herramientas_de_medición2064108151[[#Headers],[Herramientas_de_medición]],
    COUNTIF(Herrramientas_mecánicas2165109152[Herramientas_mecánicas], B56) &gt; 0, Herrramientas_mecánicas2165109152[[#Headers],[Herramientas_mecánicas]],
    COUNTIF(AH56:AH62, B56) &gt; 0, Herramientas_hidráulicas2266110153[[#Headers],[Herramientas_hidráulicas]],
    COUNTIF(EPP_2367111154[SPCC], B56) &gt; 0, EPP_2367111154[[#Headers],[SPCC]],
   COUNTIF(Herramientas_de_izaje2468112155[Herramientas_de_izaje], B56) &gt; 0, Herramientas_de_izaje2468112155[[#Headers],[Herramientas_de_izaje]],
COUNTIF(Tabla162670114157[Equipos], B56) &gt; 0, Tabla162670114157[[#Headers],[Equipos]],
    TRUE, "Sin clasificación"
)</f>
        <v>Herramientas_eléctricas</v>
      </c>
      <c r="F56" s="15"/>
      <c r="G56" s="15"/>
      <c r="H56" s="15"/>
      <c r="I56" s="15" t="s">
        <v>627</v>
      </c>
      <c r="J56" s="47" t="s">
        <v>986</v>
      </c>
      <c r="K56" t="s">
        <v>920</v>
      </c>
      <c r="L56" s="47"/>
      <c r="M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ZE-SO-TG-0018</v>
      </c>
      <c r="O56" s="15"/>
      <c r="Q56" s="48"/>
      <c r="AF56" t="s">
        <v>297</v>
      </c>
      <c r="AG56" s="18" t="s">
        <v>298</v>
      </c>
    </row>
    <row r="57" spans="2:42" ht="28.8" x14ac:dyDescent="0.3">
      <c r="B57" t="s">
        <v>13</v>
      </c>
      <c r="C57" s="11" t="s">
        <v>178</v>
      </c>
      <c r="E57" s="11" t="str" cm="1">
        <f t="array" ref="E57">_xlfn.IFS(
    COUNTIF(Herramientas_eléctricas1862106149[Herramientas_eléctricas], B57) &gt; 0, Herramientas_eléctricas1862106149[[#Headers],[Herramientas_eléctricas]],
    COUNTIF(Herramientas_neumáticas1963107150[Herramientas_neumáticas], B57) &gt; 0, Herramientas_neumáticas1963107150[[#Headers],[Herramientas_neumáticas]],
    COUNTIF(Herramientas_de_medición2064108151[Herramientas_de_medición], B57) &gt; 0, Herramientas_de_medición2064108151[[#Headers],[Herramientas_de_medición]],
    COUNTIF(Herrramientas_mecánicas2165109152[Herramientas_mecánicas], B57) &gt; 0, Herrramientas_mecánicas2165109152[[#Headers],[Herramientas_mecánicas]],
    COUNTIF(AH57:AH63, B57) &gt; 0, Herramientas_hidráulicas2266110153[[#Headers],[Herramientas_hidráulicas]],
    COUNTIF(EPP_2367111154[SPCC], B57) &gt; 0, EPP_2367111154[[#Headers],[SPCC]],
   COUNTIF(Herramientas_de_izaje2468112155[Herramientas_de_izaje], B57) &gt; 0, Herramientas_de_izaje2468112155[[#Headers],[Herramientas_de_izaje]],
COUNTIF(Tabla162670114157[Equipos], B57) &gt; 0, Tabla162670114157[[#Headers],[Equipos]],
    TRUE, "Sin clasificación"
)</f>
        <v>Herramientas_eléctricas</v>
      </c>
      <c r="F57" s="15"/>
      <c r="G57" s="15"/>
      <c r="H57" s="15"/>
      <c r="I57" s="15" t="s">
        <v>638</v>
      </c>
      <c r="J57" s="47" t="s">
        <v>821</v>
      </c>
      <c r="K57" t="s">
        <v>987</v>
      </c>
      <c r="L57" s="47" t="s">
        <v>988</v>
      </c>
      <c r="M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ZE-SO-TG-0019</v>
      </c>
      <c r="O57" s="15"/>
      <c r="Q57" s="48"/>
      <c r="AF57" t="s">
        <v>299</v>
      </c>
      <c r="AG57" s="22" t="s">
        <v>300</v>
      </c>
    </row>
    <row r="58" spans="2:42" ht="28.8" x14ac:dyDescent="0.3">
      <c r="B58" t="s">
        <v>13</v>
      </c>
      <c r="C58" s="11" t="s">
        <v>178</v>
      </c>
      <c r="E58" s="11" t="str" cm="1">
        <f t="array" ref="E58">_xlfn.IFS(
    COUNTIF(Herramientas_eléctricas1862106149[Herramientas_eléctricas], B58) &gt; 0, Herramientas_eléctricas1862106149[[#Headers],[Herramientas_eléctricas]],
    COUNTIF(Herramientas_neumáticas1963107150[Herramientas_neumáticas], B58) &gt; 0, Herramientas_neumáticas1963107150[[#Headers],[Herramientas_neumáticas]],
    COUNTIF(Herramientas_de_medición2064108151[Herramientas_de_medición], B58) &gt; 0, Herramientas_de_medición2064108151[[#Headers],[Herramientas_de_medición]],
    COUNTIF(Herrramientas_mecánicas2165109152[Herramientas_mecánicas], B58) &gt; 0, Herrramientas_mecánicas2165109152[[#Headers],[Herramientas_mecánicas]],
    COUNTIF(AH58:AH64, B58) &gt; 0, Herramientas_hidráulicas2266110153[[#Headers],[Herramientas_hidráulicas]],
    COUNTIF(EPP_2367111154[SPCC], B58) &gt; 0, EPP_2367111154[[#Headers],[SPCC]],
   COUNTIF(Herramientas_de_izaje2468112155[Herramientas_de_izaje], B58) &gt; 0, Herramientas_de_izaje2468112155[[#Headers],[Herramientas_de_izaje]],
COUNTIF(Tabla162670114157[Equipos], B58) &gt; 0, Tabla162670114157[[#Headers],[Equipos]],
    TRUE, "Sin clasificación"
)</f>
        <v>Herramientas_eléctricas</v>
      </c>
      <c r="F58" s="15"/>
      <c r="G58" s="15"/>
      <c r="H58" s="15"/>
      <c r="I58" s="15" t="s">
        <v>638</v>
      </c>
      <c r="J58" s="47" t="s">
        <v>821</v>
      </c>
      <c r="K58" t="s">
        <v>920</v>
      </c>
      <c r="L58" s="47" t="s">
        <v>989</v>
      </c>
      <c r="M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ZE-SO-TG-0020</v>
      </c>
      <c r="O58" s="15"/>
      <c r="Q58" s="48"/>
      <c r="AD58" t="s">
        <v>23</v>
      </c>
      <c r="AG58" s="18" t="s">
        <v>301</v>
      </c>
    </row>
    <row r="59" spans="2:42" ht="28.8" x14ac:dyDescent="0.3">
      <c r="B59" t="s">
        <v>13</v>
      </c>
      <c r="C59" s="11" t="s">
        <v>178</v>
      </c>
      <c r="E59" s="11" t="str" cm="1">
        <f t="array" ref="E59">_xlfn.IFS(
    COUNTIF(Herramientas_eléctricas1862106149[Herramientas_eléctricas], B59) &gt; 0, Herramientas_eléctricas1862106149[[#Headers],[Herramientas_eléctricas]],
    COUNTIF(Herramientas_neumáticas1963107150[Herramientas_neumáticas], B59) &gt; 0, Herramientas_neumáticas1963107150[[#Headers],[Herramientas_neumáticas]],
    COUNTIF(Herramientas_de_medición2064108151[Herramientas_de_medición], B59) &gt; 0, Herramientas_de_medición2064108151[[#Headers],[Herramientas_de_medición]],
    COUNTIF(Herrramientas_mecánicas2165109152[Herramientas_mecánicas], B59) &gt; 0, Herrramientas_mecánicas2165109152[[#Headers],[Herramientas_mecánicas]],
    COUNTIF(AH59:AH65, B59) &gt; 0, Herramientas_hidráulicas2266110153[[#Headers],[Herramientas_hidráulicas]],
    COUNTIF(EPP_2367111154[SPCC], B59) &gt; 0, EPP_2367111154[[#Headers],[SPCC]],
   COUNTIF(Herramientas_de_izaje2468112155[Herramientas_de_izaje], B59) &gt; 0, Herramientas_de_izaje2468112155[[#Headers],[Herramientas_de_izaje]],
COUNTIF(Tabla162670114157[Equipos], B59) &gt; 0, Tabla162670114157[[#Headers],[Equipos]],
    TRUE, "Sin clasificación"
)</f>
        <v>Herramientas_eléctricas</v>
      </c>
      <c r="F59" s="15"/>
      <c r="G59" s="15"/>
      <c r="H59" s="15"/>
      <c r="I59" s="15" t="s">
        <v>627</v>
      </c>
      <c r="J59" s="47" t="s">
        <v>986</v>
      </c>
      <c r="K59" t="s">
        <v>990</v>
      </c>
      <c r="L59" s="47">
        <v>24060200169</v>
      </c>
      <c r="M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ZE-SO-TG-0021</v>
      </c>
      <c r="O59" s="15"/>
      <c r="Q59" s="48"/>
      <c r="AD59" t="s">
        <v>302</v>
      </c>
      <c r="AG59" s="70" t="s">
        <v>303</v>
      </c>
    </row>
    <row r="60" spans="2:42" ht="28.8" x14ac:dyDescent="0.3">
      <c r="B60" t="s">
        <v>13</v>
      </c>
      <c r="C60" s="11" t="s">
        <v>178</v>
      </c>
      <c r="E60" s="11" t="str" cm="1">
        <f t="array" ref="E60">_xlfn.IFS(
    COUNTIF(Herramientas_eléctricas1862106149[Herramientas_eléctricas], B60) &gt; 0, Herramientas_eléctricas1862106149[[#Headers],[Herramientas_eléctricas]],
    COUNTIF(Herramientas_neumáticas1963107150[Herramientas_neumáticas], B60) &gt; 0, Herramientas_neumáticas1963107150[[#Headers],[Herramientas_neumáticas]],
    COUNTIF(Herramientas_de_medición2064108151[Herramientas_de_medición], B60) &gt; 0, Herramientas_de_medición2064108151[[#Headers],[Herramientas_de_medición]],
    COUNTIF(Herrramientas_mecánicas2165109152[Herramientas_mecánicas], B60) &gt; 0, Herrramientas_mecánicas2165109152[[#Headers],[Herramientas_mecánicas]],
    COUNTIF(AH60:AH66, B60) &gt; 0, Herramientas_hidráulicas2266110153[[#Headers],[Herramientas_hidráulicas]],
    COUNTIF(EPP_2367111154[SPCC], B60) &gt; 0, EPP_2367111154[[#Headers],[SPCC]],
   COUNTIF(Herramientas_de_izaje2468112155[Herramientas_de_izaje], B60) &gt; 0, Herramientas_de_izaje2468112155[[#Headers],[Herramientas_de_izaje]],
COUNTIF(Tabla162670114157[Equipos], B60) &gt; 0, Tabla162670114157[[#Headers],[Equipos]],
    TRUE, "Sin clasificación"
)</f>
        <v>Herramientas_eléctricas</v>
      </c>
      <c r="F60" s="15"/>
      <c r="G60" s="15"/>
      <c r="H60" s="15"/>
      <c r="I60" s="15" t="s">
        <v>627</v>
      </c>
      <c r="J60" s="47" t="s">
        <v>881</v>
      </c>
      <c r="K60" t="s">
        <v>991</v>
      </c>
      <c r="L60" s="47" t="s">
        <v>992</v>
      </c>
      <c r="M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ZE-SO-TG-0022</v>
      </c>
      <c r="O60" s="15"/>
      <c r="Q60" s="48"/>
      <c r="AF60" t="s">
        <v>62</v>
      </c>
    </row>
    <row r="61" spans="2:42" ht="28.8" x14ac:dyDescent="0.3">
      <c r="B61" t="s">
        <v>13</v>
      </c>
      <c r="C61" s="11" t="s">
        <v>178</v>
      </c>
      <c r="E61" s="11" t="str" cm="1">
        <f t="array" ref="E61">_xlfn.IFS(
    COUNTIF(Herramientas_eléctricas1862106149[Herramientas_eléctricas], B61) &gt; 0, Herramientas_eléctricas1862106149[[#Headers],[Herramientas_eléctricas]],
    COUNTIF(Herramientas_neumáticas1963107150[Herramientas_neumáticas], B61) &gt; 0, Herramientas_neumáticas1963107150[[#Headers],[Herramientas_neumáticas]],
    COUNTIF(Herramientas_de_medición2064108151[Herramientas_de_medición], B61) &gt; 0, Herramientas_de_medición2064108151[[#Headers],[Herramientas_de_medición]],
    COUNTIF(Herrramientas_mecánicas2165109152[Herramientas_mecánicas], B61) &gt; 0, Herrramientas_mecánicas2165109152[[#Headers],[Herramientas_mecánicas]],
    COUNTIF(AH61:AH67, B61) &gt; 0, Herramientas_hidráulicas2266110153[[#Headers],[Herramientas_hidráulicas]],
    COUNTIF(EPP_2367111154[SPCC], B61) &gt; 0, EPP_2367111154[[#Headers],[SPCC]],
   COUNTIF(Herramientas_de_izaje2468112155[Herramientas_de_izaje], B61) &gt; 0, Herramientas_de_izaje2468112155[[#Headers],[Herramientas_de_izaje]],
COUNTIF(Tabla162670114157[Equipos], B61) &gt; 0, Tabla162670114157[[#Headers],[Equipos]],
    TRUE, "Sin clasificación"
)</f>
        <v>Herramientas_eléctricas</v>
      </c>
      <c r="F61" s="15"/>
      <c r="G61" s="15"/>
      <c r="H61" s="15"/>
      <c r="I61" s="15" t="s">
        <v>627</v>
      </c>
      <c r="J61" s="47" t="s">
        <v>881</v>
      </c>
      <c r="K61" t="s">
        <v>993</v>
      </c>
      <c r="L61" s="47"/>
      <c r="M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ZE-SO-TG-0023</v>
      </c>
      <c r="O61" s="15"/>
      <c r="Q61" s="48"/>
      <c r="AF61" s="70" t="s">
        <v>304</v>
      </c>
      <c r="AG61" t="s">
        <v>305</v>
      </c>
    </row>
    <row r="62" spans="2:42" ht="28.8" x14ac:dyDescent="0.3">
      <c r="B62" t="s">
        <v>13</v>
      </c>
      <c r="C62" s="11" t="s">
        <v>178</v>
      </c>
      <c r="E62" s="11" t="str" cm="1">
        <f t="array" ref="E62">_xlfn.IFS(
    COUNTIF(Herramientas_eléctricas1862106149[Herramientas_eléctricas], B62) &gt; 0, Herramientas_eléctricas1862106149[[#Headers],[Herramientas_eléctricas]],
    COUNTIF(Herramientas_neumáticas1963107150[Herramientas_neumáticas], B62) &gt; 0, Herramientas_neumáticas1963107150[[#Headers],[Herramientas_neumáticas]],
    COUNTIF(Herramientas_de_medición2064108151[Herramientas_de_medición], B62) &gt; 0, Herramientas_de_medición2064108151[[#Headers],[Herramientas_de_medición]],
    COUNTIF(Herrramientas_mecánicas2165109152[Herramientas_mecánicas], B62) &gt; 0, Herrramientas_mecánicas2165109152[[#Headers],[Herramientas_mecánicas]],
    COUNTIF(AH62:AH68, B62) &gt; 0, Herramientas_hidráulicas2266110153[[#Headers],[Herramientas_hidráulicas]],
    COUNTIF(EPP_2367111154[SPCC], B62) &gt; 0, EPP_2367111154[[#Headers],[SPCC]],
   COUNTIF(Herramientas_de_izaje2468112155[Herramientas_de_izaje], B62) &gt; 0, Herramientas_de_izaje2468112155[[#Headers],[Herramientas_de_izaje]],
COUNTIF(Tabla162670114157[Equipos], B62) &gt; 0, Tabla162670114157[[#Headers],[Equipos]],
    TRUE, "Sin clasificación"
)</f>
        <v>Herramientas_eléctricas</v>
      </c>
      <c r="F62" s="15"/>
      <c r="G62" s="15"/>
      <c r="H62" s="15"/>
      <c r="I62" s="15" t="s">
        <v>638</v>
      </c>
      <c r="J62" s="47" t="s">
        <v>821</v>
      </c>
      <c r="K62" t="s">
        <v>916</v>
      </c>
      <c r="L62" s="47"/>
      <c r="M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ZE-SO-TG-0024</v>
      </c>
      <c r="O62" s="15"/>
      <c r="Q62" s="48"/>
      <c r="AD62" t="s">
        <v>64</v>
      </c>
      <c r="AG62" t="s">
        <v>306</v>
      </c>
    </row>
    <row r="63" spans="2:42" ht="28.8" x14ac:dyDescent="0.3">
      <c r="B63" t="s">
        <v>13</v>
      </c>
      <c r="C63" s="11" t="s">
        <v>178</v>
      </c>
      <c r="E63" s="11" t="str" cm="1">
        <f t="array" ref="E63">_xlfn.IFS(
    COUNTIF(Herramientas_eléctricas1862106149[Herramientas_eléctricas], B63) &gt; 0, Herramientas_eléctricas1862106149[[#Headers],[Herramientas_eléctricas]],
    COUNTIF(Herramientas_neumáticas1963107150[Herramientas_neumáticas], B63) &gt; 0, Herramientas_neumáticas1963107150[[#Headers],[Herramientas_neumáticas]],
    COUNTIF(Herramientas_de_medición2064108151[Herramientas_de_medición], B63) &gt; 0, Herramientas_de_medición2064108151[[#Headers],[Herramientas_de_medición]],
    COUNTIF(Herrramientas_mecánicas2165109152[Herramientas_mecánicas], B63) &gt; 0, Herrramientas_mecánicas2165109152[[#Headers],[Herramientas_mecánicas]],
    COUNTIF(AH63:AH69, B63) &gt; 0, Herramientas_hidráulicas2266110153[[#Headers],[Herramientas_hidráulicas]],
    COUNTIF(EPP_2367111154[SPCC], B63) &gt; 0, EPP_2367111154[[#Headers],[SPCC]],
   COUNTIF(Herramientas_de_izaje2468112155[Herramientas_de_izaje], B63) &gt; 0, Herramientas_de_izaje2468112155[[#Headers],[Herramientas_de_izaje]],
COUNTIF(Tabla162670114157[Equipos], B63) &gt; 0, Tabla162670114157[[#Headers],[Equipos]],
    TRUE, "Sin clasificación"
)</f>
        <v>Herramientas_eléctricas</v>
      </c>
      <c r="F63" s="15"/>
      <c r="G63" s="15"/>
      <c r="H63" s="15"/>
      <c r="I63" s="15" t="s">
        <v>627</v>
      </c>
      <c r="J63" s="47" t="s">
        <v>881</v>
      </c>
      <c r="K63" t="s">
        <v>994</v>
      </c>
      <c r="L63" s="47" t="s">
        <v>995</v>
      </c>
      <c r="M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ZE-SO-TG-0025</v>
      </c>
      <c r="O63" s="15"/>
      <c r="Q63" s="48"/>
      <c r="AD63" s="75" t="s">
        <v>307</v>
      </c>
      <c r="AF63" t="s">
        <v>89</v>
      </c>
    </row>
    <row r="64" spans="2:42" ht="28.8" x14ac:dyDescent="0.3">
      <c r="B64" t="s">
        <v>13</v>
      </c>
      <c r="C64" s="11" t="s">
        <v>178</v>
      </c>
      <c r="E64" s="11" t="str" cm="1">
        <f t="array" ref="E64">_xlfn.IFS(
    COUNTIF(Herramientas_eléctricas1862106149[Herramientas_eléctricas], B64) &gt; 0, Herramientas_eléctricas1862106149[[#Headers],[Herramientas_eléctricas]],
    COUNTIF(Herramientas_neumáticas1963107150[Herramientas_neumáticas], B64) &gt; 0, Herramientas_neumáticas1963107150[[#Headers],[Herramientas_neumáticas]],
    COUNTIF(Herramientas_de_medición2064108151[Herramientas_de_medición], B64) &gt; 0, Herramientas_de_medición2064108151[[#Headers],[Herramientas_de_medición]],
    COUNTIF(Herrramientas_mecánicas2165109152[Herramientas_mecánicas], B64) &gt; 0, Herrramientas_mecánicas2165109152[[#Headers],[Herramientas_mecánicas]],
    COUNTIF(AH64:AH70, B64) &gt; 0, Herramientas_hidráulicas2266110153[[#Headers],[Herramientas_hidráulicas]],
    COUNTIF(EPP_2367111154[SPCC], B64) &gt; 0, EPP_2367111154[[#Headers],[SPCC]],
   COUNTIF(Herramientas_de_izaje2468112155[Herramientas_de_izaje], B64) &gt; 0, Herramientas_de_izaje2468112155[[#Headers],[Herramientas_de_izaje]],
COUNTIF(Tabla162670114157[Equipos], B64) &gt; 0, Tabla162670114157[[#Headers],[Equipos]],
    TRUE, "Sin clasificación"
)</f>
        <v>Herramientas_eléctricas</v>
      </c>
      <c r="F64" s="15"/>
      <c r="G64" s="15"/>
      <c r="H64" s="15"/>
      <c r="I64" s="15" t="s">
        <v>627</v>
      </c>
      <c r="J64" s="47" t="s">
        <v>996</v>
      </c>
      <c r="K64" t="s">
        <v>916</v>
      </c>
      <c r="L64" s="47"/>
      <c r="M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ZE-SO-TG-0026</v>
      </c>
      <c r="O64" s="15"/>
      <c r="Q64" s="48"/>
      <c r="AD64" s="70" t="s">
        <v>308</v>
      </c>
      <c r="AF64" s="12" t="s">
        <v>309</v>
      </c>
      <c r="AG64" t="s">
        <v>102</v>
      </c>
    </row>
    <row r="65" spans="2:33" ht="28.8" x14ac:dyDescent="0.3">
      <c r="B65" t="s">
        <v>13</v>
      </c>
      <c r="C65" s="11" t="s">
        <v>178</v>
      </c>
      <c r="E65" s="11" t="str" cm="1">
        <f t="array" ref="E65">_xlfn.IFS(
    COUNTIF(Herramientas_eléctricas1862106149[Herramientas_eléctricas], B65) &gt; 0, Herramientas_eléctricas1862106149[[#Headers],[Herramientas_eléctricas]],
    COUNTIF(Herramientas_neumáticas1963107150[Herramientas_neumáticas], B65) &gt; 0, Herramientas_neumáticas1963107150[[#Headers],[Herramientas_neumáticas]],
    COUNTIF(Herramientas_de_medición2064108151[Herramientas_de_medición], B65) &gt; 0, Herramientas_de_medición2064108151[[#Headers],[Herramientas_de_medición]],
    COUNTIF(Herrramientas_mecánicas2165109152[Herramientas_mecánicas], B65) &gt; 0, Herrramientas_mecánicas2165109152[[#Headers],[Herramientas_mecánicas]],
    COUNTIF(AH65:AH71, B65) &gt; 0, Herramientas_hidráulicas2266110153[[#Headers],[Herramientas_hidráulicas]],
    COUNTIF(EPP_2367111154[SPCC], B65) &gt; 0, EPP_2367111154[[#Headers],[SPCC]],
   COUNTIF(Herramientas_de_izaje2468112155[Herramientas_de_izaje], B65) &gt; 0, Herramientas_de_izaje2468112155[[#Headers],[Herramientas_de_izaje]],
COUNTIF(Tabla162670114157[Equipos], B65) &gt; 0, Tabla162670114157[[#Headers],[Equipos]],
    TRUE, "Sin clasificación"
)</f>
        <v>Herramientas_eléctricas</v>
      </c>
      <c r="F65" s="15"/>
      <c r="G65" s="15"/>
      <c r="H65" s="15"/>
      <c r="I65" s="15" t="s">
        <v>627</v>
      </c>
      <c r="J65" s="47" t="s">
        <v>881</v>
      </c>
      <c r="K65" t="s">
        <v>997</v>
      </c>
      <c r="L65" t="s">
        <v>965</v>
      </c>
      <c r="M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ZE-SO-TG-0027</v>
      </c>
      <c r="O65" s="15"/>
      <c r="Q65" s="48"/>
      <c r="AG65" t="s">
        <v>310</v>
      </c>
    </row>
    <row r="66" spans="2:33" ht="28.8" x14ac:dyDescent="0.3">
      <c r="B66" t="s">
        <v>13</v>
      </c>
      <c r="C66" s="11" t="s">
        <v>178</v>
      </c>
      <c r="E66" s="11" t="str" cm="1">
        <f t="array" ref="E66">_xlfn.IFS(
    COUNTIF(Herramientas_eléctricas1862106149[Herramientas_eléctricas], B66) &gt; 0, Herramientas_eléctricas1862106149[[#Headers],[Herramientas_eléctricas]],
    COUNTIF(Herramientas_neumáticas1963107150[Herramientas_neumáticas], B66) &gt; 0, Herramientas_neumáticas1963107150[[#Headers],[Herramientas_neumáticas]],
    COUNTIF(Herramientas_de_medición2064108151[Herramientas_de_medición], B66) &gt; 0, Herramientas_de_medición2064108151[[#Headers],[Herramientas_de_medición]],
    COUNTIF(Herrramientas_mecánicas2165109152[Herramientas_mecánicas], B66) &gt; 0, Herrramientas_mecánicas2165109152[[#Headers],[Herramientas_mecánicas]],
    COUNTIF(AH66:AH72, B66) &gt; 0, Herramientas_hidráulicas2266110153[[#Headers],[Herramientas_hidráulicas]],
    COUNTIF(EPP_2367111154[SPCC], B66) &gt; 0, EPP_2367111154[[#Headers],[SPCC]],
   COUNTIF(Herramientas_de_izaje2468112155[Herramientas_de_izaje], B66) &gt; 0, Herramientas_de_izaje2468112155[[#Headers],[Herramientas_de_izaje]],
COUNTIF(Tabla162670114157[Equipos], B66) &gt; 0, Tabla162670114157[[#Headers],[Equipos]],
    TRUE, "Sin clasificación"
)</f>
        <v>Herramientas_eléctricas</v>
      </c>
      <c r="F66" s="15"/>
      <c r="G66" s="15"/>
      <c r="H66" s="15"/>
      <c r="I66" s="15" t="s">
        <v>627</v>
      </c>
      <c r="J66" s="47" t="s">
        <v>729</v>
      </c>
      <c r="K66" t="s">
        <v>959</v>
      </c>
      <c r="L66" s="47"/>
      <c r="M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ZE-SO-TG-0028</v>
      </c>
      <c r="N66">
        <v>47844</v>
      </c>
      <c r="O66" s="15"/>
      <c r="Q66" s="48"/>
      <c r="AD66" t="s">
        <v>101</v>
      </c>
      <c r="AF66" s="34" t="s">
        <v>73</v>
      </c>
    </row>
    <row r="67" spans="2:33" ht="28.8" x14ac:dyDescent="0.3">
      <c r="B67" t="s">
        <v>13</v>
      </c>
      <c r="C67" s="11" t="s">
        <v>178</v>
      </c>
      <c r="E67" s="11" t="str" cm="1">
        <f t="array" ref="E67">_xlfn.IFS(
    COUNTIF(Herramientas_eléctricas1862106149[Herramientas_eléctricas], B67) &gt; 0, Herramientas_eléctricas1862106149[[#Headers],[Herramientas_eléctricas]],
    COUNTIF(Herramientas_neumáticas1963107150[Herramientas_neumáticas], B67) &gt; 0, Herramientas_neumáticas1963107150[[#Headers],[Herramientas_neumáticas]],
    COUNTIF(Herramientas_de_medición2064108151[Herramientas_de_medición], B67) &gt; 0, Herramientas_de_medición2064108151[[#Headers],[Herramientas_de_medición]],
    COUNTIF(Herrramientas_mecánicas2165109152[Herramientas_mecánicas], B67) &gt; 0, Herrramientas_mecánicas2165109152[[#Headers],[Herramientas_mecánicas]],
    COUNTIF(AH67:AH73, B67) &gt; 0, Herramientas_hidráulicas2266110153[[#Headers],[Herramientas_hidráulicas]],
    COUNTIF(EPP_2367111154[SPCC], B67) &gt; 0, EPP_2367111154[[#Headers],[SPCC]],
   COUNTIF(Herramientas_de_izaje2468112155[Herramientas_de_izaje], B67) &gt; 0, Herramientas_de_izaje2468112155[[#Headers],[Herramientas_de_izaje]],
COUNTIF(Tabla162670114157[Equipos], B67) &gt; 0, Tabla162670114157[[#Headers],[Equipos]],
    TRUE, "Sin clasificación"
)</f>
        <v>Herramientas_eléctricas</v>
      </c>
      <c r="F67" s="15"/>
      <c r="G67" s="15"/>
      <c r="H67" s="15"/>
      <c r="I67" s="15" t="s">
        <v>638</v>
      </c>
      <c r="J67" s="47" t="s">
        <v>821</v>
      </c>
      <c r="K67" t="s">
        <v>998</v>
      </c>
      <c r="L67" s="47"/>
      <c r="M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ZE-SO-TG-0029</v>
      </c>
      <c r="O67" s="15"/>
      <c r="Q67" s="48"/>
      <c r="AD67" t="s">
        <v>311</v>
      </c>
      <c r="AF67" s="22" t="s">
        <v>312</v>
      </c>
      <c r="AG67" t="s">
        <v>313</v>
      </c>
    </row>
    <row r="68" spans="2:33" ht="28.8" x14ac:dyDescent="0.3">
      <c r="B68" t="s">
        <v>13</v>
      </c>
      <c r="C68" s="11" t="s">
        <v>178</v>
      </c>
      <c r="E68" s="11" t="str" cm="1">
        <f t="array" ref="E68">_xlfn.IFS(
    COUNTIF(Herramientas_eléctricas1862106149[Herramientas_eléctricas], B68) &gt; 0, Herramientas_eléctricas1862106149[[#Headers],[Herramientas_eléctricas]],
    COUNTIF(Herramientas_neumáticas1963107150[Herramientas_neumáticas], B68) &gt; 0, Herramientas_neumáticas1963107150[[#Headers],[Herramientas_neumáticas]],
    COUNTIF(Herramientas_de_medición2064108151[Herramientas_de_medición], B68) &gt; 0, Herramientas_de_medición2064108151[[#Headers],[Herramientas_de_medición]],
    COUNTIF(Herrramientas_mecánicas2165109152[Herramientas_mecánicas], B68) &gt; 0, Herrramientas_mecánicas2165109152[[#Headers],[Herramientas_mecánicas]],
    COUNTIF(AH68:AH74, B68) &gt; 0, Herramientas_hidráulicas2266110153[[#Headers],[Herramientas_hidráulicas]],
    COUNTIF(EPP_2367111154[SPCC], B68) &gt; 0, EPP_2367111154[[#Headers],[SPCC]],
   COUNTIF(Herramientas_de_izaje2468112155[Herramientas_de_izaje], B68) &gt; 0, Herramientas_de_izaje2468112155[[#Headers],[Herramientas_de_izaje]],
COUNTIF(Tabla162670114157[Equipos], B68) &gt; 0, Tabla162670114157[[#Headers],[Equipos]],
    TRUE, "Sin clasificación"
)</f>
        <v>Herramientas_eléctricas</v>
      </c>
      <c r="F68" s="15"/>
      <c r="G68" s="15"/>
      <c r="H68" s="15"/>
      <c r="I68" s="15" t="s">
        <v>627</v>
      </c>
      <c r="J68" s="47" t="s">
        <v>999</v>
      </c>
      <c r="K68" t="s">
        <v>998</v>
      </c>
      <c r="L68" s="47"/>
      <c r="M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ZE-SO-TG-0030</v>
      </c>
      <c r="O68" s="15"/>
      <c r="Q68" s="48"/>
      <c r="AG68" s="21" t="s">
        <v>314</v>
      </c>
    </row>
    <row r="69" spans="2:33" ht="28.8" x14ac:dyDescent="0.3">
      <c r="B69" t="s">
        <v>13</v>
      </c>
      <c r="C69" s="11" t="s">
        <v>178</v>
      </c>
      <c r="E69" s="11" t="str" cm="1">
        <f t="array" ref="E69">_xlfn.IFS(
    COUNTIF(Herramientas_eléctricas1862106149[Herramientas_eléctricas], B69) &gt; 0, Herramientas_eléctricas1862106149[[#Headers],[Herramientas_eléctricas]],
    COUNTIF(Herramientas_neumáticas1963107150[Herramientas_neumáticas], B69) &gt; 0, Herramientas_neumáticas1963107150[[#Headers],[Herramientas_neumáticas]],
    COUNTIF(Herramientas_de_medición2064108151[Herramientas_de_medición], B69) &gt; 0, Herramientas_de_medición2064108151[[#Headers],[Herramientas_de_medición]],
    COUNTIF(Herrramientas_mecánicas2165109152[Herramientas_mecánicas], B69) &gt; 0, Herrramientas_mecánicas2165109152[[#Headers],[Herramientas_mecánicas]],
    COUNTIF(AH69:AH75, B69) &gt; 0, Herramientas_hidráulicas2266110153[[#Headers],[Herramientas_hidráulicas]],
    COUNTIF(EPP_2367111154[SPCC], B69) &gt; 0, EPP_2367111154[[#Headers],[SPCC]],
   COUNTIF(Herramientas_de_izaje2468112155[Herramientas_de_izaje], B69) &gt; 0, Herramientas_de_izaje2468112155[[#Headers],[Herramientas_de_izaje]],
COUNTIF(Tabla162670114157[Equipos], B69) &gt; 0, Tabla162670114157[[#Headers],[Equipos]],
    TRUE, "Sin clasificación"
)</f>
        <v>Herramientas_eléctricas</v>
      </c>
      <c r="F69" s="15"/>
      <c r="G69" s="15" t="s">
        <v>744</v>
      </c>
      <c r="H69" s="15" t="s">
        <v>1000</v>
      </c>
      <c r="I69" s="15" t="s">
        <v>742</v>
      </c>
      <c r="J69" s="47" t="s">
        <v>743</v>
      </c>
      <c r="L69" s="47"/>
      <c r="M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ZE-SO-TG-0031</v>
      </c>
      <c r="O69" s="15"/>
      <c r="Q69" s="48"/>
      <c r="AG69" s="70" t="s">
        <v>315</v>
      </c>
    </row>
    <row r="70" spans="2:33" ht="28.8" x14ac:dyDescent="0.3">
      <c r="B70" t="s">
        <v>13</v>
      </c>
      <c r="C70" s="11" t="s">
        <v>178</v>
      </c>
      <c r="E70" s="11" t="str" cm="1">
        <f t="array" ref="E70">_xlfn.IFS(
    COUNTIF(Herramientas_eléctricas1862106149[Herramientas_eléctricas], B70) &gt; 0, Herramientas_eléctricas1862106149[[#Headers],[Herramientas_eléctricas]],
    COUNTIF(Herramientas_neumáticas1963107150[Herramientas_neumáticas], B70) &gt; 0, Herramientas_neumáticas1963107150[[#Headers],[Herramientas_neumáticas]],
    COUNTIF(Herramientas_de_medición2064108151[Herramientas_de_medición], B70) &gt; 0, Herramientas_de_medición2064108151[[#Headers],[Herramientas_de_medición]],
    COUNTIF(Herrramientas_mecánicas2165109152[Herramientas_mecánicas], B70) &gt; 0, Herrramientas_mecánicas2165109152[[#Headers],[Herramientas_mecánicas]],
    COUNTIF(AH70:AH76, B70) &gt; 0, Herramientas_hidráulicas2266110153[[#Headers],[Herramientas_hidráulicas]],
    COUNTIF(EPP_2367111154[SPCC], B70) &gt; 0, EPP_2367111154[[#Headers],[SPCC]],
   COUNTIF(Herramientas_de_izaje2468112155[Herramientas_de_izaje], B70) &gt; 0, Herramientas_de_izaje2468112155[[#Headers],[Herramientas_de_izaje]],
COUNTIF(Tabla162670114157[Equipos], B70) &gt; 0, Tabla162670114157[[#Headers],[Equipos]],
    TRUE, "Sin clasificación"
)</f>
        <v>Herramientas_eléctricas</v>
      </c>
      <c r="F70" s="15"/>
      <c r="G70" s="15" t="s">
        <v>744</v>
      </c>
      <c r="H70" s="15" t="s">
        <v>1000</v>
      </c>
      <c r="I70" s="15" t="s">
        <v>742</v>
      </c>
      <c r="J70" s="47" t="s">
        <v>743</v>
      </c>
      <c r="L70" s="47"/>
      <c r="M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ZE-SO-TG-0032</v>
      </c>
      <c r="O70" s="15"/>
      <c r="Q70" s="48"/>
    </row>
    <row r="71" spans="2:33" ht="28.8" x14ac:dyDescent="0.3">
      <c r="B71" t="s">
        <v>13</v>
      </c>
      <c r="C71" s="11" t="s">
        <v>178</v>
      </c>
      <c r="E71" s="11" t="str" cm="1">
        <f t="array" ref="E71">_xlfn.IFS(
    COUNTIF(Herramientas_eléctricas1862106149[Herramientas_eléctricas], B71) &gt; 0, Herramientas_eléctricas1862106149[[#Headers],[Herramientas_eléctricas]],
    COUNTIF(Herramientas_neumáticas1963107150[Herramientas_neumáticas], B71) &gt; 0, Herramientas_neumáticas1963107150[[#Headers],[Herramientas_neumáticas]],
    COUNTIF(Herramientas_de_medición2064108151[Herramientas_de_medición], B71) &gt; 0, Herramientas_de_medición2064108151[[#Headers],[Herramientas_de_medición]],
    COUNTIF(Herrramientas_mecánicas2165109152[Herramientas_mecánicas], B71) &gt; 0, Herrramientas_mecánicas2165109152[[#Headers],[Herramientas_mecánicas]],
    COUNTIF(AH71:AH77, B71) &gt; 0, Herramientas_hidráulicas2266110153[[#Headers],[Herramientas_hidráulicas]],
    COUNTIF(EPP_2367111154[SPCC], B71) &gt; 0, EPP_2367111154[[#Headers],[SPCC]],
   COUNTIF(Herramientas_de_izaje2468112155[Herramientas_de_izaje], B71) &gt; 0, Herramientas_de_izaje2468112155[[#Headers],[Herramientas_de_izaje]],
COUNTIF(Tabla162670114157[Equipos], B71) &gt; 0, Tabla162670114157[[#Headers],[Equipos]],
    TRUE, "Sin clasificación"
)</f>
        <v>Herramientas_eléctricas</v>
      </c>
      <c r="F71" s="15"/>
      <c r="G71" s="15" t="s">
        <v>744</v>
      </c>
      <c r="H71" s="15" t="s">
        <v>1002</v>
      </c>
      <c r="I71" s="15" t="s">
        <v>742</v>
      </c>
      <c r="J71" s="47" t="s">
        <v>1001</v>
      </c>
      <c r="L71" s="47" t="s">
        <v>1003</v>
      </c>
      <c r="M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ZE-SO-TG-0033</v>
      </c>
      <c r="O71" s="15"/>
      <c r="Q71" s="48"/>
    </row>
    <row r="72" spans="2:33" ht="28.8" x14ac:dyDescent="0.3">
      <c r="B72" t="s">
        <v>13</v>
      </c>
      <c r="C72" s="11" t="s">
        <v>178</v>
      </c>
      <c r="E72" s="11" t="str" cm="1">
        <f t="array" ref="E72">_xlfn.IFS(
    COUNTIF(Herramientas_eléctricas1862106149[Herramientas_eléctricas], B72) &gt; 0, Herramientas_eléctricas1862106149[[#Headers],[Herramientas_eléctricas]],
    COUNTIF(Herramientas_neumáticas1963107150[Herramientas_neumáticas], B72) &gt; 0, Herramientas_neumáticas1963107150[[#Headers],[Herramientas_neumáticas]],
    COUNTIF(Herramientas_de_medición2064108151[Herramientas_de_medición], B72) &gt; 0, Herramientas_de_medición2064108151[[#Headers],[Herramientas_de_medición]],
    COUNTIF(Herrramientas_mecánicas2165109152[Herramientas_mecánicas], B72) &gt; 0, Herrramientas_mecánicas2165109152[[#Headers],[Herramientas_mecánicas]],
    COUNTIF(AH72:AH78, B72) &gt; 0, Herramientas_hidráulicas2266110153[[#Headers],[Herramientas_hidráulicas]],
    COUNTIF(EPP_2367111154[SPCC], B72) &gt; 0, EPP_2367111154[[#Headers],[SPCC]],
   COUNTIF(Herramientas_de_izaje2468112155[Herramientas_de_izaje], B72) &gt; 0, Herramientas_de_izaje2468112155[[#Headers],[Herramientas_de_izaje]],
COUNTIF(Tabla162670114157[Equipos], B72) &gt; 0, Tabla162670114157[[#Headers],[Equipos]],
    TRUE, "Sin clasificación"
)</f>
        <v>Herramientas_eléctricas</v>
      </c>
      <c r="F72" s="15"/>
      <c r="G72" s="15" t="s">
        <v>744</v>
      </c>
      <c r="H72" s="15">
        <v>47.8</v>
      </c>
      <c r="I72" s="15" t="s">
        <v>742</v>
      </c>
      <c r="J72" s="47" t="s">
        <v>1004</v>
      </c>
      <c r="L72" s="47" t="s">
        <v>1005</v>
      </c>
      <c r="M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ZE-SO-TG-0034</v>
      </c>
      <c r="O72" s="15"/>
      <c r="Q72" s="48"/>
    </row>
    <row r="73" spans="2:33" ht="28.8" x14ac:dyDescent="0.3">
      <c r="B73" t="s">
        <v>13</v>
      </c>
      <c r="C73" s="11" t="s">
        <v>178</v>
      </c>
      <c r="E73" s="11" t="str" cm="1">
        <f t="array" ref="E73">_xlfn.IFS(
    COUNTIF(Herramientas_eléctricas1862106149[Herramientas_eléctricas], B73) &gt; 0, Herramientas_eléctricas1862106149[[#Headers],[Herramientas_eléctricas]],
    COUNTIF(Herramientas_neumáticas1963107150[Herramientas_neumáticas], B73) &gt; 0, Herramientas_neumáticas1963107150[[#Headers],[Herramientas_neumáticas]],
    COUNTIF(Herramientas_de_medición2064108151[Herramientas_de_medición], B73) &gt; 0, Herramientas_de_medición2064108151[[#Headers],[Herramientas_de_medición]],
    COUNTIF(Herrramientas_mecánicas2165109152[Herramientas_mecánicas], B73) &gt; 0, Herrramientas_mecánicas2165109152[[#Headers],[Herramientas_mecánicas]],
    COUNTIF(AH73:AH79, B73) &gt; 0, Herramientas_hidráulicas2266110153[[#Headers],[Herramientas_hidráulicas]],
    COUNTIF(EPP_2367111154[SPCC], B73) &gt; 0, EPP_2367111154[[#Headers],[SPCC]],
   COUNTIF(Herramientas_de_izaje2468112155[Herramientas_de_izaje], B73) &gt; 0, Herramientas_de_izaje2468112155[[#Headers],[Herramientas_de_izaje]],
COUNTIF(Tabla162670114157[Equipos], B73) &gt; 0, Tabla162670114157[[#Headers],[Equipos]],
    TRUE, "Sin clasificación"
)</f>
        <v>Herramientas_eléctricas</v>
      </c>
      <c r="F73" s="15"/>
      <c r="G73" s="15"/>
      <c r="H73" s="15"/>
      <c r="I73" s="15" t="s">
        <v>627</v>
      </c>
      <c r="J73" s="47" t="s">
        <v>1006</v>
      </c>
      <c r="K73" t="s">
        <v>1007</v>
      </c>
      <c r="L73" s="47" t="s">
        <v>1008</v>
      </c>
      <c r="M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ZE-SO-TG-0035</v>
      </c>
      <c r="O73" s="15"/>
      <c r="Q73" s="48"/>
    </row>
    <row r="74" spans="2:33" ht="28.8" x14ac:dyDescent="0.3">
      <c r="B74" t="s">
        <v>13</v>
      </c>
      <c r="C74" s="11" t="s">
        <v>178</v>
      </c>
      <c r="E74" s="11" t="str" cm="1">
        <f t="array" ref="E74">_xlfn.IFS(
    COUNTIF(Herramientas_eléctricas1862106149[Herramientas_eléctricas], B74) &gt; 0, Herramientas_eléctricas1862106149[[#Headers],[Herramientas_eléctricas]],
    COUNTIF(Herramientas_neumáticas1963107150[Herramientas_neumáticas], B74) &gt; 0, Herramientas_neumáticas1963107150[[#Headers],[Herramientas_neumáticas]],
    COUNTIF(Herramientas_de_medición2064108151[Herramientas_de_medición], B74) &gt; 0, Herramientas_de_medición2064108151[[#Headers],[Herramientas_de_medición]],
    COUNTIF(Herrramientas_mecánicas2165109152[Herramientas_mecánicas], B74) &gt; 0, Herrramientas_mecánicas2165109152[[#Headers],[Herramientas_mecánicas]],
    COUNTIF(AH74:AH80, B74) &gt; 0, Herramientas_hidráulicas2266110153[[#Headers],[Herramientas_hidráulicas]],
    COUNTIF(EPP_2367111154[SPCC], B74) &gt; 0, EPP_2367111154[[#Headers],[SPCC]],
   COUNTIF(Herramientas_de_izaje2468112155[Herramientas_de_izaje], B74) &gt; 0, Herramientas_de_izaje2468112155[[#Headers],[Herramientas_de_izaje]],
COUNTIF(Tabla162670114157[Equipos], B74) &gt; 0, Tabla162670114157[[#Headers],[Equipos]],
    TRUE, "Sin clasificación"
)</f>
        <v>Herramientas_eléctricas</v>
      </c>
      <c r="F74" s="15"/>
      <c r="G74" s="15"/>
      <c r="H74" s="15"/>
      <c r="I74" s="15" t="s">
        <v>627</v>
      </c>
      <c r="J74" s="47" t="s">
        <v>996</v>
      </c>
      <c r="K74" t="s">
        <v>1018</v>
      </c>
      <c r="L74" s="47"/>
      <c r="M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ZE-SO-TG-0036</v>
      </c>
      <c r="O74" s="15"/>
      <c r="Q74" s="48"/>
    </row>
    <row r="75" spans="2:33" ht="57.6" x14ac:dyDescent="0.3">
      <c r="B75" t="s">
        <v>13</v>
      </c>
      <c r="C75" s="11" t="s">
        <v>178</v>
      </c>
      <c r="E75" s="11" t="str" cm="1">
        <f t="array" ref="E75">_xlfn.IFS(
    COUNTIF(Herramientas_eléctricas1862106149[Herramientas_eléctricas], B75) &gt; 0, Herramientas_eléctricas1862106149[[#Headers],[Herramientas_eléctricas]],
    COUNTIF(Herramientas_neumáticas1963107150[Herramientas_neumáticas], B75) &gt; 0, Herramientas_neumáticas1963107150[[#Headers],[Herramientas_neumáticas]],
    COUNTIF(Herramientas_de_medición2064108151[Herramientas_de_medición], B75) &gt; 0, Herramientas_de_medición2064108151[[#Headers],[Herramientas_de_medición]],
    COUNTIF(Herrramientas_mecánicas2165109152[Herramientas_mecánicas], B75) &gt; 0, Herrramientas_mecánicas2165109152[[#Headers],[Herramientas_mecánicas]],
    COUNTIF(AH75:AH81, B75) &gt; 0, Herramientas_hidráulicas2266110153[[#Headers],[Herramientas_hidráulicas]],
    COUNTIF(EPP_2367111154[SPCC], B75) &gt; 0, EPP_2367111154[[#Headers],[SPCC]],
   COUNTIF(Herramientas_de_izaje2468112155[Herramientas_de_izaje], B75) &gt; 0, Herramientas_de_izaje2468112155[[#Headers],[Herramientas_de_izaje]],
COUNTIF(Tabla162670114157[Equipos], B75) &gt; 0, Tabla162670114157[[#Headers],[Equipos]],
    TRUE, "Sin clasificación"
)</f>
        <v>Herramientas_eléctricas</v>
      </c>
      <c r="F75" s="15"/>
      <c r="G75" s="15"/>
      <c r="H75" s="15"/>
      <c r="I75" s="15" t="s">
        <v>627</v>
      </c>
      <c r="J75" s="47" t="s">
        <v>729</v>
      </c>
      <c r="K75" t="s">
        <v>1018</v>
      </c>
      <c r="L75" s="47" t="s">
        <v>1019</v>
      </c>
      <c r="M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ZE-SO-TG-0037</v>
      </c>
      <c r="O75" s="15"/>
      <c r="Q75" s="48"/>
      <c r="AD75" s="11" t="s">
        <v>316</v>
      </c>
    </row>
    <row r="76" spans="2:33" ht="28.8" x14ac:dyDescent="0.3">
      <c r="B76" t="s">
        <v>13</v>
      </c>
      <c r="C76" s="11" t="s">
        <v>178</v>
      </c>
      <c r="E76" s="11" t="str" cm="1">
        <f t="array" ref="E76">_xlfn.IFS(
    COUNTIF(Herramientas_eléctricas1862106149[Herramientas_eléctricas], B76) &gt; 0, Herramientas_eléctricas1862106149[[#Headers],[Herramientas_eléctricas]],
    COUNTIF(Herramientas_neumáticas1963107150[Herramientas_neumáticas], B76) &gt; 0, Herramientas_neumáticas1963107150[[#Headers],[Herramientas_neumáticas]],
    COUNTIF(Herramientas_de_medición2064108151[Herramientas_de_medición], B76) &gt; 0, Herramientas_de_medición2064108151[[#Headers],[Herramientas_de_medición]],
    COUNTIF(Herrramientas_mecánicas2165109152[Herramientas_mecánicas], B76) &gt; 0, Herrramientas_mecánicas2165109152[[#Headers],[Herramientas_mecánicas]],
    COUNTIF(AH76:AH82, B76) &gt; 0, Herramientas_hidráulicas2266110153[[#Headers],[Herramientas_hidráulicas]],
    COUNTIF(EPP_2367111154[SPCC], B76) &gt; 0, EPP_2367111154[[#Headers],[SPCC]],
   COUNTIF(Herramientas_de_izaje2468112155[Herramientas_de_izaje], B76) &gt; 0, Herramientas_de_izaje2468112155[[#Headers],[Herramientas_de_izaje]],
COUNTIF(Tabla162670114157[Equipos], B76) &gt; 0, Tabla162670114157[[#Headers],[Equipos]],
    TRUE, "Sin clasificación"
)</f>
        <v>Herramientas_eléctricas</v>
      </c>
      <c r="F76" s="15"/>
      <c r="G76" s="15"/>
      <c r="H76" s="15"/>
      <c r="I76" s="15" t="s">
        <v>627</v>
      </c>
      <c r="J76" s="47" t="s">
        <v>881</v>
      </c>
      <c r="K76" t="s">
        <v>1025</v>
      </c>
      <c r="L76" s="47" t="s">
        <v>1026</v>
      </c>
      <c r="M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ZE-SO-TG-0038</v>
      </c>
      <c r="O76" s="15"/>
      <c r="Q76" s="48"/>
    </row>
    <row r="77" spans="2:33" x14ac:dyDescent="0.3">
      <c r="B77" t="s">
        <v>13</v>
      </c>
      <c r="C77" s="11" t="s">
        <v>173</v>
      </c>
      <c r="E77" s="11" t="str" cm="1">
        <f t="array" ref="E77">_xlfn.IFS(
    COUNTIF(Herramientas_eléctricas1862106149[Herramientas_eléctricas], B77) &gt; 0, Herramientas_eléctricas1862106149[[#Headers],[Herramientas_eléctricas]],
    COUNTIF(Herramientas_neumáticas1963107150[Herramientas_neumáticas], B77) &gt; 0, Herramientas_neumáticas1963107150[[#Headers],[Herramientas_neumáticas]],
    COUNTIF(Herramientas_de_medición2064108151[Herramientas_de_medición], B77) &gt; 0, Herramientas_de_medición2064108151[[#Headers],[Herramientas_de_medición]],
    COUNTIF(Herrramientas_mecánicas2165109152[Herramientas_mecánicas], B77) &gt; 0, Herrramientas_mecánicas2165109152[[#Headers],[Herramientas_mecánicas]],
    COUNTIF(AH77:AH83, B77) &gt; 0, Herramientas_hidráulicas2266110153[[#Headers],[Herramientas_hidráulicas]],
    COUNTIF(EPP_2367111154[SPCC], B77) &gt; 0, EPP_2367111154[[#Headers],[SPCC]],
   COUNTIF(Herramientas_de_izaje2468112155[Herramientas_de_izaje], B77) &gt; 0, Herramientas_de_izaje2468112155[[#Headers],[Herramientas_de_izaje]],
COUNTIF(Tabla162670114157[Equipos], B77) &gt; 0, Tabla162670114157[[#Headers],[Equipos]],
    TRUE, "Sin clasificación"
)</f>
        <v>Herramientas_eléctricas</v>
      </c>
      <c r="F77" s="15"/>
      <c r="G77" s="15"/>
      <c r="H77" s="15"/>
      <c r="I77" s="15" t="s">
        <v>627</v>
      </c>
      <c r="J77" s="47" t="s">
        <v>629</v>
      </c>
      <c r="K77" t="s">
        <v>1030</v>
      </c>
      <c r="L77" s="47" t="s">
        <v>1031</v>
      </c>
      <c r="M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ZE-SO-FL-0011</v>
      </c>
      <c r="O77" s="15" t="s">
        <v>1029</v>
      </c>
      <c r="Q77" s="48"/>
    </row>
    <row r="78" spans="2:33" x14ac:dyDescent="0.3">
      <c r="C78" s="11"/>
      <c r="E78" s="11" t="str" cm="1">
        <f t="array" ref="E78">_xlfn.IFS(
    COUNTIF(Herramientas_eléctricas1862106149[Herramientas_eléctricas], B78) &gt; 0, Herramientas_eléctricas1862106149[[#Headers],[Herramientas_eléctricas]],
    COUNTIF(Herramientas_neumáticas1963107150[Herramientas_neumáticas], B78) &gt; 0, Herramientas_neumáticas1963107150[[#Headers],[Herramientas_neumáticas]],
    COUNTIF(Herramientas_de_medición2064108151[Herramientas_de_medición], B78) &gt; 0, Herramientas_de_medición2064108151[[#Headers],[Herramientas_de_medición]],
    COUNTIF(Herrramientas_mecánicas2165109152[Herramientas_mecánicas], B78) &gt; 0, Herrramientas_mecánicas2165109152[[#Headers],[Herramientas_mecánicas]],
    COUNTIF(AH78:AH84, B78) &gt; 0, Herramientas_hidráulicas2266110153[[#Headers],[Herramientas_hidráulicas]],
    COUNTIF(EPP_2367111154[SPCC], B78) &gt; 0, EPP_2367111154[[#Headers],[SPCC]],
   COUNTIF(Herramientas_de_izaje2468112155[Herramientas_de_izaje], B78) &gt; 0, Herramientas_de_izaje2468112155[[#Headers],[Herramientas_de_izaje]],
COUNTIF(Tabla162670114157[Equipos], B78) &gt; 0, Tabla162670114157[[#Headers],[Equipos]],
    TRUE, "Sin clasificación"
)</f>
        <v>Sin clasificación</v>
      </c>
      <c r="F78" s="15"/>
      <c r="G78" s="15"/>
      <c r="H78" s="15"/>
      <c r="I78" s="15"/>
      <c r="J78" s="47"/>
      <c r="L78" s="47"/>
      <c r="M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-SinArea-0000</v>
      </c>
      <c r="O78" s="15"/>
      <c r="Q78" s="48"/>
    </row>
    <row r="79" spans="2:33" x14ac:dyDescent="0.3">
      <c r="C79" s="11"/>
      <c r="E79" s="11" t="str" cm="1">
        <f t="array" ref="E79">_xlfn.IFS(
    COUNTIF(Herramientas_eléctricas1862106149[Herramientas_eléctricas], B79) &gt; 0, Herramientas_eléctricas1862106149[[#Headers],[Herramientas_eléctricas]],
    COUNTIF(Herramientas_neumáticas1963107150[Herramientas_neumáticas], B79) &gt; 0, Herramientas_neumáticas1963107150[[#Headers],[Herramientas_neumáticas]],
    COUNTIF(Herramientas_de_medición2064108151[Herramientas_de_medición], B79) &gt; 0, Herramientas_de_medición2064108151[[#Headers],[Herramientas_de_medición]],
    COUNTIF(Herrramientas_mecánicas2165109152[Herramientas_mecánicas], B79) &gt; 0, Herrramientas_mecánicas2165109152[[#Headers],[Herramientas_mecánicas]],
    COUNTIF(AH79:AH85, B79) &gt; 0, Herramientas_hidráulicas2266110153[[#Headers],[Herramientas_hidráulicas]],
    COUNTIF(EPP_2367111154[SPCC], B79) &gt; 0, EPP_2367111154[[#Headers],[SPCC]],
   COUNTIF(Herramientas_de_izaje2468112155[Herramientas_de_izaje], B79) &gt; 0, Herramientas_de_izaje2468112155[[#Headers],[Herramientas_de_izaje]],
COUNTIF(Tabla162670114157[Equipos], B79) &gt; 0, Tabla162670114157[[#Headers],[Equipos]],
    TRUE, "Sin clasificación"
)</f>
        <v>Sin clasificación</v>
      </c>
      <c r="F79" s="15"/>
      <c r="G79" s="15"/>
      <c r="H79" s="15"/>
      <c r="I79" s="15"/>
      <c r="J79" s="47"/>
      <c r="L79" s="47"/>
      <c r="M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-SinArea-0000</v>
      </c>
      <c r="O79" s="15"/>
      <c r="Q79" s="48"/>
    </row>
    <row r="80" spans="2:33" x14ac:dyDescent="0.3">
      <c r="C80" s="11"/>
      <c r="E80" s="11" t="str" cm="1">
        <f t="array" ref="E80">_xlfn.IFS(
    COUNTIF(Herramientas_eléctricas1862106149[Herramientas_eléctricas], B80) &gt; 0, Herramientas_eléctricas1862106149[[#Headers],[Herramientas_eléctricas]],
    COUNTIF(Herramientas_neumáticas1963107150[Herramientas_neumáticas], B80) &gt; 0, Herramientas_neumáticas1963107150[[#Headers],[Herramientas_neumáticas]],
    COUNTIF(Herramientas_de_medición2064108151[Herramientas_de_medición], B80) &gt; 0, Herramientas_de_medición2064108151[[#Headers],[Herramientas_de_medición]],
    COUNTIF(Herrramientas_mecánicas2165109152[Herramientas_mecánicas], B80) &gt; 0, Herrramientas_mecánicas2165109152[[#Headers],[Herramientas_mecánicas]],
    COUNTIF(AH80:AH86, B80) &gt; 0, Herramientas_hidráulicas2266110153[[#Headers],[Herramientas_hidráulicas]],
    COUNTIF(EPP_2367111154[SPCC], B80) &gt; 0, EPP_2367111154[[#Headers],[SPCC]],
   COUNTIF(Herramientas_de_izaje2468112155[Herramientas_de_izaje], B80) &gt; 0, Herramientas_de_izaje2468112155[[#Headers],[Herramientas_de_izaje]],
COUNTIF(Tabla162670114157[Equipos], B80) &gt; 0, Tabla162670114157[[#Headers],[Equipos]],
    TRUE, "Sin clasificación"
)</f>
        <v>Sin clasificación</v>
      </c>
      <c r="F80" s="15"/>
      <c r="G80" s="15"/>
      <c r="H80" s="15"/>
      <c r="I80" s="15"/>
      <c r="J80" s="47"/>
      <c r="L80" s="47"/>
      <c r="M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-SinArea-0000</v>
      </c>
      <c r="O80" s="15"/>
      <c r="Q80" s="48"/>
    </row>
    <row r="81" spans="3:17" x14ac:dyDescent="0.3">
      <c r="C81" s="11"/>
      <c r="E81" s="11" t="str" cm="1">
        <f t="array" ref="E81">_xlfn.IFS(
    COUNTIF(Herramientas_eléctricas1862106149[Herramientas_eléctricas], B81) &gt; 0, Herramientas_eléctricas1862106149[[#Headers],[Herramientas_eléctricas]],
    COUNTIF(Herramientas_neumáticas1963107150[Herramientas_neumáticas], B81) &gt; 0, Herramientas_neumáticas1963107150[[#Headers],[Herramientas_neumáticas]],
    COUNTIF(Herramientas_de_medición2064108151[Herramientas_de_medición], B81) &gt; 0, Herramientas_de_medición2064108151[[#Headers],[Herramientas_de_medición]],
    COUNTIF(Herrramientas_mecánicas2165109152[Herramientas_mecánicas], B81) &gt; 0, Herrramientas_mecánicas2165109152[[#Headers],[Herramientas_mecánicas]],
    COUNTIF(AH81:AH87, B81) &gt; 0, Herramientas_hidráulicas2266110153[[#Headers],[Herramientas_hidráulicas]],
    COUNTIF(EPP_2367111154[SPCC], B81) &gt; 0, EPP_2367111154[[#Headers],[SPCC]],
   COUNTIF(Herramientas_de_izaje2468112155[Herramientas_de_izaje], B81) &gt; 0, Herramientas_de_izaje2468112155[[#Headers],[Herramientas_de_izaje]],
COUNTIF(Tabla162670114157[Equipos], B81) &gt; 0, Tabla162670114157[[#Headers],[Equipos]],
    TRUE, "Sin clasificación"
)</f>
        <v>Sin clasificación</v>
      </c>
      <c r="F81" s="15"/>
      <c r="G81" s="15"/>
      <c r="H81" s="15"/>
      <c r="I81" s="15"/>
      <c r="J81" s="47"/>
      <c r="L81" s="47"/>
      <c r="M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-SinArea-0000</v>
      </c>
      <c r="O81" s="15"/>
      <c r="Q81" s="48"/>
    </row>
    <row r="82" spans="3:17" x14ac:dyDescent="0.3">
      <c r="C82" s="11"/>
      <c r="E82" s="11" t="str" cm="1">
        <f t="array" ref="E82">_xlfn.IFS(
    COUNTIF(Herramientas_eléctricas1862106149[Herramientas_eléctricas], B82) &gt; 0, Herramientas_eléctricas1862106149[[#Headers],[Herramientas_eléctricas]],
    COUNTIF(Herramientas_neumáticas1963107150[Herramientas_neumáticas], B82) &gt; 0, Herramientas_neumáticas1963107150[[#Headers],[Herramientas_neumáticas]],
    COUNTIF(Herramientas_de_medición2064108151[Herramientas_de_medición], B82) &gt; 0, Herramientas_de_medición2064108151[[#Headers],[Herramientas_de_medición]],
    COUNTIF(Herrramientas_mecánicas2165109152[Herramientas_mecánicas], B82) &gt; 0, Herrramientas_mecánicas2165109152[[#Headers],[Herramientas_mecánicas]],
    COUNTIF(AH82:AH88, B82) &gt; 0, Herramientas_hidráulicas2266110153[[#Headers],[Herramientas_hidráulicas]],
    COUNTIF(EPP_2367111154[SPCC], B82) &gt; 0, EPP_2367111154[[#Headers],[SPCC]],
   COUNTIF(Herramientas_de_izaje2468112155[Herramientas_de_izaje], B82) &gt; 0, Herramientas_de_izaje2468112155[[#Headers],[Herramientas_de_izaje]],
COUNTIF(Tabla162670114157[Equipos], B82) &gt; 0, Tabla162670114157[[#Headers],[Equipos]],
    TRUE, "Sin clasificación"
)</f>
        <v>Sin clasificación</v>
      </c>
      <c r="F82" s="15"/>
      <c r="G82" s="15"/>
      <c r="H82" s="15"/>
      <c r="I82" s="15"/>
      <c r="J82" s="47"/>
      <c r="L82" s="47"/>
      <c r="M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-SinArea-0000</v>
      </c>
      <c r="O82" s="15"/>
      <c r="Q82" s="48"/>
    </row>
    <row r="83" spans="3:17" x14ac:dyDescent="0.3">
      <c r="C83" s="11"/>
      <c r="E83" s="11" t="str" cm="1">
        <f t="array" ref="E83">_xlfn.IFS(
    COUNTIF(Herramientas_eléctricas1862106149[Herramientas_eléctricas], B83) &gt; 0, Herramientas_eléctricas1862106149[[#Headers],[Herramientas_eléctricas]],
    COUNTIF(Herramientas_neumáticas1963107150[Herramientas_neumáticas], B83) &gt; 0, Herramientas_neumáticas1963107150[[#Headers],[Herramientas_neumáticas]],
    COUNTIF(Herramientas_de_medición2064108151[Herramientas_de_medición], B83) &gt; 0, Herramientas_de_medición2064108151[[#Headers],[Herramientas_de_medición]],
    COUNTIF(Herrramientas_mecánicas2165109152[Herramientas_mecánicas], B83) &gt; 0, Herrramientas_mecánicas2165109152[[#Headers],[Herramientas_mecánicas]],
    COUNTIF(AH83:AH89, B83) &gt; 0, Herramientas_hidráulicas2266110153[[#Headers],[Herramientas_hidráulicas]],
    COUNTIF(EPP_2367111154[SPCC], B83) &gt; 0, EPP_2367111154[[#Headers],[SPCC]],
   COUNTIF(Herramientas_de_izaje2468112155[Herramientas_de_izaje], B83) &gt; 0, Herramientas_de_izaje2468112155[[#Headers],[Herramientas_de_izaje]],
COUNTIF(Tabla162670114157[Equipos], B83) &gt; 0, Tabla162670114157[[#Headers],[Equipos]],
    TRUE, "Sin clasificación"
)</f>
        <v>Sin clasificación</v>
      </c>
      <c r="F83" s="15"/>
      <c r="G83" s="15"/>
      <c r="H83" s="15"/>
      <c r="I83" s="15"/>
      <c r="J83" s="47"/>
      <c r="L83" s="47"/>
      <c r="M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-SinArea-0000</v>
      </c>
      <c r="O83" s="15"/>
      <c r="Q83" s="48"/>
    </row>
    <row r="84" spans="3:17" x14ac:dyDescent="0.3">
      <c r="C84" s="11"/>
      <c r="E84" s="11" t="str" cm="1">
        <f t="array" ref="E84">_xlfn.IFS(
    COUNTIF(Herramientas_eléctricas1862106149[Herramientas_eléctricas], B84) &gt; 0, Herramientas_eléctricas1862106149[[#Headers],[Herramientas_eléctricas]],
    COUNTIF(Herramientas_neumáticas1963107150[Herramientas_neumáticas], B84) &gt; 0, Herramientas_neumáticas1963107150[[#Headers],[Herramientas_neumáticas]],
    COUNTIF(Herramientas_de_medición2064108151[Herramientas_de_medición], B84) &gt; 0, Herramientas_de_medición2064108151[[#Headers],[Herramientas_de_medición]],
    COUNTIF(Herrramientas_mecánicas2165109152[Herramientas_mecánicas], B84) &gt; 0, Herrramientas_mecánicas2165109152[[#Headers],[Herramientas_mecánicas]],
    COUNTIF(AH84:AH90, B84) &gt; 0, Herramientas_hidráulicas2266110153[[#Headers],[Herramientas_hidráulicas]],
    COUNTIF(EPP_2367111154[SPCC], B84) &gt; 0, EPP_2367111154[[#Headers],[SPCC]],
   COUNTIF(Herramientas_de_izaje2468112155[Herramientas_de_izaje], B84) &gt; 0, Herramientas_de_izaje2468112155[[#Headers],[Herramientas_de_izaje]],
COUNTIF(Tabla162670114157[Equipos], B84) &gt; 0, Tabla162670114157[[#Headers],[Equipos]],
    TRUE, "Sin clasificación"
)</f>
        <v>Sin clasificación</v>
      </c>
      <c r="F84" s="15"/>
      <c r="G84" s="15"/>
      <c r="H84" s="15"/>
      <c r="I84" s="15"/>
      <c r="J84" s="47"/>
      <c r="L84" s="47"/>
      <c r="M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-SinArea-0000</v>
      </c>
      <c r="O84" s="15"/>
      <c r="Q84" s="48"/>
    </row>
    <row r="85" spans="3:17" x14ac:dyDescent="0.3">
      <c r="C85" s="11"/>
      <c r="E85" s="11" t="str" cm="1">
        <f t="array" ref="E85">_xlfn.IFS(
    COUNTIF(Herramientas_eléctricas1862106149[Herramientas_eléctricas], B85) &gt; 0, Herramientas_eléctricas1862106149[[#Headers],[Herramientas_eléctricas]],
    COUNTIF(Herramientas_neumáticas1963107150[Herramientas_neumáticas], B85) &gt; 0, Herramientas_neumáticas1963107150[[#Headers],[Herramientas_neumáticas]],
    COUNTIF(Herramientas_de_medición2064108151[Herramientas_de_medición], B85) &gt; 0, Herramientas_de_medición2064108151[[#Headers],[Herramientas_de_medición]],
    COUNTIF(Herrramientas_mecánicas2165109152[Herramientas_mecánicas], B85) &gt; 0, Herrramientas_mecánicas2165109152[[#Headers],[Herramientas_mecánicas]],
    COUNTIF(AH85:AH91, B85) &gt; 0, Herramientas_hidráulicas2266110153[[#Headers],[Herramientas_hidráulicas]],
    COUNTIF(EPP_2367111154[SPCC], B85) &gt; 0, EPP_2367111154[[#Headers],[SPCC]],
   COUNTIF(Herramientas_de_izaje2468112155[Herramientas_de_izaje], B85) &gt; 0, Herramientas_de_izaje2468112155[[#Headers],[Herramientas_de_izaje]],
COUNTIF(Tabla162670114157[Equipos], B85) &gt; 0, Tabla162670114157[[#Headers],[Equipos]],
    TRUE, "Sin clasificación"
)</f>
        <v>Sin clasificación</v>
      </c>
      <c r="F85" s="15"/>
      <c r="G85" s="15"/>
      <c r="H85" s="15"/>
      <c r="I85" s="15"/>
      <c r="J85" s="47"/>
      <c r="L85" s="47"/>
      <c r="M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-SinArea-0000</v>
      </c>
      <c r="O85" s="15"/>
      <c r="Q85" s="48"/>
    </row>
    <row r="86" spans="3:17" x14ac:dyDescent="0.3">
      <c r="C86" s="11"/>
      <c r="E86" s="11" t="str" cm="1">
        <f t="array" ref="E86">_xlfn.IFS(
    COUNTIF(Herramientas_eléctricas1862106149[Herramientas_eléctricas], B86) &gt; 0, Herramientas_eléctricas1862106149[[#Headers],[Herramientas_eléctricas]],
    COUNTIF(Herramientas_neumáticas1963107150[Herramientas_neumáticas], B86) &gt; 0, Herramientas_neumáticas1963107150[[#Headers],[Herramientas_neumáticas]],
    COUNTIF(Herramientas_de_medición2064108151[Herramientas_de_medición], B86) &gt; 0, Herramientas_de_medición2064108151[[#Headers],[Herramientas_de_medición]],
    COUNTIF(Herrramientas_mecánicas2165109152[Herramientas_mecánicas], B86) &gt; 0, Herrramientas_mecánicas2165109152[[#Headers],[Herramientas_mecánicas]],
    COUNTIF(AH86:AH92, B86) &gt; 0, Herramientas_hidráulicas2266110153[[#Headers],[Herramientas_hidráulicas]],
    COUNTIF(EPP_2367111154[SPCC], B86) &gt; 0, EPP_2367111154[[#Headers],[SPCC]],
   COUNTIF(Herramientas_de_izaje2468112155[Herramientas_de_izaje], B86) &gt; 0, Herramientas_de_izaje2468112155[[#Headers],[Herramientas_de_izaje]],
COUNTIF(Tabla162670114157[Equipos], B86) &gt; 0, Tabla162670114157[[#Headers],[Equipos]],
    TRUE, "Sin clasificación"
)</f>
        <v>Sin clasificación</v>
      </c>
      <c r="F86" s="15"/>
      <c r="G86" s="15"/>
      <c r="H86" s="15"/>
      <c r="I86" s="15"/>
      <c r="J86" s="47"/>
      <c r="L86" s="47"/>
      <c r="M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-SinArea-0000</v>
      </c>
      <c r="O86" s="15"/>
      <c r="Q86" s="48"/>
    </row>
    <row r="87" spans="3:17" x14ac:dyDescent="0.3">
      <c r="C87" s="11"/>
      <c r="E87" s="11" t="str" cm="1">
        <f t="array" ref="E87">_xlfn.IFS(
    COUNTIF(Herramientas_eléctricas1862106149[Herramientas_eléctricas], B87) &gt; 0, Herramientas_eléctricas1862106149[[#Headers],[Herramientas_eléctricas]],
    COUNTIF(Herramientas_neumáticas1963107150[Herramientas_neumáticas], B87) &gt; 0, Herramientas_neumáticas1963107150[[#Headers],[Herramientas_neumáticas]],
    COUNTIF(Herramientas_de_medición2064108151[Herramientas_de_medición], B87) &gt; 0, Herramientas_de_medición2064108151[[#Headers],[Herramientas_de_medición]],
    COUNTIF(Herrramientas_mecánicas2165109152[Herramientas_mecánicas], B87) &gt; 0, Herrramientas_mecánicas2165109152[[#Headers],[Herramientas_mecánicas]],
    COUNTIF(AH87:AH93, B87) &gt; 0, Herramientas_hidráulicas2266110153[[#Headers],[Herramientas_hidráulicas]],
    COUNTIF(EPP_2367111154[SPCC], B87) &gt; 0, EPP_2367111154[[#Headers],[SPCC]],
   COUNTIF(Herramientas_de_izaje2468112155[Herramientas_de_izaje], B87) &gt; 0, Herramientas_de_izaje2468112155[[#Headers],[Herramientas_de_izaje]],
COUNTIF(Tabla162670114157[Equipos], B87) &gt; 0, Tabla162670114157[[#Headers],[Equipos]],
    TRUE, "Sin clasificación"
)</f>
        <v>Sin clasificación</v>
      </c>
      <c r="F87" s="15"/>
      <c r="G87" s="15"/>
      <c r="H87" s="15"/>
      <c r="I87" s="15"/>
      <c r="J87" s="47"/>
      <c r="L87" s="47"/>
      <c r="M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-SinArea-0000</v>
      </c>
      <c r="O87" s="15"/>
      <c r="Q87" s="48"/>
    </row>
    <row r="88" spans="3:17" x14ac:dyDescent="0.3">
      <c r="C88" s="11"/>
      <c r="E88" s="11" t="str" cm="1">
        <f t="array" ref="E88">_xlfn.IFS(
    COUNTIF(Herramientas_eléctricas1862106149[Herramientas_eléctricas], B88) &gt; 0, Herramientas_eléctricas1862106149[[#Headers],[Herramientas_eléctricas]],
    COUNTIF(Herramientas_neumáticas1963107150[Herramientas_neumáticas], B88) &gt; 0, Herramientas_neumáticas1963107150[[#Headers],[Herramientas_neumáticas]],
    COUNTIF(Herramientas_de_medición2064108151[Herramientas_de_medición], B88) &gt; 0, Herramientas_de_medición2064108151[[#Headers],[Herramientas_de_medición]],
    COUNTIF(Herrramientas_mecánicas2165109152[Herramientas_mecánicas], B88) &gt; 0, Herrramientas_mecánicas2165109152[[#Headers],[Herramientas_mecánicas]],
    COUNTIF(AH88:AH94, B88) &gt; 0, Herramientas_hidráulicas2266110153[[#Headers],[Herramientas_hidráulicas]],
    COUNTIF(EPP_2367111154[SPCC], B88) &gt; 0, EPP_2367111154[[#Headers],[SPCC]],
   COUNTIF(Herramientas_de_izaje2468112155[Herramientas_de_izaje], B88) &gt; 0, Herramientas_de_izaje2468112155[[#Headers],[Herramientas_de_izaje]],
COUNTIF(Tabla162670114157[Equipos], B88) &gt; 0, Tabla162670114157[[#Headers],[Equipos]],
    TRUE, "Sin clasificación"
)</f>
        <v>Sin clasificación</v>
      </c>
      <c r="F88" s="15"/>
      <c r="G88" s="15"/>
      <c r="H88" s="15"/>
      <c r="I88" s="15"/>
      <c r="J88" s="47"/>
      <c r="L88" s="47"/>
      <c r="M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-SinArea-0000</v>
      </c>
      <c r="O88" s="15"/>
      <c r="Q88" s="48"/>
    </row>
    <row r="89" spans="3:17" x14ac:dyDescent="0.3">
      <c r="C89" s="11"/>
      <c r="E89" s="11" t="str" cm="1">
        <f t="array" ref="E89">_xlfn.IFS(
    COUNTIF(Herramientas_eléctricas1862106149[Herramientas_eléctricas], B89) &gt; 0, Herramientas_eléctricas1862106149[[#Headers],[Herramientas_eléctricas]],
    COUNTIF(Herramientas_neumáticas1963107150[Herramientas_neumáticas], B89) &gt; 0, Herramientas_neumáticas1963107150[[#Headers],[Herramientas_neumáticas]],
    COUNTIF(Herramientas_de_medición2064108151[Herramientas_de_medición], B89) &gt; 0, Herramientas_de_medición2064108151[[#Headers],[Herramientas_de_medición]],
    COUNTIF(Herrramientas_mecánicas2165109152[Herramientas_mecánicas], B89) &gt; 0, Herrramientas_mecánicas2165109152[[#Headers],[Herramientas_mecánicas]],
    COUNTIF(AH89:AH95, B89) &gt; 0, Herramientas_hidráulicas2266110153[[#Headers],[Herramientas_hidráulicas]],
    COUNTIF(EPP_2367111154[SPCC], B89) &gt; 0, EPP_2367111154[[#Headers],[SPCC]],
   COUNTIF(Herramientas_de_izaje2468112155[Herramientas_de_izaje], B89) &gt; 0, Herramientas_de_izaje2468112155[[#Headers],[Herramientas_de_izaje]],
COUNTIF(Tabla162670114157[Equipos], B89) &gt; 0, Tabla162670114157[[#Headers],[Equipos]],
    TRUE, "Sin clasificación"
)</f>
        <v>Sin clasificación</v>
      </c>
      <c r="F89" s="15"/>
      <c r="G89" s="15"/>
      <c r="H89" s="15"/>
      <c r="I89" s="15"/>
      <c r="J89" s="47"/>
      <c r="L89" s="47"/>
      <c r="M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-SinArea-0000</v>
      </c>
      <c r="O89" s="15"/>
      <c r="Q89" s="48"/>
    </row>
    <row r="90" spans="3:17" x14ac:dyDescent="0.3">
      <c r="C90" s="11"/>
      <c r="E90" s="11" t="str" cm="1">
        <f t="array" ref="E90">_xlfn.IFS(
    COUNTIF(Herramientas_eléctricas1862106149[Herramientas_eléctricas], B90) &gt; 0, Herramientas_eléctricas1862106149[[#Headers],[Herramientas_eléctricas]],
    COUNTIF(Herramientas_neumáticas1963107150[Herramientas_neumáticas], B90) &gt; 0, Herramientas_neumáticas1963107150[[#Headers],[Herramientas_neumáticas]],
    COUNTIF(Herramientas_de_medición2064108151[Herramientas_de_medición], B90) &gt; 0, Herramientas_de_medición2064108151[[#Headers],[Herramientas_de_medición]],
    COUNTIF(Herrramientas_mecánicas2165109152[Herramientas_mecánicas], B90) &gt; 0, Herrramientas_mecánicas2165109152[[#Headers],[Herramientas_mecánicas]],
    COUNTIF(AH90:AH96, B90) &gt; 0, Herramientas_hidráulicas2266110153[[#Headers],[Herramientas_hidráulicas]],
    COUNTIF(EPP_2367111154[SPCC], B90) &gt; 0, EPP_2367111154[[#Headers],[SPCC]],
   COUNTIF(Herramientas_de_izaje2468112155[Herramientas_de_izaje], B90) &gt; 0, Herramientas_de_izaje2468112155[[#Headers],[Herramientas_de_izaje]],
COUNTIF(Tabla162670114157[Equipos], B90) &gt; 0, Tabla162670114157[[#Headers],[Equipos]],
    TRUE, "Sin clasificación"
)</f>
        <v>Sin clasificación</v>
      </c>
      <c r="F90" s="15"/>
      <c r="G90" s="15"/>
      <c r="H90" s="15"/>
      <c r="I90" s="15"/>
      <c r="J90" s="47"/>
      <c r="L90" s="47"/>
      <c r="M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-SinArea-0000</v>
      </c>
      <c r="O90" s="15"/>
      <c r="Q90" s="48"/>
    </row>
    <row r="91" spans="3:17" x14ac:dyDescent="0.3">
      <c r="C91" s="11"/>
      <c r="E91" s="11" t="str" cm="1">
        <f t="array" ref="E91">_xlfn.IFS(
    COUNTIF(Herramientas_eléctricas1862106149[Herramientas_eléctricas], B91) &gt; 0, Herramientas_eléctricas1862106149[[#Headers],[Herramientas_eléctricas]],
    COUNTIF(Herramientas_neumáticas1963107150[Herramientas_neumáticas], B91) &gt; 0, Herramientas_neumáticas1963107150[[#Headers],[Herramientas_neumáticas]],
    COUNTIF(Herramientas_de_medición2064108151[Herramientas_de_medición], B91) &gt; 0, Herramientas_de_medición2064108151[[#Headers],[Herramientas_de_medición]],
    COUNTIF(Herrramientas_mecánicas2165109152[Herramientas_mecánicas], B91) &gt; 0, Herrramientas_mecánicas2165109152[[#Headers],[Herramientas_mecánicas]],
    COUNTIF(AH91:AH97, B91) &gt; 0, Herramientas_hidráulicas2266110153[[#Headers],[Herramientas_hidráulicas]],
    COUNTIF(EPP_2367111154[SPCC], B91) &gt; 0, EPP_2367111154[[#Headers],[SPCC]],
   COUNTIF(Herramientas_de_izaje2468112155[Herramientas_de_izaje], B91) &gt; 0, Herramientas_de_izaje2468112155[[#Headers],[Herramientas_de_izaje]],
COUNTIF(Tabla162670114157[Equipos], B91) &gt; 0, Tabla162670114157[[#Headers],[Equipos]],
    TRUE, "Sin clasificación"
)</f>
        <v>Sin clasificación</v>
      </c>
      <c r="F91" s="15"/>
      <c r="G91" s="15"/>
      <c r="H91" s="15"/>
      <c r="I91" s="15"/>
      <c r="J91" s="47"/>
      <c r="L91" s="47"/>
      <c r="M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-SinArea-0000</v>
      </c>
      <c r="O91" s="15"/>
      <c r="Q91" s="48"/>
    </row>
    <row r="92" spans="3:17" x14ac:dyDescent="0.3">
      <c r="C92" s="11"/>
      <c r="E92" s="11" t="str" cm="1">
        <f t="array" ref="E92">_xlfn.IFS(
    COUNTIF(Herramientas_eléctricas1862106149[Herramientas_eléctricas], B92) &gt; 0, Herramientas_eléctricas1862106149[[#Headers],[Herramientas_eléctricas]],
    COUNTIF(Herramientas_neumáticas1963107150[Herramientas_neumáticas], B92) &gt; 0, Herramientas_neumáticas1963107150[[#Headers],[Herramientas_neumáticas]],
    COUNTIF(Herramientas_de_medición2064108151[Herramientas_de_medición], B92) &gt; 0, Herramientas_de_medición2064108151[[#Headers],[Herramientas_de_medición]],
    COUNTIF(Herrramientas_mecánicas2165109152[Herramientas_mecánicas], B92) &gt; 0, Herrramientas_mecánicas2165109152[[#Headers],[Herramientas_mecánicas]],
    COUNTIF(AH92:AH98, B92) &gt; 0, Herramientas_hidráulicas2266110153[[#Headers],[Herramientas_hidráulicas]],
    COUNTIF(EPP_2367111154[SPCC], B92) &gt; 0, EPP_2367111154[[#Headers],[SPCC]],
   COUNTIF(Herramientas_de_izaje2468112155[Herramientas_de_izaje], B92) &gt; 0, Herramientas_de_izaje2468112155[[#Headers],[Herramientas_de_izaje]],
COUNTIF(Tabla162670114157[Equipos], B92) &gt; 0, Tabla162670114157[[#Headers],[Equipos]],
    TRUE, "Sin clasificación"
)</f>
        <v>Sin clasificación</v>
      </c>
      <c r="F92" s="15"/>
      <c r="G92" s="15"/>
      <c r="H92" s="15"/>
      <c r="I92" s="15"/>
      <c r="J92" s="47"/>
      <c r="L92" s="47"/>
      <c r="M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-SinArea-0000</v>
      </c>
      <c r="O92" s="15"/>
      <c r="Q92" s="48"/>
    </row>
    <row r="93" spans="3:17" x14ac:dyDescent="0.3">
      <c r="C93" s="11"/>
      <c r="E93" s="11" t="str" cm="1">
        <f t="array" ref="E93">_xlfn.IFS(
    COUNTIF(Herramientas_eléctricas1862106149[Herramientas_eléctricas], B93) &gt; 0, Herramientas_eléctricas1862106149[[#Headers],[Herramientas_eléctricas]],
    COUNTIF(Herramientas_neumáticas1963107150[Herramientas_neumáticas], B93) &gt; 0, Herramientas_neumáticas1963107150[[#Headers],[Herramientas_neumáticas]],
    COUNTIF(Herramientas_de_medición2064108151[Herramientas_de_medición], B93) &gt; 0, Herramientas_de_medición2064108151[[#Headers],[Herramientas_de_medición]],
    COUNTIF(Herrramientas_mecánicas2165109152[Herramientas_mecánicas], B93) &gt; 0, Herrramientas_mecánicas2165109152[[#Headers],[Herramientas_mecánicas]],
    COUNTIF(AH93:AH99, B93) &gt; 0, Herramientas_hidráulicas2266110153[[#Headers],[Herramientas_hidráulicas]],
    COUNTIF(EPP_2367111154[SPCC], B93) &gt; 0, EPP_2367111154[[#Headers],[SPCC]],
   COUNTIF(Herramientas_de_izaje2468112155[Herramientas_de_izaje], B93) &gt; 0, Herramientas_de_izaje2468112155[[#Headers],[Herramientas_de_izaje]],
COUNTIF(Tabla162670114157[Equipos], B93) &gt; 0, Tabla162670114157[[#Headers],[Equipos]],
    TRUE, "Sin clasificación"
)</f>
        <v>Sin clasificación</v>
      </c>
      <c r="F93" s="15"/>
      <c r="G93" s="15"/>
      <c r="H93" s="15"/>
      <c r="I93" s="15"/>
      <c r="J93" s="47"/>
      <c r="L93" s="47"/>
      <c r="M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-SinArea-0000</v>
      </c>
      <c r="O93" s="15"/>
      <c r="Q93" s="48"/>
    </row>
    <row r="94" spans="3:17" x14ac:dyDescent="0.3">
      <c r="C94" s="11"/>
      <c r="E94" s="11" t="str" cm="1">
        <f t="array" ref="E94">_xlfn.IFS(
    COUNTIF(Herramientas_eléctricas1862106149[Herramientas_eléctricas], B94) &gt; 0, Herramientas_eléctricas1862106149[[#Headers],[Herramientas_eléctricas]],
    COUNTIF(Herramientas_neumáticas1963107150[Herramientas_neumáticas], B94) &gt; 0, Herramientas_neumáticas1963107150[[#Headers],[Herramientas_neumáticas]],
    COUNTIF(Herramientas_de_medición2064108151[Herramientas_de_medición], B94) &gt; 0, Herramientas_de_medición2064108151[[#Headers],[Herramientas_de_medición]],
    COUNTIF(Herrramientas_mecánicas2165109152[Herramientas_mecánicas], B94) &gt; 0, Herrramientas_mecánicas2165109152[[#Headers],[Herramientas_mecánicas]],
    COUNTIF(AH94:AH100, B94) &gt; 0, Herramientas_hidráulicas2266110153[[#Headers],[Herramientas_hidráulicas]],
    COUNTIF(EPP_2367111154[SPCC], B94) &gt; 0, EPP_2367111154[[#Headers],[SPCC]],
   COUNTIF(Herramientas_de_izaje2468112155[Herramientas_de_izaje], B94) &gt; 0, Herramientas_de_izaje2468112155[[#Headers],[Herramientas_de_izaje]],
COUNTIF(Tabla162670114157[Equipos], B94) &gt; 0, Tabla162670114157[[#Headers],[Equipos]],
    TRUE, "Sin clasificación"
)</f>
        <v>Sin clasificación</v>
      </c>
      <c r="F94" s="15"/>
      <c r="G94" s="15"/>
      <c r="H94" s="15"/>
      <c r="I94" s="15"/>
      <c r="J94" s="47"/>
      <c r="L94" s="47"/>
      <c r="M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-SinArea-0000</v>
      </c>
      <c r="O94" s="15"/>
      <c r="Q94" s="48"/>
    </row>
    <row r="95" spans="3:17" x14ac:dyDescent="0.3">
      <c r="C95" s="11"/>
      <c r="E95" s="11" t="str" cm="1">
        <f t="array" ref="E95">_xlfn.IFS(
    COUNTIF(Herramientas_eléctricas1862106149[Herramientas_eléctricas], B95) &gt; 0, Herramientas_eléctricas1862106149[[#Headers],[Herramientas_eléctricas]],
    COUNTIF(Herramientas_neumáticas1963107150[Herramientas_neumáticas], B95) &gt; 0, Herramientas_neumáticas1963107150[[#Headers],[Herramientas_neumáticas]],
    COUNTIF(Herramientas_de_medición2064108151[Herramientas_de_medición], B95) &gt; 0, Herramientas_de_medición2064108151[[#Headers],[Herramientas_de_medición]],
    COUNTIF(Herrramientas_mecánicas2165109152[Herramientas_mecánicas], B95) &gt; 0, Herrramientas_mecánicas2165109152[[#Headers],[Herramientas_mecánicas]],
    COUNTIF(AH95:AH101, B95) &gt; 0, Herramientas_hidráulicas2266110153[[#Headers],[Herramientas_hidráulicas]],
    COUNTIF(EPP_2367111154[SPCC], B95) &gt; 0, EPP_2367111154[[#Headers],[SPCC]],
   COUNTIF(Herramientas_de_izaje2468112155[Herramientas_de_izaje], B95) &gt; 0, Herramientas_de_izaje2468112155[[#Headers],[Herramientas_de_izaje]],
COUNTIF(Tabla162670114157[Equipos], B95) &gt; 0, Tabla162670114157[[#Headers],[Equipos]],
    TRUE, "Sin clasificación"
)</f>
        <v>Sin clasificación</v>
      </c>
      <c r="F95" s="15"/>
      <c r="G95" s="15"/>
      <c r="H95" s="15"/>
      <c r="I95" s="15"/>
      <c r="J95" s="47"/>
      <c r="L95" s="47"/>
      <c r="M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-SinArea-0000</v>
      </c>
      <c r="O95" s="15"/>
      <c r="Q95" s="48"/>
    </row>
    <row r="96" spans="3:17" x14ac:dyDescent="0.3">
      <c r="C96" s="11"/>
      <c r="E96" s="11" t="str" cm="1">
        <f t="array" ref="E96">_xlfn.IFS(
    COUNTIF(Herramientas_eléctricas1862106149[Herramientas_eléctricas], B96) &gt; 0, Herramientas_eléctricas1862106149[[#Headers],[Herramientas_eléctricas]],
    COUNTIF(Herramientas_neumáticas1963107150[Herramientas_neumáticas], B96) &gt; 0, Herramientas_neumáticas1963107150[[#Headers],[Herramientas_neumáticas]],
    COUNTIF(Herramientas_de_medición2064108151[Herramientas_de_medición], B96) &gt; 0, Herramientas_de_medición2064108151[[#Headers],[Herramientas_de_medición]],
    COUNTIF(Herrramientas_mecánicas2165109152[Herramientas_mecánicas], B96) &gt; 0, Herrramientas_mecánicas2165109152[[#Headers],[Herramientas_mecánicas]],
    COUNTIF(AH96:AH102, B96) &gt; 0, Herramientas_hidráulicas2266110153[[#Headers],[Herramientas_hidráulicas]],
    COUNTIF(EPP_2367111154[SPCC], B96) &gt; 0, EPP_2367111154[[#Headers],[SPCC]],
   COUNTIF(Herramientas_de_izaje2468112155[Herramientas_de_izaje], B96) &gt; 0, Herramientas_de_izaje2468112155[[#Headers],[Herramientas_de_izaje]],
COUNTIF(Tabla162670114157[Equipos], B96) &gt; 0, Tabla162670114157[[#Headers],[Equipos]],
    TRUE, "Sin clasificación"
)</f>
        <v>Sin clasificación</v>
      </c>
      <c r="F96" s="15"/>
      <c r="G96" s="15"/>
      <c r="H96" s="15"/>
      <c r="I96" s="15"/>
      <c r="J96" s="47"/>
      <c r="L96" s="47"/>
      <c r="M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-SinArea-0000</v>
      </c>
      <c r="O96" s="15"/>
      <c r="Q96" s="48"/>
    </row>
    <row r="97" spans="3:17" x14ac:dyDescent="0.3">
      <c r="C97" s="11"/>
      <c r="E97" s="11" t="str" cm="1">
        <f t="array" ref="E97">_xlfn.IFS(
    COUNTIF(Herramientas_eléctricas1862106149[Herramientas_eléctricas], B97) &gt; 0, Herramientas_eléctricas1862106149[[#Headers],[Herramientas_eléctricas]],
    COUNTIF(Herramientas_neumáticas1963107150[Herramientas_neumáticas], B97) &gt; 0, Herramientas_neumáticas1963107150[[#Headers],[Herramientas_neumáticas]],
    COUNTIF(Herramientas_de_medición2064108151[Herramientas_de_medición], B97) &gt; 0, Herramientas_de_medición2064108151[[#Headers],[Herramientas_de_medición]],
    COUNTIF(Herrramientas_mecánicas2165109152[Herramientas_mecánicas], B97) &gt; 0, Herrramientas_mecánicas2165109152[[#Headers],[Herramientas_mecánicas]],
    COUNTIF(AH97:AH103, B97) &gt; 0, Herramientas_hidráulicas2266110153[[#Headers],[Herramientas_hidráulicas]],
    COUNTIF(EPP_2367111154[SPCC], B97) &gt; 0, EPP_2367111154[[#Headers],[SPCC]],
   COUNTIF(Herramientas_de_izaje2468112155[Herramientas_de_izaje], B97) &gt; 0, Herramientas_de_izaje2468112155[[#Headers],[Herramientas_de_izaje]],
COUNTIF(Tabla162670114157[Equipos], B97) &gt; 0, Tabla162670114157[[#Headers],[Equipos]],
    TRUE, "Sin clasificación"
)</f>
        <v>Sin clasificación</v>
      </c>
      <c r="F97" s="15"/>
      <c r="G97" s="15"/>
      <c r="H97" s="15"/>
      <c r="I97" s="15"/>
      <c r="J97" s="47"/>
      <c r="L97" s="47"/>
      <c r="M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-SinArea-0000</v>
      </c>
      <c r="O97" s="15"/>
      <c r="Q97" s="48"/>
    </row>
    <row r="98" spans="3:17" x14ac:dyDescent="0.3">
      <c r="C98" s="11"/>
      <c r="E98" s="11" t="str" cm="1">
        <f t="array" ref="E98">_xlfn.IFS(
    COUNTIF(Herramientas_eléctricas1862106149[Herramientas_eléctricas], B98) &gt; 0, Herramientas_eléctricas1862106149[[#Headers],[Herramientas_eléctricas]],
    COUNTIF(Herramientas_neumáticas1963107150[Herramientas_neumáticas], B98) &gt; 0, Herramientas_neumáticas1963107150[[#Headers],[Herramientas_neumáticas]],
    COUNTIF(Herramientas_de_medición2064108151[Herramientas_de_medición], B98) &gt; 0, Herramientas_de_medición2064108151[[#Headers],[Herramientas_de_medición]],
    COUNTIF(Herrramientas_mecánicas2165109152[Herramientas_mecánicas], B98) &gt; 0, Herrramientas_mecánicas2165109152[[#Headers],[Herramientas_mecánicas]],
    COUNTIF(AH98:AH104, B98) &gt; 0, Herramientas_hidráulicas2266110153[[#Headers],[Herramientas_hidráulicas]],
    COUNTIF(EPP_2367111154[SPCC], B98) &gt; 0, EPP_2367111154[[#Headers],[SPCC]],
   COUNTIF(Herramientas_de_izaje2468112155[Herramientas_de_izaje], B98) &gt; 0, Herramientas_de_izaje2468112155[[#Headers],[Herramientas_de_izaje]],
COUNTIF(Tabla162670114157[Equipos], B98) &gt; 0, Tabla162670114157[[#Headers],[Equipos]],
    TRUE, "Sin clasificación"
)</f>
        <v>Sin clasificación</v>
      </c>
      <c r="F98" s="15"/>
      <c r="G98" s="15"/>
      <c r="H98" s="15"/>
      <c r="I98" s="15"/>
      <c r="J98" s="47"/>
      <c r="L98" s="47"/>
      <c r="M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-SinArea-0000</v>
      </c>
      <c r="O98" s="15"/>
      <c r="Q98" s="48"/>
    </row>
    <row r="99" spans="3:17" x14ac:dyDescent="0.3">
      <c r="C99" s="11"/>
      <c r="E99" s="11" t="str" cm="1">
        <f t="array" ref="E99">_xlfn.IFS(
    COUNTIF(Herramientas_eléctricas1862106149[Herramientas_eléctricas], B99) &gt; 0, Herramientas_eléctricas1862106149[[#Headers],[Herramientas_eléctricas]],
    COUNTIF(Herramientas_neumáticas1963107150[Herramientas_neumáticas], B99) &gt; 0, Herramientas_neumáticas1963107150[[#Headers],[Herramientas_neumáticas]],
    COUNTIF(Herramientas_de_medición2064108151[Herramientas_de_medición], B99) &gt; 0, Herramientas_de_medición2064108151[[#Headers],[Herramientas_de_medición]],
    COUNTIF(Herrramientas_mecánicas2165109152[Herramientas_mecánicas], B99) &gt; 0, Herrramientas_mecánicas2165109152[[#Headers],[Herramientas_mecánicas]],
    COUNTIF(AH99:AH105, B99) &gt; 0, Herramientas_hidráulicas2266110153[[#Headers],[Herramientas_hidráulicas]],
    COUNTIF(EPP_2367111154[SPCC], B99) &gt; 0, EPP_2367111154[[#Headers],[SPCC]],
   COUNTIF(Herramientas_de_izaje2468112155[Herramientas_de_izaje], B99) &gt; 0, Herramientas_de_izaje2468112155[[#Headers],[Herramientas_de_izaje]],
COUNTIF(Tabla162670114157[Equipos], B99) &gt; 0, Tabla162670114157[[#Headers],[Equipos]],
    TRUE, "Sin clasificación"
)</f>
        <v>Sin clasificación</v>
      </c>
      <c r="F99" s="15"/>
      <c r="G99" s="15"/>
      <c r="H99" s="15"/>
      <c r="I99" s="15"/>
      <c r="J99" s="47"/>
      <c r="L99" s="47"/>
      <c r="M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-SinArea-0000</v>
      </c>
      <c r="O99" s="15"/>
      <c r="Q99" s="48"/>
    </row>
    <row r="100" spans="3:17" x14ac:dyDescent="0.3">
      <c r="C100" s="11"/>
      <c r="E100" s="11" t="str" cm="1">
        <f t="array" ref="E100">_xlfn.IFS(
    COUNTIF(Herramientas_eléctricas1862106149[Herramientas_eléctricas], B100) &gt; 0, Herramientas_eléctricas1862106149[[#Headers],[Herramientas_eléctricas]],
    COUNTIF(Herramientas_neumáticas1963107150[Herramientas_neumáticas], B100) &gt; 0, Herramientas_neumáticas1963107150[[#Headers],[Herramientas_neumáticas]],
    COUNTIF(Herramientas_de_medición2064108151[Herramientas_de_medición], B100) &gt; 0, Herramientas_de_medición2064108151[[#Headers],[Herramientas_de_medición]],
    COUNTIF(Herrramientas_mecánicas2165109152[Herramientas_mecánicas], B100) &gt; 0, Herrramientas_mecánicas2165109152[[#Headers],[Herramientas_mecánicas]],
    COUNTIF(AH100:AH106, B100) &gt; 0, Herramientas_hidráulicas2266110153[[#Headers],[Herramientas_hidráulicas]],
    COUNTIF(EPP_2367111154[SPCC], B100) &gt; 0, EPP_2367111154[[#Headers],[SPCC]],
   COUNTIF(Herramientas_de_izaje2468112155[Herramientas_de_izaje], B100) &gt; 0, Herramientas_de_izaje2468112155[[#Headers],[Herramientas_de_izaje]],
COUNTIF(Tabla162670114157[Equipos], B100) &gt; 0, Tabla162670114157[[#Headers],[Equipos]],
    TRUE, "Sin clasificación"
)</f>
        <v>Sin clasificación</v>
      </c>
      <c r="F100" s="15"/>
      <c r="G100" s="15"/>
      <c r="H100" s="15"/>
      <c r="I100" s="15"/>
      <c r="J100" s="47"/>
      <c r="L100" s="47"/>
      <c r="M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-SinArea-0000</v>
      </c>
      <c r="O100" s="15"/>
      <c r="Q100" s="48"/>
    </row>
    <row r="101" spans="3:17" x14ac:dyDescent="0.3">
      <c r="C101" s="11"/>
      <c r="E101" s="11" t="str" cm="1">
        <f t="array" ref="E101">_xlfn.IFS(
    COUNTIF(Herramientas_eléctricas1862106149[Herramientas_eléctricas], B101) &gt; 0, Herramientas_eléctricas1862106149[[#Headers],[Herramientas_eléctricas]],
    COUNTIF(Herramientas_neumáticas1963107150[Herramientas_neumáticas], B101) &gt; 0, Herramientas_neumáticas1963107150[[#Headers],[Herramientas_neumáticas]],
    COUNTIF(Herramientas_de_medición2064108151[Herramientas_de_medición], B101) &gt; 0, Herramientas_de_medición2064108151[[#Headers],[Herramientas_de_medición]],
    COUNTIF(Herrramientas_mecánicas2165109152[Herramientas_mecánicas], B101) &gt; 0, Herrramientas_mecánicas2165109152[[#Headers],[Herramientas_mecánicas]],
    COUNTIF(AH101:AH107, B101) &gt; 0, Herramientas_hidráulicas2266110153[[#Headers],[Herramientas_hidráulicas]],
    COUNTIF(EPP_2367111154[SPCC], B101) &gt; 0, EPP_2367111154[[#Headers],[SPCC]],
   COUNTIF(Herramientas_de_izaje2468112155[Herramientas_de_izaje], B101) &gt; 0, Herramientas_de_izaje2468112155[[#Headers],[Herramientas_de_izaje]],
COUNTIF(Tabla162670114157[Equipos], B101) &gt; 0, Tabla162670114157[[#Headers],[Equipos]],
    TRUE, "Sin clasificación"
)</f>
        <v>Sin clasificación</v>
      </c>
      <c r="F101" s="15"/>
      <c r="G101" s="15"/>
      <c r="H101" s="15"/>
      <c r="I101" s="15"/>
      <c r="J101" s="47"/>
      <c r="L101" s="47"/>
      <c r="M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-SinArea-0000</v>
      </c>
      <c r="O101" s="15"/>
      <c r="Q101" s="48"/>
    </row>
    <row r="102" spans="3:17" x14ac:dyDescent="0.3">
      <c r="C102" s="11"/>
      <c r="E102" s="11" t="str" cm="1">
        <f t="array" ref="E102">_xlfn.IFS(
    COUNTIF(Herramientas_eléctricas1862106149[Herramientas_eléctricas], B102) &gt; 0, Herramientas_eléctricas1862106149[[#Headers],[Herramientas_eléctricas]],
    COUNTIF(Herramientas_neumáticas1963107150[Herramientas_neumáticas], B102) &gt; 0, Herramientas_neumáticas1963107150[[#Headers],[Herramientas_neumáticas]],
    COUNTIF(Herramientas_de_medición2064108151[Herramientas_de_medición], B102) &gt; 0, Herramientas_de_medición2064108151[[#Headers],[Herramientas_de_medición]],
    COUNTIF(Herrramientas_mecánicas2165109152[Herramientas_mecánicas], B102) &gt; 0, Herrramientas_mecánicas2165109152[[#Headers],[Herramientas_mecánicas]],
    COUNTIF(AH102:AH108, B102) &gt; 0, Herramientas_hidráulicas2266110153[[#Headers],[Herramientas_hidráulicas]],
    COUNTIF(EPP_2367111154[SPCC], B102) &gt; 0, EPP_2367111154[[#Headers],[SPCC]],
   COUNTIF(Herramientas_de_izaje2468112155[Herramientas_de_izaje], B102) &gt; 0, Herramientas_de_izaje2468112155[[#Headers],[Herramientas_de_izaje]],
COUNTIF(Tabla162670114157[Equipos], B102) &gt; 0, Tabla162670114157[[#Headers],[Equipos]],
    TRUE, "Sin clasificación"
)</f>
        <v>Sin clasificación</v>
      </c>
      <c r="F102" s="15"/>
      <c r="G102" s="15"/>
      <c r="H102" s="15"/>
      <c r="I102" s="15"/>
      <c r="J102" s="47"/>
      <c r="L102" s="47"/>
      <c r="M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-SinArea-0000</v>
      </c>
      <c r="O102" s="15"/>
      <c r="Q102" s="48"/>
    </row>
    <row r="103" spans="3:17" x14ac:dyDescent="0.3">
      <c r="C103" s="11"/>
      <c r="E103" s="11" t="str" cm="1">
        <f t="array" ref="E103">_xlfn.IFS(
    COUNTIF(Herramientas_eléctricas1862106149[Herramientas_eléctricas], B103) &gt; 0, Herramientas_eléctricas1862106149[[#Headers],[Herramientas_eléctricas]],
    COUNTIF(Herramientas_neumáticas1963107150[Herramientas_neumáticas], B103) &gt; 0, Herramientas_neumáticas1963107150[[#Headers],[Herramientas_neumáticas]],
    COUNTIF(Herramientas_de_medición2064108151[Herramientas_de_medición], B103) &gt; 0, Herramientas_de_medición2064108151[[#Headers],[Herramientas_de_medición]],
    COUNTIF(Herrramientas_mecánicas2165109152[Herramientas_mecánicas], B103) &gt; 0, Herrramientas_mecánicas2165109152[[#Headers],[Herramientas_mecánicas]],
    COUNTIF(AH103:AH109, B103) &gt; 0, Herramientas_hidráulicas2266110153[[#Headers],[Herramientas_hidráulicas]],
    COUNTIF(EPP_2367111154[SPCC], B103) &gt; 0, EPP_2367111154[[#Headers],[SPCC]],
   COUNTIF(Herramientas_de_izaje2468112155[Herramientas_de_izaje], B103) &gt; 0, Herramientas_de_izaje2468112155[[#Headers],[Herramientas_de_izaje]],
COUNTIF(Tabla162670114157[Equipos], B103) &gt; 0, Tabla162670114157[[#Headers],[Equipos]],
    TRUE, "Sin clasificación"
)</f>
        <v>Sin clasificación</v>
      </c>
      <c r="F103" s="15"/>
      <c r="G103" s="15"/>
      <c r="H103" s="15"/>
      <c r="I103" s="15"/>
      <c r="J103" s="47"/>
      <c r="L103" s="47"/>
      <c r="M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-SinArea-0000</v>
      </c>
      <c r="O103" s="15"/>
      <c r="Q103" s="48"/>
    </row>
    <row r="104" spans="3:17" x14ac:dyDescent="0.3">
      <c r="C104" s="11"/>
      <c r="E104" s="11" t="str" cm="1">
        <f t="array" ref="E104">_xlfn.IFS(
    COUNTIF(Herramientas_eléctricas1862106149[Herramientas_eléctricas], B104) &gt; 0, Herramientas_eléctricas1862106149[[#Headers],[Herramientas_eléctricas]],
    COUNTIF(Herramientas_neumáticas1963107150[Herramientas_neumáticas], B104) &gt; 0, Herramientas_neumáticas1963107150[[#Headers],[Herramientas_neumáticas]],
    COUNTIF(Herramientas_de_medición2064108151[Herramientas_de_medición], B104) &gt; 0, Herramientas_de_medición2064108151[[#Headers],[Herramientas_de_medición]],
    COUNTIF(Herrramientas_mecánicas2165109152[Herramientas_mecánicas], B104) &gt; 0, Herrramientas_mecánicas2165109152[[#Headers],[Herramientas_mecánicas]],
    COUNTIF(AH104:AH110, B104) &gt; 0, Herramientas_hidráulicas2266110153[[#Headers],[Herramientas_hidráulicas]],
    COUNTIF(EPP_2367111154[SPCC], B104) &gt; 0, EPP_2367111154[[#Headers],[SPCC]],
   COUNTIF(Herramientas_de_izaje2468112155[Herramientas_de_izaje], B104) &gt; 0, Herramientas_de_izaje2468112155[[#Headers],[Herramientas_de_izaje]],
COUNTIF(Tabla162670114157[Equipos], B104) &gt; 0, Tabla162670114157[[#Headers],[Equipos]],
    TRUE, "Sin clasificación"
)</f>
        <v>Sin clasificación</v>
      </c>
      <c r="F104" s="15"/>
      <c r="G104" s="15"/>
      <c r="H104" s="15"/>
      <c r="I104" s="15"/>
      <c r="J104" s="47"/>
      <c r="L104" s="47"/>
      <c r="M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-SinArea-0000</v>
      </c>
      <c r="O104" s="15"/>
      <c r="Q104" s="48"/>
    </row>
    <row r="105" spans="3:17" x14ac:dyDescent="0.3">
      <c r="C105" s="11"/>
      <c r="E105" s="11" t="str" cm="1">
        <f t="array" ref="E105">_xlfn.IFS(
    COUNTIF(Herramientas_eléctricas1862106149[Herramientas_eléctricas], B105) &gt; 0, Herramientas_eléctricas1862106149[[#Headers],[Herramientas_eléctricas]],
    COUNTIF(Herramientas_neumáticas1963107150[Herramientas_neumáticas], B105) &gt; 0, Herramientas_neumáticas1963107150[[#Headers],[Herramientas_neumáticas]],
    COUNTIF(Herramientas_de_medición2064108151[Herramientas_de_medición], B105) &gt; 0, Herramientas_de_medición2064108151[[#Headers],[Herramientas_de_medición]],
    COUNTIF(Herrramientas_mecánicas2165109152[Herramientas_mecánicas], B105) &gt; 0, Herrramientas_mecánicas2165109152[[#Headers],[Herramientas_mecánicas]],
    COUNTIF(AH105:AH111, B105) &gt; 0, Herramientas_hidráulicas2266110153[[#Headers],[Herramientas_hidráulicas]],
    COUNTIF(EPP_2367111154[SPCC], B105) &gt; 0, EPP_2367111154[[#Headers],[SPCC]],
   COUNTIF(Herramientas_de_izaje2468112155[Herramientas_de_izaje], B105) &gt; 0, Herramientas_de_izaje2468112155[[#Headers],[Herramientas_de_izaje]],
COUNTIF(Tabla162670114157[Equipos], B105) &gt; 0, Tabla162670114157[[#Headers],[Equipos]],
    TRUE, "Sin clasificación"
)</f>
        <v>Sin clasificación</v>
      </c>
      <c r="F105" s="15"/>
      <c r="G105" s="15"/>
      <c r="H105" s="15"/>
      <c r="I105" s="15"/>
      <c r="J105" s="47"/>
      <c r="L105" s="47"/>
      <c r="M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-SinArea-0000</v>
      </c>
      <c r="O105" s="15"/>
      <c r="Q105" s="48"/>
    </row>
    <row r="106" spans="3:17" x14ac:dyDescent="0.3">
      <c r="C106" s="11"/>
      <c r="E106" s="11" t="str" cm="1">
        <f t="array" ref="E106">_xlfn.IFS(
    COUNTIF(Herramientas_eléctricas1862106149[Herramientas_eléctricas], B106) &gt; 0, Herramientas_eléctricas1862106149[[#Headers],[Herramientas_eléctricas]],
    COUNTIF(Herramientas_neumáticas1963107150[Herramientas_neumáticas], B106) &gt; 0, Herramientas_neumáticas1963107150[[#Headers],[Herramientas_neumáticas]],
    COUNTIF(Herramientas_de_medición2064108151[Herramientas_de_medición], B106) &gt; 0, Herramientas_de_medición2064108151[[#Headers],[Herramientas_de_medición]],
    COUNTIF(Herrramientas_mecánicas2165109152[Herramientas_mecánicas], B106) &gt; 0, Herrramientas_mecánicas2165109152[[#Headers],[Herramientas_mecánicas]],
    COUNTIF(AH106:AH112, B106) &gt; 0, Herramientas_hidráulicas2266110153[[#Headers],[Herramientas_hidráulicas]],
    COUNTIF(EPP_2367111154[SPCC], B106) &gt; 0, EPP_2367111154[[#Headers],[SPCC]],
   COUNTIF(Herramientas_de_izaje2468112155[Herramientas_de_izaje], B106) &gt; 0, Herramientas_de_izaje2468112155[[#Headers],[Herramientas_de_izaje]],
COUNTIF(Tabla162670114157[Equipos], B106) &gt; 0, Tabla162670114157[[#Headers],[Equipos]],
    TRUE, "Sin clasificación"
)</f>
        <v>Sin clasificación</v>
      </c>
      <c r="F106" s="15"/>
      <c r="G106" s="15"/>
      <c r="H106" s="15"/>
      <c r="I106" s="15"/>
      <c r="J106" s="47"/>
      <c r="L106" s="47"/>
      <c r="M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-SinArea-0000</v>
      </c>
      <c r="O106" s="15"/>
      <c r="Q106" s="48"/>
    </row>
    <row r="107" spans="3:17" x14ac:dyDescent="0.3">
      <c r="C107" s="11"/>
      <c r="E107" s="11" t="str" cm="1">
        <f t="array" ref="E107">_xlfn.IFS(
    COUNTIF(Herramientas_eléctricas1862106149[Herramientas_eléctricas], B107) &gt; 0, Herramientas_eléctricas1862106149[[#Headers],[Herramientas_eléctricas]],
    COUNTIF(Herramientas_neumáticas1963107150[Herramientas_neumáticas], B107) &gt; 0, Herramientas_neumáticas1963107150[[#Headers],[Herramientas_neumáticas]],
    COUNTIF(Herramientas_de_medición2064108151[Herramientas_de_medición], B107) &gt; 0, Herramientas_de_medición2064108151[[#Headers],[Herramientas_de_medición]],
    COUNTIF(Herrramientas_mecánicas2165109152[Herramientas_mecánicas], B107) &gt; 0, Herrramientas_mecánicas2165109152[[#Headers],[Herramientas_mecánicas]],
    COUNTIF(AH107:AH113, B107) &gt; 0, Herramientas_hidráulicas2266110153[[#Headers],[Herramientas_hidráulicas]],
    COUNTIF(EPP_2367111154[SPCC], B107) &gt; 0, EPP_2367111154[[#Headers],[SPCC]],
   COUNTIF(Herramientas_de_izaje2468112155[Herramientas_de_izaje], B107) &gt; 0, Herramientas_de_izaje2468112155[[#Headers],[Herramientas_de_izaje]],
COUNTIF(Tabla162670114157[Equipos], B107) &gt; 0, Tabla162670114157[[#Headers],[Equipos]],
    TRUE, "Sin clasificación"
)</f>
        <v>Sin clasificación</v>
      </c>
      <c r="F107" s="15"/>
      <c r="G107" s="15"/>
      <c r="H107" s="15"/>
      <c r="I107" s="15"/>
      <c r="J107" s="47"/>
      <c r="L107" s="47"/>
      <c r="M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-SinArea-0000</v>
      </c>
      <c r="O107" s="15"/>
      <c r="Q107" s="48"/>
    </row>
    <row r="108" spans="3:17" x14ac:dyDescent="0.3">
      <c r="C108" s="11"/>
      <c r="E108" s="11" t="str" cm="1">
        <f t="array" ref="E108">_xlfn.IFS(
    COUNTIF(Herramientas_eléctricas1862106149[Herramientas_eléctricas], B108) &gt; 0, Herramientas_eléctricas1862106149[[#Headers],[Herramientas_eléctricas]],
    COUNTIF(Herramientas_neumáticas1963107150[Herramientas_neumáticas], B108) &gt; 0, Herramientas_neumáticas1963107150[[#Headers],[Herramientas_neumáticas]],
    COUNTIF(Herramientas_de_medición2064108151[Herramientas_de_medición], B108) &gt; 0, Herramientas_de_medición2064108151[[#Headers],[Herramientas_de_medición]],
    COUNTIF(Herrramientas_mecánicas2165109152[Herramientas_mecánicas], B108) &gt; 0, Herrramientas_mecánicas2165109152[[#Headers],[Herramientas_mecánicas]],
    COUNTIF(AH108:AH114, B108) &gt; 0, Herramientas_hidráulicas2266110153[[#Headers],[Herramientas_hidráulicas]],
    COUNTIF(EPP_2367111154[SPCC], B108) &gt; 0, EPP_2367111154[[#Headers],[SPCC]],
   COUNTIF(Herramientas_de_izaje2468112155[Herramientas_de_izaje], B108) &gt; 0, Herramientas_de_izaje2468112155[[#Headers],[Herramientas_de_izaje]],
COUNTIF(Tabla162670114157[Equipos], B108) &gt; 0, Tabla162670114157[[#Headers],[Equipos]],
    TRUE, "Sin clasificación"
)</f>
        <v>Sin clasificación</v>
      </c>
      <c r="F108" s="15"/>
      <c r="G108" s="15"/>
      <c r="H108" s="15"/>
      <c r="I108" s="15"/>
      <c r="J108" s="47"/>
      <c r="L108" s="47"/>
      <c r="M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-SinArea-0000</v>
      </c>
      <c r="O108" s="15"/>
      <c r="Q108" s="48"/>
    </row>
    <row r="109" spans="3:17" x14ac:dyDescent="0.3">
      <c r="C109" s="11"/>
      <c r="E109" s="11" t="str" cm="1">
        <f t="array" ref="E109">_xlfn.IFS(
    COUNTIF(Herramientas_eléctricas1862106149[Herramientas_eléctricas], B109) &gt; 0, Herramientas_eléctricas1862106149[[#Headers],[Herramientas_eléctricas]],
    COUNTIF(Herramientas_neumáticas1963107150[Herramientas_neumáticas], B109) &gt; 0, Herramientas_neumáticas1963107150[[#Headers],[Herramientas_neumáticas]],
    COUNTIF(Herramientas_de_medición2064108151[Herramientas_de_medición], B109) &gt; 0, Herramientas_de_medición2064108151[[#Headers],[Herramientas_de_medición]],
    COUNTIF(Herrramientas_mecánicas2165109152[Herramientas_mecánicas], B109) &gt; 0, Herrramientas_mecánicas2165109152[[#Headers],[Herramientas_mecánicas]],
    COUNTIF(AH109:AH115, B109) &gt; 0, Herramientas_hidráulicas2266110153[[#Headers],[Herramientas_hidráulicas]],
    COUNTIF(EPP_2367111154[SPCC], B109) &gt; 0, EPP_2367111154[[#Headers],[SPCC]],
   COUNTIF(Herramientas_de_izaje2468112155[Herramientas_de_izaje], B109) &gt; 0, Herramientas_de_izaje2468112155[[#Headers],[Herramientas_de_izaje]],
COUNTIF(Tabla162670114157[Equipos], B109) &gt; 0, Tabla162670114157[[#Headers],[Equipos]],
    TRUE, "Sin clasificación"
)</f>
        <v>Sin clasificación</v>
      </c>
      <c r="F109" s="15"/>
      <c r="G109" s="15"/>
      <c r="H109" s="15"/>
      <c r="I109" s="15"/>
      <c r="J109" s="47"/>
      <c r="L109" s="47"/>
      <c r="M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-SinArea-0000</v>
      </c>
      <c r="O109" s="15"/>
      <c r="Q109" s="48"/>
    </row>
    <row r="110" spans="3:17" x14ac:dyDescent="0.3">
      <c r="C110" s="11"/>
      <c r="E110" s="11" t="str" cm="1">
        <f t="array" ref="E110">_xlfn.IFS(
    COUNTIF(Herramientas_eléctricas1862106149[Herramientas_eléctricas], B110) &gt; 0, Herramientas_eléctricas1862106149[[#Headers],[Herramientas_eléctricas]],
    COUNTIF(Herramientas_neumáticas1963107150[Herramientas_neumáticas], B110) &gt; 0, Herramientas_neumáticas1963107150[[#Headers],[Herramientas_neumáticas]],
    COUNTIF(Herramientas_de_medición2064108151[Herramientas_de_medición], B110) &gt; 0, Herramientas_de_medición2064108151[[#Headers],[Herramientas_de_medición]],
    COUNTIF(Herrramientas_mecánicas2165109152[Herramientas_mecánicas], B110) &gt; 0, Herrramientas_mecánicas2165109152[[#Headers],[Herramientas_mecánicas]],
    COUNTIF(AH110:AH116, B110) &gt; 0, Herramientas_hidráulicas2266110153[[#Headers],[Herramientas_hidráulicas]],
    COUNTIF(EPP_2367111154[SPCC], B110) &gt; 0, EPP_2367111154[[#Headers],[SPCC]],
   COUNTIF(Herramientas_de_izaje2468112155[Herramientas_de_izaje], B110) &gt; 0, Herramientas_de_izaje2468112155[[#Headers],[Herramientas_de_izaje]],
COUNTIF(Tabla162670114157[Equipos], B110) &gt; 0, Tabla162670114157[[#Headers],[Equipos]],
    TRUE, "Sin clasificación"
)</f>
        <v>Sin clasificación</v>
      </c>
      <c r="F110" s="15"/>
      <c r="G110" s="15"/>
      <c r="H110" s="15"/>
      <c r="I110" s="15"/>
      <c r="J110" s="47"/>
      <c r="L110" s="47"/>
      <c r="M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-SinArea-0000</v>
      </c>
      <c r="O110" s="15"/>
      <c r="Q110" s="48"/>
    </row>
    <row r="111" spans="3:17" x14ac:dyDescent="0.3">
      <c r="C111" s="11"/>
      <c r="E111" s="11" t="str" cm="1">
        <f t="array" ref="E111">_xlfn.IFS(
    COUNTIF(Herramientas_eléctricas1862106149[Herramientas_eléctricas], B111) &gt; 0, Herramientas_eléctricas1862106149[[#Headers],[Herramientas_eléctricas]],
    COUNTIF(Herramientas_neumáticas1963107150[Herramientas_neumáticas], B111) &gt; 0, Herramientas_neumáticas1963107150[[#Headers],[Herramientas_neumáticas]],
    COUNTIF(Herramientas_de_medición2064108151[Herramientas_de_medición], B111) &gt; 0, Herramientas_de_medición2064108151[[#Headers],[Herramientas_de_medición]],
    COUNTIF(Herrramientas_mecánicas2165109152[Herramientas_mecánicas], B111) &gt; 0, Herrramientas_mecánicas2165109152[[#Headers],[Herramientas_mecánicas]],
    COUNTIF(AH111:AH117, B111) &gt; 0, Herramientas_hidráulicas2266110153[[#Headers],[Herramientas_hidráulicas]],
    COUNTIF(EPP_2367111154[SPCC], B111) &gt; 0, EPP_2367111154[[#Headers],[SPCC]],
   COUNTIF(Herramientas_de_izaje2468112155[Herramientas_de_izaje], B111) &gt; 0, Herramientas_de_izaje2468112155[[#Headers],[Herramientas_de_izaje]],
COUNTIF(Tabla162670114157[Equipos], B111) &gt; 0, Tabla162670114157[[#Headers],[Equipos]],
    TRUE, "Sin clasificación"
)</f>
        <v>Sin clasificación</v>
      </c>
      <c r="F111" s="15"/>
      <c r="G111" s="15"/>
      <c r="H111" s="15"/>
      <c r="I111" s="15"/>
      <c r="J111" s="47"/>
      <c r="L111" s="47"/>
      <c r="M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-SinArea-0000</v>
      </c>
      <c r="O111" s="15"/>
      <c r="Q111" s="48"/>
    </row>
    <row r="112" spans="3:17" x14ac:dyDescent="0.3">
      <c r="C112" s="11"/>
      <c r="E112" s="11" t="str" cm="1">
        <f t="array" ref="E112">_xlfn.IFS(
    COUNTIF(Herramientas_eléctricas1862106149[Herramientas_eléctricas], B112) &gt; 0, Herramientas_eléctricas1862106149[[#Headers],[Herramientas_eléctricas]],
    COUNTIF(Herramientas_neumáticas1963107150[Herramientas_neumáticas], B112) &gt; 0, Herramientas_neumáticas1963107150[[#Headers],[Herramientas_neumáticas]],
    COUNTIF(Herramientas_de_medición2064108151[Herramientas_de_medición], B112) &gt; 0, Herramientas_de_medición2064108151[[#Headers],[Herramientas_de_medición]],
    COUNTIF(Herrramientas_mecánicas2165109152[Herramientas_mecánicas], B112) &gt; 0, Herrramientas_mecánicas2165109152[[#Headers],[Herramientas_mecánicas]],
    COUNTIF(AH112:AH118, B112) &gt; 0, Herramientas_hidráulicas2266110153[[#Headers],[Herramientas_hidráulicas]],
    COUNTIF(EPP_2367111154[SPCC], B112) &gt; 0, EPP_2367111154[[#Headers],[SPCC]],
   COUNTIF(Herramientas_de_izaje2468112155[Herramientas_de_izaje], B112) &gt; 0, Herramientas_de_izaje2468112155[[#Headers],[Herramientas_de_izaje]],
COUNTIF(Tabla162670114157[Equipos], B112) &gt; 0, Tabla162670114157[[#Headers],[Equipos]],
    TRUE, "Sin clasificación"
)</f>
        <v>Sin clasificación</v>
      </c>
      <c r="F112" s="15"/>
      <c r="G112" s="15"/>
      <c r="H112" s="15"/>
      <c r="I112" s="15"/>
      <c r="J112" s="47"/>
      <c r="L112" s="47"/>
      <c r="M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-SinArea-0000</v>
      </c>
      <c r="O112" s="15"/>
      <c r="Q112" s="48"/>
    </row>
    <row r="113" spans="3:17" x14ac:dyDescent="0.3">
      <c r="C113" s="11"/>
      <c r="E113" s="11" t="str" cm="1">
        <f t="array" ref="E113">_xlfn.IFS(
    COUNTIF(Herramientas_eléctricas1862106149[Herramientas_eléctricas], B113) &gt; 0, Herramientas_eléctricas1862106149[[#Headers],[Herramientas_eléctricas]],
    COUNTIF(Herramientas_neumáticas1963107150[Herramientas_neumáticas], B113) &gt; 0, Herramientas_neumáticas1963107150[[#Headers],[Herramientas_neumáticas]],
    COUNTIF(Herramientas_de_medición2064108151[Herramientas_de_medición], B113) &gt; 0, Herramientas_de_medición2064108151[[#Headers],[Herramientas_de_medición]],
    COUNTIF(Herrramientas_mecánicas2165109152[Herramientas_mecánicas], B113) &gt; 0, Herrramientas_mecánicas2165109152[[#Headers],[Herramientas_mecánicas]],
    COUNTIF(AH113:AH119, B113) &gt; 0, Herramientas_hidráulicas2266110153[[#Headers],[Herramientas_hidráulicas]],
    COUNTIF(EPP_2367111154[SPCC], B113) &gt; 0, EPP_2367111154[[#Headers],[SPCC]],
   COUNTIF(Herramientas_de_izaje2468112155[Herramientas_de_izaje], B113) &gt; 0, Herramientas_de_izaje2468112155[[#Headers],[Herramientas_de_izaje]],
COUNTIF(Tabla162670114157[Equipos], B113) &gt; 0, Tabla162670114157[[#Headers],[Equipos]],
    TRUE, "Sin clasificación"
)</f>
        <v>Sin clasificación</v>
      </c>
      <c r="F113" s="15"/>
      <c r="G113" s="15"/>
      <c r="H113" s="15"/>
      <c r="I113" s="15"/>
      <c r="J113" s="47"/>
      <c r="L113" s="47"/>
      <c r="M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-SinArea-0000</v>
      </c>
      <c r="O113" s="15"/>
      <c r="Q113" s="48"/>
    </row>
    <row r="114" spans="3:17" x14ac:dyDescent="0.3">
      <c r="C114" s="11"/>
      <c r="E114" s="11" t="str" cm="1">
        <f t="array" ref="E114">_xlfn.IFS(
    COUNTIF(Herramientas_eléctricas1862106149[Herramientas_eléctricas], B114) &gt; 0, Herramientas_eléctricas1862106149[[#Headers],[Herramientas_eléctricas]],
    COUNTIF(Herramientas_neumáticas1963107150[Herramientas_neumáticas], B114) &gt; 0, Herramientas_neumáticas1963107150[[#Headers],[Herramientas_neumáticas]],
    COUNTIF(Herramientas_de_medición2064108151[Herramientas_de_medición], B114) &gt; 0, Herramientas_de_medición2064108151[[#Headers],[Herramientas_de_medición]],
    COUNTIF(Herrramientas_mecánicas2165109152[Herramientas_mecánicas], B114) &gt; 0, Herrramientas_mecánicas2165109152[[#Headers],[Herramientas_mecánicas]],
    COUNTIF(AH114:AH120, B114) &gt; 0, Herramientas_hidráulicas2266110153[[#Headers],[Herramientas_hidráulicas]],
    COUNTIF(EPP_2367111154[SPCC], B114) &gt; 0, EPP_2367111154[[#Headers],[SPCC]],
   COUNTIF(Herramientas_de_izaje2468112155[Herramientas_de_izaje], B114) &gt; 0, Herramientas_de_izaje2468112155[[#Headers],[Herramientas_de_izaje]],
COUNTIF(Tabla162670114157[Equipos], B114) &gt; 0, Tabla162670114157[[#Headers],[Equipos]],
    TRUE, "Sin clasificación"
)</f>
        <v>Sin clasificación</v>
      </c>
      <c r="F114" s="15"/>
      <c r="G114" s="15"/>
      <c r="H114" s="15"/>
      <c r="I114" s="15"/>
      <c r="J114" s="47"/>
      <c r="L114" s="47"/>
      <c r="M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-SinArea-0000</v>
      </c>
      <c r="O114" s="15"/>
      <c r="Q114" s="48"/>
    </row>
    <row r="115" spans="3:17" x14ac:dyDescent="0.3">
      <c r="C115" s="11"/>
      <c r="E115" s="11" t="str" cm="1">
        <f t="array" ref="E115">_xlfn.IFS(
    COUNTIF(Herramientas_eléctricas1862106149[Herramientas_eléctricas], B115) &gt; 0, Herramientas_eléctricas1862106149[[#Headers],[Herramientas_eléctricas]],
    COUNTIF(Herramientas_neumáticas1963107150[Herramientas_neumáticas], B115) &gt; 0, Herramientas_neumáticas1963107150[[#Headers],[Herramientas_neumáticas]],
    COUNTIF(Herramientas_de_medición2064108151[Herramientas_de_medición], B115) &gt; 0, Herramientas_de_medición2064108151[[#Headers],[Herramientas_de_medición]],
    COUNTIF(Herrramientas_mecánicas2165109152[Herramientas_mecánicas], B115) &gt; 0, Herrramientas_mecánicas2165109152[[#Headers],[Herramientas_mecánicas]],
    COUNTIF(AH115:AH121, B115) &gt; 0, Herramientas_hidráulicas2266110153[[#Headers],[Herramientas_hidráulicas]],
    COUNTIF(EPP_2367111154[SPCC], B115) &gt; 0, EPP_2367111154[[#Headers],[SPCC]],
   COUNTIF(Herramientas_de_izaje2468112155[Herramientas_de_izaje], B115) &gt; 0, Herramientas_de_izaje2468112155[[#Headers],[Herramientas_de_izaje]],
COUNTIF(Tabla162670114157[Equipos], B115) &gt; 0, Tabla162670114157[[#Headers],[Equipos]],
    TRUE, "Sin clasificación"
)</f>
        <v>Sin clasificación</v>
      </c>
      <c r="F115" s="15"/>
      <c r="G115" s="15"/>
      <c r="H115" s="15"/>
      <c r="I115" s="15"/>
      <c r="J115" s="47"/>
      <c r="L115" s="47"/>
      <c r="M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-SinArea-0000</v>
      </c>
      <c r="O115" s="15"/>
      <c r="Q115" s="48"/>
    </row>
    <row r="116" spans="3:17" x14ac:dyDescent="0.3">
      <c r="C116" s="11"/>
      <c r="E116" s="11" t="str" cm="1">
        <f t="array" ref="E116">_xlfn.IFS(
    COUNTIF(Herramientas_eléctricas1862106149[Herramientas_eléctricas], B116) &gt; 0, Herramientas_eléctricas1862106149[[#Headers],[Herramientas_eléctricas]],
    COUNTIF(Herramientas_neumáticas1963107150[Herramientas_neumáticas], B116) &gt; 0, Herramientas_neumáticas1963107150[[#Headers],[Herramientas_neumáticas]],
    COUNTIF(Herramientas_de_medición2064108151[Herramientas_de_medición], B116) &gt; 0, Herramientas_de_medición2064108151[[#Headers],[Herramientas_de_medición]],
    COUNTIF(Herrramientas_mecánicas2165109152[Herramientas_mecánicas], B116) &gt; 0, Herrramientas_mecánicas2165109152[[#Headers],[Herramientas_mecánicas]],
    COUNTIF(AH116:AH122, B116) &gt; 0, Herramientas_hidráulicas2266110153[[#Headers],[Herramientas_hidráulicas]],
    COUNTIF(EPP_2367111154[SPCC], B116) &gt; 0, EPP_2367111154[[#Headers],[SPCC]],
   COUNTIF(Herramientas_de_izaje2468112155[Herramientas_de_izaje], B116) &gt; 0, Herramientas_de_izaje2468112155[[#Headers],[Herramientas_de_izaje]],
COUNTIF(Tabla162670114157[Equipos], B116) &gt; 0, Tabla162670114157[[#Headers],[Equipos]],
    TRUE, "Sin clasificación"
)</f>
        <v>Sin clasificación</v>
      </c>
      <c r="F116" s="15"/>
      <c r="G116" s="15"/>
      <c r="H116" s="15"/>
      <c r="I116" s="15"/>
      <c r="J116" s="47"/>
      <c r="L116" s="47"/>
      <c r="M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-SinArea-0000</v>
      </c>
      <c r="O116" s="15"/>
      <c r="Q116" s="48"/>
    </row>
    <row r="117" spans="3:17" x14ac:dyDescent="0.3">
      <c r="C117" s="11"/>
      <c r="E117" s="11" t="str" cm="1">
        <f t="array" ref="E117">_xlfn.IFS(
    COUNTIF(Herramientas_eléctricas1862106149[Herramientas_eléctricas], B117) &gt; 0, Herramientas_eléctricas1862106149[[#Headers],[Herramientas_eléctricas]],
    COUNTIF(Herramientas_neumáticas1963107150[Herramientas_neumáticas], B117) &gt; 0, Herramientas_neumáticas1963107150[[#Headers],[Herramientas_neumáticas]],
    COUNTIF(Herramientas_de_medición2064108151[Herramientas_de_medición], B117) &gt; 0, Herramientas_de_medición2064108151[[#Headers],[Herramientas_de_medición]],
    COUNTIF(Herrramientas_mecánicas2165109152[Herramientas_mecánicas], B117) &gt; 0, Herrramientas_mecánicas2165109152[[#Headers],[Herramientas_mecánicas]],
    COUNTIF(AH117:AH123, B117) &gt; 0, Herramientas_hidráulicas2266110153[[#Headers],[Herramientas_hidráulicas]],
    COUNTIF(EPP_2367111154[SPCC], B117) &gt; 0, EPP_2367111154[[#Headers],[SPCC]],
   COUNTIF(Herramientas_de_izaje2468112155[Herramientas_de_izaje], B117) &gt; 0, Herramientas_de_izaje2468112155[[#Headers],[Herramientas_de_izaje]],
COUNTIF(Tabla162670114157[Equipos], B117) &gt; 0, Tabla162670114157[[#Headers],[Equipos]],
    TRUE, "Sin clasificación"
)</f>
        <v>Sin clasificación</v>
      </c>
      <c r="F117" s="15"/>
      <c r="G117" s="15"/>
      <c r="H117" s="15"/>
      <c r="I117" s="15"/>
      <c r="J117" s="47"/>
      <c r="L117" s="47"/>
      <c r="M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-SinArea-0000</v>
      </c>
      <c r="O117" s="15"/>
      <c r="Q117" s="48"/>
    </row>
    <row r="118" spans="3:17" x14ac:dyDescent="0.3">
      <c r="C118" s="11"/>
      <c r="E118" s="11" t="str" cm="1">
        <f t="array" ref="E118">_xlfn.IFS(
    COUNTIF(Herramientas_eléctricas1862106149[Herramientas_eléctricas], B118) &gt; 0, Herramientas_eléctricas1862106149[[#Headers],[Herramientas_eléctricas]],
    COUNTIF(Herramientas_neumáticas1963107150[Herramientas_neumáticas], B118) &gt; 0, Herramientas_neumáticas1963107150[[#Headers],[Herramientas_neumáticas]],
    COUNTIF(Herramientas_de_medición2064108151[Herramientas_de_medición], B118) &gt; 0, Herramientas_de_medición2064108151[[#Headers],[Herramientas_de_medición]],
    COUNTIF(Herrramientas_mecánicas2165109152[Herramientas_mecánicas], B118) &gt; 0, Herrramientas_mecánicas2165109152[[#Headers],[Herramientas_mecánicas]],
    COUNTIF(AH118:AH124, B118) &gt; 0, Herramientas_hidráulicas2266110153[[#Headers],[Herramientas_hidráulicas]],
    COUNTIF(EPP_2367111154[SPCC], B118) &gt; 0, EPP_2367111154[[#Headers],[SPCC]],
   COUNTIF(Herramientas_de_izaje2468112155[Herramientas_de_izaje], B118) &gt; 0, Herramientas_de_izaje2468112155[[#Headers],[Herramientas_de_izaje]],
COUNTIF(Tabla162670114157[Equipos], B118) &gt; 0, Tabla162670114157[[#Headers],[Equipos]],
    TRUE, "Sin clasificación"
)</f>
        <v>Sin clasificación</v>
      </c>
      <c r="F118" s="15"/>
      <c r="G118" s="15"/>
      <c r="H118" s="15"/>
      <c r="I118" s="15"/>
      <c r="J118" s="47"/>
      <c r="L118" s="47"/>
      <c r="M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-SinArea-0000</v>
      </c>
      <c r="O118" s="15"/>
      <c r="Q118" s="48"/>
    </row>
    <row r="119" spans="3:17" x14ac:dyDescent="0.3">
      <c r="C119" s="11"/>
      <c r="E119" s="11" t="str" cm="1">
        <f t="array" ref="E119">_xlfn.IFS(
    COUNTIF(Herramientas_eléctricas1862106149[Herramientas_eléctricas], B119) &gt; 0, Herramientas_eléctricas1862106149[[#Headers],[Herramientas_eléctricas]],
    COUNTIF(Herramientas_neumáticas1963107150[Herramientas_neumáticas], B119) &gt; 0, Herramientas_neumáticas1963107150[[#Headers],[Herramientas_neumáticas]],
    COUNTIF(Herramientas_de_medición2064108151[Herramientas_de_medición], B119) &gt; 0, Herramientas_de_medición2064108151[[#Headers],[Herramientas_de_medición]],
    COUNTIF(Herrramientas_mecánicas2165109152[Herramientas_mecánicas], B119) &gt; 0, Herrramientas_mecánicas2165109152[[#Headers],[Herramientas_mecánicas]],
    COUNTIF(AH119:AH125, B119) &gt; 0, Herramientas_hidráulicas2266110153[[#Headers],[Herramientas_hidráulicas]],
    COUNTIF(EPP_2367111154[SPCC], B119) &gt; 0, EPP_2367111154[[#Headers],[SPCC]],
   COUNTIF(Herramientas_de_izaje2468112155[Herramientas_de_izaje], B119) &gt; 0, Herramientas_de_izaje2468112155[[#Headers],[Herramientas_de_izaje]],
COUNTIF(Tabla162670114157[Equipos], B119) &gt; 0, Tabla162670114157[[#Headers],[Equipos]],
    TRUE, "Sin clasificación"
)</f>
        <v>Sin clasificación</v>
      </c>
      <c r="F119" s="15"/>
      <c r="G119" s="15"/>
      <c r="H119" s="15"/>
      <c r="I119" s="15"/>
      <c r="J119" s="47"/>
      <c r="L119" s="47"/>
      <c r="M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-SinArea-0000</v>
      </c>
      <c r="O119" s="15"/>
      <c r="Q119" s="48"/>
    </row>
    <row r="120" spans="3:17" x14ac:dyDescent="0.3">
      <c r="C120" s="11"/>
      <c r="E120" s="11" t="str" cm="1">
        <f t="array" ref="E120">_xlfn.IFS(
    COUNTIF(Herramientas_eléctricas1862106149[Herramientas_eléctricas], B120) &gt; 0, Herramientas_eléctricas1862106149[[#Headers],[Herramientas_eléctricas]],
    COUNTIF(Herramientas_neumáticas1963107150[Herramientas_neumáticas], B120) &gt; 0, Herramientas_neumáticas1963107150[[#Headers],[Herramientas_neumáticas]],
    COUNTIF(Herramientas_de_medición2064108151[Herramientas_de_medición], B120) &gt; 0, Herramientas_de_medición2064108151[[#Headers],[Herramientas_de_medición]],
    COUNTIF(Herrramientas_mecánicas2165109152[Herramientas_mecánicas], B120) &gt; 0, Herrramientas_mecánicas2165109152[[#Headers],[Herramientas_mecánicas]],
    COUNTIF(AH120:AH126, B120) &gt; 0, Herramientas_hidráulicas2266110153[[#Headers],[Herramientas_hidráulicas]],
    COUNTIF(EPP_2367111154[SPCC], B120) &gt; 0, EPP_2367111154[[#Headers],[SPCC]],
   COUNTIF(Herramientas_de_izaje2468112155[Herramientas_de_izaje], B120) &gt; 0, Herramientas_de_izaje2468112155[[#Headers],[Herramientas_de_izaje]],
COUNTIF(Tabla162670114157[Equipos], B120) &gt; 0, Tabla162670114157[[#Headers],[Equipos]],
    TRUE, "Sin clasificación"
)</f>
        <v>Sin clasificación</v>
      </c>
      <c r="F120" s="15"/>
      <c r="G120" s="15"/>
      <c r="H120" s="15"/>
      <c r="I120" s="15"/>
      <c r="J120" s="47"/>
      <c r="L120" s="47"/>
      <c r="M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-SinArea-0000</v>
      </c>
      <c r="O120" s="15"/>
      <c r="Q120" s="48"/>
    </row>
    <row r="121" spans="3:17" x14ac:dyDescent="0.3">
      <c r="C121" s="11"/>
      <c r="E121" s="11" t="str" cm="1">
        <f t="array" ref="E121">_xlfn.IFS(
    COUNTIF(Herramientas_eléctricas1862106149[Herramientas_eléctricas], B121) &gt; 0, Herramientas_eléctricas1862106149[[#Headers],[Herramientas_eléctricas]],
    COUNTIF(Herramientas_neumáticas1963107150[Herramientas_neumáticas], B121) &gt; 0, Herramientas_neumáticas1963107150[[#Headers],[Herramientas_neumáticas]],
    COUNTIF(Herramientas_de_medición2064108151[Herramientas_de_medición], B121) &gt; 0, Herramientas_de_medición2064108151[[#Headers],[Herramientas_de_medición]],
    COUNTIF(Herrramientas_mecánicas2165109152[Herramientas_mecánicas], B121) &gt; 0, Herrramientas_mecánicas2165109152[[#Headers],[Herramientas_mecánicas]],
    COUNTIF(AH121:AH127, B121) &gt; 0, Herramientas_hidráulicas2266110153[[#Headers],[Herramientas_hidráulicas]],
    COUNTIF(EPP_2367111154[SPCC], B121) &gt; 0, EPP_2367111154[[#Headers],[SPCC]],
   COUNTIF(Herramientas_de_izaje2468112155[Herramientas_de_izaje], B121) &gt; 0, Herramientas_de_izaje2468112155[[#Headers],[Herramientas_de_izaje]],
COUNTIF(Tabla162670114157[Equipos], B121) &gt; 0, Tabla162670114157[[#Headers],[Equipos]],
    TRUE, "Sin clasificación"
)</f>
        <v>Sin clasificación</v>
      </c>
      <c r="F121" s="15"/>
      <c r="G121" s="15"/>
      <c r="H121" s="15"/>
      <c r="I121" s="15"/>
      <c r="J121" s="47"/>
      <c r="L121" s="47"/>
      <c r="M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-SinArea-0000</v>
      </c>
      <c r="O121" s="15"/>
      <c r="Q121" s="48"/>
    </row>
    <row r="122" spans="3:17" x14ac:dyDescent="0.3">
      <c r="C122" s="11"/>
      <c r="E122" s="11" t="str" cm="1">
        <f t="array" ref="E122">_xlfn.IFS(
    COUNTIF(Herramientas_eléctricas1862106149[Herramientas_eléctricas], B122) &gt; 0, Herramientas_eléctricas1862106149[[#Headers],[Herramientas_eléctricas]],
    COUNTIF(Herramientas_neumáticas1963107150[Herramientas_neumáticas], B122) &gt; 0, Herramientas_neumáticas1963107150[[#Headers],[Herramientas_neumáticas]],
    COUNTIF(Herramientas_de_medición2064108151[Herramientas_de_medición], B122) &gt; 0, Herramientas_de_medición2064108151[[#Headers],[Herramientas_de_medición]],
    COUNTIF(Herrramientas_mecánicas2165109152[Herramientas_mecánicas], B122) &gt; 0, Herrramientas_mecánicas2165109152[[#Headers],[Herramientas_mecánicas]],
    COUNTIF(AH122:AH128, B122) &gt; 0, Herramientas_hidráulicas2266110153[[#Headers],[Herramientas_hidráulicas]],
    COUNTIF(EPP_2367111154[SPCC], B122) &gt; 0, EPP_2367111154[[#Headers],[SPCC]],
   COUNTIF(Herramientas_de_izaje2468112155[Herramientas_de_izaje], B122) &gt; 0, Herramientas_de_izaje2468112155[[#Headers],[Herramientas_de_izaje]],
COUNTIF(Tabla162670114157[Equipos], B122) &gt; 0, Tabla162670114157[[#Headers],[Equipos]],
    TRUE, "Sin clasificación"
)</f>
        <v>Sin clasificación</v>
      </c>
      <c r="F122" s="15"/>
      <c r="G122" s="15"/>
      <c r="H122" s="15"/>
      <c r="I122" s="15"/>
      <c r="J122" s="47"/>
      <c r="L122" s="47"/>
      <c r="M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-SinArea-0000</v>
      </c>
      <c r="O122" s="15"/>
      <c r="Q122" s="48"/>
    </row>
    <row r="123" spans="3:17" x14ac:dyDescent="0.3">
      <c r="C123" s="11"/>
      <c r="E123" s="11" t="str" cm="1">
        <f t="array" ref="E123">_xlfn.IFS(
    COUNTIF(Herramientas_eléctricas1862106149[Herramientas_eléctricas], B123) &gt; 0, Herramientas_eléctricas1862106149[[#Headers],[Herramientas_eléctricas]],
    COUNTIF(Herramientas_neumáticas1963107150[Herramientas_neumáticas], B123) &gt; 0, Herramientas_neumáticas1963107150[[#Headers],[Herramientas_neumáticas]],
    COUNTIF(Herramientas_de_medición2064108151[Herramientas_de_medición], B123) &gt; 0, Herramientas_de_medición2064108151[[#Headers],[Herramientas_de_medición]],
    COUNTIF(Herrramientas_mecánicas2165109152[Herramientas_mecánicas], B123) &gt; 0, Herrramientas_mecánicas2165109152[[#Headers],[Herramientas_mecánicas]],
    COUNTIF(AH123:AH129, B123) &gt; 0, Herramientas_hidráulicas2266110153[[#Headers],[Herramientas_hidráulicas]],
    COUNTIF(EPP_2367111154[SPCC], B123) &gt; 0, EPP_2367111154[[#Headers],[SPCC]],
   COUNTIF(Herramientas_de_izaje2468112155[Herramientas_de_izaje], B123) &gt; 0, Herramientas_de_izaje2468112155[[#Headers],[Herramientas_de_izaje]],
COUNTIF(Tabla162670114157[Equipos], B123) &gt; 0, Tabla162670114157[[#Headers],[Equipos]],
    TRUE, "Sin clasificación"
)</f>
        <v>Sin clasificación</v>
      </c>
      <c r="F123" s="15"/>
      <c r="G123" s="15"/>
      <c r="H123" s="15"/>
      <c r="I123" s="15"/>
      <c r="J123" s="47"/>
      <c r="L123" s="47"/>
      <c r="M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-SinArea-0000</v>
      </c>
      <c r="O123" s="15"/>
      <c r="Q123" s="48"/>
    </row>
    <row r="124" spans="3:17" x14ac:dyDescent="0.3">
      <c r="C124" s="11"/>
      <c r="E124" s="11" t="str" cm="1">
        <f t="array" ref="E124">_xlfn.IFS(
    COUNTIF(Herramientas_eléctricas1862106149[Herramientas_eléctricas], B124) &gt; 0, Herramientas_eléctricas1862106149[[#Headers],[Herramientas_eléctricas]],
    COUNTIF(Herramientas_neumáticas1963107150[Herramientas_neumáticas], B124) &gt; 0, Herramientas_neumáticas1963107150[[#Headers],[Herramientas_neumáticas]],
    COUNTIF(Herramientas_de_medición2064108151[Herramientas_de_medición], B124) &gt; 0, Herramientas_de_medición2064108151[[#Headers],[Herramientas_de_medición]],
    COUNTIF(Herrramientas_mecánicas2165109152[Herramientas_mecánicas], B124) &gt; 0, Herrramientas_mecánicas2165109152[[#Headers],[Herramientas_mecánicas]],
    COUNTIF(AH124:AH130, B124) &gt; 0, Herramientas_hidráulicas2266110153[[#Headers],[Herramientas_hidráulicas]],
    COUNTIF(EPP_2367111154[SPCC], B124) &gt; 0, EPP_2367111154[[#Headers],[SPCC]],
   COUNTIF(Herramientas_de_izaje2468112155[Herramientas_de_izaje], B124) &gt; 0, Herramientas_de_izaje2468112155[[#Headers],[Herramientas_de_izaje]],
COUNTIF(Tabla162670114157[Equipos], B124) &gt; 0, Tabla162670114157[[#Headers],[Equipos]],
    TRUE, "Sin clasificación"
)</f>
        <v>Sin clasificación</v>
      </c>
      <c r="F124" s="15"/>
      <c r="G124" s="15"/>
      <c r="H124" s="15"/>
      <c r="I124" s="15"/>
      <c r="J124" s="47"/>
      <c r="L124" s="47"/>
      <c r="M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-SinArea-0000</v>
      </c>
      <c r="O124" s="15"/>
      <c r="Q124" s="48"/>
    </row>
    <row r="125" spans="3:17" x14ac:dyDescent="0.3">
      <c r="C125" s="11"/>
      <c r="E125" s="11" t="str" cm="1">
        <f t="array" ref="E125">_xlfn.IFS(
    COUNTIF(Herramientas_eléctricas1862106149[Herramientas_eléctricas], B125) &gt; 0, Herramientas_eléctricas1862106149[[#Headers],[Herramientas_eléctricas]],
    COUNTIF(Herramientas_neumáticas1963107150[Herramientas_neumáticas], B125) &gt; 0, Herramientas_neumáticas1963107150[[#Headers],[Herramientas_neumáticas]],
    COUNTIF(Herramientas_de_medición2064108151[Herramientas_de_medición], B125) &gt; 0, Herramientas_de_medición2064108151[[#Headers],[Herramientas_de_medición]],
    COUNTIF(Herrramientas_mecánicas2165109152[Herramientas_mecánicas], B125) &gt; 0, Herrramientas_mecánicas2165109152[[#Headers],[Herramientas_mecánicas]],
    COUNTIF(AH125:AH131, B125) &gt; 0, Herramientas_hidráulicas2266110153[[#Headers],[Herramientas_hidráulicas]],
    COUNTIF(EPP_2367111154[SPCC], B125) &gt; 0, EPP_2367111154[[#Headers],[SPCC]],
   COUNTIF(Herramientas_de_izaje2468112155[Herramientas_de_izaje], B125) &gt; 0, Herramientas_de_izaje2468112155[[#Headers],[Herramientas_de_izaje]],
COUNTIF(Tabla162670114157[Equipos], B125) &gt; 0, Tabla162670114157[[#Headers],[Equipos]],
    TRUE, "Sin clasificación"
)</f>
        <v>Sin clasificación</v>
      </c>
      <c r="F125" s="15"/>
      <c r="G125" s="15"/>
      <c r="H125" s="15"/>
      <c r="I125" s="15"/>
      <c r="J125" s="47"/>
      <c r="L125" s="47"/>
      <c r="M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-SinArea-0000</v>
      </c>
      <c r="O125" s="15"/>
      <c r="Q125" s="48"/>
    </row>
    <row r="126" spans="3:17" x14ac:dyDescent="0.3">
      <c r="C126" s="11"/>
      <c r="E126" s="11" t="str" cm="1">
        <f t="array" ref="E126">_xlfn.IFS(
    COUNTIF(Herramientas_eléctricas1862106149[Herramientas_eléctricas], B126) &gt; 0, Herramientas_eléctricas1862106149[[#Headers],[Herramientas_eléctricas]],
    COUNTIF(Herramientas_neumáticas1963107150[Herramientas_neumáticas], B126) &gt; 0, Herramientas_neumáticas1963107150[[#Headers],[Herramientas_neumáticas]],
    COUNTIF(Herramientas_de_medición2064108151[Herramientas_de_medición], B126) &gt; 0, Herramientas_de_medición2064108151[[#Headers],[Herramientas_de_medición]],
    COUNTIF(Herrramientas_mecánicas2165109152[Herramientas_mecánicas], B126) &gt; 0, Herrramientas_mecánicas2165109152[[#Headers],[Herramientas_mecánicas]],
    COUNTIF(AH126:AH132, B126) &gt; 0, Herramientas_hidráulicas2266110153[[#Headers],[Herramientas_hidráulicas]],
    COUNTIF(EPP_2367111154[SPCC], B126) &gt; 0, EPP_2367111154[[#Headers],[SPCC]],
   COUNTIF(Herramientas_de_izaje2468112155[Herramientas_de_izaje], B126) &gt; 0, Herramientas_de_izaje2468112155[[#Headers],[Herramientas_de_izaje]],
COUNTIF(Tabla162670114157[Equipos], B126) &gt; 0, Tabla162670114157[[#Headers],[Equipos]],
    TRUE, "Sin clasificación"
)</f>
        <v>Sin clasificación</v>
      </c>
      <c r="F126" s="15"/>
      <c r="G126" s="15"/>
      <c r="H126" s="15"/>
      <c r="I126" s="15"/>
      <c r="J126" s="47"/>
      <c r="L126" s="47"/>
      <c r="M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-SinArea-0000</v>
      </c>
      <c r="O126" s="15"/>
      <c r="Q126" s="48"/>
    </row>
    <row r="127" spans="3:17" x14ac:dyDescent="0.3">
      <c r="C127" s="11"/>
      <c r="E127" s="11" t="str" cm="1">
        <f t="array" ref="E127">_xlfn.IFS(
    COUNTIF(Herramientas_eléctricas1862106149[Herramientas_eléctricas], B127) &gt; 0, Herramientas_eléctricas1862106149[[#Headers],[Herramientas_eléctricas]],
    COUNTIF(Herramientas_neumáticas1963107150[Herramientas_neumáticas], B127) &gt; 0, Herramientas_neumáticas1963107150[[#Headers],[Herramientas_neumáticas]],
    COUNTIF(Herramientas_de_medición2064108151[Herramientas_de_medición], B127) &gt; 0, Herramientas_de_medición2064108151[[#Headers],[Herramientas_de_medición]],
    COUNTIF(Herrramientas_mecánicas2165109152[Herramientas_mecánicas], B127) &gt; 0, Herrramientas_mecánicas2165109152[[#Headers],[Herramientas_mecánicas]],
    COUNTIF(AH127:AH133, B127) &gt; 0, Herramientas_hidráulicas2266110153[[#Headers],[Herramientas_hidráulicas]],
    COUNTIF(EPP_2367111154[SPCC], B127) &gt; 0, EPP_2367111154[[#Headers],[SPCC]],
   COUNTIF(Herramientas_de_izaje2468112155[Herramientas_de_izaje], B127) &gt; 0, Herramientas_de_izaje2468112155[[#Headers],[Herramientas_de_izaje]],
COUNTIF(Tabla162670114157[Equipos], B127) &gt; 0, Tabla162670114157[[#Headers],[Equipos]],
    TRUE, "Sin clasificación"
)</f>
        <v>Sin clasificación</v>
      </c>
      <c r="F127" s="15"/>
      <c r="G127" s="15"/>
      <c r="H127" s="15"/>
      <c r="I127" s="15"/>
      <c r="J127" s="47"/>
      <c r="L127" s="47"/>
      <c r="M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-SinArea-0000</v>
      </c>
      <c r="O127" s="15"/>
      <c r="Q127" s="48"/>
    </row>
    <row r="128" spans="3:17" x14ac:dyDescent="0.3">
      <c r="C128" s="11"/>
      <c r="E128" s="11" t="str" cm="1">
        <f t="array" ref="E128">_xlfn.IFS(
    COUNTIF(Herramientas_eléctricas1862106149[Herramientas_eléctricas], B128) &gt; 0, Herramientas_eléctricas1862106149[[#Headers],[Herramientas_eléctricas]],
    COUNTIF(Herramientas_neumáticas1963107150[Herramientas_neumáticas], B128) &gt; 0, Herramientas_neumáticas1963107150[[#Headers],[Herramientas_neumáticas]],
    COUNTIF(Herramientas_de_medición2064108151[Herramientas_de_medición], B128) &gt; 0, Herramientas_de_medición2064108151[[#Headers],[Herramientas_de_medición]],
    COUNTIF(Herrramientas_mecánicas2165109152[Herramientas_mecánicas], B128) &gt; 0, Herrramientas_mecánicas2165109152[[#Headers],[Herramientas_mecánicas]],
    COUNTIF(AH128:AH134, B128) &gt; 0, Herramientas_hidráulicas2266110153[[#Headers],[Herramientas_hidráulicas]],
    COUNTIF(EPP_2367111154[SPCC], B128) &gt; 0, EPP_2367111154[[#Headers],[SPCC]],
   COUNTIF(Herramientas_de_izaje2468112155[Herramientas_de_izaje], B128) &gt; 0, Herramientas_de_izaje2468112155[[#Headers],[Herramientas_de_izaje]],
COUNTIF(Tabla162670114157[Equipos], B128) &gt; 0, Tabla162670114157[[#Headers],[Equipos]],
    TRUE, "Sin clasificación"
)</f>
        <v>Sin clasificación</v>
      </c>
      <c r="F128" s="15"/>
      <c r="G128" s="15"/>
      <c r="H128" s="15"/>
      <c r="I128" s="15"/>
      <c r="J128" s="47"/>
      <c r="L128" s="47"/>
      <c r="M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-SinArea-0000</v>
      </c>
      <c r="O128" s="15"/>
      <c r="Q128" s="48"/>
    </row>
    <row r="129" spans="3:18" x14ac:dyDescent="0.3">
      <c r="C129" s="11"/>
      <c r="E129" s="11" t="str" cm="1">
        <f t="array" ref="E129">_xlfn.IFS(
    COUNTIF(Herramientas_eléctricas1862106149[Herramientas_eléctricas], B129) &gt; 0, Herramientas_eléctricas1862106149[[#Headers],[Herramientas_eléctricas]],
    COUNTIF(Herramientas_neumáticas1963107150[Herramientas_neumáticas], B129) &gt; 0, Herramientas_neumáticas1963107150[[#Headers],[Herramientas_neumáticas]],
    COUNTIF(Herramientas_de_medición2064108151[Herramientas_de_medición], B129) &gt; 0, Herramientas_de_medición2064108151[[#Headers],[Herramientas_de_medición]],
    COUNTIF(Herrramientas_mecánicas2165109152[Herramientas_mecánicas], B129) &gt; 0, Herrramientas_mecánicas2165109152[[#Headers],[Herramientas_mecánicas]],
    COUNTIF(AH129:AH135, B129) &gt; 0, Herramientas_hidráulicas2266110153[[#Headers],[Herramientas_hidráulicas]],
    COUNTIF(EPP_2367111154[SPCC], B129) &gt; 0, EPP_2367111154[[#Headers],[SPCC]],
   COUNTIF(Herramientas_de_izaje2468112155[Herramientas_de_izaje], B129) &gt; 0, Herramientas_de_izaje2468112155[[#Headers],[Herramientas_de_izaje]],
COUNTIF(Tabla162670114157[Equipos], B129) &gt; 0, Tabla162670114157[[#Headers],[Equipos]],
    TRUE, "Sin clasificación"
)</f>
        <v>Sin clasificación</v>
      </c>
      <c r="F129" s="15"/>
      <c r="G129" s="15"/>
      <c r="H129" s="15"/>
      <c r="I129" s="15"/>
      <c r="J129" s="47"/>
      <c r="L129" s="47"/>
      <c r="M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-SinArea-0000</v>
      </c>
      <c r="O129" s="15"/>
      <c r="Q129" s="48"/>
    </row>
    <row r="130" spans="3:18" x14ac:dyDescent="0.3">
      <c r="C130" s="11"/>
      <c r="E130" s="11" t="str" cm="1">
        <f t="array" ref="E130">_xlfn.IFS(
    COUNTIF(Herramientas_eléctricas1862106149[Herramientas_eléctricas], B130) &gt; 0, Herramientas_eléctricas1862106149[[#Headers],[Herramientas_eléctricas]],
    COUNTIF(Herramientas_neumáticas1963107150[Herramientas_neumáticas], B130) &gt; 0, Herramientas_neumáticas1963107150[[#Headers],[Herramientas_neumáticas]],
    COUNTIF(Herramientas_de_medición2064108151[Herramientas_de_medición], B130) &gt; 0, Herramientas_de_medición2064108151[[#Headers],[Herramientas_de_medición]],
    COUNTIF(Herrramientas_mecánicas2165109152[Herramientas_mecánicas], B130) &gt; 0, Herrramientas_mecánicas2165109152[[#Headers],[Herramientas_mecánicas]],
    COUNTIF(AH130:AH136, B130) &gt; 0, Herramientas_hidráulicas2266110153[[#Headers],[Herramientas_hidráulicas]],
    COUNTIF(EPP_2367111154[SPCC], B130) &gt; 0, EPP_2367111154[[#Headers],[SPCC]],
   COUNTIF(Herramientas_de_izaje2468112155[Herramientas_de_izaje], B130) &gt; 0, Herramientas_de_izaje2468112155[[#Headers],[Herramientas_de_izaje]],
COUNTIF(Tabla162670114157[Equipos], B130) &gt; 0, Tabla162670114157[[#Headers],[Equipos]],
    TRUE, "Sin clasificación"
)</f>
        <v>Sin clasificación</v>
      </c>
      <c r="F130" s="15"/>
      <c r="G130" s="15"/>
      <c r="H130" s="15"/>
      <c r="I130" s="15"/>
      <c r="J130" s="47"/>
      <c r="L130" s="47"/>
      <c r="M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-SinArea-0000</v>
      </c>
      <c r="O130" s="15"/>
      <c r="Q130" s="48"/>
    </row>
    <row r="131" spans="3:18" x14ac:dyDescent="0.3">
      <c r="C131" s="11"/>
      <c r="E131" s="11" t="str" cm="1">
        <f t="array" ref="E131">_xlfn.IFS(
    COUNTIF(Herramientas_eléctricas1862106149[Herramientas_eléctricas], B131) &gt; 0, Herramientas_eléctricas1862106149[[#Headers],[Herramientas_eléctricas]],
    COUNTIF(Herramientas_neumáticas1963107150[Herramientas_neumáticas], B131) &gt; 0, Herramientas_neumáticas1963107150[[#Headers],[Herramientas_neumáticas]],
    COUNTIF(Herramientas_de_medición2064108151[Herramientas_de_medición], B131) &gt; 0, Herramientas_de_medición2064108151[[#Headers],[Herramientas_de_medición]],
    COUNTIF(Herrramientas_mecánicas2165109152[Herramientas_mecánicas], B131) &gt; 0, Herrramientas_mecánicas2165109152[[#Headers],[Herramientas_mecánicas]],
    COUNTIF(AH131:AH137, B131) &gt; 0, Herramientas_hidráulicas2266110153[[#Headers],[Herramientas_hidráulicas]],
    COUNTIF(EPP_2367111154[SPCC], B131) &gt; 0, EPP_2367111154[[#Headers],[SPCC]],
   COUNTIF(Herramientas_de_izaje2468112155[Herramientas_de_izaje], B131) &gt; 0, Herramientas_de_izaje2468112155[[#Headers],[Herramientas_de_izaje]],
COUNTIF(Tabla162670114157[Equipos], B131) &gt; 0, Tabla162670114157[[#Headers],[Equipos]],
    TRUE, "Sin clasificación"
)</f>
        <v>Sin clasificación</v>
      </c>
      <c r="F131" s="15"/>
      <c r="G131" s="15"/>
      <c r="H131" s="15"/>
      <c r="I131" s="15"/>
      <c r="J131" s="47"/>
      <c r="L131" s="47"/>
      <c r="M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-SinArea-0000</v>
      </c>
      <c r="O131" s="15"/>
      <c r="Q131" s="48"/>
    </row>
    <row r="132" spans="3:18" x14ac:dyDescent="0.3">
      <c r="C132" s="11"/>
      <c r="E132" s="11" t="str" cm="1">
        <f t="array" ref="E132">_xlfn.IFS(
    COUNTIF(Herramientas_eléctricas1862106149[Herramientas_eléctricas], B132) &gt; 0, Herramientas_eléctricas1862106149[[#Headers],[Herramientas_eléctricas]],
    COUNTIF(Herramientas_neumáticas1963107150[Herramientas_neumáticas], B132) &gt; 0, Herramientas_neumáticas1963107150[[#Headers],[Herramientas_neumáticas]],
    COUNTIF(Herramientas_de_medición2064108151[Herramientas_de_medición], B132) &gt; 0, Herramientas_de_medición2064108151[[#Headers],[Herramientas_de_medición]],
    COUNTIF(Herrramientas_mecánicas2165109152[Herramientas_mecánicas], B132) &gt; 0, Herrramientas_mecánicas2165109152[[#Headers],[Herramientas_mecánicas]],
    COUNTIF(AH132:AH138, B132) &gt; 0, Herramientas_hidráulicas2266110153[[#Headers],[Herramientas_hidráulicas]],
    COUNTIF(EPP_2367111154[SPCC], B132) &gt; 0, EPP_2367111154[[#Headers],[SPCC]],
   COUNTIF(Herramientas_de_izaje2468112155[Herramientas_de_izaje], B132) &gt; 0, Herramientas_de_izaje2468112155[[#Headers],[Herramientas_de_izaje]],
COUNTIF(Tabla162670114157[Equipos], B132) &gt; 0, Tabla162670114157[[#Headers],[Equipos]],
    TRUE, "Sin clasificación"
)</f>
        <v>Sin clasificación</v>
      </c>
      <c r="F132" s="15"/>
      <c r="G132" s="15"/>
      <c r="H132" s="15"/>
      <c r="I132" s="15"/>
      <c r="J132" s="47"/>
      <c r="L132" s="47"/>
      <c r="M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-SinArea-0000</v>
      </c>
      <c r="O132" s="15"/>
      <c r="Q132" s="48"/>
    </row>
    <row r="133" spans="3:18" x14ac:dyDescent="0.3">
      <c r="C133" s="11"/>
      <c r="E133" s="11" t="str" cm="1">
        <f t="array" ref="E133">_xlfn.IFS(
    COUNTIF(Herramientas_eléctricas1862106149[Herramientas_eléctricas], B133) &gt; 0, Herramientas_eléctricas1862106149[[#Headers],[Herramientas_eléctricas]],
    COUNTIF(Herramientas_neumáticas1963107150[Herramientas_neumáticas], B133) &gt; 0, Herramientas_neumáticas1963107150[[#Headers],[Herramientas_neumáticas]],
    COUNTIF(Herramientas_de_medición2064108151[Herramientas_de_medición], B133) &gt; 0, Herramientas_de_medición2064108151[[#Headers],[Herramientas_de_medición]],
    COUNTIF(Herrramientas_mecánicas2165109152[Herramientas_mecánicas], B133) &gt; 0, Herrramientas_mecánicas2165109152[[#Headers],[Herramientas_mecánicas]],
    COUNTIF(AH133:AH139, B133) &gt; 0, Herramientas_hidráulicas2266110153[[#Headers],[Herramientas_hidráulicas]],
    COUNTIF(EPP_2367111154[SPCC], B133) &gt; 0, EPP_2367111154[[#Headers],[SPCC]],
   COUNTIF(Herramientas_de_izaje2468112155[Herramientas_de_izaje], B133) &gt; 0, Herramientas_de_izaje2468112155[[#Headers],[Herramientas_de_izaje]],
COUNTIF(Tabla162670114157[Equipos], B133) &gt; 0, Tabla162670114157[[#Headers],[Equipos]],
    TRUE, "Sin clasificación"
)</f>
        <v>Sin clasificación</v>
      </c>
      <c r="F133" s="15"/>
      <c r="G133" s="15"/>
      <c r="H133" s="15"/>
      <c r="I133" s="15"/>
      <c r="J133" s="47"/>
      <c r="L133" s="47"/>
      <c r="M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-SinArea-0000</v>
      </c>
      <c r="O133" s="15"/>
      <c r="Q133" s="48"/>
    </row>
    <row r="134" spans="3:18" x14ac:dyDescent="0.3">
      <c r="C134" s="11"/>
      <c r="E134" s="11" t="str" cm="1">
        <f t="array" ref="E134">_xlfn.IFS(
    COUNTIF(Herramientas_eléctricas1862106149[Herramientas_eléctricas], B134) &gt; 0, Herramientas_eléctricas1862106149[[#Headers],[Herramientas_eléctricas]],
    COUNTIF(Herramientas_neumáticas1963107150[Herramientas_neumáticas], B134) &gt; 0, Herramientas_neumáticas1963107150[[#Headers],[Herramientas_neumáticas]],
    COUNTIF(Herramientas_de_medición2064108151[Herramientas_de_medición], B134) &gt; 0, Herramientas_de_medición2064108151[[#Headers],[Herramientas_de_medición]],
    COUNTIF(Herrramientas_mecánicas2165109152[Herramientas_mecánicas], B134) &gt; 0, Herrramientas_mecánicas2165109152[[#Headers],[Herramientas_mecánicas]],
    COUNTIF(AH134:AH140, B134) &gt; 0, Herramientas_hidráulicas2266110153[[#Headers],[Herramientas_hidráulicas]],
    COUNTIF(EPP_2367111154[SPCC], B134) &gt; 0, EPP_2367111154[[#Headers],[SPCC]],
   COUNTIF(Herramientas_de_izaje2468112155[Herramientas_de_izaje], B134) &gt; 0, Herramientas_de_izaje2468112155[[#Headers],[Herramientas_de_izaje]],
COUNTIF(Tabla162670114157[Equipos], B134) &gt; 0, Tabla162670114157[[#Headers],[Equipos]],
    TRUE, "Sin clasificación"
)</f>
        <v>Sin clasificación</v>
      </c>
      <c r="F134" s="15"/>
      <c r="G134" s="15"/>
      <c r="H134" s="15"/>
      <c r="I134" s="15"/>
      <c r="J134" s="47"/>
      <c r="L134" s="47"/>
      <c r="M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-SinArea-0000</v>
      </c>
      <c r="O134" s="15"/>
      <c r="Q134" s="48"/>
    </row>
    <row r="135" spans="3:18" x14ac:dyDescent="0.3">
      <c r="C135" s="11"/>
      <c r="E135" s="11" t="str" cm="1">
        <f t="array" ref="E135">_xlfn.IFS(
    COUNTIF(Herramientas_eléctricas1862106149[Herramientas_eléctricas], B135) &gt; 0, Herramientas_eléctricas1862106149[[#Headers],[Herramientas_eléctricas]],
    COUNTIF(Herramientas_neumáticas1963107150[Herramientas_neumáticas], B135) &gt; 0, Herramientas_neumáticas1963107150[[#Headers],[Herramientas_neumáticas]],
    COUNTIF(Herramientas_de_medición2064108151[Herramientas_de_medición], B135) &gt; 0, Herramientas_de_medición2064108151[[#Headers],[Herramientas_de_medición]],
    COUNTIF(Herrramientas_mecánicas2165109152[Herramientas_mecánicas], B135) &gt; 0, Herrramientas_mecánicas2165109152[[#Headers],[Herramientas_mecánicas]],
    COUNTIF(AH135:AH141, B135) &gt; 0, Herramientas_hidráulicas2266110153[[#Headers],[Herramientas_hidráulicas]],
    COUNTIF(EPP_2367111154[SPCC], B135) &gt; 0, EPP_2367111154[[#Headers],[SPCC]],
   COUNTIF(Herramientas_de_izaje2468112155[Herramientas_de_izaje], B135) &gt; 0, Herramientas_de_izaje2468112155[[#Headers],[Herramientas_de_izaje]],
COUNTIF(Tabla162670114157[Equipos], B135) &gt; 0, Tabla162670114157[[#Headers],[Equipos]],
    TRUE, "Sin clasificación"
)</f>
        <v>Sin clasificación</v>
      </c>
      <c r="F135" s="15"/>
      <c r="G135" s="15"/>
      <c r="H135" s="15"/>
      <c r="I135" s="15"/>
      <c r="J135" s="47"/>
      <c r="L135" s="47"/>
      <c r="M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-SinArea-0000</v>
      </c>
      <c r="O135" s="15"/>
      <c r="Q135" s="48"/>
    </row>
    <row r="136" spans="3:18" x14ac:dyDescent="0.3">
      <c r="C136" s="11"/>
      <c r="E136" s="11" t="str" cm="1">
        <f t="array" ref="E136">_xlfn.IFS(
    COUNTIF(Herramientas_eléctricas1862106149[Herramientas_eléctricas], B136) &gt; 0, Herramientas_eléctricas1862106149[[#Headers],[Herramientas_eléctricas]],
    COUNTIF(Herramientas_neumáticas1963107150[Herramientas_neumáticas], B136) &gt; 0, Herramientas_neumáticas1963107150[[#Headers],[Herramientas_neumáticas]],
    COUNTIF(Herramientas_de_medición2064108151[Herramientas_de_medición], B136) &gt; 0, Herramientas_de_medición2064108151[[#Headers],[Herramientas_de_medición]],
    COUNTIF(Herrramientas_mecánicas2165109152[Herramientas_mecánicas], B136) &gt; 0, Herrramientas_mecánicas2165109152[[#Headers],[Herramientas_mecánicas]],
    COUNTIF(AH136:AH142, B136) &gt; 0, Herramientas_hidráulicas2266110153[[#Headers],[Herramientas_hidráulicas]],
    COUNTIF(EPP_2367111154[SPCC], B136) &gt; 0, EPP_2367111154[[#Headers],[SPCC]],
   COUNTIF(Herramientas_de_izaje2468112155[Herramientas_de_izaje], B136) &gt; 0, Herramientas_de_izaje2468112155[[#Headers],[Herramientas_de_izaje]],
COUNTIF(Tabla162670114157[Equipos], B136) &gt; 0, Tabla162670114157[[#Headers],[Equipos]],
    TRUE, "Sin clasificación"
)</f>
        <v>Sin clasificación</v>
      </c>
      <c r="F136" s="15"/>
      <c r="G136" s="15"/>
      <c r="H136" s="15"/>
      <c r="I136" s="15"/>
      <c r="J136" s="47"/>
      <c r="L136" s="47"/>
      <c r="M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-SinArea-0000</v>
      </c>
      <c r="O136" s="15"/>
      <c r="Q136" s="48"/>
    </row>
    <row r="137" spans="3:18" x14ac:dyDescent="0.3">
      <c r="C137" s="11"/>
      <c r="E137" s="11" t="str" cm="1">
        <f t="array" ref="E137">_xlfn.IFS(
    COUNTIF(Herramientas_eléctricas1862106149[Herramientas_eléctricas], B137) &gt; 0, Herramientas_eléctricas1862106149[[#Headers],[Herramientas_eléctricas]],
    COUNTIF(Herramientas_neumáticas1963107150[Herramientas_neumáticas], B137) &gt; 0, Herramientas_neumáticas1963107150[[#Headers],[Herramientas_neumáticas]],
    COUNTIF(Herramientas_de_medición2064108151[Herramientas_de_medición], B137) &gt; 0, Herramientas_de_medición2064108151[[#Headers],[Herramientas_de_medición]],
    COUNTIF(Herrramientas_mecánicas2165109152[Herramientas_mecánicas], B137) &gt; 0, Herrramientas_mecánicas2165109152[[#Headers],[Herramientas_mecánicas]],
    COUNTIF(AH137:AH143, B137) &gt; 0, Herramientas_hidráulicas2266110153[[#Headers],[Herramientas_hidráulicas]],
    COUNTIF(EPP_2367111154[SPCC], B137) &gt; 0, EPP_2367111154[[#Headers],[SPCC]],
   COUNTIF(Herramientas_de_izaje2468112155[Herramientas_de_izaje], B137) &gt; 0, Herramientas_de_izaje2468112155[[#Headers],[Herramientas_de_izaje]],
COUNTIF(Tabla162670114157[Equipos], B137) &gt; 0, Tabla162670114157[[#Headers],[Equipos]],
    TRUE, "Sin clasificación"
)</f>
        <v>Sin clasificación</v>
      </c>
      <c r="F137" s="15"/>
      <c r="G137" s="15"/>
      <c r="H137" s="15"/>
      <c r="I137" s="15"/>
      <c r="J137" s="47"/>
      <c r="L137" s="47"/>
      <c r="M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-SinArea-0000</v>
      </c>
      <c r="O137" s="15"/>
      <c r="Q137" s="48"/>
    </row>
    <row r="138" spans="3:18" x14ac:dyDescent="0.3">
      <c r="C138" s="11"/>
      <c r="E138" s="11" t="str" cm="1">
        <f t="array" ref="E138">_xlfn.IFS(
    COUNTIF(Herramientas_eléctricas1862106149[Herramientas_eléctricas], B138) &gt; 0, Herramientas_eléctricas1862106149[[#Headers],[Herramientas_eléctricas]],
    COUNTIF(Herramientas_neumáticas1963107150[Herramientas_neumáticas], B138) &gt; 0, Herramientas_neumáticas1963107150[[#Headers],[Herramientas_neumáticas]],
    COUNTIF(Herramientas_de_medición2064108151[Herramientas_de_medición], B138) &gt; 0, Herramientas_de_medición2064108151[[#Headers],[Herramientas_de_medición]],
    COUNTIF(Herrramientas_mecánicas2165109152[Herramientas_mecánicas], B138) &gt; 0, Herrramientas_mecánicas2165109152[[#Headers],[Herramientas_mecánicas]],
    COUNTIF(AH138:AH144, B138) &gt; 0, Herramientas_hidráulicas2266110153[[#Headers],[Herramientas_hidráulicas]],
    COUNTIF(EPP_2367111154[SPCC], B138) &gt; 0, EPP_2367111154[[#Headers],[SPCC]],
   COUNTIF(Herramientas_de_izaje2468112155[Herramientas_de_izaje], B138) &gt; 0, Herramientas_de_izaje2468112155[[#Headers],[Herramientas_de_izaje]],
COUNTIF(Tabla162670114157[Equipos], B138) &gt; 0, Tabla162670114157[[#Headers],[Equipos]],
    TRUE, "Sin clasificación"
)</f>
        <v>Sin clasificación</v>
      </c>
      <c r="F138" s="15"/>
      <c r="G138" s="15"/>
      <c r="H138" s="15"/>
      <c r="I138" s="15"/>
      <c r="J138" s="47"/>
      <c r="L138" s="47"/>
      <c r="M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-SinArea-0000</v>
      </c>
      <c r="O138" s="15"/>
      <c r="Q138" s="48"/>
    </row>
    <row r="139" spans="3:18" x14ac:dyDescent="0.3">
      <c r="C139" s="11"/>
      <c r="E139" s="11" t="str" cm="1">
        <f t="array" ref="E139">_xlfn.IFS(
    COUNTIF(Herramientas_eléctricas1862106149[Herramientas_eléctricas], B139) &gt; 0, Herramientas_eléctricas1862106149[[#Headers],[Herramientas_eléctricas]],
    COUNTIF(Herramientas_neumáticas1963107150[Herramientas_neumáticas], B139) &gt; 0, Herramientas_neumáticas1963107150[[#Headers],[Herramientas_neumáticas]],
    COUNTIF(Herramientas_de_medición2064108151[Herramientas_de_medición], B139) &gt; 0, Herramientas_de_medición2064108151[[#Headers],[Herramientas_de_medición]],
    COUNTIF(Herrramientas_mecánicas2165109152[Herramientas_mecánicas], B139) &gt; 0, Herrramientas_mecánicas2165109152[[#Headers],[Herramientas_mecánicas]],
    COUNTIF(AH139:AH145, B139) &gt; 0, Herramientas_hidráulicas2266110153[[#Headers],[Herramientas_hidráulicas]],
    COUNTIF(EPP_2367111154[SPCC], B139) &gt; 0, EPP_2367111154[[#Headers],[SPCC]],
   COUNTIF(Herramientas_de_izaje2468112155[Herramientas_de_izaje], B139) &gt; 0, Herramientas_de_izaje2468112155[[#Headers],[Herramientas_de_izaje]],
COUNTIF(Tabla162670114157[Equipos], B139) &gt; 0, Tabla162670114157[[#Headers],[Equipos]],
    TRUE, "Sin clasificación"
)</f>
        <v>Sin clasificación</v>
      </c>
      <c r="F139" s="15"/>
      <c r="G139" s="15"/>
      <c r="H139" s="15"/>
      <c r="I139" s="15"/>
      <c r="J139" s="47"/>
      <c r="L139" s="47"/>
      <c r="M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-SinArea-0000</v>
      </c>
      <c r="O139" s="15"/>
      <c r="Q139" s="48"/>
    </row>
    <row r="140" spans="3:18" x14ac:dyDescent="0.3">
      <c r="C140" s="11"/>
      <c r="D140" s="32"/>
      <c r="E140" s="11" t="str" cm="1">
        <f t="array" ref="E140">_xlfn.IFS(
    COUNTIF(Herramientas_eléctricas1862106149[Herramientas_eléctricas], B140) &gt; 0, Herramientas_eléctricas1862106149[[#Headers],[Herramientas_eléctricas]],
    COUNTIF(Herramientas_neumáticas1963107150[Herramientas_neumáticas], B140) &gt; 0, Herramientas_neumáticas1963107150[[#Headers],[Herramientas_neumáticas]],
    COUNTIF(Herramientas_de_medición2064108151[Herramientas_de_medición], B140) &gt; 0, Herramientas_de_medición2064108151[[#Headers],[Herramientas_de_medición]],
    COUNTIF(Herrramientas_mecánicas2165109152[Herramientas_mecánicas], B140) &gt; 0, Herrramientas_mecánicas2165109152[[#Headers],[Herramientas_mecánicas]],
    COUNTIF(AH140:AH146, B140) &gt; 0, Herramientas_hidráulicas2266110153[[#Headers],[Herramientas_hidráulicas]],
    COUNTIF(EPP_2367111154[SPCC], B140) &gt; 0, EPP_2367111154[[#Headers],[SPCC]],
   COUNTIF(Herramientas_de_izaje2468112155[Herramientas_de_izaje], B140) &gt; 0, Herramientas_de_izaje2468112155[[#Headers],[Herramientas_de_izaje]],
COUNTIF(Tabla162670114157[Equipos], B140) &gt; 0, Tabla162670114157[[#Headers],[Equipos]],
    TRUE, "Sin clasificación"
)</f>
        <v>Sin clasificación</v>
      </c>
      <c r="F140" s="15"/>
      <c r="G140" s="15"/>
      <c r="H140" s="15"/>
      <c r="I140" s="15"/>
      <c r="J140" s="47"/>
      <c r="K140" s="76"/>
      <c r="L140" s="47"/>
      <c r="M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-SinArea-0000</v>
      </c>
      <c r="N140" s="77"/>
      <c r="O140" s="15"/>
      <c r="P140" s="32"/>
      <c r="Q140" s="48"/>
    </row>
    <row r="141" spans="3:18" x14ac:dyDescent="0.3">
      <c r="C141" s="11"/>
      <c r="D141" s="32"/>
      <c r="E141" s="11" t="str" cm="1">
        <f t="array" ref="E141">_xlfn.IFS(
    COUNTIF(Herramientas_eléctricas1862106149[Herramientas_eléctricas], B141) &gt; 0, Herramientas_eléctricas1862106149[[#Headers],[Herramientas_eléctricas]],
    COUNTIF(Herramientas_neumáticas1963107150[Herramientas_neumáticas], B141) &gt; 0, Herramientas_neumáticas1963107150[[#Headers],[Herramientas_neumáticas]],
    COUNTIF(Herramientas_de_medición2064108151[Herramientas_de_medición], B141) &gt; 0, Herramientas_de_medición2064108151[[#Headers],[Herramientas_de_medición]],
    COUNTIF(Herrramientas_mecánicas2165109152[Herramientas_mecánicas], B141) &gt; 0, Herrramientas_mecánicas2165109152[[#Headers],[Herramientas_mecánicas]],
    COUNTIF(AH141:AH147, B141) &gt; 0, Herramientas_hidráulicas2266110153[[#Headers],[Herramientas_hidráulicas]],
    COUNTIF(EPP_2367111154[SPCC], B141) &gt; 0, EPP_2367111154[[#Headers],[SPCC]],
   COUNTIF(Herramientas_de_izaje2468112155[Herramientas_de_izaje], B141) &gt; 0, Herramientas_de_izaje2468112155[[#Headers],[Herramientas_de_izaje]],
COUNTIF(Tabla162670114157[Equipos], B141) &gt; 0, Tabla162670114157[[#Headers],[Equipos]],
    TRUE, "Sin clasificación"
)</f>
        <v>Sin clasificación</v>
      </c>
      <c r="I141" s="15"/>
      <c r="J141" s="47"/>
      <c r="K141" s="76"/>
      <c r="L141" s="76"/>
      <c r="M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-SinArea-0000</v>
      </c>
      <c r="N141" s="77"/>
      <c r="O141" s="32"/>
      <c r="P141" s="32"/>
      <c r="Q141" s="32"/>
      <c r="R141" s="32"/>
    </row>
    <row r="142" spans="3:18" x14ac:dyDescent="0.3">
      <c r="C142" s="11"/>
      <c r="D142" s="32"/>
      <c r="E142" s="11" t="str" cm="1">
        <f t="array" ref="E142">_xlfn.IFS(
    COUNTIF(Herramientas_eléctricas1862106149[Herramientas_eléctricas], B142) &gt; 0, Herramientas_eléctricas1862106149[[#Headers],[Herramientas_eléctricas]],
    COUNTIF(Herramientas_neumáticas1963107150[Herramientas_neumáticas], B142) &gt; 0, Herramientas_neumáticas1963107150[[#Headers],[Herramientas_neumáticas]],
    COUNTIF(Herramientas_de_medición2064108151[Herramientas_de_medición], B142) &gt; 0, Herramientas_de_medición2064108151[[#Headers],[Herramientas_de_medición]],
    COUNTIF(Herrramientas_mecánicas2165109152[Herramientas_mecánicas], B142) &gt; 0, Herrramientas_mecánicas2165109152[[#Headers],[Herramientas_mecánicas]],
    COUNTIF(AH142:AH148, B142) &gt; 0, Herramientas_hidráulicas2266110153[[#Headers],[Herramientas_hidráulicas]],
    COUNTIF(EPP_2367111154[SPCC], B142) &gt; 0, EPP_2367111154[[#Headers],[SPCC]],
   COUNTIF(Herramientas_de_izaje2468112155[Herramientas_de_izaje], B142) &gt; 0, Herramientas_de_izaje2468112155[[#Headers],[Herramientas_de_izaje]],
COUNTIF(Tabla162670114157[Equipos], B142) &gt; 0, Tabla162670114157[[#Headers],[Equipos]],
    TRUE, "Sin clasificación"
)</f>
        <v>Sin clasificación</v>
      </c>
      <c r="I142" s="15"/>
      <c r="J142" s="47"/>
      <c r="K142" s="76"/>
      <c r="L142" s="76"/>
      <c r="M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-SinArea-0000</v>
      </c>
      <c r="N142" s="77"/>
      <c r="O142" s="32"/>
      <c r="P142" s="32"/>
      <c r="Q142" s="32"/>
      <c r="R142" s="32"/>
    </row>
    <row r="143" spans="3:18" x14ac:dyDescent="0.3">
      <c r="C143" s="11"/>
      <c r="D143" s="32"/>
      <c r="E143" s="11" t="str" cm="1">
        <f t="array" ref="E143">_xlfn.IFS(
    COUNTIF(Herramientas_eléctricas1862106149[Herramientas_eléctricas], B143) &gt; 0, Herramientas_eléctricas1862106149[[#Headers],[Herramientas_eléctricas]],
    COUNTIF(Herramientas_neumáticas1963107150[Herramientas_neumáticas], B143) &gt; 0, Herramientas_neumáticas1963107150[[#Headers],[Herramientas_neumáticas]],
    COUNTIF(Herramientas_de_medición2064108151[Herramientas_de_medición], B143) &gt; 0, Herramientas_de_medición2064108151[[#Headers],[Herramientas_de_medición]],
    COUNTIF(Herrramientas_mecánicas2165109152[Herramientas_mecánicas], B143) &gt; 0, Herrramientas_mecánicas2165109152[[#Headers],[Herramientas_mecánicas]],
    COUNTIF(AH143:AH149, B143) &gt; 0, Herramientas_hidráulicas2266110153[[#Headers],[Herramientas_hidráulicas]],
    COUNTIF(EPP_2367111154[SPCC], B143) &gt; 0, EPP_2367111154[[#Headers],[SPCC]],
   COUNTIF(Herramientas_de_izaje2468112155[Herramientas_de_izaje], B143) &gt; 0, Herramientas_de_izaje2468112155[[#Headers],[Herramientas_de_izaje]],
COUNTIF(Tabla162670114157[Equipos], B143) &gt; 0, Tabla162670114157[[#Headers],[Equipos]],
    TRUE, "Sin clasificación"
)</f>
        <v>Sin clasificación</v>
      </c>
      <c r="I143" s="15"/>
      <c r="J143" s="47"/>
      <c r="K143" s="76"/>
      <c r="L143" s="76"/>
      <c r="M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-SinArea-0000</v>
      </c>
      <c r="N143" s="77"/>
      <c r="O143" s="32"/>
      <c r="P143" s="32"/>
      <c r="Q143" s="32"/>
      <c r="R143" s="32"/>
    </row>
    <row r="144" spans="3:18" x14ac:dyDescent="0.3">
      <c r="C144" s="11"/>
      <c r="D144" s="32"/>
      <c r="E144" s="11" t="str" cm="1">
        <f t="array" ref="E144">_xlfn.IFS(
    COUNTIF(Herramientas_eléctricas1862106149[Herramientas_eléctricas], B144) &gt; 0, Herramientas_eléctricas1862106149[[#Headers],[Herramientas_eléctricas]],
    COUNTIF(Herramientas_neumáticas1963107150[Herramientas_neumáticas], B144) &gt; 0, Herramientas_neumáticas1963107150[[#Headers],[Herramientas_neumáticas]],
    COUNTIF(Herramientas_de_medición2064108151[Herramientas_de_medición], B144) &gt; 0, Herramientas_de_medición2064108151[[#Headers],[Herramientas_de_medición]],
    COUNTIF(Herrramientas_mecánicas2165109152[Herramientas_mecánicas], B144) &gt; 0, Herrramientas_mecánicas2165109152[[#Headers],[Herramientas_mecánicas]],
    COUNTIF(AH144:AH150, B144) &gt; 0, Herramientas_hidráulicas2266110153[[#Headers],[Herramientas_hidráulicas]],
    COUNTIF(EPP_2367111154[SPCC], B144) &gt; 0, EPP_2367111154[[#Headers],[SPCC]],
   COUNTIF(Herramientas_de_izaje2468112155[Herramientas_de_izaje], B144) &gt; 0, Herramientas_de_izaje2468112155[[#Headers],[Herramientas_de_izaje]],
COUNTIF(Tabla162670114157[Equipos], B144) &gt; 0, Tabla162670114157[[#Headers],[Equipos]],
    TRUE, "Sin clasificación"
)</f>
        <v>Sin clasificación</v>
      </c>
      <c r="I144" s="15"/>
      <c r="J144" s="47"/>
      <c r="K144" s="76"/>
      <c r="L144" s="76"/>
      <c r="M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-SinArea-0000</v>
      </c>
      <c r="N144" s="77"/>
      <c r="O144" s="32"/>
      <c r="P144" s="32"/>
      <c r="Q144" s="32"/>
      <c r="R144" s="32"/>
    </row>
    <row r="145" spans="3:18" x14ac:dyDescent="0.3">
      <c r="C145" s="11"/>
      <c r="D145" s="32"/>
      <c r="E145" s="11" t="str" cm="1">
        <f t="array" ref="E145">_xlfn.IFS(
    COUNTIF(Herramientas_eléctricas1862106149[Herramientas_eléctricas], B145) &gt; 0, Herramientas_eléctricas1862106149[[#Headers],[Herramientas_eléctricas]],
    COUNTIF(Herramientas_neumáticas1963107150[Herramientas_neumáticas], B145) &gt; 0, Herramientas_neumáticas1963107150[[#Headers],[Herramientas_neumáticas]],
    COUNTIF(Herramientas_de_medición2064108151[Herramientas_de_medición], B145) &gt; 0, Herramientas_de_medición2064108151[[#Headers],[Herramientas_de_medición]],
    COUNTIF(Herrramientas_mecánicas2165109152[Herramientas_mecánicas], B145) &gt; 0, Herrramientas_mecánicas2165109152[[#Headers],[Herramientas_mecánicas]],
    COUNTIF(AH145:AH151, B145) &gt; 0, Herramientas_hidráulicas2266110153[[#Headers],[Herramientas_hidráulicas]],
    COUNTIF(EPP_2367111154[SPCC], B145) &gt; 0, EPP_2367111154[[#Headers],[SPCC]],
   COUNTIF(Herramientas_de_izaje2468112155[Herramientas_de_izaje], B145) &gt; 0, Herramientas_de_izaje2468112155[[#Headers],[Herramientas_de_izaje]],
COUNTIF(Tabla162670114157[Equipos], B145) &gt; 0, Tabla162670114157[[#Headers],[Equipos]],
    TRUE, "Sin clasificación"
)</f>
        <v>Sin clasificación</v>
      </c>
      <c r="I145" s="15"/>
      <c r="J145" s="47"/>
      <c r="K145" s="76"/>
      <c r="L145" s="76"/>
      <c r="M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-SinArea-0000</v>
      </c>
      <c r="N145" s="77"/>
      <c r="O145" s="32"/>
      <c r="P145" s="32"/>
      <c r="Q145" s="32"/>
      <c r="R145" s="32"/>
    </row>
    <row r="146" spans="3:18" x14ac:dyDescent="0.3">
      <c r="C146" s="11"/>
      <c r="D146" s="32"/>
      <c r="E146" s="11" t="str" cm="1">
        <f t="array" ref="E146">_xlfn.IFS(
    COUNTIF(Herramientas_eléctricas1862106149[Herramientas_eléctricas], B146) &gt; 0, Herramientas_eléctricas1862106149[[#Headers],[Herramientas_eléctricas]],
    COUNTIF(Herramientas_neumáticas1963107150[Herramientas_neumáticas], B146) &gt; 0, Herramientas_neumáticas1963107150[[#Headers],[Herramientas_neumáticas]],
    COUNTIF(Herramientas_de_medición2064108151[Herramientas_de_medición], B146) &gt; 0, Herramientas_de_medición2064108151[[#Headers],[Herramientas_de_medición]],
    COUNTIF(Herrramientas_mecánicas2165109152[Herramientas_mecánicas], B146) &gt; 0, Herrramientas_mecánicas2165109152[[#Headers],[Herramientas_mecánicas]],
    COUNTIF(AH146:AH152, B146) &gt; 0, Herramientas_hidráulicas2266110153[[#Headers],[Herramientas_hidráulicas]],
    COUNTIF(EPP_2367111154[SPCC], B146) &gt; 0, EPP_2367111154[[#Headers],[SPCC]],
   COUNTIF(Herramientas_de_izaje2468112155[Herramientas_de_izaje], B146) &gt; 0, Herramientas_de_izaje2468112155[[#Headers],[Herramientas_de_izaje]],
COUNTIF(Tabla162670114157[Equipos], B146) &gt; 0, Tabla162670114157[[#Headers],[Equipos]],
    TRUE, "Sin clasificación"
)</f>
        <v>Sin clasificación</v>
      </c>
      <c r="I146" s="15"/>
      <c r="J146" s="47"/>
      <c r="K146" s="76"/>
      <c r="L146" s="76"/>
      <c r="M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-SinArea-0000</v>
      </c>
      <c r="N146" s="77"/>
      <c r="O146" s="32"/>
      <c r="P146" s="32"/>
      <c r="Q146" s="32"/>
      <c r="R146" s="32"/>
    </row>
    <row r="147" spans="3:18" x14ac:dyDescent="0.3">
      <c r="C147" s="11"/>
      <c r="D147" s="32"/>
      <c r="E147" s="11" t="str" cm="1">
        <f t="array" ref="E147">_xlfn.IFS(
    COUNTIF(Herramientas_eléctricas1862106149[Herramientas_eléctricas], B147) &gt; 0, Herramientas_eléctricas1862106149[[#Headers],[Herramientas_eléctricas]],
    COUNTIF(Herramientas_neumáticas1963107150[Herramientas_neumáticas], B147) &gt; 0, Herramientas_neumáticas1963107150[[#Headers],[Herramientas_neumáticas]],
    COUNTIF(Herramientas_de_medición2064108151[Herramientas_de_medición], B147) &gt; 0, Herramientas_de_medición2064108151[[#Headers],[Herramientas_de_medición]],
    COUNTIF(Herrramientas_mecánicas2165109152[Herramientas_mecánicas], B147) &gt; 0, Herrramientas_mecánicas2165109152[[#Headers],[Herramientas_mecánicas]],
    COUNTIF(AH147:AH153, B147) &gt; 0, Herramientas_hidráulicas2266110153[[#Headers],[Herramientas_hidráulicas]],
    COUNTIF(EPP_2367111154[SPCC], B147) &gt; 0, EPP_2367111154[[#Headers],[SPCC]],
   COUNTIF(Herramientas_de_izaje2468112155[Herramientas_de_izaje], B147) &gt; 0, Herramientas_de_izaje2468112155[[#Headers],[Herramientas_de_izaje]],
COUNTIF(Tabla162670114157[Equipos], B147) &gt; 0, Tabla162670114157[[#Headers],[Equipos]],
    TRUE, "Sin clasificación"
)</f>
        <v>Sin clasificación</v>
      </c>
      <c r="I147" s="15"/>
      <c r="J147" s="47"/>
      <c r="K147" s="76"/>
      <c r="L147" s="76"/>
      <c r="M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-SinArea-0000</v>
      </c>
      <c r="N147" s="77"/>
      <c r="O147" s="32"/>
      <c r="P147" s="32"/>
      <c r="Q147" s="32"/>
      <c r="R147" s="32"/>
    </row>
    <row r="148" spans="3:18" x14ac:dyDescent="0.3">
      <c r="C148" s="11"/>
      <c r="D148" s="32"/>
      <c r="E148" s="11" t="str" cm="1">
        <f t="array" ref="E148">_xlfn.IFS(
    COUNTIF(Herramientas_eléctricas1862106149[Herramientas_eléctricas], B148) &gt; 0, Herramientas_eléctricas1862106149[[#Headers],[Herramientas_eléctricas]],
    COUNTIF(Herramientas_neumáticas1963107150[Herramientas_neumáticas], B148) &gt; 0, Herramientas_neumáticas1963107150[[#Headers],[Herramientas_neumáticas]],
    COUNTIF(Herramientas_de_medición2064108151[Herramientas_de_medición], B148) &gt; 0, Herramientas_de_medición2064108151[[#Headers],[Herramientas_de_medición]],
    COUNTIF(Herrramientas_mecánicas2165109152[Herramientas_mecánicas], B148) &gt; 0, Herrramientas_mecánicas2165109152[[#Headers],[Herramientas_mecánicas]],
    COUNTIF(AH148:AH154, B148) &gt; 0, Herramientas_hidráulicas2266110153[[#Headers],[Herramientas_hidráulicas]],
    COUNTIF(EPP_2367111154[SPCC], B148) &gt; 0, EPP_2367111154[[#Headers],[SPCC]],
   COUNTIF(Herramientas_de_izaje2468112155[Herramientas_de_izaje], B148) &gt; 0, Herramientas_de_izaje2468112155[[#Headers],[Herramientas_de_izaje]],
COUNTIF(Tabla162670114157[Equipos], B148) &gt; 0, Tabla162670114157[[#Headers],[Equipos]],
    TRUE, "Sin clasificación"
)</f>
        <v>Sin clasificación</v>
      </c>
      <c r="I148" s="15"/>
      <c r="J148" s="47"/>
      <c r="K148" s="76"/>
      <c r="L148" s="76"/>
      <c r="M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-SinArea-0000</v>
      </c>
      <c r="N148" s="77"/>
      <c r="O148" s="32"/>
      <c r="P148" s="32"/>
      <c r="Q148" s="32"/>
      <c r="R148" s="32"/>
    </row>
    <row r="149" spans="3:18" x14ac:dyDescent="0.3">
      <c r="C149" s="11"/>
      <c r="D149" s="32"/>
      <c r="E149" s="11" t="str" cm="1">
        <f t="array" ref="E149">_xlfn.IFS(
    COUNTIF(Herramientas_eléctricas1862106149[Herramientas_eléctricas], B149) &gt; 0, Herramientas_eléctricas1862106149[[#Headers],[Herramientas_eléctricas]],
    COUNTIF(Herramientas_neumáticas1963107150[Herramientas_neumáticas], B149) &gt; 0, Herramientas_neumáticas1963107150[[#Headers],[Herramientas_neumáticas]],
    COUNTIF(Herramientas_de_medición2064108151[Herramientas_de_medición], B149) &gt; 0, Herramientas_de_medición2064108151[[#Headers],[Herramientas_de_medición]],
    COUNTIF(Herrramientas_mecánicas2165109152[Herramientas_mecánicas], B149) &gt; 0, Herrramientas_mecánicas2165109152[[#Headers],[Herramientas_mecánicas]],
    COUNTIF(AH149:AH155, B149) &gt; 0, Herramientas_hidráulicas2266110153[[#Headers],[Herramientas_hidráulicas]],
    COUNTIF(EPP_2367111154[SPCC], B149) &gt; 0, EPP_2367111154[[#Headers],[SPCC]],
   COUNTIF(Herramientas_de_izaje2468112155[Herramientas_de_izaje], B149) &gt; 0, Herramientas_de_izaje2468112155[[#Headers],[Herramientas_de_izaje]],
COUNTIF(Tabla162670114157[Equipos], B149) &gt; 0, Tabla162670114157[[#Headers],[Equipos]],
    TRUE, "Sin clasificación"
)</f>
        <v>Sin clasificación</v>
      </c>
      <c r="I149" s="15"/>
      <c r="J149" s="47"/>
      <c r="K149" s="76"/>
      <c r="L149" s="76"/>
      <c r="M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-SinArea-0000</v>
      </c>
      <c r="N149" s="77"/>
      <c r="O149" s="32"/>
      <c r="P149" s="32"/>
      <c r="Q149" s="32"/>
      <c r="R149" s="32"/>
    </row>
    <row r="150" spans="3:18" x14ac:dyDescent="0.3">
      <c r="C150" s="11"/>
      <c r="D150" s="32"/>
      <c r="E150" s="11" t="str" cm="1">
        <f t="array" ref="E150">_xlfn.IFS(
    COUNTIF(Herramientas_eléctricas1862106149[Herramientas_eléctricas], B150) &gt; 0, Herramientas_eléctricas1862106149[[#Headers],[Herramientas_eléctricas]],
    COUNTIF(Herramientas_neumáticas1963107150[Herramientas_neumáticas], B150) &gt; 0, Herramientas_neumáticas1963107150[[#Headers],[Herramientas_neumáticas]],
    COUNTIF(Herramientas_de_medición2064108151[Herramientas_de_medición], B150) &gt; 0, Herramientas_de_medición2064108151[[#Headers],[Herramientas_de_medición]],
    COUNTIF(Herrramientas_mecánicas2165109152[Herramientas_mecánicas], B150) &gt; 0, Herrramientas_mecánicas2165109152[[#Headers],[Herramientas_mecánicas]],
    COUNTIF(AH150:AH156, B150) &gt; 0, Herramientas_hidráulicas2266110153[[#Headers],[Herramientas_hidráulicas]],
    COUNTIF(EPP_2367111154[SPCC], B150) &gt; 0, EPP_2367111154[[#Headers],[SPCC]],
   COUNTIF(Herramientas_de_izaje2468112155[Herramientas_de_izaje], B150) &gt; 0, Herramientas_de_izaje2468112155[[#Headers],[Herramientas_de_izaje]],
COUNTIF(Tabla162670114157[Equipos], B150) &gt; 0, Tabla162670114157[[#Headers],[Equipos]],
    TRUE, "Sin clasificación"
)</f>
        <v>Sin clasificación</v>
      </c>
      <c r="I150" s="15"/>
      <c r="J150" s="47"/>
      <c r="K150" s="76"/>
      <c r="L150" s="76"/>
      <c r="M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-SinArea-0000</v>
      </c>
      <c r="N150" s="77"/>
      <c r="O150" s="32"/>
      <c r="P150" s="32"/>
      <c r="Q150" s="32"/>
      <c r="R150" s="32"/>
    </row>
    <row r="151" spans="3:18" x14ac:dyDescent="0.3">
      <c r="C151" s="11"/>
      <c r="D151" s="32"/>
      <c r="E151" s="11" t="str" cm="1">
        <f t="array" ref="E151">_xlfn.IFS(
    COUNTIF(Herramientas_eléctricas1862106149[Herramientas_eléctricas], B151) &gt; 0, Herramientas_eléctricas1862106149[[#Headers],[Herramientas_eléctricas]],
    COUNTIF(Herramientas_neumáticas1963107150[Herramientas_neumáticas], B151) &gt; 0, Herramientas_neumáticas1963107150[[#Headers],[Herramientas_neumáticas]],
    COUNTIF(Herramientas_de_medición2064108151[Herramientas_de_medición], B151) &gt; 0, Herramientas_de_medición2064108151[[#Headers],[Herramientas_de_medición]],
    COUNTIF(Herrramientas_mecánicas2165109152[Herramientas_mecánicas], B151) &gt; 0, Herrramientas_mecánicas2165109152[[#Headers],[Herramientas_mecánicas]],
    COUNTIF(AH151:AH157, B151) &gt; 0, Herramientas_hidráulicas2266110153[[#Headers],[Herramientas_hidráulicas]],
    COUNTIF(EPP_2367111154[SPCC], B151) &gt; 0, EPP_2367111154[[#Headers],[SPCC]],
   COUNTIF(Herramientas_de_izaje2468112155[Herramientas_de_izaje], B151) &gt; 0, Herramientas_de_izaje2468112155[[#Headers],[Herramientas_de_izaje]],
COUNTIF(Tabla162670114157[Equipos], B151) &gt; 0, Tabla162670114157[[#Headers],[Equipos]],
    TRUE, "Sin clasificación"
)</f>
        <v>Sin clasificación</v>
      </c>
      <c r="I151" s="15"/>
      <c r="J151" s="47"/>
      <c r="K151" s="76"/>
      <c r="L151" s="76"/>
      <c r="M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-SinArea-0000</v>
      </c>
      <c r="N151" s="77"/>
      <c r="O151" s="32"/>
      <c r="P151" s="32"/>
      <c r="Q151" s="32"/>
      <c r="R151" s="32"/>
    </row>
    <row r="152" spans="3:18" x14ac:dyDescent="0.3">
      <c r="C152" s="11"/>
      <c r="D152" s="32"/>
      <c r="E152" s="11" t="str" cm="1">
        <f t="array" ref="E152">_xlfn.IFS(
    COUNTIF(Herramientas_eléctricas1862106149[Herramientas_eléctricas], B152) &gt; 0, Herramientas_eléctricas1862106149[[#Headers],[Herramientas_eléctricas]],
    COUNTIF(Herramientas_neumáticas1963107150[Herramientas_neumáticas], B152) &gt; 0, Herramientas_neumáticas1963107150[[#Headers],[Herramientas_neumáticas]],
    COUNTIF(Herramientas_de_medición2064108151[Herramientas_de_medición], B152) &gt; 0, Herramientas_de_medición2064108151[[#Headers],[Herramientas_de_medición]],
    COUNTIF(Herrramientas_mecánicas2165109152[Herramientas_mecánicas], B152) &gt; 0, Herrramientas_mecánicas2165109152[[#Headers],[Herramientas_mecánicas]],
    COUNTIF(AH152:AH158, B152) &gt; 0, Herramientas_hidráulicas2266110153[[#Headers],[Herramientas_hidráulicas]],
    COUNTIF(EPP_2367111154[SPCC], B152) &gt; 0, EPP_2367111154[[#Headers],[SPCC]],
   COUNTIF(Herramientas_de_izaje2468112155[Herramientas_de_izaje], B152) &gt; 0, Herramientas_de_izaje2468112155[[#Headers],[Herramientas_de_izaje]],
COUNTIF(Tabla162670114157[Equipos], B152) &gt; 0, Tabla162670114157[[#Headers],[Equipos]],
    TRUE, "Sin clasificación"
)</f>
        <v>Sin clasificación</v>
      </c>
      <c r="I152" s="15"/>
      <c r="J152" s="47"/>
      <c r="K152" s="76"/>
      <c r="L152" s="76"/>
      <c r="M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-SinArea-0000</v>
      </c>
      <c r="N152" s="77"/>
      <c r="O152" s="32"/>
      <c r="P152" s="32"/>
      <c r="Q152" s="32"/>
      <c r="R152" s="32"/>
    </row>
    <row r="153" spans="3:18" x14ac:dyDescent="0.3">
      <c r="C153" s="11"/>
      <c r="D153" s="32"/>
      <c r="E153" s="11" t="str" cm="1">
        <f t="array" ref="E153">_xlfn.IFS(
    COUNTIF(Herramientas_eléctricas1862106149[Herramientas_eléctricas], B153) &gt; 0, Herramientas_eléctricas1862106149[[#Headers],[Herramientas_eléctricas]],
    COUNTIF(Herramientas_neumáticas1963107150[Herramientas_neumáticas], B153) &gt; 0, Herramientas_neumáticas1963107150[[#Headers],[Herramientas_neumáticas]],
    COUNTIF(Herramientas_de_medición2064108151[Herramientas_de_medición], B153) &gt; 0, Herramientas_de_medición2064108151[[#Headers],[Herramientas_de_medición]],
    COUNTIF(Herrramientas_mecánicas2165109152[Herramientas_mecánicas], B153) &gt; 0, Herrramientas_mecánicas2165109152[[#Headers],[Herramientas_mecánicas]],
    COUNTIF(AH153:AH159, B153) &gt; 0, Herramientas_hidráulicas2266110153[[#Headers],[Herramientas_hidráulicas]],
    COUNTIF(EPP_2367111154[SPCC], B153) &gt; 0, EPP_2367111154[[#Headers],[SPCC]],
   COUNTIF(Herramientas_de_izaje2468112155[Herramientas_de_izaje], B153) &gt; 0, Herramientas_de_izaje2468112155[[#Headers],[Herramientas_de_izaje]],
COUNTIF(Tabla162670114157[Equipos], B153) &gt; 0, Tabla162670114157[[#Headers],[Equipos]],
    TRUE, "Sin clasificación"
)</f>
        <v>Sin clasificación</v>
      </c>
      <c r="I153" s="15"/>
      <c r="J153" s="47"/>
      <c r="K153" s="76"/>
      <c r="L153" s="76"/>
      <c r="M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-SinArea-0000</v>
      </c>
      <c r="N153" s="77"/>
      <c r="O153" s="32"/>
      <c r="P153" s="32"/>
      <c r="Q153" s="32"/>
      <c r="R153" s="32"/>
    </row>
    <row r="154" spans="3:18" x14ac:dyDescent="0.3">
      <c r="C154" s="11"/>
      <c r="D154" s="32"/>
      <c r="E154" s="11" t="str" cm="1">
        <f t="array" ref="E154">_xlfn.IFS(
    COUNTIF(Herramientas_eléctricas1862106149[Herramientas_eléctricas], B154) &gt; 0, Herramientas_eléctricas1862106149[[#Headers],[Herramientas_eléctricas]],
    COUNTIF(Herramientas_neumáticas1963107150[Herramientas_neumáticas], B154) &gt; 0, Herramientas_neumáticas1963107150[[#Headers],[Herramientas_neumáticas]],
    COUNTIF(Herramientas_de_medición2064108151[Herramientas_de_medición], B154) &gt; 0, Herramientas_de_medición2064108151[[#Headers],[Herramientas_de_medición]],
    COUNTIF(Herrramientas_mecánicas2165109152[Herramientas_mecánicas], B154) &gt; 0, Herrramientas_mecánicas2165109152[[#Headers],[Herramientas_mecánicas]],
    COUNTIF(AH154:AH160, B154) &gt; 0, Herramientas_hidráulicas2266110153[[#Headers],[Herramientas_hidráulicas]],
    COUNTIF(EPP_2367111154[SPCC], B154) &gt; 0, EPP_2367111154[[#Headers],[SPCC]],
   COUNTIF(Herramientas_de_izaje2468112155[Herramientas_de_izaje], B154) &gt; 0, Herramientas_de_izaje2468112155[[#Headers],[Herramientas_de_izaje]],
COUNTIF(Tabla162670114157[Equipos], B154) &gt; 0, Tabla162670114157[[#Headers],[Equipos]],
    TRUE, "Sin clasificación"
)</f>
        <v>Sin clasificación</v>
      </c>
      <c r="I154" s="15"/>
      <c r="J154" s="47"/>
      <c r="K154" s="76"/>
      <c r="L154" s="76"/>
      <c r="M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-SinArea-0000</v>
      </c>
      <c r="N154" s="77"/>
      <c r="O154" s="32"/>
      <c r="P154" s="32"/>
      <c r="Q154" s="32"/>
      <c r="R154" s="32"/>
    </row>
    <row r="155" spans="3:18" x14ac:dyDescent="0.3">
      <c r="C155" s="11"/>
      <c r="D155" s="32"/>
      <c r="E155" s="11" t="str" cm="1">
        <f t="array" ref="E155">_xlfn.IFS(
    COUNTIF(Herramientas_eléctricas1862106149[Herramientas_eléctricas], B155) &gt; 0, Herramientas_eléctricas1862106149[[#Headers],[Herramientas_eléctricas]],
    COUNTIF(Herramientas_neumáticas1963107150[Herramientas_neumáticas], B155) &gt; 0, Herramientas_neumáticas1963107150[[#Headers],[Herramientas_neumáticas]],
    COUNTIF(Herramientas_de_medición2064108151[Herramientas_de_medición], B155) &gt; 0, Herramientas_de_medición2064108151[[#Headers],[Herramientas_de_medición]],
    COUNTIF(Herrramientas_mecánicas2165109152[Herramientas_mecánicas], B155) &gt; 0, Herrramientas_mecánicas2165109152[[#Headers],[Herramientas_mecánicas]],
    COUNTIF(AH155:AH161, B155) &gt; 0, Herramientas_hidráulicas2266110153[[#Headers],[Herramientas_hidráulicas]],
    COUNTIF(EPP_2367111154[SPCC], B155) &gt; 0, EPP_2367111154[[#Headers],[SPCC]],
   COUNTIF(Herramientas_de_izaje2468112155[Herramientas_de_izaje], B155) &gt; 0, Herramientas_de_izaje2468112155[[#Headers],[Herramientas_de_izaje]],
COUNTIF(Tabla162670114157[Equipos], B155) &gt; 0, Tabla162670114157[[#Headers],[Equipos]],
    TRUE, "Sin clasificación"
)</f>
        <v>Sin clasificación</v>
      </c>
      <c r="I155" s="15"/>
      <c r="J155" s="47"/>
      <c r="K155" s="76"/>
      <c r="L155" s="76"/>
      <c r="M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-SinArea-0000</v>
      </c>
      <c r="N155" s="77"/>
      <c r="O155" s="32"/>
      <c r="P155" s="32"/>
      <c r="Q155" s="32"/>
      <c r="R155" s="32"/>
    </row>
    <row r="156" spans="3:18" x14ac:dyDescent="0.3">
      <c r="C156" s="11"/>
      <c r="D156" s="32"/>
      <c r="E156" s="11" t="str" cm="1">
        <f t="array" ref="E156">_xlfn.IFS(
    COUNTIF(Herramientas_eléctricas1862106149[Herramientas_eléctricas], B156) &gt; 0, Herramientas_eléctricas1862106149[[#Headers],[Herramientas_eléctricas]],
    COUNTIF(Herramientas_neumáticas1963107150[Herramientas_neumáticas], B156) &gt; 0, Herramientas_neumáticas1963107150[[#Headers],[Herramientas_neumáticas]],
    COUNTIF(Herramientas_de_medición2064108151[Herramientas_de_medición], B156) &gt; 0, Herramientas_de_medición2064108151[[#Headers],[Herramientas_de_medición]],
    COUNTIF(Herrramientas_mecánicas2165109152[Herramientas_mecánicas], B156) &gt; 0, Herrramientas_mecánicas2165109152[[#Headers],[Herramientas_mecánicas]],
    COUNTIF(AH156:AH162, B156) &gt; 0, Herramientas_hidráulicas2266110153[[#Headers],[Herramientas_hidráulicas]],
    COUNTIF(EPP_2367111154[SPCC], B156) &gt; 0, EPP_2367111154[[#Headers],[SPCC]],
   COUNTIF(Herramientas_de_izaje2468112155[Herramientas_de_izaje], B156) &gt; 0, Herramientas_de_izaje2468112155[[#Headers],[Herramientas_de_izaje]],
COUNTIF(Tabla162670114157[Equipos], B156) &gt; 0, Tabla162670114157[[#Headers],[Equipos]],
    TRUE, "Sin clasificación"
)</f>
        <v>Sin clasificación</v>
      </c>
      <c r="I156" s="15"/>
      <c r="J156" s="47"/>
      <c r="K156" s="76"/>
      <c r="L156" s="76"/>
      <c r="M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-SinArea-0000</v>
      </c>
      <c r="N156" s="77"/>
      <c r="O156" s="32"/>
      <c r="P156" s="32"/>
      <c r="Q156" s="32"/>
      <c r="R156" s="32"/>
    </row>
    <row r="157" spans="3:18" x14ac:dyDescent="0.3">
      <c r="C157" s="11"/>
      <c r="D157" s="32"/>
      <c r="E157" s="11" t="str" cm="1">
        <f t="array" ref="E157">_xlfn.IFS(
    COUNTIF(Herramientas_eléctricas1862106149[Herramientas_eléctricas], B157) &gt; 0, Herramientas_eléctricas1862106149[[#Headers],[Herramientas_eléctricas]],
    COUNTIF(Herramientas_neumáticas1963107150[Herramientas_neumáticas], B157) &gt; 0, Herramientas_neumáticas1963107150[[#Headers],[Herramientas_neumáticas]],
    COUNTIF(Herramientas_de_medición2064108151[Herramientas_de_medición], B157) &gt; 0, Herramientas_de_medición2064108151[[#Headers],[Herramientas_de_medición]],
    COUNTIF(Herrramientas_mecánicas2165109152[Herramientas_mecánicas], B157) &gt; 0, Herrramientas_mecánicas2165109152[[#Headers],[Herramientas_mecánicas]],
    COUNTIF(AH157:AH163, B157) &gt; 0, Herramientas_hidráulicas2266110153[[#Headers],[Herramientas_hidráulicas]],
    COUNTIF(EPP_2367111154[SPCC], B157) &gt; 0, EPP_2367111154[[#Headers],[SPCC]],
   COUNTIF(Herramientas_de_izaje2468112155[Herramientas_de_izaje], B157) &gt; 0, Herramientas_de_izaje2468112155[[#Headers],[Herramientas_de_izaje]],
COUNTIF(Tabla162670114157[Equipos], B157) &gt; 0, Tabla162670114157[[#Headers],[Equipos]],
    TRUE, "Sin clasificación"
)</f>
        <v>Sin clasificación</v>
      </c>
      <c r="I157" s="15"/>
      <c r="J157" s="47"/>
      <c r="K157" s="76"/>
      <c r="L157" s="76"/>
      <c r="M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N157" s="77"/>
      <c r="O157" s="32"/>
      <c r="P157" s="32"/>
      <c r="Q157" s="32"/>
      <c r="R157" s="32"/>
    </row>
    <row r="158" spans="3:18" x14ac:dyDescent="0.3">
      <c r="C158" s="11"/>
      <c r="D158" s="32"/>
      <c r="E158" s="11" t="str" cm="1">
        <f t="array" ref="E158">_xlfn.IFS(
    COUNTIF(Herramientas_eléctricas1862106149[Herramientas_eléctricas], B158) &gt; 0, Herramientas_eléctricas1862106149[[#Headers],[Herramientas_eléctricas]],
    COUNTIF(Herramientas_neumáticas1963107150[Herramientas_neumáticas], B158) &gt; 0, Herramientas_neumáticas1963107150[[#Headers],[Herramientas_neumáticas]],
    COUNTIF(Herramientas_de_medición2064108151[Herramientas_de_medición], B158) &gt; 0, Herramientas_de_medición2064108151[[#Headers],[Herramientas_de_medición]],
    COUNTIF(Herrramientas_mecánicas2165109152[Herramientas_mecánicas], B158) &gt; 0, Herrramientas_mecánicas2165109152[[#Headers],[Herramientas_mecánicas]],
    COUNTIF(AH158:AH164, B158) &gt; 0, Herramientas_hidráulicas2266110153[[#Headers],[Herramientas_hidráulicas]],
    COUNTIF(EPP_2367111154[SPCC], B158) &gt; 0, EPP_2367111154[[#Headers],[SPCC]],
   COUNTIF(Herramientas_de_izaje2468112155[Herramientas_de_izaje], B158) &gt; 0, Herramientas_de_izaje2468112155[[#Headers],[Herramientas_de_izaje]],
COUNTIF(Tabla162670114157[Equipos], B158) &gt; 0, Tabla162670114157[[#Headers],[Equipos]],
    TRUE, "Sin clasificación"
)</f>
        <v>Sin clasificación</v>
      </c>
      <c r="I158" s="15"/>
      <c r="J158" s="47"/>
      <c r="K158" s="76"/>
      <c r="L158" s="76"/>
      <c r="M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N158" s="77"/>
      <c r="O158" s="32"/>
      <c r="P158" s="32"/>
      <c r="Q158" s="32"/>
      <c r="R158" s="32"/>
    </row>
    <row r="159" spans="3:18" x14ac:dyDescent="0.3">
      <c r="C159" s="11"/>
      <c r="D159" s="32"/>
      <c r="E159" s="11" t="str" cm="1">
        <f t="array" ref="E159">_xlfn.IFS(
    COUNTIF(Herramientas_eléctricas1862106149[Herramientas_eléctricas], B159) &gt; 0, Herramientas_eléctricas1862106149[[#Headers],[Herramientas_eléctricas]],
    COUNTIF(Herramientas_neumáticas1963107150[Herramientas_neumáticas], B159) &gt; 0, Herramientas_neumáticas1963107150[[#Headers],[Herramientas_neumáticas]],
    COUNTIF(Herramientas_de_medición2064108151[Herramientas_de_medición], B159) &gt; 0, Herramientas_de_medición2064108151[[#Headers],[Herramientas_de_medición]],
    COUNTIF(Herrramientas_mecánicas2165109152[Herramientas_mecánicas], B159) &gt; 0, Herrramientas_mecánicas2165109152[[#Headers],[Herramientas_mecánicas]],
    COUNTIF(AH159:AH165, B159) &gt; 0, Herramientas_hidráulicas2266110153[[#Headers],[Herramientas_hidráulicas]],
    COUNTIF(EPP_2367111154[SPCC], B159) &gt; 0, EPP_2367111154[[#Headers],[SPCC]],
   COUNTIF(Herramientas_de_izaje2468112155[Herramientas_de_izaje], B159) &gt; 0, Herramientas_de_izaje2468112155[[#Headers],[Herramientas_de_izaje]],
COUNTIF(Tabla162670114157[Equipos], B159) &gt; 0, Tabla162670114157[[#Headers],[Equipos]],
    TRUE, "Sin clasificación"
)</f>
        <v>Sin clasificación</v>
      </c>
      <c r="I159" s="15"/>
      <c r="J159" s="47"/>
      <c r="K159" s="76"/>
      <c r="L159" s="76"/>
      <c r="M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N159" s="77"/>
      <c r="O159" s="32"/>
      <c r="P159" s="32"/>
      <c r="Q159" s="32"/>
      <c r="R159" s="32"/>
    </row>
    <row r="160" spans="3:18" x14ac:dyDescent="0.3">
      <c r="C160" s="11"/>
      <c r="D160" s="32"/>
      <c r="E160" s="11" t="str" cm="1">
        <f t="array" ref="E160">_xlfn.IFS(
    COUNTIF(Herramientas_eléctricas1862106149[Herramientas_eléctricas], B160) &gt; 0, Herramientas_eléctricas1862106149[[#Headers],[Herramientas_eléctricas]],
    COUNTIF(Herramientas_neumáticas1963107150[Herramientas_neumáticas], B160) &gt; 0, Herramientas_neumáticas1963107150[[#Headers],[Herramientas_neumáticas]],
    COUNTIF(Herramientas_de_medición2064108151[Herramientas_de_medición], B160) &gt; 0, Herramientas_de_medición2064108151[[#Headers],[Herramientas_de_medición]],
    COUNTIF(Herrramientas_mecánicas2165109152[Herramientas_mecánicas], B160) &gt; 0, Herrramientas_mecánicas2165109152[[#Headers],[Herramientas_mecánicas]],
    COUNTIF(AH160:AH166, B160) &gt; 0, Herramientas_hidráulicas2266110153[[#Headers],[Herramientas_hidráulicas]],
    COUNTIF(EPP_2367111154[SPCC], B160) &gt; 0, EPP_2367111154[[#Headers],[SPCC]],
   COUNTIF(Herramientas_de_izaje2468112155[Herramientas_de_izaje], B160) &gt; 0, Herramientas_de_izaje2468112155[[#Headers],[Herramientas_de_izaje]],
COUNTIF(Tabla162670114157[Equipos], B160) &gt; 0, Tabla162670114157[[#Headers],[Equipos]],
    TRUE, "Sin clasificación"
)</f>
        <v>Sin clasificación</v>
      </c>
      <c r="I160" s="15"/>
      <c r="J160" s="47"/>
      <c r="K160" s="76"/>
      <c r="L160" s="76"/>
      <c r="M160" s="78" t="str">
        <f>_xlfn.LET(
    _xlpm.itemBuscado, B160,
    _xlpm.areaBuscada, C160,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TEXT(COUNTIF($C$2:C160, _xlpm.areaBuscada), "0000"),
    _xlpm.codItem &amp; "-" &amp; _xlpm.codArea &amp; "-" &amp; _xlpm.secuencia
)</f>
        <v>-SinArea-0000</v>
      </c>
      <c r="N160" s="77"/>
      <c r="O160" s="32"/>
      <c r="P160" s="32"/>
      <c r="Q160" s="32"/>
      <c r="R160" s="32"/>
    </row>
    <row r="161" spans="3:18" x14ac:dyDescent="0.3">
      <c r="C161" s="11"/>
      <c r="D161" s="32"/>
      <c r="E161" s="11" t="str" cm="1">
        <f t="array" ref="E161">_xlfn.IFS(
    COUNTIF(Herramientas_eléctricas1862106149[Herramientas_eléctricas], B161) &gt; 0, Herramientas_eléctricas1862106149[[#Headers],[Herramientas_eléctricas]],
    COUNTIF(Herramientas_neumáticas1963107150[Herramientas_neumáticas], B161) &gt; 0, Herramientas_neumáticas1963107150[[#Headers],[Herramientas_neumáticas]],
    COUNTIF(Herramientas_de_medición2064108151[Herramientas_de_medición], B161) &gt; 0, Herramientas_de_medición2064108151[[#Headers],[Herramientas_de_medición]],
    COUNTIF(Herrramientas_mecánicas2165109152[Herramientas_mecánicas], B161) &gt; 0, Herrramientas_mecánicas2165109152[[#Headers],[Herramientas_mecánicas]],
    COUNTIF(AH161:AH167, B161) &gt; 0, Herramientas_hidráulicas2266110153[[#Headers],[Herramientas_hidráulicas]],
    COUNTIF(EPP_2367111154[SPCC], B161) &gt; 0, EPP_2367111154[[#Headers],[SPCC]],
   COUNTIF(Herramientas_de_izaje2468112155[Herramientas_de_izaje], B161) &gt; 0, Herramientas_de_izaje2468112155[[#Headers],[Herramientas_de_izaje]],
COUNTIF(Tabla162670114157[Equipos], B161) &gt; 0, Tabla162670114157[[#Headers],[Equipos]],
    TRUE, "Sin clasificación"
)</f>
        <v>Sin clasificación</v>
      </c>
      <c r="I161" s="15"/>
      <c r="J161" s="47"/>
      <c r="K161" s="76"/>
      <c r="L161" s="76"/>
      <c r="M161" s="78" t="str">
        <f>_xlfn.LET(
    _xlpm.itemBuscado, B161,
    _xlpm.areaBuscada, C161,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TEXT(COUNTIF($C$2:C161, _xlpm.areaBuscada), "0000"),
    _xlpm.codItem &amp; "-" &amp; _xlpm.codArea &amp; "-" &amp; _xlpm.secuencia
)</f>
        <v>-SinArea-0000</v>
      </c>
      <c r="N161" s="77"/>
      <c r="O161" s="32"/>
      <c r="P161" s="32"/>
      <c r="Q161" s="32"/>
      <c r="R161" s="32"/>
    </row>
    <row r="162" spans="3:18" x14ac:dyDescent="0.3">
      <c r="C162" s="11"/>
      <c r="D162" s="32"/>
      <c r="E162" s="11" t="str" cm="1">
        <f t="array" ref="E162">_xlfn.IFS(
    COUNTIF(Herramientas_eléctricas1862106149[Herramientas_eléctricas], B162) &gt; 0, Herramientas_eléctricas1862106149[[#Headers],[Herramientas_eléctricas]],
    COUNTIF(Herramientas_neumáticas1963107150[Herramientas_neumáticas], B162) &gt; 0, Herramientas_neumáticas1963107150[[#Headers],[Herramientas_neumáticas]],
    COUNTIF(Herramientas_de_medición2064108151[Herramientas_de_medición], B162) &gt; 0, Herramientas_de_medición2064108151[[#Headers],[Herramientas_de_medición]],
    COUNTIF(Herrramientas_mecánicas2165109152[Herramientas_mecánicas], B162) &gt; 0, Herrramientas_mecánicas2165109152[[#Headers],[Herramientas_mecánicas]],
    COUNTIF(AH162:AH168, B162) &gt; 0, Herramientas_hidráulicas2266110153[[#Headers],[Herramientas_hidráulicas]],
    COUNTIF(EPP_2367111154[SPCC], B162) &gt; 0, EPP_2367111154[[#Headers],[SPCC]],
   COUNTIF(Herramientas_de_izaje2468112155[Herramientas_de_izaje], B162) &gt; 0, Herramientas_de_izaje2468112155[[#Headers],[Herramientas_de_izaje]],
COUNTIF(Tabla162670114157[Equipos], B162) &gt; 0, Tabla162670114157[[#Headers],[Equipos]],
    TRUE, "Sin clasificación"
)</f>
        <v>Sin clasificación</v>
      </c>
      <c r="I162" s="15"/>
      <c r="J162" s="47"/>
      <c r="K162" s="76"/>
      <c r="L162" s="76"/>
      <c r="M162" s="78" t="str">
        <f>_xlfn.LET(
    _xlpm.itemBuscado, B162,
    _xlpm.areaBuscada, C162,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TEXT(COUNTIF($C$2:C162, _xlpm.areaBuscada), "0000"),
    _xlpm.codItem &amp; "-" &amp; _xlpm.codArea &amp; "-" &amp; _xlpm.secuencia
)</f>
        <v>-SinArea-0000</v>
      </c>
      <c r="N162" s="77"/>
      <c r="O162" s="32"/>
      <c r="P162" s="32"/>
      <c r="Q162" s="32"/>
      <c r="R162" s="32"/>
    </row>
    <row r="163" spans="3:18" x14ac:dyDescent="0.3">
      <c r="C163" s="11"/>
      <c r="D163" s="32"/>
      <c r="E163" s="11" t="str" cm="1">
        <f t="array" ref="E163">_xlfn.IFS(
    COUNTIF(Herramientas_eléctricas1862106149[Herramientas_eléctricas], B163) &gt; 0, Herramientas_eléctricas1862106149[[#Headers],[Herramientas_eléctricas]],
    COUNTIF(Herramientas_neumáticas1963107150[Herramientas_neumáticas], B163) &gt; 0, Herramientas_neumáticas1963107150[[#Headers],[Herramientas_neumáticas]],
    COUNTIF(Herramientas_de_medición2064108151[Herramientas_de_medición], B163) &gt; 0, Herramientas_de_medición2064108151[[#Headers],[Herramientas_de_medición]],
    COUNTIF(Herrramientas_mecánicas2165109152[Herramientas_mecánicas], B163) &gt; 0, Herrramientas_mecánicas2165109152[[#Headers],[Herramientas_mecánicas]],
    COUNTIF(AH163:AH169, B163) &gt; 0, Herramientas_hidráulicas2266110153[[#Headers],[Herramientas_hidráulicas]],
    COUNTIF(EPP_2367111154[SPCC], B163) &gt; 0, EPP_2367111154[[#Headers],[SPCC]],
   COUNTIF(Herramientas_de_izaje2468112155[Herramientas_de_izaje], B163) &gt; 0, Herramientas_de_izaje2468112155[[#Headers],[Herramientas_de_izaje]],
COUNTIF(Tabla162670114157[Equipos], B163) &gt; 0, Tabla162670114157[[#Headers],[Equipos]],
    TRUE, "Sin clasificación"
)</f>
        <v>Sin clasificación</v>
      </c>
      <c r="I163" s="15"/>
      <c r="J163" s="47"/>
      <c r="K163" s="76"/>
      <c r="L163" s="76"/>
      <c r="M163" s="78" t="str">
        <f>_xlfn.LET(
    _xlpm.itemBuscado, B163,
    _xlpm.areaBuscada, C163,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TEXT(COUNTIF($C$2:C163, _xlpm.areaBuscada), "0000"),
    _xlpm.codItem &amp; "-" &amp; _xlpm.codArea &amp; "-" &amp; _xlpm.secuencia
)</f>
        <v>-SinArea-0000</v>
      </c>
      <c r="N163" s="77"/>
      <c r="O163" s="32"/>
      <c r="P163" s="32"/>
      <c r="Q163" s="32"/>
      <c r="R163" s="32"/>
    </row>
    <row r="164" spans="3:18" x14ac:dyDescent="0.3">
      <c r="C164" s="11"/>
      <c r="D164" s="32"/>
      <c r="E164" s="11" t="str" cm="1">
        <f t="array" ref="E164">_xlfn.IFS(
    COUNTIF(Herramientas_eléctricas1862106149[Herramientas_eléctricas], B164) &gt; 0, Herramientas_eléctricas1862106149[[#Headers],[Herramientas_eléctricas]],
    COUNTIF(Herramientas_neumáticas1963107150[Herramientas_neumáticas], B164) &gt; 0, Herramientas_neumáticas1963107150[[#Headers],[Herramientas_neumáticas]],
    COUNTIF(Herramientas_de_medición2064108151[Herramientas_de_medición], B164) &gt; 0, Herramientas_de_medición2064108151[[#Headers],[Herramientas_de_medición]],
    COUNTIF(Herrramientas_mecánicas2165109152[Herramientas_mecánicas], B164) &gt; 0, Herrramientas_mecánicas2165109152[[#Headers],[Herramientas_mecánicas]],
    COUNTIF(AH164:AH170, B164) &gt; 0, Herramientas_hidráulicas2266110153[[#Headers],[Herramientas_hidráulicas]],
    COUNTIF(EPP_2367111154[SPCC], B164) &gt; 0, EPP_2367111154[[#Headers],[SPCC]],
   COUNTIF(Herramientas_de_izaje2468112155[Herramientas_de_izaje], B164) &gt; 0, Herramientas_de_izaje2468112155[[#Headers],[Herramientas_de_izaje]],
COUNTIF(Tabla162670114157[Equipos], B164) &gt; 0, Tabla162670114157[[#Headers],[Equipos]],
    TRUE, "Sin clasificación"
)</f>
        <v>Sin clasificación</v>
      </c>
      <c r="I164" s="15"/>
      <c r="J164" s="47"/>
      <c r="K164" s="76"/>
      <c r="L164" s="76"/>
      <c r="M164" s="78" t="str">
        <f>_xlfn.LET(
    _xlpm.itemBuscado, B164,
    _xlpm.areaBuscada, C164,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TEXT(COUNTIF($C$2:C164, _xlpm.areaBuscada), "0000"),
    _xlpm.codItem &amp; "-" &amp; _xlpm.codArea &amp; "-" &amp; _xlpm.secuencia
)</f>
        <v>-SinArea-0000</v>
      </c>
      <c r="N164" s="77"/>
      <c r="O164" s="32"/>
      <c r="P164" s="32"/>
      <c r="Q164" s="32"/>
      <c r="R164" s="32"/>
    </row>
    <row r="165" spans="3:18" x14ac:dyDescent="0.3">
      <c r="C165" s="11"/>
      <c r="D165" s="32"/>
      <c r="E165" s="11" t="str" cm="1">
        <f t="array" ref="E165">_xlfn.IFS(
    COUNTIF(Herramientas_eléctricas1862106149[Herramientas_eléctricas], B165) &gt; 0, Herramientas_eléctricas1862106149[[#Headers],[Herramientas_eléctricas]],
    COUNTIF(Herramientas_neumáticas1963107150[Herramientas_neumáticas], B165) &gt; 0, Herramientas_neumáticas1963107150[[#Headers],[Herramientas_neumáticas]],
    COUNTIF(Herramientas_de_medición2064108151[Herramientas_de_medición], B165) &gt; 0, Herramientas_de_medición2064108151[[#Headers],[Herramientas_de_medición]],
    COUNTIF(Herrramientas_mecánicas2165109152[Herramientas_mecánicas], B165) &gt; 0, Herrramientas_mecánicas2165109152[[#Headers],[Herramientas_mecánicas]],
    COUNTIF(AH165:AH171, B165) &gt; 0, Herramientas_hidráulicas2266110153[[#Headers],[Herramientas_hidráulicas]],
    COUNTIF(EPP_2367111154[SPCC], B165) &gt; 0, EPP_2367111154[[#Headers],[SPCC]],
   COUNTIF(Herramientas_de_izaje2468112155[Herramientas_de_izaje], B165) &gt; 0, Herramientas_de_izaje2468112155[[#Headers],[Herramientas_de_izaje]],
COUNTIF(Tabla162670114157[Equipos], B165) &gt; 0, Tabla162670114157[[#Headers],[Equipos]],
    TRUE, "Sin clasificación"
)</f>
        <v>Sin clasificación</v>
      </c>
      <c r="I165" s="15"/>
      <c r="J165" s="47"/>
      <c r="K165" s="76"/>
      <c r="L165" s="76"/>
      <c r="M165" s="78" t="str">
        <f>_xlfn.LET(
    _xlpm.itemBuscado, B165,
    _xlpm.areaBuscada, C165,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TEXT(COUNTIF($C$2:C165, _xlpm.areaBuscada), "0000"),
    _xlpm.codItem &amp; "-" &amp; _xlpm.codArea &amp; "-" &amp; _xlpm.secuencia
)</f>
        <v>-SinArea-0000</v>
      </c>
      <c r="N165" s="77"/>
      <c r="O165" s="32"/>
      <c r="P165" s="32"/>
      <c r="Q165" s="32"/>
      <c r="R165" s="32"/>
    </row>
    <row r="166" spans="3:18" x14ac:dyDescent="0.3">
      <c r="C166" s="11"/>
      <c r="D166" s="32"/>
      <c r="E166" s="11" t="str" cm="1">
        <f t="array" ref="E166">_xlfn.IFS(
    COUNTIF(Herramientas_eléctricas1862106149[Herramientas_eléctricas], B166) &gt; 0, Herramientas_eléctricas1862106149[[#Headers],[Herramientas_eléctricas]],
    COUNTIF(Herramientas_neumáticas1963107150[Herramientas_neumáticas], B166) &gt; 0, Herramientas_neumáticas1963107150[[#Headers],[Herramientas_neumáticas]],
    COUNTIF(Herramientas_de_medición2064108151[Herramientas_de_medición], B166) &gt; 0, Herramientas_de_medición2064108151[[#Headers],[Herramientas_de_medición]],
    COUNTIF(Herrramientas_mecánicas2165109152[Herramientas_mecánicas], B166) &gt; 0, Herrramientas_mecánicas2165109152[[#Headers],[Herramientas_mecánicas]],
    COUNTIF(AH166:AH172, B166) &gt; 0, Herramientas_hidráulicas2266110153[[#Headers],[Herramientas_hidráulicas]],
    COUNTIF(EPP_2367111154[SPCC], B166) &gt; 0, EPP_2367111154[[#Headers],[SPCC]],
   COUNTIF(Herramientas_de_izaje2468112155[Herramientas_de_izaje], B166) &gt; 0, Herramientas_de_izaje2468112155[[#Headers],[Herramientas_de_izaje]],
COUNTIF(Tabla162670114157[Equipos], B166) &gt; 0, Tabla162670114157[[#Headers],[Equipos]],
    TRUE, "Sin clasificación"
)</f>
        <v>Sin clasificación</v>
      </c>
      <c r="I166" s="15"/>
      <c r="J166" s="47"/>
      <c r="K166" s="76"/>
      <c r="L166" s="76"/>
      <c r="M166" s="78" t="str">
        <f>_xlfn.LET(
    _xlpm.itemBuscado, B166,
    _xlpm.areaBuscada, C166,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TEXT(COUNTIF($C$2:C166, _xlpm.areaBuscada), "0000"),
    _xlpm.codItem &amp; "-" &amp; _xlpm.codArea &amp; "-" &amp; _xlpm.secuencia
)</f>
        <v>-SinArea-0000</v>
      </c>
      <c r="N166" s="77"/>
      <c r="O166" s="32"/>
      <c r="P166" s="32"/>
      <c r="Q166" s="32"/>
      <c r="R166" s="32"/>
    </row>
    <row r="167" spans="3:18" x14ac:dyDescent="0.3">
      <c r="C167" s="11"/>
      <c r="D167" s="32"/>
      <c r="E167" s="11" t="str" cm="1">
        <f t="array" ref="E167">_xlfn.IFS(
    COUNTIF(Herramientas_eléctricas1862106149[Herramientas_eléctricas], B167) &gt; 0, Herramientas_eléctricas1862106149[[#Headers],[Herramientas_eléctricas]],
    COUNTIF(Herramientas_neumáticas1963107150[Herramientas_neumáticas], B167) &gt; 0, Herramientas_neumáticas1963107150[[#Headers],[Herramientas_neumáticas]],
    COUNTIF(Herramientas_de_medición2064108151[Herramientas_de_medición], B167) &gt; 0, Herramientas_de_medición2064108151[[#Headers],[Herramientas_de_medición]],
    COUNTIF(Herrramientas_mecánicas2165109152[Herramientas_mecánicas], B167) &gt; 0, Herrramientas_mecánicas2165109152[[#Headers],[Herramientas_mecánicas]],
    COUNTIF(AH167:AH173, B167) &gt; 0, Herramientas_hidráulicas2266110153[[#Headers],[Herramientas_hidráulicas]],
    COUNTIF(EPP_2367111154[SPCC], B167) &gt; 0, EPP_2367111154[[#Headers],[SPCC]],
   COUNTIF(Herramientas_de_izaje2468112155[Herramientas_de_izaje], B167) &gt; 0, Herramientas_de_izaje2468112155[[#Headers],[Herramientas_de_izaje]],
COUNTIF(Tabla162670114157[Equipos], B167) &gt; 0, Tabla162670114157[[#Headers],[Equipos]],
    TRUE, "Sin clasificación"
)</f>
        <v>Sin clasificación</v>
      </c>
      <c r="I167" s="15"/>
      <c r="J167" s="47"/>
      <c r="K167" s="76"/>
      <c r="L167" s="76"/>
      <c r="M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N167" s="77"/>
      <c r="O167" s="32"/>
      <c r="P167" s="32"/>
      <c r="Q167" s="32"/>
      <c r="R167" s="32"/>
    </row>
    <row r="168" spans="3:18" x14ac:dyDescent="0.3">
      <c r="C168" s="11"/>
      <c r="D168" s="32"/>
      <c r="E168" s="11" t="str" cm="1">
        <f t="array" ref="E168">_xlfn.IFS(
    COUNTIF(Herramientas_eléctricas1862106149[Herramientas_eléctricas], B168) &gt; 0, Herramientas_eléctricas1862106149[[#Headers],[Herramientas_eléctricas]],
    COUNTIF(Herramientas_neumáticas1963107150[Herramientas_neumáticas], B168) &gt; 0, Herramientas_neumáticas1963107150[[#Headers],[Herramientas_neumáticas]],
    COUNTIF(Herramientas_de_medición2064108151[Herramientas_de_medición], B168) &gt; 0, Herramientas_de_medición2064108151[[#Headers],[Herramientas_de_medición]],
    COUNTIF(Herrramientas_mecánicas2165109152[Herramientas_mecánicas], B168) &gt; 0, Herrramientas_mecánicas2165109152[[#Headers],[Herramientas_mecánicas]],
    COUNTIF(AH168:AH174, B168) &gt; 0, Herramientas_hidráulicas2266110153[[#Headers],[Herramientas_hidráulicas]],
    COUNTIF(EPP_2367111154[SPCC], B168) &gt; 0, EPP_2367111154[[#Headers],[SPCC]],
   COUNTIF(Herramientas_de_izaje2468112155[Herramientas_de_izaje], B168) &gt; 0, Herramientas_de_izaje2468112155[[#Headers],[Herramientas_de_izaje]],
COUNTIF(Tabla162670114157[Equipos], B168) &gt; 0, Tabla162670114157[[#Headers],[Equipos]],
    TRUE, "Sin clasificación"
)</f>
        <v>Sin clasificación</v>
      </c>
      <c r="I168" s="15"/>
      <c r="J168" s="47"/>
      <c r="K168" s="76"/>
      <c r="L168" s="76"/>
      <c r="M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N168" s="77"/>
      <c r="O168" s="32"/>
      <c r="P168" s="32"/>
      <c r="Q168" s="32"/>
      <c r="R168" s="32"/>
    </row>
    <row r="169" spans="3:18" x14ac:dyDescent="0.3">
      <c r="C169" s="11"/>
      <c r="D169" s="32"/>
      <c r="E169" s="11" t="str" cm="1">
        <f t="array" ref="E169">_xlfn.IFS(
    COUNTIF(Herramientas_eléctricas1862106149[Herramientas_eléctricas], B169) &gt; 0, Herramientas_eléctricas1862106149[[#Headers],[Herramientas_eléctricas]],
    COUNTIF(Herramientas_neumáticas1963107150[Herramientas_neumáticas], B169) &gt; 0, Herramientas_neumáticas1963107150[[#Headers],[Herramientas_neumáticas]],
    COUNTIF(Herramientas_de_medición2064108151[Herramientas_de_medición], B169) &gt; 0, Herramientas_de_medición2064108151[[#Headers],[Herramientas_de_medición]],
    COUNTIF(Herrramientas_mecánicas2165109152[Herramientas_mecánicas], B169) &gt; 0, Herrramientas_mecánicas2165109152[[#Headers],[Herramientas_mecánicas]],
    COUNTIF(AH169:AH175, B169) &gt; 0, Herramientas_hidráulicas2266110153[[#Headers],[Herramientas_hidráulicas]],
    COUNTIF(EPP_2367111154[SPCC], B169) &gt; 0, EPP_2367111154[[#Headers],[SPCC]],
   COUNTIF(Herramientas_de_izaje2468112155[Herramientas_de_izaje], B169) &gt; 0, Herramientas_de_izaje2468112155[[#Headers],[Herramientas_de_izaje]],
COUNTIF(Tabla162670114157[Equipos], B169) &gt; 0, Tabla162670114157[[#Headers],[Equipos]],
    TRUE, "Sin clasificación"
)</f>
        <v>Sin clasificación</v>
      </c>
      <c r="I169" s="15"/>
      <c r="J169" s="47"/>
      <c r="K169" s="76"/>
      <c r="L169" s="76"/>
      <c r="M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N169" s="77"/>
      <c r="O169" s="32"/>
      <c r="P169" s="32"/>
      <c r="Q169" s="32"/>
      <c r="R169" s="32"/>
    </row>
    <row r="170" spans="3:18" x14ac:dyDescent="0.3">
      <c r="C170" s="11"/>
      <c r="D170" s="32"/>
      <c r="E170" s="11" t="str" cm="1">
        <f t="array" ref="E170">_xlfn.IFS(
    COUNTIF(Herramientas_eléctricas1862106149[Herramientas_eléctricas], B170) &gt; 0, Herramientas_eléctricas1862106149[[#Headers],[Herramientas_eléctricas]],
    COUNTIF(Herramientas_neumáticas1963107150[Herramientas_neumáticas], B170) &gt; 0, Herramientas_neumáticas1963107150[[#Headers],[Herramientas_neumáticas]],
    COUNTIF(Herramientas_de_medición2064108151[Herramientas_de_medición], B170) &gt; 0, Herramientas_de_medición2064108151[[#Headers],[Herramientas_de_medición]],
    COUNTIF(Herrramientas_mecánicas2165109152[Herramientas_mecánicas], B170) &gt; 0, Herrramientas_mecánicas2165109152[[#Headers],[Herramientas_mecánicas]],
    COUNTIF(AH170:AH176, B170) &gt; 0, Herramientas_hidráulicas2266110153[[#Headers],[Herramientas_hidráulicas]],
    COUNTIF(EPP_2367111154[SPCC], B170) &gt; 0, EPP_2367111154[[#Headers],[SPCC]],
   COUNTIF(Herramientas_de_izaje2468112155[Herramientas_de_izaje], B170) &gt; 0, Herramientas_de_izaje2468112155[[#Headers],[Herramientas_de_izaje]],
COUNTIF(Tabla162670114157[Equipos], B170) &gt; 0, Tabla162670114157[[#Headers],[Equipos]],
    TRUE, "Sin clasificación"
)</f>
        <v>Sin clasificación</v>
      </c>
      <c r="I170" s="15"/>
      <c r="J170" s="47"/>
      <c r="K170" s="76"/>
      <c r="L170" s="76"/>
      <c r="M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N170" s="77"/>
      <c r="O170" s="32"/>
      <c r="P170" s="32"/>
      <c r="Q170" s="32"/>
      <c r="R170" s="32"/>
    </row>
    <row r="171" spans="3:18" x14ac:dyDescent="0.3">
      <c r="C171" s="11"/>
      <c r="D171" s="32"/>
      <c r="E171" s="11" t="str" cm="1">
        <f t="array" ref="E171">_xlfn.IFS(
    COUNTIF(Herramientas_eléctricas1862106149[Herramientas_eléctricas], B171) &gt; 0, Herramientas_eléctricas1862106149[[#Headers],[Herramientas_eléctricas]],
    COUNTIF(Herramientas_neumáticas1963107150[Herramientas_neumáticas], B171) &gt; 0, Herramientas_neumáticas1963107150[[#Headers],[Herramientas_neumáticas]],
    COUNTIF(Herramientas_de_medición2064108151[Herramientas_de_medición], B171) &gt; 0, Herramientas_de_medición2064108151[[#Headers],[Herramientas_de_medición]],
    COUNTIF(Herrramientas_mecánicas2165109152[Herramientas_mecánicas], B171) &gt; 0, Herrramientas_mecánicas2165109152[[#Headers],[Herramientas_mecánicas]],
    COUNTIF(AH171:AH177, B171) &gt; 0, Herramientas_hidráulicas2266110153[[#Headers],[Herramientas_hidráulicas]],
    COUNTIF(EPP_2367111154[SPCC], B171) &gt; 0, EPP_2367111154[[#Headers],[SPCC]],
   COUNTIF(Herramientas_de_izaje2468112155[Herramientas_de_izaje], B171) &gt; 0, Herramientas_de_izaje2468112155[[#Headers],[Herramientas_de_izaje]],
COUNTIF(Tabla162670114157[Equipos], B171) &gt; 0, Tabla162670114157[[#Headers],[Equipos]],
    TRUE, "Sin clasificación"
)</f>
        <v>Sin clasificación</v>
      </c>
      <c r="I171" s="15"/>
      <c r="J171" s="47"/>
      <c r="K171" s="76"/>
      <c r="L171" s="76"/>
      <c r="M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N171" s="77"/>
      <c r="O171" s="32"/>
      <c r="P171" s="32"/>
      <c r="Q171" s="32"/>
      <c r="R171" s="32"/>
    </row>
    <row r="172" spans="3:18" x14ac:dyDescent="0.3">
      <c r="C172" s="11"/>
      <c r="D172" s="32"/>
      <c r="E172" s="11" t="str" cm="1">
        <f t="array" ref="E172">_xlfn.IFS(
    COUNTIF(Herramientas_eléctricas1862106149[Herramientas_eléctricas], B172) &gt; 0, Herramientas_eléctricas1862106149[[#Headers],[Herramientas_eléctricas]],
    COUNTIF(Herramientas_neumáticas1963107150[Herramientas_neumáticas], B172) &gt; 0, Herramientas_neumáticas1963107150[[#Headers],[Herramientas_neumáticas]],
    COUNTIF(Herramientas_de_medición2064108151[Herramientas_de_medición], B172) &gt; 0, Herramientas_de_medición2064108151[[#Headers],[Herramientas_de_medición]],
    COUNTIF(Herrramientas_mecánicas2165109152[Herramientas_mecánicas], B172) &gt; 0, Herrramientas_mecánicas2165109152[[#Headers],[Herramientas_mecánicas]],
    COUNTIF(AH172:AH178, B172) &gt; 0, Herramientas_hidráulicas2266110153[[#Headers],[Herramientas_hidráulicas]],
    COUNTIF(EPP_2367111154[SPCC], B172) &gt; 0, EPP_2367111154[[#Headers],[SPCC]],
   COUNTIF(Herramientas_de_izaje2468112155[Herramientas_de_izaje], B172) &gt; 0, Herramientas_de_izaje2468112155[[#Headers],[Herramientas_de_izaje]],
COUNTIF(Tabla162670114157[Equipos], B172) &gt; 0, Tabla162670114157[[#Headers],[Equipos]],
    TRUE, "Sin clasificación"
)</f>
        <v>Sin clasificación</v>
      </c>
      <c r="I172" s="15"/>
      <c r="J172" s="47"/>
      <c r="K172" s="76"/>
      <c r="L172" s="76"/>
      <c r="M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N172" s="77"/>
      <c r="O172" s="32"/>
      <c r="P172" s="32"/>
      <c r="Q172" s="32"/>
      <c r="R172" s="32"/>
    </row>
    <row r="173" spans="3:18" x14ac:dyDescent="0.3">
      <c r="C173" s="11"/>
      <c r="D173" s="32"/>
      <c r="E173" s="11" t="str" cm="1">
        <f t="array" ref="E173">_xlfn.IFS(
    COUNTIF(Herramientas_eléctricas1862106149[Herramientas_eléctricas], B173) &gt; 0, Herramientas_eléctricas1862106149[[#Headers],[Herramientas_eléctricas]],
    COUNTIF(Herramientas_neumáticas1963107150[Herramientas_neumáticas], B173) &gt; 0, Herramientas_neumáticas1963107150[[#Headers],[Herramientas_neumáticas]],
    COUNTIF(Herramientas_de_medición2064108151[Herramientas_de_medición], B173) &gt; 0, Herramientas_de_medición2064108151[[#Headers],[Herramientas_de_medición]],
    COUNTIF(Herrramientas_mecánicas2165109152[Herramientas_mecánicas], B173) &gt; 0, Herrramientas_mecánicas2165109152[[#Headers],[Herramientas_mecánicas]],
    COUNTIF(AH173:AH179, B173) &gt; 0, Herramientas_hidráulicas2266110153[[#Headers],[Herramientas_hidráulicas]],
    COUNTIF(EPP_2367111154[SPCC], B173) &gt; 0, EPP_2367111154[[#Headers],[SPCC]],
   COUNTIF(Herramientas_de_izaje2468112155[Herramientas_de_izaje], B173) &gt; 0, Herramientas_de_izaje2468112155[[#Headers],[Herramientas_de_izaje]],
COUNTIF(Tabla162670114157[Equipos], B173) &gt; 0, Tabla162670114157[[#Headers],[Equipos]],
    TRUE, "Sin clasificación"
)</f>
        <v>Sin clasificación</v>
      </c>
      <c r="I173" s="15"/>
      <c r="J173" s="47"/>
      <c r="K173" s="76"/>
      <c r="L173" s="76"/>
      <c r="M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N173" s="77"/>
      <c r="O173" s="32"/>
      <c r="P173" s="32"/>
      <c r="Q173" s="32"/>
      <c r="R173" s="32"/>
    </row>
    <row r="174" spans="3:18" x14ac:dyDescent="0.3">
      <c r="C174" s="11"/>
      <c r="D174" s="32"/>
      <c r="E174" s="11" t="str" cm="1">
        <f t="array" ref="E174">_xlfn.IFS(
    COUNTIF(Herramientas_eléctricas1862106149[Herramientas_eléctricas], B174) &gt; 0, Herramientas_eléctricas1862106149[[#Headers],[Herramientas_eléctricas]],
    COUNTIF(Herramientas_neumáticas1963107150[Herramientas_neumáticas], B174) &gt; 0, Herramientas_neumáticas1963107150[[#Headers],[Herramientas_neumáticas]],
    COUNTIF(Herramientas_de_medición2064108151[Herramientas_de_medición], B174) &gt; 0, Herramientas_de_medición2064108151[[#Headers],[Herramientas_de_medición]],
    COUNTIF(Herrramientas_mecánicas2165109152[Herramientas_mecánicas], B174) &gt; 0, Herrramientas_mecánicas2165109152[[#Headers],[Herramientas_mecánicas]],
    COUNTIF(AH174:AH180, B174) &gt; 0, Herramientas_hidráulicas2266110153[[#Headers],[Herramientas_hidráulicas]],
    COUNTIF(EPP_2367111154[SPCC], B174) &gt; 0, EPP_2367111154[[#Headers],[SPCC]],
   COUNTIF(Herramientas_de_izaje2468112155[Herramientas_de_izaje], B174) &gt; 0, Herramientas_de_izaje2468112155[[#Headers],[Herramientas_de_izaje]],
COUNTIF(Tabla162670114157[Equipos], B174) &gt; 0, Tabla162670114157[[#Headers],[Equipos]],
    TRUE, "Sin clasificación"
)</f>
        <v>Sin clasificación</v>
      </c>
      <c r="I174" s="15"/>
      <c r="J174" s="47"/>
      <c r="K174" s="76"/>
      <c r="L174" s="76"/>
      <c r="M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N174" s="77"/>
      <c r="O174" s="32"/>
      <c r="P174" s="32"/>
      <c r="Q174" s="32"/>
      <c r="R174" s="32"/>
    </row>
    <row r="175" spans="3:18" x14ac:dyDescent="0.3">
      <c r="C175" s="11"/>
      <c r="D175" s="32"/>
      <c r="E175" s="11" t="str" cm="1">
        <f t="array" ref="E175">_xlfn.IFS(
    COUNTIF(Herramientas_eléctricas1862106149[Herramientas_eléctricas], B175) &gt; 0, Herramientas_eléctricas1862106149[[#Headers],[Herramientas_eléctricas]],
    COUNTIF(Herramientas_neumáticas1963107150[Herramientas_neumáticas], B175) &gt; 0, Herramientas_neumáticas1963107150[[#Headers],[Herramientas_neumáticas]],
    COUNTIF(Herramientas_de_medición2064108151[Herramientas_de_medición], B175) &gt; 0, Herramientas_de_medición2064108151[[#Headers],[Herramientas_de_medición]],
    COUNTIF(Herrramientas_mecánicas2165109152[Herramientas_mecánicas], B175) &gt; 0, Herrramientas_mecánicas2165109152[[#Headers],[Herramientas_mecánicas]],
    COUNTIF(AH175:AH181, B175) &gt; 0, Herramientas_hidráulicas2266110153[[#Headers],[Herramientas_hidráulicas]],
    COUNTIF(EPP_2367111154[SPCC], B175) &gt; 0, EPP_2367111154[[#Headers],[SPCC]],
   COUNTIF(Herramientas_de_izaje2468112155[Herramientas_de_izaje], B175) &gt; 0, Herramientas_de_izaje2468112155[[#Headers],[Herramientas_de_izaje]],
COUNTIF(Tabla162670114157[Equipos], B175) &gt; 0, Tabla162670114157[[#Headers],[Equipos]],
    TRUE, "Sin clasificación"
)</f>
        <v>Sin clasificación</v>
      </c>
      <c r="I175" s="15"/>
      <c r="J175" s="47"/>
      <c r="K175" s="76"/>
      <c r="L175" s="76"/>
      <c r="M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N175" s="77"/>
      <c r="O175" s="32"/>
      <c r="P175" s="32"/>
      <c r="Q175" s="32"/>
      <c r="R175" s="32"/>
    </row>
    <row r="176" spans="3:18" x14ac:dyDescent="0.3">
      <c r="C176" s="11"/>
      <c r="D176" s="32"/>
      <c r="E176" s="11" t="str" cm="1">
        <f t="array" ref="E176">_xlfn.IFS(
    COUNTIF(Herramientas_eléctricas1862106149[Herramientas_eléctricas], B176) &gt; 0, Herramientas_eléctricas1862106149[[#Headers],[Herramientas_eléctricas]],
    COUNTIF(Herramientas_neumáticas1963107150[Herramientas_neumáticas], B176) &gt; 0, Herramientas_neumáticas1963107150[[#Headers],[Herramientas_neumáticas]],
    COUNTIF(Herramientas_de_medición2064108151[Herramientas_de_medición], B176) &gt; 0, Herramientas_de_medición2064108151[[#Headers],[Herramientas_de_medición]],
    COUNTIF(Herrramientas_mecánicas2165109152[Herramientas_mecánicas], B176) &gt; 0, Herrramientas_mecánicas2165109152[[#Headers],[Herramientas_mecánicas]],
    COUNTIF(AH176:AH182, B176) &gt; 0, Herramientas_hidráulicas2266110153[[#Headers],[Herramientas_hidráulicas]],
    COUNTIF(EPP_2367111154[SPCC], B176) &gt; 0, EPP_2367111154[[#Headers],[SPCC]],
   COUNTIF(Herramientas_de_izaje2468112155[Herramientas_de_izaje], B176) &gt; 0, Herramientas_de_izaje2468112155[[#Headers],[Herramientas_de_izaje]],
COUNTIF(Tabla162670114157[Equipos], B176) &gt; 0, Tabla162670114157[[#Headers],[Equipos]],
    TRUE, "Sin clasificación"
)</f>
        <v>Sin clasificación</v>
      </c>
      <c r="I176" s="15"/>
      <c r="J176" s="47"/>
      <c r="K176" s="76"/>
      <c r="L176" s="76"/>
      <c r="M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N176" s="77"/>
      <c r="O176" s="32"/>
      <c r="P176" s="32"/>
      <c r="Q176" s="32"/>
      <c r="R176" s="32"/>
    </row>
    <row r="177" spans="3:18" x14ac:dyDescent="0.3">
      <c r="C177" s="11"/>
      <c r="D177" s="32"/>
      <c r="E177" s="11" t="str" cm="1">
        <f t="array" ref="E177">_xlfn.IFS(
    COUNTIF(Herramientas_eléctricas1862106149[Herramientas_eléctricas], B177) &gt; 0, Herramientas_eléctricas1862106149[[#Headers],[Herramientas_eléctricas]],
    COUNTIF(Herramientas_neumáticas1963107150[Herramientas_neumáticas], B177) &gt; 0, Herramientas_neumáticas1963107150[[#Headers],[Herramientas_neumáticas]],
    COUNTIF(Herramientas_de_medición2064108151[Herramientas_de_medición], B177) &gt; 0, Herramientas_de_medición2064108151[[#Headers],[Herramientas_de_medición]],
    COUNTIF(Herrramientas_mecánicas2165109152[Herramientas_mecánicas], B177) &gt; 0, Herrramientas_mecánicas2165109152[[#Headers],[Herramientas_mecánicas]],
    COUNTIF(AH177:AH183, B177) &gt; 0, Herramientas_hidráulicas2266110153[[#Headers],[Herramientas_hidráulicas]],
    COUNTIF(EPP_2367111154[SPCC], B177) &gt; 0, EPP_2367111154[[#Headers],[SPCC]],
   COUNTIF(Herramientas_de_izaje2468112155[Herramientas_de_izaje], B177) &gt; 0, Herramientas_de_izaje2468112155[[#Headers],[Herramientas_de_izaje]],
COUNTIF(Tabla162670114157[Equipos], B177) &gt; 0, Tabla162670114157[[#Headers],[Equipos]],
    TRUE, "Sin clasificación"
)</f>
        <v>Sin clasificación</v>
      </c>
      <c r="I177" s="15"/>
      <c r="J177" s="47"/>
      <c r="K177" s="76"/>
      <c r="L177" s="76"/>
      <c r="M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N177" s="77"/>
      <c r="O177" s="32"/>
      <c r="P177" s="32"/>
      <c r="Q177" s="32"/>
      <c r="R177" s="32"/>
    </row>
    <row r="178" spans="3:18" x14ac:dyDescent="0.3">
      <c r="C178" s="11"/>
      <c r="D178" s="32"/>
      <c r="E178" s="11" t="str" cm="1">
        <f t="array" ref="E178">_xlfn.IFS(
    COUNTIF(Herramientas_eléctricas1862106149[Herramientas_eléctricas], B178) &gt; 0, Herramientas_eléctricas1862106149[[#Headers],[Herramientas_eléctricas]],
    COUNTIF(Herramientas_neumáticas1963107150[Herramientas_neumáticas], B178) &gt; 0, Herramientas_neumáticas1963107150[[#Headers],[Herramientas_neumáticas]],
    COUNTIF(Herramientas_de_medición2064108151[Herramientas_de_medición], B178) &gt; 0, Herramientas_de_medición2064108151[[#Headers],[Herramientas_de_medición]],
    COUNTIF(Herrramientas_mecánicas2165109152[Herramientas_mecánicas], B178) &gt; 0, Herrramientas_mecánicas2165109152[[#Headers],[Herramientas_mecánicas]],
    COUNTIF(AH178:AH184, B178) &gt; 0, Herramientas_hidráulicas2266110153[[#Headers],[Herramientas_hidráulicas]],
    COUNTIF(EPP_2367111154[SPCC], B178) &gt; 0, EPP_2367111154[[#Headers],[SPCC]],
   COUNTIF(Herramientas_de_izaje2468112155[Herramientas_de_izaje], B178) &gt; 0, Herramientas_de_izaje2468112155[[#Headers],[Herramientas_de_izaje]],
COUNTIF(Tabla162670114157[Equipos], B178) &gt; 0, Tabla162670114157[[#Headers],[Equipos]],
    TRUE, "Sin clasificación"
)</f>
        <v>Sin clasificación</v>
      </c>
      <c r="I178" s="15"/>
      <c r="J178" s="47"/>
      <c r="K178" s="76"/>
      <c r="L178" s="76"/>
      <c r="M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N178" s="77"/>
      <c r="O178" s="32"/>
      <c r="P178" s="32"/>
      <c r="Q178" s="32"/>
      <c r="R178" s="32"/>
    </row>
    <row r="179" spans="3:18" x14ac:dyDescent="0.3">
      <c r="C179" s="11"/>
      <c r="D179" s="32"/>
      <c r="E179" s="11" t="str" cm="1">
        <f t="array" ref="E179">_xlfn.IFS(
    COUNTIF(Herramientas_eléctricas1862106149[Herramientas_eléctricas], B179) &gt; 0, Herramientas_eléctricas1862106149[[#Headers],[Herramientas_eléctricas]],
    COUNTIF(Herramientas_neumáticas1963107150[Herramientas_neumáticas], B179) &gt; 0, Herramientas_neumáticas1963107150[[#Headers],[Herramientas_neumáticas]],
    COUNTIF(Herramientas_de_medición2064108151[Herramientas_de_medición], B179) &gt; 0, Herramientas_de_medición2064108151[[#Headers],[Herramientas_de_medición]],
    COUNTIF(Herrramientas_mecánicas2165109152[Herramientas_mecánicas], B179) &gt; 0, Herrramientas_mecánicas2165109152[[#Headers],[Herramientas_mecánicas]],
    COUNTIF(AH179:AH185, B179) &gt; 0, Herramientas_hidráulicas2266110153[[#Headers],[Herramientas_hidráulicas]],
    COUNTIF(EPP_2367111154[SPCC], B179) &gt; 0, EPP_2367111154[[#Headers],[SPCC]],
   COUNTIF(Herramientas_de_izaje2468112155[Herramientas_de_izaje], B179) &gt; 0, Herramientas_de_izaje2468112155[[#Headers],[Herramientas_de_izaje]],
COUNTIF(Tabla162670114157[Equipos], B179) &gt; 0, Tabla162670114157[[#Headers],[Equipos]],
    TRUE, "Sin clasificación"
)</f>
        <v>Sin clasificación</v>
      </c>
      <c r="I179" s="15"/>
      <c r="J179" s="47"/>
      <c r="K179" s="76"/>
      <c r="L179" s="76"/>
      <c r="M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N179" s="77"/>
      <c r="O179" s="32"/>
      <c r="P179" s="32"/>
      <c r="Q179" s="32"/>
      <c r="R179" s="32"/>
    </row>
    <row r="180" spans="3:18" x14ac:dyDescent="0.3">
      <c r="C180" s="11"/>
      <c r="D180" s="32"/>
      <c r="E180" s="11" t="str" cm="1">
        <f t="array" ref="E180">_xlfn.IFS(
    COUNTIF(Herramientas_eléctricas1862106149[Herramientas_eléctricas], B180) &gt; 0, Herramientas_eléctricas1862106149[[#Headers],[Herramientas_eléctricas]],
    COUNTIF(Herramientas_neumáticas1963107150[Herramientas_neumáticas], B180) &gt; 0, Herramientas_neumáticas1963107150[[#Headers],[Herramientas_neumáticas]],
    COUNTIF(Herramientas_de_medición2064108151[Herramientas_de_medición], B180) &gt; 0, Herramientas_de_medición2064108151[[#Headers],[Herramientas_de_medición]],
    COUNTIF(Herrramientas_mecánicas2165109152[Herramientas_mecánicas], B180) &gt; 0, Herrramientas_mecánicas2165109152[[#Headers],[Herramientas_mecánicas]],
    COUNTIF(AH180:AH186, B180) &gt; 0, Herramientas_hidráulicas2266110153[[#Headers],[Herramientas_hidráulicas]],
    COUNTIF(EPP_2367111154[SPCC], B180) &gt; 0, EPP_2367111154[[#Headers],[SPCC]],
   COUNTIF(Herramientas_de_izaje2468112155[Herramientas_de_izaje], B180) &gt; 0, Herramientas_de_izaje2468112155[[#Headers],[Herramientas_de_izaje]],
COUNTIF(Tabla162670114157[Equipos], B180) &gt; 0, Tabla162670114157[[#Headers],[Equipos]],
    TRUE, "Sin clasificación"
)</f>
        <v>Sin clasificación</v>
      </c>
      <c r="I180" s="15"/>
      <c r="J180" s="47"/>
      <c r="K180" s="76"/>
      <c r="L180" s="76"/>
      <c r="M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N180" s="77"/>
      <c r="O180" s="32"/>
      <c r="P180" s="32"/>
      <c r="Q180" s="32"/>
      <c r="R180" s="32"/>
    </row>
    <row r="181" spans="3:18" x14ac:dyDescent="0.3">
      <c r="C181" s="11"/>
      <c r="D181" s="32"/>
      <c r="E181" s="11" t="str" cm="1">
        <f t="array" ref="E181">_xlfn.IFS(
    COUNTIF(Herramientas_eléctricas1862106149[Herramientas_eléctricas], B181) &gt; 0, Herramientas_eléctricas1862106149[[#Headers],[Herramientas_eléctricas]],
    COUNTIF(Herramientas_neumáticas1963107150[Herramientas_neumáticas], B181) &gt; 0, Herramientas_neumáticas1963107150[[#Headers],[Herramientas_neumáticas]],
    COUNTIF(Herramientas_de_medición2064108151[Herramientas_de_medición], B181) &gt; 0, Herramientas_de_medición2064108151[[#Headers],[Herramientas_de_medición]],
    COUNTIF(Herrramientas_mecánicas2165109152[Herramientas_mecánicas], B181) &gt; 0, Herrramientas_mecánicas2165109152[[#Headers],[Herramientas_mecánicas]],
    COUNTIF(AH181:AH187, B181) &gt; 0, Herramientas_hidráulicas2266110153[[#Headers],[Herramientas_hidráulicas]],
    COUNTIF(EPP_2367111154[SPCC], B181) &gt; 0, EPP_2367111154[[#Headers],[SPCC]],
   COUNTIF(Herramientas_de_izaje2468112155[Herramientas_de_izaje], B181) &gt; 0, Herramientas_de_izaje2468112155[[#Headers],[Herramientas_de_izaje]],
COUNTIF(Tabla162670114157[Equipos], B181) &gt; 0, Tabla162670114157[[#Headers],[Equipos]],
    TRUE, "Sin clasificación"
)</f>
        <v>Sin clasificación</v>
      </c>
      <c r="I181" s="15"/>
      <c r="J181" s="47"/>
      <c r="K181" s="76"/>
      <c r="L181" s="76"/>
      <c r="M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N181" s="77"/>
      <c r="O181" s="32"/>
      <c r="P181" s="32"/>
      <c r="Q181" s="32"/>
      <c r="R181" s="32"/>
    </row>
    <row r="182" spans="3:18" x14ac:dyDescent="0.3">
      <c r="C182" s="11"/>
      <c r="D182" s="32"/>
      <c r="E182" s="11" t="str" cm="1">
        <f t="array" ref="E182">_xlfn.IFS(
    COUNTIF(Herramientas_eléctricas1862106149[Herramientas_eléctricas], B182) &gt; 0, Herramientas_eléctricas1862106149[[#Headers],[Herramientas_eléctricas]],
    COUNTIF(Herramientas_neumáticas1963107150[Herramientas_neumáticas], B182) &gt; 0, Herramientas_neumáticas1963107150[[#Headers],[Herramientas_neumáticas]],
    COUNTIF(Herramientas_de_medición2064108151[Herramientas_de_medición], B182) &gt; 0, Herramientas_de_medición2064108151[[#Headers],[Herramientas_de_medición]],
    COUNTIF(Herrramientas_mecánicas2165109152[Herramientas_mecánicas], B182) &gt; 0, Herrramientas_mecánicas2165109152[[#Headers],[Herramientas_mecánicas]],
    COUNTIF(AH182:AH188, B182) &gt; 0, Herramientas_hidráulicas2266110153[[#Headers],[Herramientas_hidráulicas]],
    COUNTIF(EPP_2367111154[SPCC], B182) &gt; 0, EPP_2367111154[[#Headers],[SPCC]],
   COUNTIF(Herramientas_de_izaje2468112155[Herramientas_de_izaje], B182) &gt; 0, Herramientas_de_izaje2468112155[[#Headers],[Herramientas_de_izaje]],
COUNTIF(Tabla162670114157[Equipos], B182) &gt; 0, Tabla162670114157[[#Headers],[Equipos]],
    TRUE, "Sin clasificación"
)</f>
        <v>Sin clasificación</v>
      </c>
      <c r="I182" s="15"/>
      <c r="J182" s="47"/>
      <c r="K182" s="76"/>
      <c r="L182" s="76"/>
      <c r="M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N182" s="77"/>
      <c r="O182" s="32"/>
      <c r="P182" s="32"/>
      <c r="Q182" s="32"/>
      <c r="R182" s="32"/>
    </row>
    <row r="183" spans="3:18" x14ac:dyDescent="0.3">
      <c r="C183" s="11"/>
      <c r="D183" s="32"/>
      <c r="E183" s="11" t="str" cm="1">
        <f t="array" ref="E183">_xlfn.IFS(
    COUNTIF(Herramientas_eléctricas1862106149[Herramientas_eléctricas], B183) &gt; 0, Herramientas_eléctricas1862106149[[#Headers],[Herramientas_eléctricas]],
    COUNTIF(Herramientas_neumáticas1963107150[Herramientas_neumáticas], B183) &gt; 0, Herramientas_neumáticas1963107150[[#Headers],[Herramientas_neumáticas]],
    COUNTIF(Herramientas_de_medición2064108151[Herramientas_de_medición], B183) &gt; 0, Herramientas_de_medición2064108151[[#Headers],[Herramientas_de_medición]],
    COUNTIF(Herrramientas_mecánicas2165109152[Herramientas_mecánicas], B183) &gt; 0, Herrramientas_mecánicas2165109152[[#Headers],[Herramientas_mecánicas]],
    COUNTIF(AH183:AH189, B183) &gt; 0, Herramientas_hidráulicas2266110153[[#Headers],[Herramientas_hidráulicas]],
    COUNTIF(EPP_2367111154[SPCC], B183) &gt; 0, EPP_2367111154[[#Headers],[SPCC]],
   COUNTIF(Herramientas_de_izaje2468112155[Herramientas_de_izaje], B183) &gt; 0, Herramientas_de_izaje2468112155[[#Headers],[Herramientas_de_izaje]],
COUNTIF(Tabla162670114157[Equipos], B183) &gt; 0, Tabla162670114157[[#Headers],[Equipos]],
    TRUE, "Sin clasificación"
)</f>
        <v>Sin clasificación</v>
      </c>
      <c r="I183" s="15"/>
      <c r="J183" s="47"/>
      <c r="K183" s="76"/>
      <c r="L183" s="76"/>
      <c r="M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N183" s="77"/>
      <c r="O183" s="32"/>
      <c r="P183" s="32"/>
      <c r="Q183" s="32"/>
      <c r="R183" s="32"/>
    </row>
    <row r="184" spans="3:18" x14ac:dyDescent="0.3">
      <c r="C184" s="11"/>
      <c r="D184" s="32"/>
      <c r="E184" s="11" t="str" cm="1">
        <f t="array" ref="E184">_xlfn.IFS(
    COUNTIF(Herramientas_eléctricas1862106149[Herramientas_eléctricas], B184) &gt; 0, Herramientas_eléctricas1862106149[[#Headers],[Herramientas_eléctricas]],
    COUNTIF(Herramientas_neumáticas1963107150[Herramientas_neumáticas], B184) &gt; 0, Herramientas_neumáticas1963107150[[#Headers],[Herramientas_neumáticas]],
    COUNTIF(Herramientas_de_medición2064108151[Herramientas_de_medición], B184) &gt; 0, Herramientas_de_medición2064108151[[#Headers],[Herramientas_de_medición]],
    COUNTIF(Herrramientas_mecánicas2165109152[Herramientas_mecánicas], B184) &gt; 0, Herrramientas_mecánicas2165109152[[#Headers],[Herramientas_mecánicas]],
    COUNTIF(AH184:AH190, B184) &gt; 0, Herramientas_hidráulicas2266110153[[#Headers],[Herramientas_hidráulicas]],
    COUNTIF(EPP_2367111154[SPCC], B184) &gt; 0, EPP_2367111154[[#Headers],[SPCC]],
   COUNTIF(Herramientas_de_izaje2468112155[Herramientas_de_izaje], B184) &gt; 0, Herramientas_de_izaje2468112155[[#Headers],[Herramientas_de_izaje]],
COUNTIF(Tabla162670114157[Equipos], B184) &gt; 0, Tabla162670114157[[#Headers],[Equipos]],
    TRUE, "Sin clasificación"
)</f>
        <v>Sin clasificación</v>
      </c>
      <c r="I184" s="15"/>
      <c r="J184" s="47"/>
      <c r="K184" s="76"/>
      <c r="L184" s="76"/>
      <c r="M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N184" s="77"/>
      <c r="O184" s="32"/>
      <c r="P184" s="32"/>
      <c r="Q184" s="32"/>
      <c r="R184" s="32"/>
    </row>
    <row r="185" spans="3:18" x14ac:dyDescent="0.3">
      <c r="C185" s="11"/>
      <c r="D185" s="32"/>
      <c r="E185" s="11" t="str" cm="1">
        <f t="array" ref="E185">_xlfn.IFS(
    COUNTIF(Herramientas_eléctricas1862106149[Herramientas_eléctricas], B185) &gt; 0, Herramientas_eléctricas1862106149[[#Headers],[Herramientas_eléctricas]],
    COUNTIF(Herramientas_neumáticas1963107150[Herramientas_neumáticas], B185) &gt; 0, Herramientas_neumáticas1963107150[[#Headers],[Herramientas_neumáticas]],
    COUNTIF(Herramientas_de_medición2064108151[Herramientas_de_medición], B185) &gt; 0, Herramientas_de_medición2064108151[[#Headers],[Herramientas_de_medición]],
    COUNTIF(Herrramientas_mecánicas2165109152[Herramientas_mecánicas], B185) &gt; 0, Herrramientas_mecánicas2165109152[[#Headers],[Herramientas_mecánicas]],
    COUNTIF(AH185:AH191, B185) &gt; 0, Herramientas_hidráulicas2266110153[[#Headers],[Herramientas_hidráulicas]],
    COUNTIF(EPP_2367111154[SPCC], B185) &gt; 0, EPP_2367111154[[#Headers],[SPCC]],
   COUNTIF(Herramientas_de_izaje2468112155[Herramientas_de_izaje], B185) &gt; 0, Herramientas_de_izaje2468112155[[#Headers],[Herramientas_de_izaje]],
COUNTIF(Tabla162670114157[Equipos], B185) &gt; 0, Tabla162670114157[[#Headers],[Equipos]],
    TRUE, "Sin clasificación"
)</f>
        <v>Sin clasificación</v>
      </c>
      <c r="I185" s="15"/>
      <c r="J185" s="47"/>
      <c r="K185" s="76"/>
      <c r="L185" s="76"/>
      <c r="M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N185" s="77"/>
      <c r="O185" s="32"/>
      <c r="P185" s="32"/>
      <c r="Q185" s="32"/>
      <c r="R185" s="32"/>
    </row>
    <row r="186" spans="3:18" x14ac:dyDescent="0.3">
      <c r="C186" s="11"/>
      <c r="D186" s="32"/>
      <c r="E186" s="11" t="str" cm="1">
        <f t="array" ref="E186">_xlfn.IFS(
    COUNTIF(Herramientas_eléctricas1862106149[Herramientas_eléctricas], B186) &gt; 0, Herramientas_eléctricas1862106149[[#Headers],[Herramientas_eléctricas]],
    COUNTIF(Herramientas_neumáticas1963107150[Herramientas_neumáticas], B186) &gt; 0, Herramientas_neumáticas1963107150[[#Headers],[Herramientas_neumáticas]],
    COUNTIF(Herramientas_de_medición2064108151[Herramientas_de_medición], B186) &gt; 0, Herramientas_de_medición2064108151[[#Headers],[Herramientas_de_medición]],
    COUNTIF(Herrramientas_mecánicas2165109152[Herramientas_mecánicas], B186) &gt; 0, Herrramientas_mecánicas2165109152[[#Headers],[Herramientas_mecánicas]],
    COUNTIF(AH186:AH192, B186) &gt; 0, Herramientas_hidráulicas2266110153[[#Headers],[Herramientas_hidráulicas]],
    COUNTIF(EPP_2367111154[SPCC], B186) &gt; 0, EPP_2367111154[[#Headers],[SPCC]],
   COUNTIF(Herramientas_de_izaje2468112155[Herramientas_de_izaje], B186) &gt; 0, Herramientas_de_izaje2468112155[[#Headers],[Herramientas_de_izaje]],
COUNTIF(Tabla162670114157[Equipos], B186) &gt; 0, Tabla162670114157[[#Headers],[Equipos]],
    TRUE, "Sin clasificación"
)</f>
        <v>Sin clasificación</v>
      </c>
      <c r="I186" s="15"/>
      <c r="J186" s="47"/>
      <c r="K186" s="76"/>
      <c r="L186" s="76"/>
      <c r="M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N186" s="77"/>
      <c r="O186" s="32"/>
      <c r="P186" s="32"/>
      <c r="Q186" s="32"/>
      <c r="R186" s="32"/>
    </row>
    <row r="187" spans="3:18" x14ac:dyDescent="0.3">
      <c r="C187" s="11"/>
      <c r="D187" s="32"/>
      <c r="E187" s="11" t="str" cm="1">
        <f t="array" ref="E187">_xlfn.IFS(
    COUNTIF(Herramientas_eléctricas1862106149[Herramientas_eléctricas], B187) &gt; 0, Herramientas_eléctricas1862106149[[#Headers],[Herramientas_eléctricas]],
    COUNTIF(Herramientas_neumáticas1963107150[Herramientas_neumáticas], B187) &gt; 0, Herramientas_neumáticas1963107150[[#Headers],[Herramientas_neumáticas]],
    COUNTIF(Herramientas_de_medición2064108151[Herramientas_de_medición], B187) &gt; 0, Herramientas_de_medición2064108151[[#Headers],[Herramientas_de_medición]],
    COUNTIF(Herrramientas_mecánicas2165109152[Herramientas_mecánicas], B187) &gt; 0, Herrramientas_mecánicas2165109152[[#Headers],[Herramientas_mecánicas]],
    COUNTIF(AH187:AH193, B187) &gt; 0, Herramientas_hidráulicas2266110153[[#Headers],[Herramientas_hidráulicas]],
    COUNTIF(EPP_2367111154[SPCC], B187) &gt; 0, EPP_2367111154[[#Headers],[SPCC]],
   COUNTIF(Herramientas_de_izaje2468112155[Herramientas_de_izaje], B187) &gt; 0, Herramientas_de_izaje2468112155[[#Headers],[Herramientas_de_izaje]],
COUNTIF(Tabla162670114157[Equipos], B187) &gt; 0, Tabla162670114157[[#Headers],[Equipos]],
    TRUE, "Sin clasificación"
)</f>
        <v>Sin clasificación</v>
      </c>
      <c r="I187" s="15"/>
      <c r="J187" s="47"/>
      <c r="K187" s="76"/>
      <c r="L187" s="76"/>
      <c r="M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N187" s="77"/>
      <c r="O187" s="32"/>
      <c r="P187" s="32"/>
      <c r="Q187" s="32"/>
      <c r="R187" s="32"/>
    </row>
    <row r="188" spans="3:18" x14ac:dyDescent="0.3">
      <c r="C188" s="11"/>
      <c r="D188" s="32"/>
      <c r="E188" s="11" t="str" cm="1">
        <f t="array" ref="E188">_xlfn.IFS(
    COUNTIF(Herramientas_eléctricas1862106149[Herramientas_eléctricas], B188) &gt; 0, Herramientas_eléctricas1862106149[[#Headers],[Herramientas_eléctricas]],
    COUNTIF(Herramientas_neumáticas1963107150[Herramientas_neumáticas], B188) &gt; 0, Herramientas_neumáticas1963107150[[#Headers],[Herramientas_neumáticas]],
    COUNTIF(Herramientas_de_medición2064108151[Herramientas_de_medición], B188) &gt; 0, Herramientas_de_medición2064108151[[#Headers],[Herramientas_de_medición]],
    COUNTIF(Herrramientas_mecánicas2165109152[Herramientas_mecánicas], B188) &gt; 0, Herrramientas_mecánicas2165109152[[#Headers],[Herramientas_mecánicas]],
    COUNTIF(AH188:AH194, B188) &gt; 0, Herramientas_hidráulicas2266110153[[#Headers],[Herramientas_hidráulicas]],
    COUNTIF(EPP_2367111154[SPCC], B188) &gt; 0, EPP_2367111154[[#Headers],[SPCC]],
   COUNTIF(Herramientas_de_izaje2468112155[Herramientas_de_izaje], B188) &gt; 0, Herramientas_de_izaje2468112155[[#Headers],[Herramientas_de_izaje]],
COUNTIF(Tabla162670114157[Equipos], B188) &gt; 0, Tabla162670114157[[#Headers],[Equipos]],
    TRUE, "Sin clasificación"
)</f>
        <v>Sin clasificación</v>
      </c>
      <c r="I188" s="15"/>
      <c r="J188" s="47"/>
      <c r="K188" s="76"/>
      <c r="L188" s="76"/>
      <c r="M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N188" s="77"/>
      <c r="O188" s="32"/>
      <c r="P188" s="32"/>
      <c r="Q188" s="32"/>
      <c r="R188" s="32"/>
    </row>
    <row r="189" spans="3:18" x14ac:dyDescent="0.3">
      <c r="C189" s="11"/>
      <c r="D189" s="32"/>
      <c r="E189" s="11" t="str" cm="1">
        <f t="array" ref="E189">_xlfn.IFS(
    COUNTIF(Herramientas_eléctricas1862106149[Herramientas_eléctricas], B189) &gt; 0, Herramientas_eléctricas1862106149[[#Headers],[Herramientas_eléctricas]],
    COUNTIF(Herramientas_neumáticas1963107150[Herramientas_neumáticas], B189) &gt; 0, Herramientas_neumáticas1963107150[[#Headers],[Herramientas_neumáticas]],
    COUNTIF(Herramientas_de_medición2064108151[Herramientas_de_medición], B189) &gt; 0, Herramientas_de_medición2064108151[[#Headers],[Herramientas_de_medición]],
    COUNTIF(Herrramientas_mecánicas2165109152[Herramientas_mecánicas], B189) &gt; 0, Herrramientas_mecánicas2165109152[[#Headers],[Herramientas_mecánicas]],
    COUNTIF(AH189:AH195, B189) &gt; 0, Herramientas_hidráulicas2266110153[[#Headers],[Herramientas_hidráulicas]],
    COUNTIF(EPP_2367111154[SPCC], B189) &gt; 0, EPP_2367111154[[#Headers],[SPCC]],
   COUNTIF(Herramientas_de_izaje2468112155[Herramientas_de_izaje], B189) &gt; 0, Herramientas_de_izaje2468112155[[#Headers],[Herramientas_de_izaje]],
COUNTIF(Tabla162670114157[Equipos], B189) &gt; 0, Tabla162670114157[[#Headers],[Equipos]],
    TRUE, "Sin clasificación"
)</f>
        <v>Sin clasificación</v>
      </c>
      <c r="I189" s="15"/>
      <c r="J189" s="47"/>
      <c r="K189" s="76"/>
      <c r="L189" s="76"/>
      <c r="M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N189" s="77"/>
      <c r="O189" s="32"/>
      <c r="P189" s="32"/>
      <c r="Q189" s="32"/>
      <c r="R189" s="32"/>
    </row>
    <row r="190" spans="3:18" x14ac:dyDescent="0.3">
      <c r="C190" s="11"/>
      <c r="D190" s="32"/>
      <c r="E190" s="11" t="str" cm="1">
        <f t="array" ref="E190">_xlfn.IFS(
    COUNTIF(Herramientas_eléctricas1862106149[Herramientas_eléctricas], B190) &gt; 0, Herramientas_eléctricas1862106149[[#Headers],[Herramientas_eléctricas]],
    COUNTIF(Herramientas_neumáticas1963107150[Herramientas_neumáticas], B190) &gt; 0, Herramientas_neumáticas1963107150[[#Headers],[Herramientas_neumáticas]],
    COUNTIF(Herramientas_de_medición2064108151[Herramientas_de_medición], B190) &gt; 0, Herramientas_de_medición2064108151[[#Headers],[Herramientas_de_medición]],
    COUNTIF(Herrramientas_mecánicas2165109152[Herramientas_mecánicas], B190) &gt; 0, Herrramientas_mecánicas2165109152[[#Headers],[Herramientas_mecánicas]],
    COUNTIF(AH190:AH196, B190) &gt; 0, Herramientas_hidráulicas2266110153[[#Headers],[Herramientas_hidráulicas]],
    COUNTIF(EPP_2367111154[SPCC], B190) &gt; 0, EPP_2367111154[[#Headers],[SPCC]],
   COUNTIF(Herramientas_de_izaje2468112155[Herramientas_de_izaje], B190) &gt; 0, Herramientas_de_izaje2468112155[[#Headers],[Herramientas_de_izaje]],
COUNTIF(Tabla162670114157[Equipos], B190) &gt; 0, Tabla162670114157[[#Headers],[Equipos]],
    TRUE, "Sin clasificación"
)</f>
        <v>Sin clasificación</v>
      </c>
      <c r="I190" s="15"/>
      <c r="J190" s="47"/>
      <c r="K190" s="76"/>
      <c r="L190" s="76"/>
      <c r="M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N190" s="77"/>
      <c r="O190" s="32"/>
      <c r="P190" s="32"/>
      <c r="Q190" s="32"/>
      <c r="R190" s="32"/>
    </row>
    <row r="191" spans="3:18" x14ac:dyDescent="0.3">
      <c r="C191" s="11"/>
      <c r="D191" s="32"/>
      <c r="E191" s="11" t="str" cm="1">
        <f t="array" ref="E191">_xlfn.IFS(
    COUNTIF(Herramientas_eléctricas1862106149[Herramientas_eléctricas], B191) &gt; 0, Herramientas_eléctricas1862106149[[#Headers],[Herramientas_eléctricas]],
    COUNTIF(Herramientas_neumáticas1963107150[Herramientas_neumáticas], B191) &gt; 0, Herramientas_neumáticas1963107150[[#Headers],[Herramientas_neumáticas]],
    COUNTIF(Herramientas_de_medición2064108151[Herramientas_de_medición], B191) &gt; 0, Herramientas_de_medición2064108151[[#Headers],[Herramientas_de_medición]],
    COUNTIF(Herrramientas_mecánicas2165109152[Herramientas_mecánicas], B191) &gt; 0, Herrramientas_mecánicas2165109152[[#Headers],[Herramientas_mecánicas]],
    COUNTIF(AH191:AH197, B191) &gt; 0, Herramientas_hidráulicas2266110153[[#Headers],[Herramientas_hidráulicas]],
    COUNTIF(EPP_2367111154[SPCC], B191) &gt; 0, EPP_2367111154[[#Headers],[SPCC]],
   COUNTIF(Herramientas_de_izaje2468112155[Herramientas_de_izaje], B191) &gt; 0, Herramientas_de_izaje2468112155[[#Headers],[Herramientas_de_izaje]],
COUNTIF(Tabla162670114157[Equipos], B191) &gt; 0, Tabla162670114157[[#Headers],[Equipos]],
    TRUE, "Sin clasificación"
)</f>
        <v>Sin clasificación</v>
      </c>
      <c r="I191" s="15"/>
      <c r="J191" s="47"/>
      <c r="K191" s="76"/>
      <c r="L191" s="76"/>
      <c r="M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N191" s="77"/>
      <c r="O191" s="32"/>
      <c r="P191" s="32"/>
      <c r="Q191" s="32"/>
      <c r="R191" s="32"/>
    </row>
    <row r="192" spans="3:18" x14ac:dyDescent="0.3">
      <c r="C192" s="11"/>
      <c r="D192" s="32"/>
      <c r="E192" s="11" t="str" cm="1">
        <f t="array" ref="E192">_xlfn.IFS(
    COUNTIF(Herramientas_eléctricas1862106149[Herramientas_eléctricas], B192) &gt; 0, Herramientas_eléctricas1862106149[[#Headers],[Herramientas_eléctricas]],
    COUNTIF(Herramientas_neumáticas1963107150[Herramientas_neumáticas], B192) &gt; 0, Herramientas_neumáticas1963107150[[#Headers],[Herramientas_neumáticas]],
    COUNTIF(Herramientas_de_medición2064108151[Herramientas_de_medición], B192) &gt; 0, Herramientas_de_medición2064108151[[#Headers],[Herramientas_de_medición]],
    COUNTIF(Herrramientas_mecánicas2165109152[Herramientas_mecánicas], B192) &gt; 0, Herrramientas_mecánicas2165109152[[#Headers],[Herramientas_mecánicas]],
    COUNTIF(AH192:AH198, B192) &gt; 0, Herramientas_hidráulicas2266110153[[#Headers],[Herramientas_hidráulicas]],
    COUNTIF(EPP_2367111154[SPCC], B192) &gt; 0, EPP_2367111154[[#Headers],[SPCC]],
   COUNTIF(Herramientas_de_izaje2468112155[Herramientas_de_izaje], B192) &gt; 0, Herramientas_de_izaje2468112155[[#Headers],[Herramientas_de_izaje]],
COUNTIF(Tabla162670114157[Equipos], B192) &gt; 0, Tabla162670114157[[#Headers],[Equipos]],
    TRUE, "Sin clasificación"
)</f>
        <v>Sin clasificación</v>
      </c>
      <c r="I192" s="15"/>
      <c r="J192" s="47"/>
      <c r="K192" s="76"/>
      <c r="L192" s="76"/>
      <c r="M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N192" s="77"/>
      <c r="O192" s="32"/>
      <c r="P192" s="32"/>
      <c r="Q192" s="32"/>
      <c r="R192" s="32"/>
    </row>
    <row r="193" spans="3:18" x14ac:dyDescent="0.3">
      <c r="C193" s="11"/>
      <c r="D193" s="32"/>
      <c r="E193" s="11" t="str" cm="1">
        <f t="array" ref="E193">_xlfn.IFS(
    COUNTIF(Herramientas_eléctricas1862106149[Herramientas_eléctricas], B193) &gt; 0, Herramientas_eléctricas1862106149[[#Headers],[Herramientas_eléctricas]],
    COUNTIF(Herramientas_neumáticas1963107150[Herramientas_neumáticas], B193) &gt; 0, Herramientas_neumáticas1963107150[[#Headers],[Herramientas_neumáticas]],
    COUNTIF(Herramientas_de_medición2064108151[Herramientas_de_medición], B193) &gt; 0, Herramientas_de_medición2064108151[[#Headers],[Herramientas_de_medición]],
    COUNTIF(Herrramientas_mecánicas2165109152[Herramientas_mecánicas], B193) &gt; 0, Herrramientas_mecánicas2165109152[[#Headers],[Herramientas_mecánicas]],
    COUNTIF(AH193:AH199, B193) &gt; 0, Herramientas_hidráulicas2266110153[[#Headers],[Herramientas_hidráulicas]],
    COUNTIF(EPP_2367111154[SPCC], B193) &gt; 0, EPP_2367111154[[#Headers],[SPCC]],
   COUNTIF(Herramientas_de_izaje2468112155[Herramientas_de_izaje], B193) &gt; 0, Herramientas_de_izaje2468112155[[#Headers],[Herramientas_de_izaje]],
COUNTIF(Tabla162670114157[Equipos], B193) &gt; 0, Tabla162670114157[[#Headers],[Equipos]],
    TRUE, "Sin clasificación"
)</f>
        <v>Sin clasificación</v>
      </c>
      <c r="I193" s="15"/>
      <c r="J193" s="47"/>
      <c r="K193" s="76"/>
      <c r="L193" s="76"/>
      <c r="M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N193" s="77"/>
      <c r="O193" s="32"/>
      <c r="P193" s="32"/>
      <c r="Q193" s="32"/>
      <c r="R193" s="32"/>
    </row>
    <row r="194" spans="3:18" x14ac:dyDescent="0.3">
      <c r="C194" s="11"/>
      <c r="D194" s="32"/>
      <c r="E194" s="11" t="str" cm="1">
        <f t="array" ref="E194">_xlfn.IFS(
    COUNTIF(Herramientas_eléctricas1862106149[Herramientas_eléctricas], B194) &gt; 0, Herramientas_eléctricas1862106149[[#Headers],[Herramientas_eléctricas]],
    COUNTIF(Herramientas_neumáticas1963107150[Herramientas_neumáticas], B194) &gt; 0, Herramientas_neumáticas1963107150[[#Headers],[Herramientas_neumáticas]],
    COUNTIF(Herramientas_de_medición2064108151[Herramientas_de_medición], B194) &gt; 0, Herramientas_de_medición2064108151[[#Headers],[Herramientas_de_medición]],
    COUNTIF(Herrramientas_mecánicas2165109152[Herramientas_mecánicas], B194) &gt; 0, Herrramientas_mecánicas2165109152[[#Headers],[Herramientas_mecánicas]],
    COUNTIF(AH194:AH200, B194) &gt; 0, Herramientas_hidráulicas2266110153[[#Headers],[Herramientas_hidráulicas]],
    COUNTIF(EPP_2367111154[SPCC], B194) &gt; 0, EPP_2367111154[[#Headers],[SPCC]],
   COUNTIF(Herramientas_de_izaje2468112155[Herramientas_de_izaje], B194) &gt; 0, Herramientas_de_izaje2468112155[[#Headers],[Herramientas_de_izaje]],
COUNTIF(Tabla162670114157[Equipos], B194) &gt; 0, Tabla162670114157[[#Headers],[Equipos]],
    TRUE, "Sin clasificación"
)</f>
        <v>Sin clasificación</v>
      </c>
      <c r="I194" s="15"/>
      <c r="J194" s="47"/>
      <c r="K194" s="76"/>
      <c r="L194" s="76"/>
      <c r="M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N194" s="77"/>
      <c r="O194" s="32"/>
      <c r="P194" s="32"/>
      <c r="Q194" s="32"/>
      <c r="R194" s="32"/>
    </row>
    <row r="195" spans="3:18" x14ac:dyDescent="0.3">
      <c r="C195" s="11"/>
      <c r="D195" s="32"/>
      <c r="E195" s="11" t="str" cm="1">
        <f t="array" ref="E195">_xlfn.IFS(
    COUNTIF(Herramientas_eléctricas1862106149[Herramientas_eléctricas], B195) &gt; 0, Herramientas_eléctricas1862106149[[#Headers],[Herramientas_eléctricas]],
    COUNTIF(Herramientas_neumáticas1963107150[Herramientas_neumáticas], B195) &gt; 0, Herramientas_neumáticas1963107150[[#Headers],[Herramientas_neumáticas]],
    COUNTIF(Herramientas_de_medición2064108151[Herramientas_de_medición], B195) &gt; 0, Herramientas_de_medición2064108151[[#Headers],[Herramientas_de_medición]],
    COUNTIF(Herrramientas_mecánicas2165109152[Herramientas_mecánicas], B195) &gt; 0, Herrramientas_mecánicas2165109152[[#Headers],[Herramientas_mecánicas]],
    COUNTIF(AH195:AH201, B195) &gt; 0, Herramientas_hidráulicas2266110153[[#Headers],[Herramientas_hidráulicas]],
    COUNTIF(EPP_2367111154[SPCC], B195) &gt; 0, EPP_2367111154[[#Headers],[SPCC]],
   COUNTIF(Herramientas_de_izaje2468112155[Herramientas_de_izaje], B195) &gt; 0, Herramientas_de_izaje2468112155[[#Headers],[Herramientas_de_izaje]],
COUNTIF(Tabla162670114157[Equipos], B195) &gt; 0, Tabla162670114157[[#Headers],[Equipos]],
    TRUE, "Sin clasificación"
)</f>
        <v>Sin clasificación</v>
      </c>
      <c r="I195" s="15"/>
      <c r="J195" s="47"/>
      <c r="K195" s="76"/>
      <c r="L195" s="76"/>
      <c r="M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N195" s="77"/>
      <c r="O195" s="32"/>
      <c r="P195" s="32"/>
      <c r="Q195" s="32"/>
      <c r="R195" s="32"/>
    </row>
    <row r="196" spans="3:18" x14ac:dyDescent="0.3">
      <c r="C196" s="11"/>
      <c r="D196" s="32"/>
      <c r="E196" s="11" t="str" cm="1">
        <f t="array" ref="E196">_xlfn.IFS(
    COUNTIF(Herramientas_eléctricas1862106149[Herramientas_eléctricas], B196) &gt; 0, Herramientas_eléctricas1862106149[[#Headers],[Herramientas_eléctricas]],
    COUNTIF(Herramientas_neumáticas1963107150[Herramientas_neumáticas], B196) &gt; 0, Herramientas_neumáticas1963107150[[#Headers],[Herramientas_neumáticas]],
    COUNTIF(Herramientas_de_medición2064108151[Herramientas_de_medición], B196) &gt; 0, Herramientas_de_medición2064108151[[#Headers],[Herramientas_de_medición]],
    COUNTIF(Herrramientas_mecánicas2165109152[Herramientas_mecánicas], B196) &gt; 0, Herrramientas_mecánicas2165109152[[#Headers],[Herramientas_mecánicas]],
    COUNTIF(AH196:AH202, B196) &gt; 0, Herramientas_hidráulicas2266110153[[#Headers],[Herramientas_hidráulicas]],
    COUNTIF(EPP_2367111154[SPCC], B196) &gt; 0, EPP_2367111154[[#Headers],[SPCC]],
   COUNTIF(Herramientas_de_izaje2468112155[Herramientas_de_izaje], B196) &gt; 0, Herramientas_de_izaje2468112155[[#Headers],[Herramientas_de_izaje]],
COUNTIF(Tabla162670114157[Equipos], B196) &gt; 0, Tabla162670114157[[#Headers],[Equipos]],
    TRUE, "Sin clasificación"
)</f>
        <v>Sin clasificación</v>
      </c>
      <c r="I196" s="15"/>
      <c r="J196" s="47"/>
      <c r="K196" s="76"/>
      <c r="L196" s="76"/>
      <c r="M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N196" s="77"/>
      <c r="O196" s="32"/>
      <c r="P196" s="32"/>
      <c r="Q196" s="32"/>
      <c r="R196" s="32"/>
    </row>
    <row r="197" spans="3:18" x14ac:dyDescent="0.3">
      <c r="C197" s="11"/>
      <c r="D197" s="32"/>
      <c r="E197" s="11" t="str" cm="1">
        <f t="array" ref="E197">_xlfn.IFS(
    COUNTIF(Herramientas_eléctricas1862106149[Herramientas_eléctricas], B197) &gt; 0, Herramientas_eléctricas1862106149[[#Headers],[Herramientas_eléctricas]],
    COUNTIF(Herramientas_neumáticas1963107150[Herramientas_neumáticas], B197) &gt; 0, Herramientas_neumáticas1963107150[[#Headers],[Herramientas_neumáticas]],
    COUNTIF(Herramientas_de_medición2064108151[Herramientas_de_medición], B197) &gt; 0, Herramientas_de_medición2064108151[[#Headers],[Herramientas_de_medición]],
    COUNTIF(Herrramientas_mecánicas2165109152[Herramientas_mecánicas], B197) &gt; 0, Herrramientas_mecánicas2165109152[[#Headers],[Herramientas_mecánicas]],
    COUNTIF(AH197:AH203, B197) &gt; 0, Herramientas_hidráulicas2266110153[[#Headers],[Herramientas_hidráulicas]],
    COUNTIF(EPP_2367111154[SPCC], B197) &gt; 0, EPP_2367111154[[#Headers],[SPCC]],
   COUNTIF(Herramientas_de_izaje2468112155[Herramientas_de_izaje], B197) &gt; 0, Herramientas_de_izaje2468112155[[#Headers],[Herramientas_de_izaje]],
COUNTIF(Tabla162670114157[Equipos], B197) &gt; 0, Tabla162670114157[[#Headers],[Equipos]],
    TRUE, "Sin clasificación"
)</f>
        <v>Sin clasificación</v>
      </c>
      <c r="I197" s="15"/>
      <c r="J197" s="47"/>
      <c r="K197" s="76"/>
      <c r="L197" s="76"/>
      <c r="M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N197" s="77"/>
      <c r="O197" s="32"/>
      <c r="P197" s="32"/>
      <c r="Q197" s="32"/>
      <c r="R197" s="32"/>
    </row>
    <row r="198" spans="3:18" x14ac:dyDescent="0.3">
      <c r="C198" s="11"/>
      <c r="D198" s="32"/>
      <c r="E198" s="11" t="str" cm="1">
        <f t="array" ref="E198">_xlfn.IFS(
    COUNTIF(Herramientas_eléctricas1862106149[Herramientas_eléctricas], B198) &gt; 0, Herramientas_eléctricas1862106149[[#Headers],[Herramientas_eléctricas]],
    COUNTIF(Herramientas_neumáticas1963107150[Herramientas_neumáticas], B198) &gt; 0, Herramientas_neumáticas1963107150[[#Headers],[Herramientas_neumáticas]],
    COUNTIF(Herramientas_de_medición2064108151[Herramientas_de_medición], B198) &gt; 0, Herramientas_de_medición2064108151[[#Headers],[Herramientas_de_medición]],
    COUNTIF(Herrramientas_mecánicas2165109152[Herramientas_mecánicas], B198) &gt; 0, Herrramientas_mecánicas2165109152[[#Headers],[Herramientas_mecánicas]],
    COUNTIF(AH198:AH204, B198) &gt; 0, Herramientas_hidráulicas2266110153[[#Headers],[Herramientas_hidráulicas]],
    COUNTIF(EPP_2367111154[SPCC], B198) &gt; 0, EPP_2367111154[[#Headers],[SPCC]],
   COUNTIF(Herramientas_de_izaje2468112155[Herramientas_de_izaje], B198) &gt; 0, Herramientas_de_izaje2468112155[[#Headers],[Herramientas_de_izaje]],
COUNTIF(Tabla162670114157[Equipos], B198) &gt; 0, Tabla162670114157[[#Headers],[Equipos]],
    TRUE, "Sin clasificación"
)</f>
        <v>Sin clasificación</v>
      </c>
      <c r="I198" s="15"/>
      <c r="J198" s="47"/>
      <c r="K198" s="76"/>
      <c r="L198" s="76"/>
      <c r="M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N198" s="77"/>
      <c r="O198" s="32"/>
      <c r="P198" s="32"/>
      <c r="Q198" s="32"/>
      <c r="R198" s="32"/>
    </row>
    <row r="199" spans="3:18" x14ac:dyDescent="0.3">
      <c r="C199" s="11"/>
      <c r="D199" s="32"/>
      <c r="E199" s="11" t="str" cm="1">
        <f t="array" ref="E199">_xlfn.IFS(
    COUNTIF(Herramientas_eléctricas1862106149[Herramientas_eléctricas], B199) &gt; 0, Herramientas_eléctricas1862106149[[#Headers],[Herramientas_eléctricas]],
    COUNTIF(Herramientas_neumáticas1963107150[Herramientas_neumáticas], B199) &gt; 0, Herramientas_neumáticas1963107150[[#Headers],[Herramientas_neumáticas]],
    COUNTIF(Herramientas_de_medición2064108151[Herramientas_de_medición], B199) &gt; 0, Herramientas_de_medición2064108151[[#Headers],[Herramientas_de_medición]],
    COUNTIF(Herrramientas_mecánicas2165109152[Herramientas_mecánicas], B199) &gt; 0, Herrramientas_mecánicas2165109152[[#Headers],[Herramientas_mecánicas]],
    COUNTIF(AH199:AH205, B199) &gt; 0, Herramientas_hidráulicas2266110153[[#Headers],[Herramientas_hidráulicas]],
    COUNTIF(EPP_2367111154[SPCC], B199) &gt; 0, EPP_2367111154[[#Headers],[SPCC]],
   COUNTIF(Herramientas_de_izaje2468112155[Herramientas_de_izaje], B199) &gt; 0, Herramientas_de_izaje2468112155[[#Headers],[Herramientas_de_izaje]],
COUNTIF(Tabla162670114157[Equipos], B199) &gt; 0, Tabla162670114157[[#Headers],[Equipos]],
    TRUE, "Sin clasificación"
)</f>
        <v>Sin clasificación</v>
      </c>
      <c r="I199" s="15"/>
      <c r="J199" s="47"/>
      <c r="K199" s="76"/>
      <c r="L199" s="76"/>
      <c r="M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N199" s="77"/>
      <c r="O199" s="32"/>
      <c r="P199" s="32"/>
      <c r="Q199" s="32"/>
      <c r="R199" s="32"/>
    </row>
    <row r="200" spans="3:18" x14ac:dyDescent="0.3">
      <c r="C200" s="11"/>
      <c r="D200" s="32"/>
      <c r="E200" s="11" t="str" cm="1">
        <f t="array" ref="E200">_xlfn.IFS(
    COUNTIF(Herramientas_eléctricas1862106149[Herramientas_eléctricas], B200) &gt; 0, Herramientas_eléctricas1862106149[[#Headers],[Herramientas_eléctricas]],
    COUNTIF(Herramientas_neumáticas1963107150[Herramientas_neumáticas], B200) &gt; 0, Herramientas_neumáticas1963107150[[#Headers],[Herramientas_neumáticas]],
    COUNTIF(Herramientas_de_medición2064108151[Herramientas_de_medición], B200) &gt; 0, Herramientas_de_medición2064108151[[#Headers],[Herramientas_de_medición]],
    COUNTIF(Herrramientas_mecánicas2165109152[Herramientas_mecánicas], B200) &gt; 0, Herrramientas_mecánicas2165109152[[#Headers],[Herramientas_mecánicas]],
    COUNTIF(AH200:AH206, B200) &gt; 0, Herramientas_hidráulicas2266110153[[#Headers],[Herramientas_hidráulicas]],
    COUNTIF(EPP_2367111154[SPCC], B200) &gt; 0, EPP_2367111154[[#Headers],[SPCC]],
   COUNTIF(Herramientas_de_izaje2468112155[Herramientas_de_izaje], B200) &gt; 0, Herramientas_de_izaje2468112155[[#Headers],[Herramientas_de_izaje]],
COUNTIF(Tabla162670114157[Equipos], B200) &gt; 0, Tabla162670114157[[#Headers],[Equipos]],
    TRUE, "Sin clasificación"
)</f>
        <v>Sin clasificación</v>
      </c>
      <c r="I200" s="15"/>
      <c r="J200" s="47"/>
      <c r="K200" s="76"/>
      <c r="L200" s="76"/>
      <c r="M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N200" s="77"/>
      <c r="O200" s="32"/>
      <c r="P200" s="32"/>
      <c r="Q200" s="32"/>
      <c r="R200" s="32"/>
    </row>
    <row r="201" spans="3:18" x14ac:dyDescent="0.3">
      <c r="C201" s="11"/>
      <c r="D201" s="32"/>
      <c r="E201" s="11" t="str" cm="1">
        <f t="array" ref="E201">_xlfn.IFS(
    COUNTIF(Herramientas_eléctricas1862106149[Herramientas_eléctricas], B201) &gt; 0, Herramientas_eléctricas1862106149[[#Headers],[Herramientas_eléctricas]],
    COUNTIF(Herramientas_neumáticas1963107150[Herramientas_neumáticas], B201) &gt; 0, Herramientas_neumáticas1963107150[[#Headers],[Herramientas_neumáticas]],
    COUNTIF(Herramientas_de_medición2064108151[Herramientas_de_medición], B201) &gt; 0, Herramientas_de_medición2064108151[[#Headers],[Herramientas_de_medición]],
    COUNTIF(Herrramientas_mecánicas2165109152[Herramientas_mecánicas], B201) &gt; 0, Herrramientas_mecánicas2165109152[[#Headers],[Herramientas_mecánicas]],
    COUNTIF(AH201:AH207, B201) &gt; 0, Herramientas_hidráulicas2266110153[[#Headers],[Herramientas_hidráulicas]],
    COUNTIF(EPP_2367111154[SPCC], B201) &gt; 0, EPP_2367111154[[#Headers],[SPCC]],
   COUNTIF(Herramientas_de_izaje2468112155[Herramientas_de_izaje], B201) &gt; 0, Herramientas_de_izaje2468112155[[#Headers],[Herramientas_de_izaje]],
COUNTIF(Tabla162670114157[Equipos], B201) &gt; 0, Tabla162670114157[[#Headers],[Equipos]],
    TRUE, "Sin clasificación"
)</f>
        <v>Sin clasificación</v>
      </c>
      <c r="I201" s="15"/>
      <c r="J201" s="47"/>
      <c r="K201" s="76"/>
      <c r="L201" s="76"/>
      <c r="M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N201" s="77"/>
      <c r="O201" s="32"/>
      <c r="P201" s="32"/>
      <c r="Q201" s="32"/>
      <c r="R201" s="32"/>
    </row>
    <row r="202" spans="3:18" x14ac:dyDescent="0.3">
      <c r="C202" s="11"/>
      <c r="D202" s="32"/>
      <c r="E202" s="11" t="str" cm="1">
        <f t="array" ref="E202">_xlfn.IFS(
    COUNTIF(Herramientas_eléctricas1862106149[Herramientas_eléctricas], B202) &gt; 0, Herramientas_eléctricas1862106149[[#Headers],[Herramientas_eléctricas]],
    COUNTIF(Herramientas_neumáticas1963107150[Herramientas_neumáticas], B202) &gt; 0, Herramientas_neumáticas1963107150[[#Headers],[Herramientas_neumáticas]],
    COUNTIF(Herramientas_de_medición2064108151[Herramientas_de_medición], B202) &gt; 0, Herramientas_de_medición2064108151[[#Headers],[Herramientas_de_medición]],
    COUNTIF(Herrramientas_mecánicas2165109152[Herramientas_mecánicas], B202) &gt; 0, Herrramientas_mecánicas2165109152[[#Headers],[Herramientas_mecánicas]],
    COUNTIF(AH202:AH208, B202) &gt; 0, Herramientas_hidráulicas2266110153[[#Headers],[Herramientas_hidráulicas]],
    COUNTIF(EPP_2367111154[SPCC], B202) &gt; 0, EPP_2367111154[[#Headers],[SPCC]],
   COUNTIF(Herramientas_de_izaje2468112155[Herramientas_de_izaje], B202) &gt; 0, Herramientas_de_izaje2468112155[[#Headers],[Herramientas_de_izaje]],
COUNTIF(Tabla162670114157[Equipos], B202) &gt; 0, Tabla162670114157[[#Headers],[Equipos]],
    TRUE, "Sin clasificación"
)</f>
        <v>Sin clasificación</v>
      </c>
      <c r="I202" s="15"/>
      <c r="J202" s="47"/>
      <c r="K202" s="76"/>
      <c r="L202" s="76"/>
      <c r="M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N202" s="77"/>
      <c r="O202" s="32"/>
      <c r="P202" s="32"/>
      <c r="Q202" s="32"/>
      <c r="R202" s="32"/>
    </row>
    <row r="203" spans="3:18" x14ac:dyDescent="0.3">
      <c r="C203" s="11"/>
      <c r="D203" s="32"/>
      <c r="E203" s="11" t="str" cm="1">
        <f t="array" ref="E203">_xlfn.IFS(
    COUNTIF(Herramientas_eléctricas1862106149[Herramientas_eléctricas], B203) &gt; 0, Herramientas_eléctricas1862106149[[#Headers],[Herramientas_eléctricas]],
    COUNTIF(Herramientas_neumáticas1963107150[Herramientas_neumáticas], B203) &gt; 0, Herramientas_neumáticas1963107150[[#Headers],[Herramientas_neumáticas]],
    COUNTIF(Herramientas_de_medición2064108151[Herramientas_de_medición], B203) &gt; 0, Herramientas_de_medición2064108151[[#Headers],[Herramientas_de_medición]],
    COUNTIF(Herrramientas_mecánicas2165109152[Herramientas_mecánicas], B203) &gt; 0, Herrramientas_mecánicas2165109152[[#Headers],[Herramientas_mecánicas]],
    COUNTIF(AH203:AH209, B203) &gt; 0, Herramientas_hidráulicas2266110153[[#Headers],[Herramientas_hidráulicas]],
    COUNTIF(EPP_2367111154[SPCC], B203) &gt; 0, EPP_2367111154[[#Headers],[SPCC]],
   COUNTIF(Herramientas_de_izaje2468112155[Herramientas_de_izaje], B203) &gt; 0, Herramientas_de_izaje2468112155[[#Headers],[Herramientas_de_izaje]],
COUNTIF(Tabla162670114157[Equipos], B203) &gt; 0, Tabla162670114157[[#Headers],[Equipos]],
    TRUE, "Sin clasificación"
)</f>
        <v>Sin clasificación</v>
      </c>
      <c r="I203" s="15"/>
      <c r="J203" s="47"/>
      <c r="K203" s="76"/>
      <c r="L203" s="76"/>
      <c r="M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N203" s="77"/>
      <c r="O203" s="32"/>
      <c r="P203" s="32"/>
      <c r="Q203" s="32"/>
      <c r="R203" s="32"/>
    </row>
    <row r="204" spans="3:18" x14ac:dyDescent="0.3">
      <c r="C204" s="11"/>
      <c r="D204" s="32"/>
      <c r="E204" s="11" t="str" cm="1">
        <f t="array" ref="E204">_xlfn.IFS(
    COUNTIF(Herramientas_eléctricas1862106149[Herramientas_eléctricas], B204) &gt; 0, Herramientas_eléctricas1862106149[[#Headers],[Herramientas_eléctricas]],
    COUNTIF(Herramientas_neumáticas1963107150[Herramientas_neumáticas], B204) &gt; 0, Herramientas_neumáticas1963107150[[#Headers],[Herramientas_neumáticas]],
    COUNTIF(Herramientas_de_medición2064108151[Herramientas_de_medición], B204) &gt; 0, Herramientas_de_medición2064108151[[#Headers],[Herramientas_de_medición]],
    COUNTIF(Herrramientas_mecánicas2165109152[Herramientas_mecánicas], B204) &gt; 0, Herrramientas_mecánicas2165109152[[#Headers],[Herramientas_mecánicas]],
    COUNTIF(AH204:AH210, B204) &gt; 0, Herramientas_hidráulicas2266110153[[#Headers],[Herramientas_hidráulicas]],
    COUNTIF(EPP_2367111154[SPCC], B204) &gt; 0, EPP_2367111154[[#Headers],[SPCC]],
   COUNTIF(Herramientas_de_izaje2468112155[Herramientas_de_izaje], B204) &gt; 0, Herramientas_de_izaje2468112155[[#Headers],[Herramientas_de_izaje]],
COUNTIF(Tabla162670114157[Equipos], B204) &gt; 0, Tabla162670114157[[#Headers],[Equipos]],
    TRUE, "Sin clasificación"
)</f>
        <v>Sin clasificación</v>
      </c>
      <c r="I204" s="15"/>
      <c r="J204" s="47"/>
      <c r="K204" s="76"/>
      <c r="L204" s="76"/>
      <c r="M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N204" s="77"/>
      <c r="O204" s="32"/>
      <c r="P204" s="32"/>
      <c r="Q204" s="32"/>
      <c r="R204" s="32"/>
    </row>
    <row r="205" spans="3:18" x14ac:dyDescent="0.3">
      <c r="C205" s="11"/>
      <c r="D205" s="32"/>
      <c r="E205" s="11" t="str" cm="1">
        <f t="array" ref="E205">_xlfn.IFS(
    COUNTIF(Herramientas_eléctricas1862106149[Herramientas_eléctricas], B205) &gt; 0, Herramientas_eléctricas1862106149[[#Headers],[Herramientas_eléctricas]],
    COUNTIF(Herramientas_neumáticas1963107150[Herramientas_neumáticas], B205) &gt; 0, Herramientas_neumáticas1963107150[[#Headers],[Herramientas_neumáticas]],
    COUNTIF(Herramientas_de_medición2064108151[Herramientas_de_medición], B205) &gt; 0, Herramientas_de_medición2064108151[[#Headers],[Herramientas_de_medición]],
    COUNTIF(Herrramientas_mecánicas2165109152[Herramientas_mecánicas], B205) &gt; 0, Herrramientas_mecánicas2165109152[[#Headers],[Herramientas_mecánicas]],
    COUNTIF(AH205:AH211, B205) &gt; 0, Herramientas_hidráulicas2266110153[[#Headers],[Herramientas_hidráulicas]],
    COUNTIF(EPP_2367111154[SPCC], B205) &gt; 0, EPP_2367111154[[#Headers],[SPCC]],
   COUNTIF(Herramientas_de_izaje2468112155[Herramientas_de_izaje], B205) &gt; 0, Herramientas_de_izaje2468112155[[#Headers],[Herramientas_de_izaje]],
COUNTIF(Tabla162670114157[Equipos], B205) &gt; 0, Tabla162670114157[[#Headers],[Equipos]],
    TRUE, "Sin clasificación"
)</f>
        <v>Sin clasificación</v>
      </c>
      <c r="I205" s="15"/>
      <c r="J205" s="47"/>
      <c r="K205" s="76"/>
      <c r="L205" s="76"/>
      <c r="M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N205" s="77"/>
      <c r="O205" s="32"/>
      <c r="P205" s="32"/>
      <c r="Q205" s="32"/>
      <c r="R205" s="32"/>
    </row>
    <row r="206" spans="3:18" x14ac:dyDescent="0.3">
      <c r="C206" s="11"/>
      <c r="D206" s="32"/>
      <c r="E206" s="11" t="str" cm="1">
        <f t="array" ref="E206">_xlfn.IFS(
    COUNTIF(Herramientas_eléctricas1862106149[Herramientas_eléctricas], B206) &gt; 0, Herramientas_eléctricas1862106149[[#Headers],[Herramientas_eléctricas]],
    COUNTIF(Herramientas_neumáticas1963107150[Herramientas_neumáticas], B206) &gt; 0, Herramientas_neumáticas1963107150[[#Headers],[Herramientas_neumáticas]],
    COUNTIF(Herramientas_de_medición2064108151[Herramientas_de_medición], B206) &gt; 0, Herramientas_de_medición2064108151[[#Headers],[Herramientas_de_medición]],
    COUNTIF(Herrramientas_mecánicas2165109152[Herramientas_mecánicas], B206) &gt; 0, Herrramientas_mecánicas2165109152[[#Headers],[Herramientas_mecánicas]],
    COUNTIF(AH206:AH212, B206) &gt; 0, Herramientas_hidráulicas2266110153[[#Headers],[Herramientas_hidráulicas]],
    COUNTIF(EPP_2367111154[SPCC], B206) &gt; 0, EPP_2367111154[[#Headers],[SPCC]],
   COUNTIF(Herramientas_de_izaje2468112155[Herramientas_de_izaje], B206) &gt; 0, Herramientas_de_izaje2468112155[[#Headers],[Herramientas_de_izaje]],
COUNTIF(Tabla162670114157[Equipos], B206) &gt; 0, Tabla162670114157[[#Headers],[Equipos]],
    TRUE, "Sin clasificación"
)</f>
        <v>Sin clasificación</v>
      </c>
      <c r="I206" s="15"/>
      <c r="J206" s="47"/>
      <c r="K206" s="76"/>
      <c r="L206" s="76"/>
      <c r="M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N206" s="77"/>
      <c r="O206" s="32"/>
      <c r="P206" s="32"/>
      <c r="Q206" s="32"/>
      <c r="R206" s="32"/>
    </row>
    <row r="207" spans="3:18" x14ac:dyDescent="0.3">
      <c r="C207" s="11"/>
      <c r="D207" s="32"/>
      <c r="E207" s="11" t="str" cm="1">
        <f t="array" ref="E207">_xlfn.IFS(
    COUNTIF(Herramientas_eléctricas1862106149[Herramientas_eléctricas], B207) &gt; 0, Herramientas_eléctricas1862106149[[#Headers],[Herramientas_eléctricas]],
    COUNTIF(Herramientas_neumáticas1963107150[Herramientas_neumáticas], B207) &gt; 0, Herramientas_neumáticas1963107150[[#Headers],[Herramientas_neumáticas]],
    COUNTIF(Herramientas_de_medición2064108151[Herramientas_de_medición], B207) &gt; 0, Herramientas_de_medición2064108151[[#Headers],[Herramientas_de_medición]],
    COUNTIF(Herrramientas_mecánicas2165109152[Herramientas_mecánicas], B207) &gt; 0, Herrramientas_mecánicas2165109152[[#Headers],[Herramientas_mecánicas]],
    COUNTIF(AH207:AH213, B207) &gt; 0, Herramientas_hidráulicas2266110153[[#Headers],[Herramientas_hidráulicas]],
    COUNTIF(EPP_2367111154[SPCC], B207) &gt; 0, EPP_2367111154[[#Headers],[SPCC]],
   COUNTIF(Herramientas_de_izaje2468112155[Herramientas_de_izaje], B207) &gt; 0, Herramientas_de_izaje2468112155[[#Headers],[Herramientas_de_izaje]],
COUNTIF(Tabla162670114157[Equipos], B207) &gt; 0, Tabla162670114157[[#Headers],[Equipos]],
    TRUE, "Sin clasificación"
)</f>
        <v>Sin clasificación</v>
      </c>
      <c r="I207" s="15"/>
      <c r="J207" s="47"/>
      <c r="K207" s="76"/>
      <c r="L207" s="76"/>
      <c r="M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N207" s="77"/>
      <c r="O207" s="32"/>
      <c r="P207" s="32"/>
      <c r="Q207" s="32"/>
      <c r="R207" s="32"/>
    </row>
    <row r="208" spans="3:18" x14ac:dyDescent="0.3">
      <c r="C208" s="11"/>
      <c r="D208" s="32"/>
      <c r="E208" s="11" t="str" cm="1">
        <f t="array" ref="E208">_xlfn.IFS(
    COUNTIF(Herramientas_eléctricas1862106149[Herramientas_eléctricas], B208) &gt; 0, Herramientas_eléctricas1862106149[[#Headers],[Herramientas_eléctricas]],
    COUNTIF(Herramientas_neumáticas1963107150[Herramientas_neumáticas], B208) &gt; 0, Herramientas_neumáticas1963107150[[#Headers],[Herramientas_neumáticas]],
    COUNTIF(Herramientas_de_medición2064108151[Herramientas_de_medición], B208) &gt; 0, Herramientas_de_medición2064108151[[#Headers],[Herramientas_de_medición]],
    COUNTIF(Herrramientas_mecánicas2165109152[Herramientas_mecánicas], B208) &gt; 0, Herrramientas_mecánicas2165109152[[#Headers],[Herramientas_mecánicas]],
    COUNTIF(AH208:AH214, B208) &gt; 0, Herramientas_hidráulicas2266110153[[#Headers],[Herramientas_hidráulicas]],
    COUNTIF(EPP_2367111154[SPCC], B208) &gt; 0, EPP_2367111154[[#Headers],[SPCC]],
   COUNTIF(Herramientas_de_izaje2468112155[Herramientas_de_izaje], B208) &gt; 0, Herramientas_de_izaje2468112155[[#Headers],[Herramientas_de_izaje]],
COUNTIF(Tabla162670114157[Equipos], B208) &gt; 0, Tabla162670114157[[#Headers],[Equipos]],
    TRUE, "Sin clasificación"
)</f>
        <v>Sin clasificación</v>
      </c>
      <c r="I208" s="15"/>
      <c r="J208" s="47"/>
      <c r="K208" s="76"/>
      <c r="L208" s="76"/>
      <c r="M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N208" s="77"/>
      <c r="O208" s="32"/>
      <c r="P208" s="32"/>
      <c r="Q208" s="32"/>
      <c r="R208" s="32"/>
    </row>
    <row r="209" spans="3:18" x14ac:dyDescent="0.3">
      <c r="C209" s="11"/>
      <c r="D209" s="32"/>
      <c r="E209" s="11" t="str" cm="1">
        <f t="array" ref="E209">_xlfn.IFS(
    COUNTIF(Herramientas_eléctricas1862106149[Herramientas_eléctricas], B209) &gt; 0, Herramientas_eléctricas1862106149[[#Headers],[Herramientas_eléctricas]],
    COUNTIF(Herramientas_neumáticas1963107150[Herramientas_neumáticas], B209) &gt; 0, Herramientas_neumáticas1963107150[[#Headers],[Herramientas_neumáticas]],
    COUNTIF(Herramientas_de_medición2064108151[Herramientas_de_medición], B209) &gt; 0, Herramientas_de_medición2064108151[[#Headers],[Herramientas_de_medición]],
    COUNTIF(Herrramientas_mecánicas2165109152[Herramientas_mecánicas], B209) &gt; 0, Herrramientas_mecánicas2165109152[[#Headers],[Herramientas_mecánicas]],
    COUNTIF(AH209:AH215, B209) &gt; 0, Herramientas_hidráulicas2266110153[[#Headers],[Herramientas_hidráulicas]],
    COUNTIF(EPP_2367111154[SPCC], B209) &gt; 0, EPP_2367111154[[#Headers],[SPCC]],
   COUNTIF(Herramientas_de_izaje2468112155[Herramientas_de_izaje], B209) &gt; 0, Herramientas_de_izaje2468112155[[#Headers],[Herramientas_de_izaje]],
COUNTIF(Tabla162670114157[Equipos], B209) &gt; 0, Tabla162670114157[[#Headers],[Equipos]],
    TRUE, "Sin clasificación"
)</f>
        <v>Sin clasificación</v>
      </c>
      <c r="I209" s="15"/>
      <c r="J209" s="47"/>
      <c r="K209" s="76"/>
      <c r="L209" s="76"/>
      <c r="M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N209" s="77"/>
      <c r="O209" s="32"/>
      <c r="P209" s="32"/>
      <c r="Q209" s="32"/>
      <c r="R209" s="32"/>
    </row>
    <row r="210" spans="3:18" x14ac:dyDescent="0.3">
      <c r="C210" s="11"/>
      <c r="D210" s="32"/>
      <c r="E210" s="11" t="str" cm="1">
        <f t="array" ref="E210">_xlfn.IFS(
    COUNTIF(Herramientas_eléctricas1862106149[Herramientas_eléctricas], B210) &gt; 0, Herramientas_eléctricas1862106149[[#Headers],[Herramientas_eléctricas]],
    COUNTIF(Herramientas_neumáticas1963107150[Herramientas_neumáticas], B210) &gt; 0, Herramientas_neumáticas1963107150[[#Headers],[Herramientas_neumáticas]],
    COUNTIF(Herramientas_de_medición2064108151[Herramientas_de_medición], B210) &gt; 0, Herramientas_de_medición2064108151[[#Headers],[Herramientas_de_medición]],
    COUNTIF(Herrramientas_mecánicas2165109152[Herramientas_mecánicas], B210) &gt; 0, Herrramientas_mecánicas2165109152[[#Headers],[Herramientas_mecánicas]],
    COUNTIF(AH210:AH216, B210) &gt; 0, Herramientas_hidráulicas2266110153[[#Headers],[Herramientas_hidráulicas]],
    COUNTIF(EPP_2367111154[SPCC], B210) &gt; 0, EPP_2367111154[[#Headers],[SPCC]],
   COUNTIF(Herramientas_de_izaje2468112155[Herramientas_de_izaje], B210) &gt; 0, Herramientas_de_izaje2468112155[[#Headers],[Herramientas_de_izaje]],
COUNTIF(Tabla162670114157[Equipos], B210) &gt; 0, Tabla162670114157[[#Headers],[Equipos]],
    TRUE, "Sin clasificación"
)</f>
        <v>Sin clasificación</v>
      </c>
      <c r="I210" s="15"/>
      <c r="J210" s="47"/>
      <c r="K210" s="76"/>
      <c r="L210" s="76"/>
      <c r="M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N210" s="77"/>
      <c r="O210" s="32"/>
      <c r="P210" s="32"/>
      <c r="Q210" s="32"/>
      <c r="R210" s="32"/>
    </row>
    <row r="211" spans="3:18" x14ac:dyDescent="0.3">
      <c r="C211" s="11"/>
      <c r="D211" s="32"/>
      <c r="E211" s="11" t="str" cm="1">
        <f t="array" ref="E211">_xlfn.IFS(
    COUNTIF(Herramientas_eléctricas1862106149[Herramientas_eléctricas], B211) &gt; 0, Herramientas_eléctricas1862106149[[#Headers],[Herramientas_eléctricas]],
    COUNTIF(Herramientas_neumáticas1963107150[Herramientas_neumáticas], B211) &gt; 0, Herramientas_neumáticas1963107150[[#Headers],[Herramientas_neumáticas]],
    COUNTIF(Herramientas_de_medición2064108151[Herramientas_de_medición], B211) &gt; 0, Herramientas_de_medición2064108151[[#Headers],[Herramientas_de_medición]],
    COUNTIF(Herrramientas_mecánicas2165109152[Herramientas_mecánicas], B211) &gt; 0, Herrramientas_mecánicas2165109152[[#Headers],[Herramientas_mecánicas]],
    COUNTIF(AH211:AH217, B211) &gt; 0, Herramientas_hidráulicas2266110153[[#Headers],[Herramientas_hidráulicas]],
    COUNTIF(EPP_2367111154[SPCC], B211) &gt; 0, EPP_2367111154[[#Headers],[SPCC]],
   COUNTIF(Herramientas_de_izaje2468112155[Herramientas_de_izaje], B211) &gt; 0, Herramientas_de_izaje2468112155[[#Headers],[Herramientas_de_izaje]],
COUNTIF(Tabla162670114157[Equipos], B211) &gt; 0, Tabla162670114157[[#Headers],[Equipos]],
    TRUE, "Sin clasificación"
)</f>
        <v>Sin clasificación</v>
      </c>
      <c r="I211" s="15"/>
      <c r="J211" s="47"/>
      <c r="K211" s="76"/>
      <c r="L211" s="76"/>
      <c r="M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N211" s="77"/>
      <c r="O211" s="32"/>
      <c r="P211" s="32"/>
      <c r="Q211" s="32"/>
      <c r="R211" s="32"/>
    </row>
    <row r="212" spans="3:18" x14ac:dyDescent="0.3">
      <c r="C212" s="11"/>
      <c r="D212" s="32"/>
      <c r="E212" s="11" t="str" cm="1">
        <f t="array" ref="E212">_xlfn.IFS(
    COUNTIF(Herramientas_eléctricas1862106149[Herramientas_eléctricas], B212) &gt; 0, Herramientas_eléctricas1862106149[[#Headers],[Herramientas_eléctricas]],
    COUNTIF(Herramientas_neumáticas1963107150[Herramientas_neumáticas], B212) &gt; 0, Herramientas_neumáticas1963107150[[#Headers],[Herramientas_neumáticas]],
    COUNTIF(Herramientas_de_medición2064108151[Herramientas_de_medición], B212) &gt; 0, Herramientas_de_medición2064108151[[#Headers],[Herramientas_de_medición]],
    COUNTIF(Herrramientas_mecánicas2165109152[Herramientas_mecánicas], B212) &gt; 0, Herrramientas_mecánicas2165109152[[#Headers],[Herramientas_mecánicas]],
    COUNTIF(AH212:AH218, B212) &gt; 0, Herramientas_hidráulicas2266110153[[#Headers],[Herramientas_hidráulicas]],
    COUNTIF(EPP_2367111154[SPCC], B212) &gt; 0, EPP_2367111154[[#Headers],[SPCC]],
   COUNTIF(Herramientas_de_izaje2468112155[Herramientas_de_izaje], B212) &gt; 0, Herramientas_de_izaje2468112155[[#Headers],[Herramientas_de_izaje]],
COUNTIF(Tabla162670114157[Equipos], B212) &gt; 0, Tabla162670114157[[#Headers],[Equipos]],
    TRUE, "Sin clasificación"
)</f>
        <v>Sin clasificación</v>
      </c>
      <c r="I212" s="15"/>
      <c r="J212" s="47"/>
      <c r="K212" s="76"/>
      <c r="L212" s="76"/>
      <c r="M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N212" s="77"/>
      <c r="O212" s="32"/>
      <c r="P212" s="32"/>
      <c r="Q212" s="32"/>
      <c r="R212" s="32"/>
    </row>
    <row r="213" spans="3:18" x14ac:dyDescent="0.3">
      <c r="C213" s="11"/>
      <c r="D213" s="32"/>
      <c r="E213" s="11" t="str" cm="1">
        <f t="array" ref="E213">_xlfn.IFS(
    COUNTIF(Herramientas_eléctricas1862106149[Herramientas_eléctricas], B213) &gt; 0, Herramientas_eléctricas1862106149[[#Headers],[Herramientas_eléctricas]],
    COUNTIF(Herramientas_neumáticas1963107150[Herramientas_neumáticas], B213) &gt; 0, Herramientas_neumáticas1963107150[[#Headers],[Herramientas_neumáticas]],
    COUNTIF(Herramientas_de_medición2064108151[Herramientas_de_medición], B213) &gt; 0, Herramientas_de_medición2064108151[[#Headers],[Herramientas_de_medición]],
    COUNTIF(Herrramientas_mecánicas2165109152[Herramientas_mecánicas], B213) &gt; 0, Herrramientas_mecánicas2165109152[[#Headers],[Herramientas_mecánicas]],
    COUNTIF(AH213:AH219, B213) &gt; 0, Herramientas_hidráulicas2266110153[[#Headers],[Herramientas_hidráulicas]],
    COUNTIF(EPP_2367111154[SPCC], B213) &gt; 0, EPP_2367111154[[#Headers],[SPCC]],
   COUNTIF(Herramientas_de_izaje2468112155[Herramientas_de_izaje], B213) &gt; 0, Herramientas_de_izaje2468112155[[#Headers],[Herramientas_de_izaje]],
COUNTIF(Tabla162670114157[Equipos], B213) &gt; 0, Tabla162670114157[[#Headers],[Equipos]],
    TRUE, "Sin clasificación"
)</f>
        <v>Sin clasificación</v>
      </c>
      <c r="I213" s="15"/>
      <c r="J213" s="47"/>
      <c r="K213" s="76"/>
      <c r="L213" s="76"/>
      <c r="M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N213" s="77"/>
      <c r="O213" s="32"/>
      <c r="P213" s="32"/>
      <c r="Q213" s="32"/>
      <c r="R213" s="32"/>
    </row>
    <row r="214" spans="3:18" x14ac:dyDescent="0.3">
      <c r="C214" s="11"/>
      <c r="D214" s="32"/>
      <c r="E214" s="11" t="str" cm="1">
        <f t="array" ref="E214">_xlfn.IFS(
    COUNTIF(Herramientas_eléctricas1862106149[Herramientas_eléctricas], B214) &gt; 0, Herramientas_eléctricas1862106149[[#Headers],[Herramientas_eléctricas]],
    COUNTIF(Herramientas_neumáticas1963107150[Herramientas_neumáticas], B214) &gt; 0, Herramientas_neumáticas1963107150[[#Headers],[Herramientas_neumáticas]],
    COUNTIF(Herramientas_de_medición2064108151[Herramientas_de_medición], B214) &gt; 0, Herramientas_de_medición2064108151[[#Headers],[Herramientas_de_medición]],
    COUNTIF(Herrramientas_mecánicas2165109152[Herramientas_mecánicas], B214) &gt; 0, Herrramientas_mecánicas2165109152[[#Headers],[Herramientas_mecánicas]],
    COUNTIF(AH214:AH220, B214) &gt; 0, Herramientas_hidráulicas2266110153[[#Headers],[Herramientas_hidráulicas]],
    COUNTIF(EPP_2367111154[SPCC], B214) &gt; 0, EPP_2367111154[[#Headers],[SPCC]],
   COUNTIF(Herramientas_de_izaje2468112155[Herramientas_de_izaje], B214) &gt; 0, Herramientas_de_izaje2468112155[[#Headers],[Herramientas_de_izaje]],
COUNTIF(Tabla162670114157[Equipos], B214) &gt; 0, Tabla162670114157[[#Headers],[Equipos]],
    TRUE, "Sin clasificación"
)</f>
        <v>Sin clasificación</v>
      </c>
      <c r="I214" s="15"/>
      <c r="J214" s="47"/>
      <c r="K214" s="76"/>
      <c r="L214" s="76"/>
      <c r="M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N214" s="77"/>
      <c r="O214" s="32"/>
      <c r="P214" s="32"/>
      <c r="Q214" s="32"/>
      <c r="R214" s="32"/>
    </row>
    <row r="215" spans="3:18" x14ac:dyDescent="0.3">
      <c r="C215" s="11"/>
      <c r="D215" s="32"/>
      <c r="E215" s="11" t="str" cm="1">
        <f t="array" ref="E215">_xlfn.IFS(
    COUNTIF(Herramientas_eléctricas1862106149[Herramientas_eléctricas], B215) &gt; 0, Herramientas_eléctricas1862106149[[#Headers],[Herramientas_eléctricas]],
    COUNTIF(Herramientas_neumáticas1963107150[Herramientas_neumáticas], B215) &gt; 0, Herramientas_neumáticas1963107150[[#Headers],[Herramientas_neumáticas]],
    COUNTIF(Herramientas_de_medición2064108151[Herramientas_de_medición], B215) &gt; 0, Herramientas_de_medición2064108151[[#Headers],[Herramientas_de_medición]],
    COUNTIF(Herrramientas_mecánicas2165109152[Herramientas_mecánicas], B215) &gt; 0, Herrramientas_mecánicas2165109152[[#Headers],[Herramientas_mecánicas]],
    COUNTIF(AH215:AH221, B215) &gt; 0, Herramientas_hidráulicas2266110153[[#Headers],[Herramientas_hidráulicas]],
    COUNTIF(EPP_2367111154[SPCC], B215) &gt; 0, EPP_2367111154[[#Headers],[SPCC]],
   COUNTIF(Herramientas_de_izaje2468112155[Herramientas_de_izaje], B215) &gt; 0, Herramientas_de_izaje2468112155[[#Headers],[Herramientas_de_izaje]],
COUNTIF(Tabla162670114157[Equipos], B215) &gt; 0, Tabla162670114157[[#Headers],[Equipos]],
    TRUE, "Sin clasificación"
)</f>
        <v>Sin clasificación</v>
      </c>
      <c r="I215" s="15"/>
      <c r="J215" s="47"/>
      <c r="K215" s="76"/>
      <c r="L215" s="76"/>
      <c r="M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N215" s="77"/>
      <c r="O215" s="32"/>
      <c r="P215" s="32"/>
      <c r="Q215" s="32"/>
      <c r="R215" s="32"/>
    </row>
    <row r="216" spans="3:18" x14ac:dyDescent="0.3">
      <c r="C216" s="11"/>
      <c r="D216" s="32"/>
      <c r="E216" s="11" t="str" cm="1">
        <f t="array" ref="E216">_xlfn.IFS(
    COUNTIF(Herramientas_eléctricas1862106149[Herramientas_eléctricas], B216) &gt; 0, Herramientas_eléctricas1862106149[[#Headers],[Herramientas_eléctricas]],
    COUNTIF(Herramientas_neumáticas1963107150[Herramientas_neumáticas], B216) &gt; 0, Herramientas_neumáticas1963107150[[#Headers],[Herramientas_neumáticas]],
    COUNTIF(Herramientas_de_medición2064108151[Herramientas_de_medición], B216) &gt; 0, Herramientas_de_medición2064108151[[#Headers],[Herramientas_de_medición]],
    COUNTIF(Herrramientas_mecánicas2165109152[Herramientas_mecánicas], B216) &gt; 0, Herrramientas_mecánicas2165109152[[#Headers],[Herramientas_mecánicas]],
    COUNTIF(AH216:AH222, B216) &gt; 0, Herramientas_hidráulicas2266110153[[#Headers],[Herramientas_hidráulicas]],
    COUNTIF(EPP_2367111154[SPCC], B216) &gt; 0, EPP_2367111154[[#Headers],[SPCC]],
   COUNTIF(Herramientas_de_izaje2468112155[Herramientas_de_izaje], B216) &gt; 0, Herramientas_de_izaje2468112155[[#Headers],[Herramientas_de_izaje]],
COUNTIF(Tabla162670114157[Equipos], B216) &gt; 0, Tabla162670114157[[#Headers],[Equipos]],
    TRUE, "Sin clasificación"
)</f>
        <v>Sin clasificación</v>
      </c>
      <c r="I216" s="15"/>
      <c r="J216" s="47"/>
      <c r="K216" s="76"/>
      <c r="L216" s="76"/>
      <c r="M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N216" s="77"/>
      <c r="O216" s="32"/>
      <c r="P216" s="32"/>
      <c r="Q216" s="32"/>
      <c r="R216" s="32"/>
    </row>
    <row r="217" spans="3:18" x14ac:dyDescent="0.3">
      <c r="C217" s="11"/>
      <c r="D217" s="32"/>
      <c r="E217" s="11" t="str" cm="1">
        <f t="array" ref="E217">_xlfn.IFS(
    COUNTIF(Herramientas_eléctricas1862106149[Herramientas_eléctricas], B217) &gt; 0, Herramientas_eléctricas1862106149[[#Headers],[Herramientas_eléctricas]],
    COUNTIF(Herramientas_neumáticas1963107150[Herramientas_neumáticas], B217) &gt; 0, Herramientas_neumáticas1963107150[[#Headers],[Herramientas_neumáticas]],
    COUNTIF(Herramientas_de_medición2064108151[Herramientas_de_medición], B217) &gt; 0, Herramientas_de_medición2064108151[[#Headers],[Herramientas_de_medición]],
    COUNTIF(Herrramientas_mecánicas2165109152[Herramientas_mecánicas], B217) &gt; 0, Herrramientas_mecánicas2165109152[[#Headers],[Herramientas_mecánicas]],
    COUNTIF(AH217:AH223, B217) &gt; 0, Herramientas_hidráulicas2266110153[[#Headers],[Herramientas_hidráulicas]],
    COUNTIF(EPP_2367111154[SPCC], B217) &gt; 0, EPP_2367111154[[#Headers],[SPCC]],
   COUNTIF(Herramientas_de_izaje2468112155[Herramientas_de_izaje], B217) &gt; 0, Herramientas_de_izaje2468112155[[#Headers],[Herramientas_de_izaje]],
COUNTIF(Tabla162670114157[Equipos], B217) &gt; 0, Tabla162670114157[[#Headers],[Equipos]],
    TRUE, "Sin clasificación"
)</f>
        <v>Sin clasificación</v>
      </c>
      <c r="I217" s="15"/>
      <c r="J217" s="47"/>
      <c r="K217" s="76"/>
      <c r="L217" s="76"/>
      <c r="M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N217" s="77"/>
      <c r="O217" s="32"/>
      <c r="P217" s="32"/>
      <c r="Q217" s="32"/>
      <c r="R217" s="32"/>
    </row>
    <row r="218" spans="3:18" x14ac:dyDescent="0.3">
      <c r="C218" s="11"/>
      <c r="D218" s="32"/>
      <c r="E218" s="11" t="str" cm="1">
        <f t="array" ref="E218">_xlfn.IFS(
    COUNTIF(Herramientas_eléctricas1862106149[Herramientas_eléctricas], B218) &gt; 0, Herramientas_eléctricas1862106149[[#Headers],[Herramientas_eléctricas]],
    COUNTIF(Herramientas_neumáticas1963107150[Herramientas_neumáticas], B218) &gt; 0, Herramientas_neumáticas1963107150[[#Headers],[Herramientas_neumáticas]],
    COUNTIF(Herramientas_de_medición2064108151[Herramientas_de_medición], B218) &gt; 0, Herramientas_de_medición2064108151[[#Headers],[Herramientas_de_medición]],
    COUNTIF(Herrramientas_mecánicas2165109152[Herramientas_mecánicas], B218) &gt; 0, Herrramientas_mecánicas2165109152[[#Headers],[Herramientas_mecánicas]],
    COUNTIF(AH218:AH224, B218) &gt; 0, Herramientas_hidráulicas2266110153[[#Headers],[Herramientas_hidráulicas]],
    COUNTIF(EPP_2367111154[SPCC], B218) &gt; 0, EPP_2367111154[[#Headers],[SPCC]],
   COUNTIF(Herramientas_de_izaje2468112155[Herramientas_de_izaje], B218) &gt; 0, Herramientas_de_izaje2468112155[[#Headers],[Herramientas_de_izaje]],
COUNTIF(Tabla162670114157[Equipos], B218) &gt; 0, Tabla162670114157[[#Headers],[Equipos]],
    TRUE, "Sin clasificación"
)</f>
        <v>Sin clasificación</v>
      </c>
      <c r="I218" s="15"/>
      <c r="J218" s="47"/>
      <c r="K218" s="76"/>
      <c r="L218" s="76"/>
      <c r="M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N218" s="77"/>
      <c r="O218" s="32"/>
      <c r="P218" s="32"/>
      <c r="Q218" s="32"/>
      <c r="R218" s="32"/>
    </row>
    <row r="219" spans="3:18" x14ac:dyDescent="0.3">
      <c r="C219" s="11"/>
      <c r="D219" s="32"/>
      <c r="E219" s="11" t="str" cm="1">
        <f t="array" ref="E219">_xlfn.IFS(
    COUNTIF(Herramientas_eléctricas1862106149[Herramientas_eléctricas], B219) &gt; 0, Herramientas_eléctricas1862106149[[#Headers],[Herramientas_eléctricas]],
    COUNTIF(Herramientas_neumáticas1963107150[Herramientas_neumáticas], B219) &gt; 0, Herramientas_neumáticas1963107150[[#Headers],[Herramientas_neumáticas]],
    COUNTIF(Herramientas_de_medición2064108151[Herramientas_de_medición], B219) &gt; 0, Herramientas_de_medición2064108151[[#Headers],[Herramientas_de_medición]],
    COUNTIF(Herrramientas_mecánicas2165109152[Herramientas_mecánicas], B219) &gt; 0, Herrramientas_mecánicas2165109152[[#Headers],[Herramientas_mecánicas]],
    COUNTIF(AH219:AH225, B219) &gt; 0, Herramientas_hidráulicas2266110153[[#Headers],[Herramientas_hidráulicas]],
    COUNTIF(EPP_2367111154[SPCC], B219) &gt; 0, EPP_2367111154[[#Headers],[SPCC]],
   COUNTIF(Herramientas_de_izaje2468112155[Herramientas_de_izaje], B219) &gt; 0, Herramientas_de_izaje2468112155[[#Headers],[Herramientas_de_izaje]],
COUNTIF(Tabla162670114157[Equipos], B219) &gt; 0, Tabla162670114157[[#Headers],[Equipos]],
    TRUE, "Sin clasificación"
)</f>
        <v>Sin clasificación</v>
      </c>
      <c r="I219" s="15"/>
      <c r="J219" s="47"/>
      <c r="K219" s="76"/>
      <c r="L219" s="76"/>
      <c r="M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N219" s="77"/>
      <c r="O219" s="32"/>
      <c r="P219" s="32"/>
      <c r="Q219" s="32"/>
      <c r="R219" s="32"/>
    </row>
    <row r="220" spans="3:18" x14ac:dyDescent="0.3">
      <c r="C220" s="11"/>
      <c r="D220" s="32"/>
      <c r="E220" s="11" t="str" cm="1">
        <f t="array" ref="E220">_xlfn.IFS(
    COUNTIF(Herramientas_eléctricas1862106149[Herramientas_eléctricas], B220) &gt; 0, Herramientas_eléctricas1862106149[[#Headers],[Herramientas_eléctricas]],
    COUNTIF(Herramientas_neumáticas1963107150[Herramientas_neumáticas], B220) &gt; 0, Herramientas_neumáticas1963107150[[#Headers],[Herramientas_neumáticas]],
    COUNTIF(Herramientas_de_medición2064108151[Herramientas_de_medición], B220) &gt; 0, Herramientas_de_medición2064108151[[#Headers],[Herramientas_de_medición]],
    COUNTIF(Herrramientas_mecánicas2165109152[Herramientas_mecánicas], B220) &gt; 0, Herrramientas_mecánicas2165109152[[#Headers],[Herramientas_mecánicas]],
    COUNTIF(AH220:AH226, B220) &gt; 0, Herramientas_hidráulicas2266110153[[#Headers],[Herramientas_hidráulicas]],
    COUNTIF(EPP_2367111154[SPCC], B220) &gt; 0, EPP_2367111154[[#Headers],[SPCC]],
   COUNTIF(Herramientas_de_izaje2468112155[Herramientas_de_izaje], B220) &gt; 0, Herramientas_de_izaje2468112155[[#Headers],[Herramientas_de_izaje]],
COUNTIF(Tabla162670114157[Equipos], B220) &gt; 0, Tabla162670114157[[#Headers],[Equipos]],
    TRUE, "Sin clasificación"
)</f>
        <v>Sin clasificación</v>
      </c>
      <c r="I220" s="15"/>
      <c r="J220" s="47"/>
      <c r="K220" s="76"/>
      <c r="L220" s="76"/>
      <c r="M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N220" s="77"/>
      <c r="O220" s="32"/>
      <c r="P220" s="32"/>
      <c r="Q220" s="32"/>
      <c r="R220" s="32"/>
    </row>
    <row r="221" spans="3:18" x14ac:dyDescent="0.3">
      <c r="C221" s="11"/>
      <c r="D221" s="32"/>
      <c r="E221" s="11" t="str" cm="1">
        <f t="array" ref="E221">_xlfn.IFS(
    COUNTIF(Herramientas_eléctricas1862106149[Herramientas_eléctricas], B221) &gt; 0, Herramientas_eléctricas1862106149[[#Headers],[Herramientas_eléctricas]],
    COUNTIF(Herramientas_neumáticas1963107150[Herramientas_neumáticas], B221) &gt; 0, Herramientas_neumáticas1963107150[[#Headers],[Herramientas_neumáticas]],
    COUNTIF(Herramientas_de_medición2064108151[Herramientas_de_medición], B221) &gt; 0, Herramientas_de_medición2064108151[[#Headers],[Herramientas_de_medición]],
    COUNTIF(Herrramientas_mecánicas2165109152[Herramientas_mecánicas], B221) &gt; 0, Herrramientas_mecánicas2165109152[[#Headers],[Herramientas_mecánicas]],
    COUNTIF(AH221:AH227, B221) &gt; 0, Herramientas_hidráulicas2266110153[[#Headers],[Herramientas_hidráulicas]],
    COUNTIF(EPP_2367111154[SPCC], B221) &gt; 0, EPP_2367111154[[#Headers],[SPCC]],
   COUNTIF(Herramientas_de_izaje2468112155[Herramientas_de_izaje], B221) &gt; 0, Herramientas_de_izaje2468112155[[#Headers],[Herramientas_de_izaje]],
COUNTIF(Tabla162670114157[Equipos], B221) &gt; 0, Tabla162670114157[[#Headers],[Equipos]],
    TRUE, "Sin clasificación"
)</f>
        <v>Sin clasificación</v>
      </c>
      <c r="I221" s="15"/>
      <c r="J221" s="47"/>
      <c r="K221" s="76"/>
      <c r="L221" s="76"/>
      <c r="M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N221" s="77"/>
      <c r="O221" s="32"/>
      <c r="P221" s="32"/>
      <c r="Q221" s="32"/>
      <c r="R221" s="32"/>
    </row>
    <row r="222" spans="3:18" x14ac:dyDescent="0.3">
      <c r="C222" s="11"/>
      <c r="D222" s="32"/>
      <c r="E222" s="11" t="str" cm="1">
        <f t="array" ref="E222">_xlfn.IFS(
    COUNTIF(Herramientas_eléctricas1862106149[Herramientas_eléctricas], B222) &gt; 0, Herramientas_eléctricas1862106149[[#Headers],[Herramientas_eléctricas]],
    COUNTIF(Herramientas_neumáticas1963107150[Herramientas_neumáticas], B222) &gt; 0, Herramientas_neumáticas1963107150[[#Headers],[Herramientas_neumáticas]],
    COUNTIF(Herramientas_de_medición2064108151[Herramientas_de_medición], B222) &gt; 0, Herramientas_de_medición2064108151[[#Headers],[Herramientas_de_medición]],
    COUNTIF(Herrramientas_mecánicas2165109152[Herramientas_mecánicas], B222) &gt; 0, Herrramientas_mecánicas2165109152[[#Headers],[Herramientas_mecánicas]],
    COUNTIF(AH222:AH228, B222) &gt; 0, Herramientas_hidráulicas2266110153[[#Headers],[Herramientas_hidráulicas]],
    COUNTIF(EPP_2367111154[SPCC], B222) &gt; 0, EPP_2367111154[[#Headers],[SPCC]],
   COUNTIF(Herramientas_de_izaje2468112155[Herramientas_de_izaje], B222) &gt; 0, Herramientas_de_izaje2468112155[[#Headers],[Herramientas_de_izaje]],
COUNTIF(Tabla162670114157[Equipos], B222) &gt; 0, Tabla162670114157[[#Headers],[Equipos]],
    TRUE, "Sin clasificación"
)</f>
        <v>Sin clasificación</v>
      </c>
      <c r="I222" s="15"/>
      <c r="J222" s="47"/>
      <c r="K222" s="76"/>
      <c r="L222" s="76"/>
      <c r="M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N222" s="77"/>
      <c r="O222" s="32"/>
      <c r="P222" s="32"/>
      <c r="Q222" s="32"/>
      <c r="R222" s="32"/>
    </row>
    <row r="223" spans="3:18" x14ac:dyDescent="0.3">
      <c r="C223" s="11"/>
      <c r="D223" s="32"/>
      <c r="E223" s="11" t="str" cm="1">
        <f t="array" ref="E223">_xlfn.IFS(
    COUNTIF(Herramientas_eléctricas1862106149[Herramientas_eléctricas], B223) &gt; 0, Herramientas_eléctricas1862106149[[#Headers],[Herramientas_eléctricas]],
    COUNTIF(Herramientas_neumáticas1963107150[Herramientas_neumáticas], B223) &gt; 0, Herramientas_neumáticas1963107150[[#Headers],[Herramientas_neumáticas]],
    COUNTIF(Herramientas_de_medición2064108151[Herramientas_de_medición], B223) &gt; 0, Herramientas_de_medición2064108151[[#Headers],[Herramientas_de_medición]],
    COUNTIF(Herrramientas_mecánicas2165109152[Herramientas_mecánicas], B223) &gt; 0, Herrramientas_mecánicas2165109152[[#Headers],[Herramientas_mecánicas]],
    COUNTIF(AH223:AH229, B223) &gt; 0, Herramientas_hidráulicas2266110153[[#Headers],[Herramientas_hidráulicas]],
    COUNTIF(EPP_2367111154[SPCC], B223) &gt; 0, EPP_2367111154[[#Headers],[SPCC]],
   COUNTIF(Herramientas_de_izaje2468112155[Herramientas_de_izaje], B223) &gt; 0, Herramientas_de_izaje2468112155[[#Headers],[Herramientas_de_izaje]],
COUNTIF(Tabla162670114157[Equipos], B223) &gt; 0, Tabla162670114157[[#Headers],[Equipos]],
    TRUE, "Sin clasificación"
)</f>
        <v>Sin clasificación</v>
      </c>
      <c r="I223" s="15"/>
      <c r="J223" s="47"/>
      <c r="K223" s="76"/>
      <c r="L223" s="76"/>
      <c r="M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N223" s="77"/>
      <c r="O223" s="32"/>
      <c r="P223" s="32"/>
      <c r="Q223" s="32"/>
      <c r="R223" s="32"/>
    </row>
    <row r="224" spans="3:18" x14ac:dyDescent="0.3">
      <c r="C224" s="11"/>
      <c r="D224" s="32"/>
      <c r="E224" s="11" t="str" cm="1">
        <f t="array" ref="E224">_xlfn.IFS(
    COUNTIF(Herramientas_eléctricas1862106149[Herramientas_eléctricas], B224) &gt; 0, Herramientas_eléctricas1862106149[[#Headers],[Herramientas_eléctricas]],
    COUNTIF(Herramientas_neumáticas1963107150[Herramientas_neumáticas], B224) &gt; 0, Herramientas_neumáticas1963107150[[#Headers],[Herramientas_neumáticas]],
    COUNTIF(Herramientas_de_medición2064108151[Herramientas_de_medición], B224) &gt; 0, Herramientas_de_medición2064108151[[#Headers],[Herramientas_de_medición]],
    COUNTIF(Herrramientas_mecánicas2165109152[Herramientas_mecánicas], B224) &gt; 0, Herrramientas_mecánicas2165109152[[#Headers],[Herramientas_mecánicas]],
    COUNTIF(AH224:AH230, B224) &gt; 0, Herramientas_hidráulicas2266110153[[#Headers],[Herramientas_hidráulicas]],
    COUNTIF(EPP_2367111154[SPCC], B224) &gt; 0, EPP_2367111154[[#Headers],[SPCC]],
   COUNTIF(Herramientas_de_izaje2468112155[Herramientas_de_izaje], B224) &gt; 0, Herramientas_de_izaje2468112155[[#Headers],[Herramientas_de_izaje]],
COUNTIF(Tabla162670114157[Equipos], B224) &gt; 0, Tabla162670114157[[#Headers],[Equipos]],
    TRUE, "Sin clasificación"
)</f>
        <v>Sin clasificación</v>
      </c>
      <c r="I224" s="15"/>
      <c r="J224" s="47"/>
      <c r="K224" s="76"/>
      <c r="L224" s="76"/>
      <c r="M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N224" s="77"/>
      <c r="O224" s="32"/>
      <c r="P224" s="32"/>
      <c r="Q224" s="32"/>
      <c r="R224" s="32"/>
    </row>
    <row r="225" spans="3:18" x14ac:dyDescent="0.3">
      <c r="C225" s="11"/>
      <c r="D225" s="32"/>
      <c r="E225" s="11" t="str" cm="1">
        <f t="array" ref="E225">_xlfn.IFS(
    COUNTIF(Herramientas_eléctricas1862106149[Herramientas_eléctricas], B225) &gt; 0, Herramientas_eléctricas1862106149[[#Headers],[Herramientas_eléctricas]],
    COUNTIF(Herramientas_neumáticas1963107150[Herramientas_neumáticas], B225) &gt; 0, Herramientas_neumáticas1963107150[[#Headers],[Herramientas_neumáticas]],
    COUNTIF(Herramientas_de_medición2064108151[Herramientas_de_medición], B225) &gt; 0, Herramientas_de_medición2064108151[[#Headers],[Herramientas_de_medición]],
    COUNTIF(Herrramientas_mecánicas2165109152[Herramientas_mecánicas], B225) &gt; 0, Herrramientas_mecánicas2165109152[[#Headers],[Herramientas_mecánicas]],
    COUNTIF(AH225:AH231, B225) &gt; 0, Herramientas_hidráulicas2266110153[[#Headers],[Herramientas_hidráulicas]],
    COUNTIF(EPP_2367111154[SPCC], B225) &gt; 0, EPP_2367111154[[#Headers],[SPCC]],
   COUNTIF(Herramientas_de_izaje2468112155[Herramientas_de_izaje], B225) &gt; 0, Herramientas_de_izaje2468112155[[#Headers],[Herramientas_de_izaje]],
COUNTIF(Tabla162670114157[Equipos], B225) &gt; 0, Tabla162670114157[[#Headers],[Equipos]],
    TRUE, "Sin clasificación"
)</f>
        <v>Sin clasificación</v>
      </c>
      <c r="I225" s="15"/>
      <c r="J225" s="47"/>
      <c r="K225" s="76"/>
      <c r="L225" s="76"/>
      <c r="M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N225" s="77"/>
      <c r="O225" s="32"/>
      <c r="P225" s="32"/>
      <c r="Q225" s="32"/>
      <c r="R225" s="32"/>
    </row>
    <row r="226" spans="3:18" x14ac:dyDescent="0.3">
      <c r="C226" s="11"/>
      <c r="D226" s="32"/>
      <c r="E226" s="11" t="str" cm="1">
        <f t="array" ref="E226">_xlfn.IFS(
    COUNTIF(Herramientas_eléctricas1862106149[Herramientas_eléctricas], B226) &gt; 0, Herramientas_eléctricas1862106149[[#Headers],[Herramientas_eléctricas]],
    COUNTIF(Herramientas_neumáticas1963107150[Herramientas_neumáticas], B226) &gt; 0, Herramientas_neumáticas1963107150[[#Headers],[Herramientas_neumáticas]],
    COUNTIF(Herramientas_de_medición2064108151[Herramientas_de_medición], B226) &gt; 0, Herramientas_de_medición2064108151[[#Headers],[Herramientas_de_medición]],
    COUNTIF(Herrramientas_mecánicas2165109152[Herramientas_mecánicas], B226) &gt; 0, Herrramientas_mecánicas2165109152[[#Headers],[Herramientas_mecánicas]],
    COUNTIF(AH226:AH232, B226) &gt; 0, Herramientas_hidráulicas2266110153[[#Headers],[Herramientas_hidráulicas]],
    COUNTIF(EPP_2367111154[SPCC], B226) &gt; 0, EPP_2367111154[[#Headers],[SPCC]],
   COUNTIF(Herramientas_de_izaje2468112155[Herramientas_de_izaje], B226) &gt; 0, Herramientas_de_izaje2468112155[[#Headers],[Herramientas_de_izaje]],
COUNTIF(Tabla162670114157[Equipos], B226) &gt; 0, Tabla162670114157[[#Headers],[Equipos]],
    TRUE, "Sin clasificación"
)</f>
        <v>Sin clasificación</v>
      </c>
      <c r="I226" s="15"/>
      <c r="J226" s="47"/>
      <c r="K226" s="76"/>
      <c r="L226" s="76"/>
      <c r="M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N226" s="77"/>
      <c r="O226" s="32"/>
      <c r="P226" s="32"/>
      <c r="Q226" s="32"/>
      <c r="R226" s="32"/>
    </row>
    <row r="227" spans="3:18" x14ac:dyDescent="0.3">
      <c r="C227" s="11"/>
      <c r="D227" s="32"/>
      <c r="E227" s="11" t="str" cm="1">
        <f t="array" ref="E227">_xlfn.IFS(
    COUNTIF(Herramientas_eléctricas1862106149[Herramientas_eléctricas], B227) &gt; 0, Herramientas_eléctricas1862106149[[#Headers],[Herramientas_eléctricas]],
    COUNTIF(Herramientas_neumáticas1963107150[Herramientas_neumáticas], B227) &gt; 0, Herramientas_neumáticas1963107150[[#Headers],[Herramientas_neumáticas]],
    COUNTIF(Herramientas_de_medición2064108151[Herramientas_de_medición], B227) &gt; 0, Herramientas_de_medición2064108151[[#Headers],[Herramientas_de_medición]],
    COUNTIF(Herrramientas_mecánicas2165109152[Herramientas_mecánicas], B227) &gt; 0, Herrramientas_mecánicas2165109152[[#Headers],[Herramientas_mecánicas]],
    COUNTIF(AH227:AH233, B227) &gt; 0, Herramientas_hidráulicas2266110153[[#Headers],[Herramientas_hidráulicas]],
    COUNTIF(EPP_2367111154[SPCC], B227) &gt; 0, EPP_2367111154[[#Headers],[SPCC]],
   COUNTIF(Herramientas_de_izaje2468112155[Herramientas_de_izaje], B227) &gt; 0, Herramientas_de_izaje2468112155[[#Headers],[Herramientas_de_izaje]],
COUNTIF(Tabla162670114157[Equipos], B227) &gt; 0, Tabla162670114157[[#Headers],[Equipos]],
    TRUE, "Sin clasificación"
)</f>
        <v>Sin clasificación</v>
      </c>
      <c r="I227" s="15"/>
      <c r="J227" s="47"/>
      <c r="K227" s="76"/>
      <c r="L227" s="76"/>
      <c r="M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N227" s="77"/>
      <c r="O227" s="32"/>
      <c r="P227" s="32"/>
      <c r="Q227" s="32"/>
      <c r="R227" s="32"/>
    </row>
    <row r="228" spans="3:18" x14ac:dyDescent="0.3">
      <c r="C228" s="11"/>
      <c r="D228" s="32"/>
      <c r="E228" s="11" t="str" cm="1">
        <f t="array" ref="E228">_xlfn.IFS(
    COUNTIF(Herramientas_eléctricas1862106149[Herramientas_eléctricas], B228) &gt; 0, Herramientas_eléctricas1862106149[[#Headers],[Herramientas_eléctricas]],
    COUNTIF(Herramientas_neumáticas1963107150[Herramientas_neumáticas], B228) &gt; 0, Herramientas_neumáticas1963107150[[#Headers],[Herramientas_neumáticas]],
    COUNTIF(Herramientas_de_medición2064108151[Herramientas_de_medición], B228) &gt; 0, Herramientas_de_medición2064108151[[#Headers],[Herramientas_de_medición]],
    COUNTIF(Herrramientas_mecánicas2165109152[Herramientas_mecánicas], B228) &gt; 0, Herrramientas_mecánicas2165109152[[#Headers],[Herramientas_mecánicas]],
    COUNTIF(AH228:AH234, B228) &gt; 0, Herramientas_hidráulicas2266110153[[#Headers],[Herramientas_hidráulicas]],
    COUNTIF(EPP_2367111154[SPCC], B228) &gt; 0, EPP_2367111154[[#Headers],[SPCC]],
   COUNTIF(Herramientas_de_izaje2468112155[Herramientas_de_izaje], B228) &gt; 0, Herramientas_de_izaje2468112155[[#Headers],[Herramientas_de_izaje]],
COUNTIF(Tabla162670114157[Equipos], B228) &gt; 0, Tabla162670114157[[#Headers],[Equipos]],
    TRUE, "Sin clasificación"
)</f>
        <v>Sin clasificación</v>
      </c>
      <c r="I228" s="15"/>
      <c r="J228" s="47"/>
      <c r="K228" s="76"/>
      <c r="L228" s="76"/>
      <c r="M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N228" s="77"/>
      <c r="O228" s="32"/>
      <c r="P228" s="32"/>
      <c r="Q228" s="32"/>
      <c r="R228" s="32"/>
    </row>
    <row r="229" spans="3:18" x14ac:dyDescent="0.3">
      <c r="C229" s="11"/>
      <c r="D229" s="32"/>
      <c r="E229" s="11" t="str" cm="1">
        <f t="array" ref="E229">_xlfn.IFS(
    COUNTIF(Herramientas_eléctricas1862106149[Herramientas_eléctricas], B229) &gt; 0, Herramientas_eléctricas1862106149[[#Headers],[Herramientas_eléctricas]],
    COUNTIF(Herramientas_neumáticas1963107150[Herramientas_neumáticas], B229) &gt; 0, Herramientas_neumáticas1963107150[[#Headers],[Herramientas_neumáticas]],
    COUNTIF(Herramientas_de_medición2064108151[Herramientas_de_medición], B229) &gt; 0, Herramientas_de_medición2064108151[[#Headers],[Herramientas_de_medición]],
    COUNTIF(Herrramientas_mecánicas2165109152[Herramientas_mecánicas], B229) &gt; 0, Herrramientas_mecánicas2165109152[[#Headers],[Herramientas_mecánicas]],
    COUNTIF(AH229:AH235, B229) &gt; 0, Herramientas_hidráulicas2266110153[[#Headers],[Herramientas_hidráulicas]],
    COUNTIF(EPP_2367111154[SPCC], B229) &gt; 0, EPP_2367111154[[#Headers],[SPCC]],
   COUNTIF(Herramientas_de_izaje2468112155[Herramientas_de_izaje], B229) &gt; 0, Herramientas_de_izaje2468112155[[#Headers],[Herramientas_de_izaje]],
COUNTIF(Tabla162670114157[Equipos], B229) &gt; 0, Tabla162670114157[[#Headers],[Equipos]],
    TRUE, "Sin clasificación"
)</f>
        <v>Sin clasificación</v>
      </c>
      <c r="I229" s="15"/>
      <c r="J229" s="47"/>
      <c r="K229" s="76"/>
      <c r="L229" s="76"/>
      <c r="M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N229" s="77"/>
      <c r="O229" s="32"/>
      <c r="P229" s="32"/>
      <c r="Q229" s="32"/>
      <c r="R229" s="32"/>
    </row>
    <row r="230" spans="3:18" x14ac:dyDescent="0.3">
      <c r="C230" s="11"/>
      <c r="D230" s="32"/>
      <c r="E230" s="11" t="str" cm="1">
        <f t="array" ref="E230">_xlfn.IFS(
    COUNTIF(Herramientas_eléctricas1862106149[Herramientas_eléctricas], B230) &gt; 0, Herramientas_eléctricas1862106149[[#Headers],[Herramientas_eléctricas]],
    COUNTIF(Herramientas_neumáticas1963107150[Herramientas_neumáticas], B230) &gt; 0, Herramientas_neumáticas1963107150[[#Headers],[Herramientas_neumáticas]],
    COUNTIF(Herramientas_de_medición2064108151[Herramientas_de_medición], B230) &gt; 0, Herramientas_de_medición2064108151[[#Headers],[Herramientas_de_medición]],
    COUNTIF(Herrramientas_mecánicas2165109152[Herramientas_mecánicas], B230) &gt; 0, Herrramientas_mecánicas2165109152[[#Headers],[Herramientas_mecánicas]],
    COUNTIF(AH230:AH236, B230) &gt; 0, Herramientas_hidráulicas2266110153[[#Headers],[Herramientas_hidráulicas]],
    COUNTIF(EPP_2367111154[SPCC], B230) &gt; 0, EPP_2367111154[[#Headers],[SPCC]],
   COUNTIF(Herramientas_de_izaje2468112155[Herramientas_de_izaje], B230) &gt; 0, Herramientas_de_izaje2468112155[[#Headers],[Herramientas_de_izaje]],
COUNTIF(Tabla162670114157[Equipos], B230) &gt; 0, Tabla162670114157[[#Headers],[Equipos]],
    TRUE, "Sin clasificación"
)</f>
        <v>Sin clasificación</v>
      </c>
      <c r="I230" s="15"/>
      <c r="J230" s="47"/>
      <c r="K230" s="76"/>
      <c r="L230" s="76"/>
      <c r="M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N230" s="77"/>
      <c r="O230" s="32"/>
      <c r="P230" s="32"/>
      <c r="Q230" s="32"/>
      <c r="R230" s="32"/>
    </row>
    <row r="231" spans="3:18" x14ac:dyDescent="0.3">
      <c r="C231" s="11"/>
      <c r="D231" s="32"/>
      <c r="E231" s="11" t="str" cm="1">
        <f t="array" ref="E231">_xlfn.IFS(
    COUNTIF(Herramientas_eléctricas1862106149[Herramientas_eléctricas], B231) &gt; 0, Herramientas_eléctricas1862106149[[#Headers],[Herramientas_eléctricas]],
    COUNTIF(Herramientas_neumáticas1963107150[Herramientas_neumáticas], B231) &gt; 0, Herramientas_neumáticas1963107150[[#Headers],[Herramientas_neumáticas]],
    COUNTIF(Herramientas_de_medición2064108151[Herramientas_de_medición], B231) &gt; 0, Herramientas_de_medición2064108151[[#Headers],[Herramientas_de_medición]],
    COUNTIF(Herrramientas_mecánicas2165109152[Herramientas_mecánicas], B231) &gt; 0, Herrramientas_mecánicas2165109152[[#Headers],[Herramientas_mecánicas]],
    COUNTIF(AH231:AH237, B231) &gt; 0, Herramientas_hidráulicas2266110153[[#Headers],[Herramientas_hidráulicas]],
    COUNTIF(EPP_2367111154[SPCC], B231) &gt; 0, EPP_2367111154[[#Headers],[SPCC]],
   COUNTIF(Herramientas_de_izaje2468112155[Herramientas_de_izaje], B231) &gt; 0, Herramientas_de_izaje2468112155[[#Headers],[Herramientas_de_izaje]],
COUNTIF(Tabla162670114157[Equipos], B231) &gt; 0, Tabla162670114157[[#Headers],[Equipos]],
    TRUE, "Sin clasificación"
)</f>
        <v>Sin clasificación</v>
      </c>
      <c r="I231" s="15"/>
      <c r="J231" s="47"/>
      <c r="K231" s="76"/>
      <c r="L231" s="76"/>
      <c r="M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N231" s="77"/>
      <c r="O231" s="32"/>
      <c r="P231" s="32"/>
      <c r="Q231" s="32"/>
      <c r="R231" s="32"/>
    </row>
    <row r="232" spans="3:18" x14ac:dyDescent="0.3">
      <c r="C232" s="11"/>
      <c r="D232" s="32"/>
      <c r="E232" s="11" t="str" cm="1">
        <f t="array" ref="E232">_xlfn.IFS(
    COUNTIF(Herramientas_eléctricas1862106149[Herramientas_eléctricas], B232) &gt; 0, Herramientas_eléctricas1862106149[[#Headers],[Herramientas_eléctricas]],
    COUNTIF(Herramientas_neumáticas1963107150[Herramientas_neumáticas], B232) &gt; 0, Herramientas_neumáticas1963107150[[#Headers],[Herramientas_neumáticas]],
    COUNTIF(Herramientas_de_medición2064108151[Herramientas_de_medición], B232) &gt; 0, Herramientas_de_medición2064108151[[#Headers],[Herramientas_de_medición]],
    COUNTIF(Herrramientas_mecánicas2165109152[Herramientas_mecánicas], B232) &gt; 0, Herrramientas_mecánicas2165109152[[#Headers],[Herramientas_mecánicas]],
    COUNTIF(AH232:AH238, B232) &gt; 0, Herramientas_hidráulicas2266110153[[#Headers],[Herramientas_hidráulicas]],
    COUNTIF(EPP_2367111154[SPCC], B232) &gt; 0, EPP_2367111154[[#Headers],[SPCC]],
   COUNTIF(Herramientas_de_izaje2468112155[Herramientas_de_izaje], B232) &gt; 0, Herramientas_de_izaje2468112155[[#Headers],[Herramientas_de_izaje]],
COUNTIF(Tabla162670114157[Equipos], B232) &gt; 0, Tabla162670114157[[#Headers],[Equipos]],
    TRUE, "Sin clasificación"
)</f>
        <v>Sin clasificación</v>
      </c>
      <c r="I232" s="15"/>
      <c r="J232" s="47"/>
      <c r="K232" s="76"/>
      <c r="L232" s="76"/>
      <c r="M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N232" s="77"/>
      <c r="O232" s="32"/>
      <c r="P232" s="32"/>
      <c r="Q232" s="32"/>
      <c r="R232" s="32"/>
    </row>
    <row r="233" spans="3:18" x14ac:dyDescent="0.3">
      <c r="C233" s="11"/>
      <c r="D233" s="32"/>
      <c r="E233" s="11" t="str" cm="1">
        <f t="array" ref="E233">_xlfn.IFS(
    COUNTIF(Herramientas_eléctricas1862106149[Herramientas_eléctricas], B233) &gt; 0, Herramientas_eléctricas1862106149[[#Headers],[Herramientas_eléctricas]],
    COUNTIF(Herramientas_neumáticas1963107150[Herramientas_neumáticas], B233) &gt; 0, Herramientas_neumáticas1963107150[[#Headers],[Herramientas_neumáticas]],
    COUNTIF(Herramientas_de_medición2064108151[Herramientas_de_medición], B233) &gt; 0, Herramientas_de_medición2064108151[[#Headers],[Herramientas_de_medición]],
    COUNTIF(Herrramientas_mecánicas2165109152[Herramientas_mecánicas], B233) &gt; 0, Herrramientas_mecánicas2165109152[[#Headers],[Herramientas_mecánicas]],
    COUNTIF(AH233:AH239, B233) &gt; 0, Herramientas_hidráulicas2266110153[[#Headers],[Herramientas_hidráulicas]],
    COUNTIF(EPP_2367111154[SPCC], B233) &gt; 0, EPP_2367111154[[#Headers],[SPCC]],
   COUNTIF(Herramientas_de_izaje2468112155[Herramientas_de_izaje], B233) &gt; 0, Herramientas_de_izaje2468112155[[#Headers],[Herramientas_de_izaje]],
COUNTIF(Tabla162670114157[Equipos], B233) &gt; 0, Tabla162670114157[[#Headers],[Equipos]],
    TRUE, "Sin clasificación"
)</f>
        <v>Sin clasificación</v>
      </c>
      <c r="I233" s="15"/>
      <c r="J233" s="47"/>
      <c r="K233" s="76"/>
      <c r="L233" s="76"/>
      <c r="M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N233" s="77"/>
      <c r="O233" s="32"/>
      <c r="P233" s="32"/>
      <c r="Q233" s="32"/>
      <c r="R233" s="32"/>
    </row>
    <row r="234" spans="3:18" x14ac:dyDescent="0.3">
      <c r="C234" s="11"/>
      <c r="D234" s="32"/>
      <c r="E234" s="11" t="str" cm="1">
        <f t="array" ref="E234">_xlfn.IFS(
    COUNTIF(Herramientas_eléctricas1862106149[Herramientas_eléctricas], B234) &gt; 0, Herramientas_eléctricas1862106149[[#Headers],[Herramientas_eléctricas]],
    COUNTIF(Herramientas_neumáticas1963107150[Herramientas_neumáticas], B234) &gt; 0, Herramientas_neumáticas1963107150[[#Headers],[Herramientas_neumáticas]],
    COUNTIF(Herramientas_de_medición2064108151[Herramientas_de_medición], B234) &gt; 0, Herramientas_de_medición2064108151[[#Headers],[Herramientas_de_medición]],
    COUNTIF(Herrramientas_mecánicas2165109152[Herramientas_mecánicas], B234) &gt; 0, Herrramientas_mecánicas2165109152[[#Headers],[Herramientas_mecánicas]],
    COUNTIF(AH234:AH240, B234) &gt; 0, Herramientas_hidráulicas2266110153[[#Headers],[Herramientas_hidráulicas]],
    COUNTIF(EPP_2367111154[SPCC], B234) &gt; 0, EPP_2367111154[[#Headers],[SPCC]],
   COUNTIF(Herramientas_de_izaje2468112155[Herramientas_de_izaje], B234) &gt; 0, Herramientas_de_izaje2468112155[[#Headers],[Herramientas_de_izaje]],
COUNTIF(Tabla162670114157[Equipos], B234) &gt; 0, Tabla162670114157[[#Headers],[Equipos]],
    TRUE, "Sin clasificación"
)</f>
        <v>Sin clasificación</v>
      </c>
      <c r="I234" s="15"/>
      <c r="J234" s="47"/>
      <c r="K234" s="76"/>
      <c r="L234" s="76"/>
      <c r="M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N234" s="77"/>
      <c r="O234" s="32"/>
      <c r="P234" s="32"/>
      <c r="Q234" s="32"/>
      <c r="R234" s="32"/>
    </row>
    <row r="235" spans="3:18" x14ac:dyDescent="0.3">
      <c r="C235" s="11"/>
      <c r="D235" s="32"/>
      <c r="E235" s="11" t="str" cm="1">
        <f t="array" ref="E235">_xlfn.IFS(
    COUNTIF(Herramientas_eléctricas1862106149[Herramientas_eléctricas], B235) &gt; 0, Herramientas_eléctricas1862106149[[#Headers],[Herramientas_eléctricas]],
    COUNTIF(Herramientas_neumáticas1963107150[Herramientas_neumáticas], B235) &gt; 0, Herramientas_neumáticas1963107150[[#Headers],[Herramientas_neumáticas]],
    COUNTIF(Herramientas_de_medición2064108151[Herramientas_de_medición], B235) &gt; 0, Herramientas_de_medición2064108151[[#Headers],[Herramientas_de_medición]],
    COUNTIF(Herrramientas_mecánicas2165109152[Herramientas_mecánicas], B235) &gt; 0, Herrramientas_mecánicas2165109152[[#Headers],[Herramientas_mecánicas]],
    COUNTIF(AH235:AH241, B235) &gt; 0, Herramientas_hidráulicas2266110153[[#Headers],[Herramientas_hidráulicas]],
    COUNTIF(EPP_2367111154[SPCC], B235) &gt; 0, EPP_2367111154[[#Headers],[SPCC]],
   COUNTIF(Herramientas_de_izaje2468112155[Herramientas_de_izaje], B235) &gt; 0, Herramientas_de_izaje2468112155[[#Headers],[Herramientas_de_izaje]],
COUNTIF(Tabla162670114157[Equipos], B235) &gt; 0, Tabla162670114157[[#Headers],[Equipos]],
    TRUE, "Sin clasificación"
)</f>
        <v>Sin clasificación</v>
      </c>
      <c r="I235" s="15"/>
      <c r="J235" s="47"/>
      <c r="K235" s="76"/>
      <c r="L235" s="76"/>
      <c r="M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N235" s="77"/>
      <c r="O235" s="32"/>
      <c r="P235" s="32"/>
      <c r="Q235" s="32"/>
      <c r="R235" s="32"/>
    </row>
    <row r="236" spans="3:18" x14ac:dyDescent="0.3">
      <c r="C236" s="11"/>
      <c r="D236" s="32"/>
      <c r="E236" s="11" t="str" cm="1">
        <f t="array" ref="E236">_xlfn.IFS(
    COUNTIF(Herramientas_eléctricas1862106149[Herramientas_eléctricas], B236) &gt; 0, Herramientas_eléctricas1862106149[[#Headers],[Herramientas_eléctricas]],
    COUNTIF(Herramientas_neumáticas1963107150[Herramientas_neumáticas], B236) &gt; 0, Herramientas_neumáticas1963107150[[#Headers],[Herramientas_neumáticas]],
    COUNTIF(Herramientas_de_medición2064108151[Herramientas_de_medición], B236) &gt; 0, Herramientas_de_medición2064108151[[#Headers],[Herramientas_de_medición]],
    COUNTIF(Herrramientas_mecánicas2165109152[Herramientas_mecánicas], B236) &gt; 0, Herrramientas_mecánicas2165109152[[#Headers],[Herramientas_mecánicas]],
    COUNTIF(AH236:AH242, B236) &gt; 0, Herramientas_hidráulicas2266110153[[#Headers],[Herramientas_hidráulicas]],
    COUNTIF(EPP_2367111154[SPCC], B236) &gt; 0, EPP_2367111154[[#Headers],[SPCC]],
   COUNTIF(Herramientas_de_izaje2468112155[Herramientas_de_izaje], B236) &gt; 0, Herramientas_de_izaje2468112155[[#Headers],[Herramientas_de_izaje]],
COUNTIF(Tabla162670114157[Equipos], B236) &gt; 0, Tabla162670114157[[#Headers],[Equipos]],
    TRUE, "Sin clasificación"
)</f>
        <v>Sin clasificación</v>
      </c>
      <c r="I236" s="15"/>
      <c r="J236" s="47"/>
      <c r="K236" s="76"/>
      <c r="L236" s="76"/>
      <c r="M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N236" s="77"/>
      <c r="O236" s="32"/>
      <c r="P236" s="32"/>
      <c r="Q236" s="32"/>
      <c r="R236" s="32"/>
    </row>
    <row r="237" spans="3:18" x14ac:dyDescent="0.3">
      <c r="C237" s="11"/>
      <c r="D237" s="32"/>
      <c r="E237" s="11" t="str" cm="1">
        <f t="array" ref="E237">_xlfn.IFS(
    COUNTIF(Herramientas_eléctricas1862106149[Herramientas_eléctricas], B237) &gt; 0, Herramientas_eléctricas1862106149[[#Headers],[Herramientas_eléctricas]],
    COUNTIF(Herramientas_neumáticas1963107150[Herramientas_neumáticas], B237) &gt; 0, Herramientas_neumáticas1963107150[[#Headers],[Herramientas_neumáticas]],
    COUNTIF(Herramientas_de_medición2064108151[Herramientas_de_medición], B237) &gt; 0, Herramientas_de_medición2064108151[[#Headers],[Herramientas_de_medición]],
    COUNTIF(Herrramientas_mecánicas2165109152[Herramientas_mecánicas], B237) &gt; 0, Herrramientas_mecánicas2165109152[[#Headers],[Herramientas_mecánicas]],
    COUNTIF(AH237:AH243, B237) &gt; 0, Herramientas_hidráulicas2266110153[[#Headers],[Herramientas_hidráulicas]],
    COUNTIF(EPP_2367111154[SPCC], B237) &gt; 0, EPP_2367111154[[#Headers],[SPCC]],
   COUNTIF(Herramientas_de_izaje2468112155[Herramientas_de_izaje], B237) &gt; 0, Herramientas_de_izaje2468112155[[#Headers],[Herramientas_de_izaje]],
COUNTIF(Tabla162670114157[Equipos], B237) &gt; 0, Tabla162670114157[[#Headers],[Equipos]],
    TRUE, "Sin clasificación"
)</f>
        <v>Sin clasificación</v>
      </c>
      <c r="I237" s="15"/>
      <c r="J237" s="47"/>
      <c r="K237" s="76"/>
      <c r="L237" s="76"/>
      <c r="M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N237" s="77"/>
      <c r="O237" s="32"/>
      <c r="P237" s="32"/>
      <c r="Q237" s="32"/>
      <c r="R237" s="32"/>
    </row>
    <row r="238" spans="3:18" x14ac:dyDescent="0.3">
      <c r="C238" s="11"/>
      <c r="D238" s="32"/>
      <c r="E238" s="11" t="str" cm="1">
        <f t="array" ref="E238">_xlfn.IFS(
    COUNTIF(Herramientas_eléctricas1862106149[Herramientas_eléctricas], B238) &gt; 0, Herramientas_eléctricas1862106149[[#Headers],[Herramientas_eléctricas]],
    COUNTIF(Herramientas_neumáticas1963107150[Herramientas_neumáticas], B238) &gt; 0, Herramientas_neumáticas1963107150[[#Headers],[Herramientas_neumáticas]],
    COUNTIF(Herramientas_de_medición2064108151[Herramientas_de_medición], B238) &gt; 0, Herramientas_de_medición2064108151[[#Headers],[Herramientas_de_medición]],
    COUNTIF(Herrramientas_mecánicas2165109152[Herramientas_mecánicas], B238) &gt; 0, Herrramientas_mecánicas2165109152[[#Headers],[Herramientas_mecánicas]],
    COUNTIF(AH238:AH244, B238) &gt; 0, Herramientas_hidráulicas2266110153[[#Headers],[Herramientas_hidráulicas]],
    COUNTIF(EPP_2367111154[SPCC], B238) &gt; 0, EPP_2367111154[[#Headers],[SPCC]],
   COUNTIF(Herramientas_de_izaje2468112155[Herramientas_de_izaje], B238) &gt; 0, Herramientas_de_izaje2468112155[[#Headers],[Herramientas_de_izaje]],
COUNTIF(Tabla162670114157[Equipos], B238) &gt; 0, Tabla162670114157[[#Headers],[Equipos]],
    TRUE, "Sin clasificación"
)</f>
        <v>Sin clasificación</v>
      </c>
      <c r="I238" s="15"/>
      <c r="J238" s="47"/>
      <c r="K238" s="76"/>
      <c r="L238" s="76"/>
      <c r="M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N238" s="77"/>
      <c r="O238" s="32"/>
      <c r="P238" s="32"/>
      <c r="Q238" s="32"/>
      <c r="R238" s="32"/>
    </row>
    <row r="239" spans="3:18" x14ac:dyDescent="0.3">
      <c r="C239" s="11"/>
      <c r="D239" s="32"/>
      <c r="E239" s="11" t="str" cm="1">
        <f t="array" ref="E239">_xlfn.IFS(
    COUNTIF(Herramientas_eléctricas1862106149[Herramientas_eléctricas], B239) &gt; 0, Herramientas_eléctricas1862106149[[#Headers],[Herramientas_eléctricas]],
    COUNTIF(Herramientas_neumáticas1963107150[Herramientas_neumáticas], B239) &gt; 0, Herramientas_neumáticas1963107150[[#Headers],[Herramientas_neumáticas]],
    COUNTIF(Herramientas_de_medición2064108151[Herramientas_de_medición], B239) &gt; 0, Herramientas_de_medición2064108151[[#Headers],[Herramientas_de_medición]],
    COUNTIF(Herrramientas_mecánicas2165109152[Herramientas_mecánicas], B239) &gt; 0, Herrramientas_mecánicas2165109152[[#Headers],[Herramientas_mecánicas]],
    COUNTIF(AH239:AH245, B239) &gt; 0, Herramientas_hidráulicas2266110153[[#Headers],[Herramientas_hidráulicas]],
    COUNTIF(EPP_2367111154[SPCC], B239) &gt; 0, EPP_2367111154[[#Headers],[SPCC]],
   COUNTIF(Herramientas_de_izaje2468112155[Herramientas_de_izaje], B239) &gt; 0, Herramientas_de_izaje2468112155[[#Headers],[Herramientas_de_izaje]],
COUNTIF(Tabla162670114157[Equipos], B239) &gt; 0, Tabla162670114157[[#Headers],[Equipos]],
    TRUE, "Sin clasificación"
)</f>
        <v>Sin clasificación</v>
      </c>
      <c r="I239" s="15"/>
      <c r="J239" s="47"/>
      <c r="K239" s="76"/>
      <c r="L239" s="76"/>
      <c r="M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N239" s="77"/>
      <c r="O239" s="32"/>
      <c r="P239" s="32"/>
      <c r="Q239" s="32"/>
      <c r="R239" s="32"/>
    </row>
    <row r="240" spans="3:18" x14ac:dyDescent="0.3">
      <c r="C240" s="11"/>
      <c r="D240" s="32"/>
      <c r="E240" s="11" t="str" cm="1">
        <f t="array" ref="E240">_xlfn.IFS(
    COUNTIF(Herramientas_eléctricas1862106149[Herramientas_eléctricas], B240) &gt; 0, Herramientas_eléctricas1862106149[[#Headers],[Herramientas_eléctricas]],
    COUNTIF(Herramientas_neumáticas1963107150[Herramientas_neumáticas], B240) &gt; 0, Herramientas_neumáticas1963107150[[#Headers],[Herramientas_neumáticas]],
    COUNTIF(Herramientas_de_medición2064108151[Herramientas_de_medición], B240) &gt; 0, Herramientas_de_medición2064108151[[#Headers],[Herramientas_de_medición]],
    COUNTIF(Herrramientas_mecánicas2165109152[Herramientas_mecánicas], B240) &gt; 0, Herrramientas_mecánicas2165109152[[#Headers],[Herramientas_mecánicas]],
    COUNTIF(AH240:AH246, B240) &gt; 0, Herramientas_hidráulicas2266110153[[#Headers],[Herramientas_hidráulicas]],
    COUNTIF(EPP_2367111154[SPCC], B240) &gt; 0, EPP_2367111154[[#Headers],[SPCC]],
   COUNTIF(Herramientas_de_izaje2468112155[Herramientas_de_izaje], B240) &gt; 0, Herramientas_de_izaje2468112155[[#Headers],[Herramientas_de_izaje]],
COUNTIF(Tabla162670114157[Equipos], B240) &gt; 0, Tabla162670114157[[#Headers],[Equipos]],
    TRUE, "Sin clasificación"
)</f>
        <v>Sin clasificación</v>
      </c>
      <c r="I240" s="15"/>
      <c r="J240" s="47"/>
      <c r="K240" s="76"/>
      <c r="L240" s="76"/>
      <c r="M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N240" s="77"/>
      <c r="O240" s="32"/>
      <c r="P240" s="32"/>
      <c r="Q240" s="32"/>
      <c r="R240" s="32"/>
    </row>
    <row r="241" spans="3:18" x14ac:dyDescent="0.3">
      <c r="C241" s="11"/>
      <c r="D241" s="32"/>
      <c r="E241" s="11" t="str" cm="1">
        <f t="array" ref="E241">_xlfn.IFS(
    COUNTIF(Herramientas_eléctricas1862106149[Herramientas_eléctricas], B241) &gt; 0, Herramientas_eléctricas1862106149[[#Headers],[Herramientas_eléctricas]],
    COUNTIF(Herramientas_neumáticas1963107150[Herramientas_neumáticas], B241) &gt; 0, Herramientas_neumáticas1963107150[[#Headers],[Herramientas_neumáticas]],
    COUNTIF(Herramientas_de_medición2064108151[Herramientas_de_medición], B241) &gt; 0, Herramientas_de_medición2064108151[[#Headers],[Herramientas_de_medición]],
    COUNTIF(Herrramientas_mecánicas2165109152[Herramientas_mecánicas], B241) &gt; 0, Herrramientas_mecánicas2165109152[[#Headers],[Herramientas_mecánicas]],
    COUNTIF(AH241:AH247, B241) &gt; 0, Herramientas_hidráulicas2266110153[[#Headers],[Herramientas_hidráulicas]],
    COUNTIF(EPP_2367111154[SPCC], B241) &gt; 0, EPP_2367111154[[#Headers],[SPCC]],
   COUNTIF(Herramientas_de_izaje2468112155[Herramientas_de_izaje], B241) &gt; 0, Herramientas_de_izaje2468112155[[#Headers],[Herramientas_de_izaje]],
COUNTIF(Tabla162670114157[Equipos], B241) &gt; 0, Tabla162670114157[[#Headers],[Equipos]],
    TRUE, "Sin clasificación"
)</f>
        <v>Sin clasificación</v>
      </c>
      <c r="I241" s="15"/>
      <c r="J241" s="47"/>
      <c r="K241" s="76"/>
      <c r="L241" s="76"/>
      <c r="M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N241" s="77"/>
      <c r="O241" s="32"/>
      <c r="P241" s="32"/>
      <c r="Q241" s="32"/>
      <c r="R241" s="32"/>
    </row>
    <row r="242" spans="3:18" x14ac:dyDescent="0.3">
      <c r="C242" s="11"/>
      <c r="D242" s="32"/>
      <c r="E242" s="11" t="str" cm="1">
        <f t="array" ref="E242">_xlfn.IFS(
    COUNTIF(Herramientas_eléctricas1862106149[Herramientas_eléctricas], B242) &gt; 0, Herramientas_eléctricas1862106149[[#Headers],[Herramientas_eléctricas]],
    COUNTIF(Herramientas_neumáticas1963107150[Herramientas_neumáticas], B242) &gt; 0, Herramientas_neumáticas1963107150[[#Headers],[Herramientas_neumáticas]],
    COUNTIF(Herramientas_de_medición2064108151[Herramientas_de_medición], B242) &gt; 0, Herramientas_de_medición2064108151[[#Headers],[Herramientas_de_medición]],
    COUNTIF(Herrramientas_mecánicas2165109152[Herramientas_mecánicas], B242) &gt; 0, Herrramientas_mecánicas2165109152[[#Headers],[Herramientas_mecánicas]],
    COUNTIF(AH242:AH248, B242) &gt; 0, Herramientas_hidráulicas2266110153[[#Headers],[Herramientas_hidráulicas]],
    COUNTIF(EPP_2367111154[SPCC], B242) &gt; 0, EPP_2367111154[[#Headers],[SPCC]],
   COUNTIF(Herramientas_de_izaje2468112155[Herramientas_de_izaje], B242) &gt; 0, Herramientas_de_izaje2468112155[[#Headers],[Herramientas_de_izaje]],
COUNTIF(Tabla162670114157[Equipos], B242) &gt; 0, Tabla162670114157[[#Headers],[Equipos]],
    TRUE, "Sin clasificación"
)</f>
        <v>Sin clasificación</v>
      </c>
      <c r="I242" s="15"/>
      <c r="J242" s="47"/>
      <c r="K242" s="76"/>
      <c r="L242" s="76"/>
      <c r="M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N242" s="77"/>
      <c r="O242" s="32"/>
      <c r="P242" s="32"/>
      <c r="Q242" s="32"/>
      <c r="R242" s="32"/>
    </row>
    <row r="243" spans="3:18" x14ac:dyDescent="0.3">
      <c r="C243" s="11"/>
      <c r="D243" s="32"/>
      <c r="E243" s="11" t="str" cm="1">
        <f t="array" ref="E243">_xlfn.IFS(
    COUNTIF(Herramientas_eléctricas1862106149[Herramientas_eléctricas], B243) &gt; 0, Herramientas_eléctricas1862106149[[#Headers],[Herramientas_eléctricas]],
    COUNTIF(Herramientas_neumáticas1963107150[Herramientas_neumáticas], B243) &gt; 0, Herramientas_neumáticas1963107150[[#Headers],[Herramientas_neumáticas]],
    COUNTIF(Herramientas_de_medición2064108151[Herramientas_de_medición], B243) &gt; 0, Herramientas_de_medición2064108151[[#Headers],[Herramientas_de_medición]],
    COUNTIF(Herrramientas_mecánicas2165109152[Herramientas_mecánicas], B243) &gt; 0, Herrramientas_mecánicas2165109152[[#Headers],[Herramientas_mecánicas]],
    COUNTIF(AH243:AH249, B243) &gt; 0, Herramientas_hidráulicas2266110153[[#Headers],[Herramientas_hidráulicas]],
    COUNTIF(EPP_2367111154[SPCC], B243) &gt; 0, EPP_2367111154[[#Headers],[SPCC]],
   COUNTIF(Herramientas_de_izaje2468112155[Herramientas_de_izaje], B243) &gt; 0, Herramientas_de_izaje2468112155[[#Headers],[Herramientas_de_izaje]],
COUNTIF(Tabla162670114157[Equipos], B243) &gt; 0, Tabla162670114157[[#Headers],[Equipos]],
    TRUE, "Sin clasificación"
)</f>
        <v>Sin clasificación</v>
      </c>
      <c r="I243" s="15"/>
      <c r="J243" s="47"/>
      <c r="K243" s="76"/>
      <c r="L243" s="76"/>
      <c r="M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N243" s="77"/>
      <c r="O243" s="32"/>
      <c r="P243" s="32"/>
      <c r="Q243" s="32"/>
      <c r="R243" s="32"/>
    </row>
    <row r="244" spans="3:18" x14ac:dyDescent="0.3">
      <c r="C244" s="11"/>
      <c r="D244" s="32"/>
      <c r="E244" s="11" t="str" cm="1">
        <f t="array" ref="E244">_xlfn.IFS(
    COUNTIF(Herramientas_eléctricas1862106149[Herramientas_eléctricas], B244) &gt; 0, Herramientas_eléctricas1862106149[[#Headers],[Herramientas_eléctricas]],
    COUNTIF(Herramientas_neumáticas1963107150[Herramientas_neumáticas], B244) &gt; 0, Herramientas_neumáticas1963107150[[#Headers],[Herramientas_neumáticas]],
    COUNTIF(Herramientas_de_medición2064108151[Herramientas_de_medición], B244) &gt; 0, Herramientas_de_medición2064108151[[#Headers],[Herramientas_de_medición]],
    COUNTIF(Herrramientas_mecánicas2165109152[Herramientas_mecánicas], B244) &gt; 0, Herrramientas_mecánicas2165109152[[#Headers],[Herramientas_mecánicas]],
    COUNTIF(AH244:AH250, B244) &gt; 0, Herramientas_hidráulicas2266110153[[#Headers],[Herramientas_hidráulicas]],
    COUNTIF(EPP_2367111154[SPCC], B244) &gt; 0, EPP_2367111154[[#Headers],[SPCC]],
   COUNTIF(Herramientas_de_izaje2468112155[Herramientas_de_izaje], B244) &gt; 0, Herramientas_de_izaje2468112155[[#Headers],[Herramientas_de_izaje]],
COUNTIF(Tabla162670114157[Equipos], B244) &gt; 0, Tabla162670114157[[#Headers],[Equipos]],
    TRUE, "Sin clasificación"
)</f>
        <v>Sin clasificación</v>
      </c>
      <c r="I244" s="15"/>
      <c r="J244" s="47"/>
      <c r="K244" s="76"/>
      <c r="L244" s="76"/>
      <c r="M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N244" s="77"/>
      <c r="O244" s="32"/>
      <c r="P244" s="32"/>
      <c r="Q244" s="32"/>
      <c r="R244" s="32"/>
    </row>
    <row r="245" spans="3:18" x14ac:dyDescent="0.3">
      <c r="C245" s="11"/>
      <c r="D245" s="32"/>
      <c r="E245" s="11" t="str" cm="1">
        <f t="array" ref="E245">_xlfn.IFS(
    COUNTIF(Herramientas_eléctricas1862106149[Herramientas_eléctricas], B245) &gt; 0, Herramientas_eléctricas1862106149[[#Headers],[Herramientas_eléctricas]],
    COUNTIF(Herramientas_neumáticas1963107150[Herramientas_neumáticas], B245) &gt; 0, Herramientas_neumáticas1963107150[[#Headers],[Herramientas_neumáticas]],
    COUNTIF(Herramientas_de_medición2064108151[Herramientas_de_medición], B245) &gt; 0, Herramientas_de_medición2064108151[[#Headers],[Herramientas_de_medición]],
    COUNTIF(Herrramientas_mecánicas2165109152[Herramientas_mecánicas], B245) &gt; 0, Herrramientas_mecánicas2165109152[[#Headers],[Herramientas_mecánicas]],
    COUNTIF(AH245:AH251, B245) &gt; 0, Herramientas_hidráulicas2266110153[[#Headers],[Herramientas_hidráulicas]],
    COUNTIF(EPP_2367111154[SPCC], B245) &gt; 0, EPP_2367111154[[#Headers],[SPCC]],
   COUNTIF(Herramientas_de_izaje2468112155[Herramientas_de_izaje], B245) &gt; 0, Herramientas_de_izaje2468112155[[#Headers],[Herramientas_de_izaje]],
COUNTIF(Tabla162670114157[Equipos], B245) &gt; 0, Tabla162670114157[[#Headers],[Equipos]],
    TRUE, "Sin clasificación"
)</f>
        <v>Sin clasificación</v>
      </c>
      <c r="I245" s="15"/>
      <c r="J245" s="47"/>
      <c r="K245" s="76"/>
      <c r="L245" s="76"/>
      <c r="M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N245" s="77"/>
      <c r="O245" s="32"/>
      <c r="P245" s="32"/>
      <c r="Q245" s="32"/>
      <c r="R245" s="32"/>
    </row>
    <row r="246" spans="3:18" x14ac:dyDescent="0.3">
      <c r="C246" s="11"/>
      <c r="D246" s="32"/>
      <c r="E246" s="11" t="str" cm="1">
        <f t="array" ref="E246">_xlfn.IFS(
    COUNTIF(Herramientas_eléctricas1862106149[Herramientas_eléctricas], B246) &gt; 0, Herramientas_eléctricas1862106149[[#Headers],[Herramientas_eléctricas]],
    COUNTIF(Herramientas_neumáticas1963107150[Herramientas_neumáticas], B246) &gt; 0, Herramientas_neumáticas1963107150[[#Headers],[Herramientas_neumáticas]],
    COUNTIF(Herramientas_de_medición2064108151[Herramientas_de_medición], B246) &gt; 0, Herramientas_de_medición2064108151[[#Headers],[Herramientas_de_medición]],
    COUNTIF(Herrramientas_mecánicas2165109152[Herramientas_mecánicas], B246) &gt; 0, Herrramientas_mecánicas2165109152[[#Headers],[Herramientas_mecánicas]],
    COUNTIF(AH246:AH252, B246) &gt; 0, Herramientas_hidráulicas2266110153[[#Headers],[Herramientas_hidráulicas]],
    COUNTIF(EPP_2367111154[SPCC], B246) &gt; 0, EPP_2367111154[[#Headers],[SPCC]],
   COUNTIF(Herramientas_de_izaje2468112155[Herramientas_de_izaje], B246) &gt; 0, Herramientas_de_izaje2468112155[[#Headers],[Herramientas_de_izaje]],
COUNTIF(Tabla162670114157[Equipos], B246) &gt; 0, Tabla162670114157[[#Headers],[Equipos]],
    TRUE, "Sin clasificación"
)</f>
        <v>Sin clasificación</v>
      </c>
      <c r="I246" s="15"/>
      <c r="J246" s="47"/>
      <c r="K246" s="76"/>
      <c r="L246" s="76"/>
      <c r="M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N246" s="77"/>
      <c r="O246" s="32"/>
      <c r="P246" s="32"/>
      <c r="Q246" s="32"/>
      <c r="R246" s="32"/>
    </row>
    <row r="247" spans="3:18" x14ac:dyDescent="0.3">
      <c r="C247" s="11"/>
      <c r="D247" s="32"/>
      <c r="E247" s="11" t="str" cm="1">
        <f t="array" ref="E247">_xlfn.IFS(
    COUNTIF(Herramientas_eléctricas1862106149[Herramientas_eléctricas], B247) &gt; 0, Herramientas_eléctricas1862106149[[#Headers],[Herramientas_eléctricas]],
    COUNTIF(Herramientas_neumáticas1963107150[Herramientas_neumáticas], B247) &gt; 0, Herramientas_neumáticas1963107150[[#Headers],[Herramientas_neumáticas]],
    COUNTIF(Herramientas_de_medición2064108151[Herramientas_de_medición], B247) &gt; 0, Herramientas_de_medición2064108151[[#Headers],[Herramientas_de_medición]],
    COUNTIF(Herrramientas_mecánicas2165109152[Herramientas_mecánicas], B247) &gt; 0, Herrramientas_mecánicas2165109152[[#Headers],[Herramientas_mecánicas]],
    COUNTIF(AH247:AH253, B247) &gt; 0, Herramientas_hidráulicas2266110153[[#Headers],[Herramientas_hidráulicas]],
    COUNTIF(EPP_2367111154[SPCC], B247) &gt; 0, EPP_2367111154[[#Headers],[SPCC]],
   COUNTIF(Herramientas_de_izaje2468112155[Herramientas_de_izaje], B247) &gt; 0, Herramientas_de_izaje2468112155[[#Headers],[Herramientas_de_izaje]],
COUNTIF(Tabla162670114157[Equipos], B247) &gt; 0, Tabla162670114157[[#Headers],[Equipos]],
    TRUE, "Sin clasificación"
)</f>
        <v>Sin clasificación</v>
      </c>
      <c r="I247" s="15"/>
      <c r="J247" s="47"/>
      <c r="K247" s="76"/>
      <c r="L247" s="76"/>
      <c r="M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N247" s="77"/>
      <c r="O247" s="32"/>
      <c r="P247" s="32"/>
      <c r="Q247" s="32"/>
      <c r="R247" s="32"/>
    </row>
    <row r="248" spans="3:18" x14ac:dyDescent="0.3">
      <c r="C248" s="11"/>
      <c r="D248" s="32"/>
      <c r="E248" s="11" t="str" cm="1">
        <f t="array" ref="E248">_xlfn.IFS(
    COUNTIF(Herramientas_eléctricas1862106149[Herramientas_eléctricas], B248) &gt; 0, Herramientas_eléctricas1862106149[[#Headers],[Herramientas_eléctricas]],
    COUNTIF(Herramientas_neumáticas1963107150[Herramientas_neumáticas], B248) &gt; 0, Herramientas_neumáticas1963107150[[#Headers],[Herramientas_neumáticas]],
    COUNTIF(Herramientas_de_medición2064108151[Herramientas_de_medición], B248) &gt; 0, Herramientas_de_medición2064108151[[#Headers],[Herramientas_de_medición]],
    COUNTIF(Herrramientas_mecánicas2165109152[Herramientas_mecánicas], B248) &gt; 0, Herrramientas_mecánicas2165109152[[#Headers],[Herramientas_mecánicas]],
    COUNTIF(AH248:AH254, B248) &gt; 0, Herramientas_hidráulicas2266110153[[#Headers],[Herramientas_hidráulicas]],
    COUNTIF(EPP_2367111154[SPCC], B248) &gt; 0, EPP_2367111154[[#Headers],[SPCC]],
   COUNTIF(Herramientas_de_izaje2468112155[Herramientas_de_izaje], B248) &gt; 0, Herramientas_de_izaje2468112155[[#Headers],[Herramientas_de_izaje]],
COUNTIF(Tabla162670114157[Equipos], B248) &gt; 0, Tabla162670114157[[#Headers],[Equipos]],
    TRUE, "Sin clasificación"
)</f>
        <v>Sin clasificación</v>
      </c>
      <c r="I248" s="15"/>
      <c r="J248" s="47"/>
      <c r="K248" s="76"/>
      <c r="L248" s="76"/>
      <c r="M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N248" s="77"/>
      <c r="O248" s="32"/>
      <c r="P248" s="32"/>
      <c r="Q248" s="32"/>
      <c r="R248" s="32"/>
    </row>
    <row r="249" spans="3:18" x14ac:dyDescent="0.3">
      <c r="C249" s="11"/>
      <c r="D249" s="32"/>
      <c r="E249" s="11" t="str" cm="1">
        <f t="array" ref="E249">_xlfn.IFS(
    COUNTIF(Herramientas_eléctricas1862106149[Herramientas_eléctricas], B249) &gt; 0, Herramientas_eléctricas1862106149[[#Headers],[Herramientas_eléctricas]],
    COUNTIF(Herramientas_neumáticas1963107150[Herramientas_neumáticas], B249) &gt; 0, Herramientas_neumáticas1963107150[[#Headers],[Herramientas_neumáticas]],
    COUNTIF(Herramientas_de_medición2064108151[Herramientas_de_medición], B249) &gt; 0, Herramientas_de_medición2064108151[[#Headers],[Herramientas_de_medición]],
    COUNTIF(Herrramientas_mecánicas2165109152[Herramientas_mecánicas], B249) &gt; 0, Herrramientas_mecánicas2165109152[[#Headers],[Herramientas_mecánicas]],
    COUNTIF(AH249:AH255, B249) &gt; 0, Herramientas_hidráulicas2266110153[[#Headers],[Herramientas_hidráulicas]],
    COUNTIF(EPP_2367111154[SPCC], B249) &gt; 0, EPP_2367111154[[#Headers],[SPCC]],
   COUNTIF(Herramientas_de_izaje2468112155[Herramientas_de_izaje], B249) &gt; 0, Herramientas_de_izaje2468112155[[#Headers],[Herramientas_de_izaje]],
COUNTIF(Tabla162670114157[Equipos], B249) &gt; 0, Tabla162670114157[[#Headers],[Equipos]],
    TRUE, "Sin clasificación"
)</f>
        <v>Sin clasificación</v>
      </c>
      <c r="I249" s="15"/>
      <c r="J249" s="47"/>
      <c r="K249" s="76"/>
      <c r="L249" s="76"/>
      <c r="M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N249" s="77"/>
      <c r="O249" s="32"/>
      <c r="P249" s="32"/>
      <c r="Q249" s="32"/>
      <c r="R249" s="32"/>
    </row>
    <row r="250" spans="3:18" x14ac:dyDescent="0.3">
      <c r="C250" s="11"/>
      <c r="D250" s="32"/>
      <c r="E250" s="11" t="str" cm="1">
        <f t="array" ref="E250">_xlfn.IFS(
    COUNTIF(Herramientas_eléctricas1862106149[Herramientas_eléctricas], B250) &gt; 0, Herramientas_eléctricas1862106149[[#Headers],[Herramientas_eléctricas]],
    COUNTIF(Herramientas_neumáticas1963107150[Herramientas_neumáticas], B250) &gt; 0, Herramientas_neumáticas1963107150[[#Headers],[Herramientas_neumáticas]],
    COUNTIF(Herramientas_de_medición2064108151[Herramientas_de_medición], B250) &gt; 0, Herramientas_de_medición2064108151[[#Headers],[Herramientas_de_medición]],
    COUNTIF(Herrramientas_mecánicas2165109152[Herramientas_mecánicas], B250) &gt; 0, Herrramientas_mecánicas2165109152[[#Headers],[Herramientas_mecánicas]],
    COUNTIF(AH250:AH256, B250) &gt; 0, Herramientas_hidráulicas2266110153[[#Headers],[Herramientas_hidráulicas]],
    COUNTIF(EPP_2367111154[SPCC], B250) &gt; 0, EPP_2367111154[[#Headers],[SPCC]],
   COUNTIF(Herramientas_de_izaje2468112155[Herramientas_de_izaje], B250) &gt; 0, Herramientas_de_izaje2468112155[[#Headers],[Herramientas_de_izaje]],
COUNTIF(Tabla162670114157[Equipos], B250) &gt; 0, Tabla162670114157[[#Headers],[Equipos]],
    TRUE, "Sin clasificación"
)</f>
        <v>Sin clasificación</v>
      </c>
      <c r="I250" s="15"/>
      <c r="J250" s="47"/>
      <c r="K250" s="76"/>
      <c r="L250" s="76"/>
      <c r="M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N250" s="77"/>
      <c r="O250" s="32"/>
      <c r="P250" s="32"/>
      <c r="Q250" s="32"/>
      <c r="R250" s="32"/>
    </row>
    <row r="251" spans="3:18" x14ac:dyDescent="0.3">
      <c r="C251" s="11"/>
      <c r="D251" s="32"/>
      <c r="E251" s="11" t="str" cm="1">
        <f t="array" ref="E251">_xlfn.IFS(
    COUNTIF(Herramientas_eléctricas1862106149[Herramientas_eléctricas], B251) &gt; 0, Herramientas_eléctricas1862106149[[#Headers],[Herramientas_eléctricas]],
    COUNTIF(Herramientas_neumáticas1963107150[Herramientas_neumáticas], B251) &gt; 0, Herramientas_neumáticas1963107150[[#Headers],[Herramientas_neumáticas]],
    COUNTIF(Herramientas_de_medición2064108151[Herramientas_de_medición], B251) &gt; 0, Herramientas_de_medición2064108151[[#Headers],[Herramientas_de_medición]],
    COUNTIF(Herrramientas_mecánicas2165109152[Herramientas_mecánicas], B251) &gt; 0, Herrramientas_mecánicas2165109152[[#Headers],[Herramientas_mecánicas]],
    COUNTIF(AH251:AH257, B251) &gt; 0, Herramientas_hidráulicas2266110153[[#Headers],[Herramientas_hidráulicas]],
    COUNTIF(EPP_2367111154[SPCC], B251) &gt; 0, EPP_2367111154[[#Headers],[SPCC]],
   COUNTIF(Herramientas_de_izaje2468112155[Herramientas_de_izaje], B251) &gt; 0, Herramientas_de_izaje2468112155[[#Headers],[Herramientas_de_izaje]],
COUNTIF(Tabla162670114157[Equipos], B251) &gt; 0, Tabla162670114157[[#Headers],[Equipos]],
    TRUE, "Sin clasificación"
)</f>
        <v>Sin clasificación</v>
      </c>
      <c r="I251" s="15"/>
      <c r="J251" s="47"/>
      <c r="K251" s="76"/>
      <c r="L251" s="76"/>
      <c r="M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N251" s="77"/>
      <c r="O251" s="32"/>
      <c r="P251" s="32"/>
      <c r="Q251" s="32"/>
      <c r="R251" s="32"/>
    </row>
    <row r="252" spans="3:18" x14ac:dyDescent="0.3">
      <c r="C252" s="11"/>
      <c r="D252" s="32"/>
      <c r="E252" s="11" t="str" cm="1">
        <f t="array" ref="E252">_xlfn.IFS(
    COUNTIF(Herramientas_eléctricas1862106149[Herramientas_eléctricas], B252) &gt; 0, Herramientas_eléctricas1862106149[[#Headers],[Herramientas_eléctricas]],
    COUNTIF(Herramientas_neumáticas1963107150[Herramientas_neumáticas], B252) &gt; 0, Herramientas_neumáticas1963107150[[#Headers],[Herramientas_neumáticas]],
    COUNTIF(Herramientas_de_medición2064108151[Herramientas_de_medición], B252) &gt; 0, Herramientas_de_medición2064108151[[#Headers],[Herramientas_de_medición]],
    COUNTIF(Herrramientas_mecánicas2165109152[Herramientas_mecánicas], B252) &gt; 0, Herrramientas_mecánicas2165109152[[#Headers],[Herramientas_mecánicas]],
    COUNTIF(AH252:AH258, B252) &gt; 0, Herramientas_hidráulicas2266110153[[#Headers],[Herramientas_hidráulicas]],
    COUNTIF(EPP_2367111154[SPCC], B252) &gt; 0, EPP_2367111154[[#Headers],[SPCC]],
   COUNTIF(Herramientas_de_izaje2468112155[Herramientas_de_izaje], B252) &gt; 0, Herramientas_de_izaje2468112155[[#Headers],[Herramientas_de_izaje]],
COUNTIF(Tabla162670114157[Equipos], B252) &gt; 0, Tabla162670114157[[#Headers],[Equipos]],
    TRUE, "Sin clasificación"
)</f>
        <v>Sin clasificación</v>
      </c>
      <c r="I252" s="15"/>
      <c r="J252" s="47"/>
      <c r="K252" s="76"/>
      <c r="L252" s="76"/>
      <c r="M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N252" s="77"/>
      <c r="O252" s="32"/>
      <c r="P252" s="32"/>
      <c r="Q252" s="32"/>
      <c r="R252" s="32"/>
    </row>
    <row r="253" spans="3:18" x14ac:dyDescent="0.3">
      <c r="C253" s="11"/>
      <c r="D253" s="32"/>
      <c r="E253" s="11" t="str" cm="1">
        <f t="array" ref="E253">_xlfn.IFS(
    COUNTIF(Herramientas_eléctricas1862106149[Herramientas_eléctricas], B253) &gt; 0, Herramientas_eléctricas1862106149[[#Headers],[Herramientas_eléctricas]],
    COUNTIF(Herramientas_neumáticas1963107150[Herramientas_neumáticas], B253) &gt; 0, Herramientas_neumáticas1963107150[[#Headers],[Herramientas_neumáticas]],
    COUNTIF(Herramientas_de_medición2064108151[Herramientas_de_medición], B253) &gt; 0, Herramientas_de_medición2064108151[[#Headers],[Herramientas_de_medición]],
    COUNTIF(Herrramientas_mecánicas2165109152[Herramientas_mecánicas], B253) &gt; 0, Herrramientas_mecánicas2165109152[[#Headers],[Herramientas_mecánicas]],
    COUNTIF(AH253:AH259, B253) &gt; 0, Herramientas_hidráulicas2266110153[[#Headers],[Herramientas_hidráulicas]],
    COUNTIF(EPP_2367111154[SPCC], B253) &gt; 0, EPP_2367111154[[#Headers],[SPCC]],
   COUNTIF(Herramientas_de_izaje2468112155[Herramientas_de_izaje], B253) &gt; 0, Herramientas_de_izaje2468112155[[#Headers],[Herramientas_de_izaje]],
COUNTIF(Tabla162670114157[Equipos], B253) &gt; 0, Tabla162670114157[[#Headers],[Equipos]],
    TRUE, "Sin clasificación"
)</f>
        <v>Sin clasificación</v>
      </c>
      <c r="I253" s="15"/>
      <c r="J253" s="47"/>
      <c r="K253" s="76"/>
      <c r="L253" s="76"/>
      <c r="M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N253" s="77"/>
      <c r="O253" s="32"/>
      <c r="P253" s="32"/>
      <c r="Q253" s="32"/>
      <c r="R253" s="32"/>
    </row>
    <row r="254" spans="3:18" x14ac:dyDescent="0.3">
      <c r="C254" s="11"/>
      <c r="D254" s="32"/>
      <c r="E254" s="11" t="str" cm="1">
        <f t="array" ref="E254">_xlfn.IFS(
    COUNTIF(Herramientas_eléctricas1862106149[Herramientas_eléctricas], B254) &gt; 0, Herramientas_eléctricas1862106149[[#Headers],[Herramientas_eléctricas]],
    COUNTIF(Herramientas_neumáticas1963107150[Herramientas_neumáticas], B254) &gt; 0, Herramientas_neumáticas1963107150[[#Headers],[Herramientas_neumáticas]],
    COUNTIF(Herramientas_de_medición2064108151[Herramientas_de_medición], B254) &gt; 0, Herramientas_de_medición2064108151[[#Headers],[Herramientas_de_medición]],
    COUNTIF(Herrramientas_mecánicas2165109152[Herramientas_mecánicas], B254) &gt; 0, Herrramientas_mecánicas2165109152[[#Headers],[Herramientas_mecánicas]],
    COUNTIF(AH254:AH260, B254) &gt; 0, Herramientas_hidráulicas2266110153[[#Headers],[Herramientas_hidráulicas]],
    COUNTIF(EPP_2367111154[SPCC], B254) &gt; 0, EPP_2367111154[[#Headers],[SPCC]],
   COUNTIF(Herramientas_de_izaje2468112155[Herramientas_de_izaje], B254) &gt; 0, Herramientas_de_izaje2468112155[[#Headers],[Herramientas_de_izaje]],
COUNTIF(Tabla162670114157[Equipos], B254) &gt; 0, Tabla162670114157[[#Headers],[Equipos]],
    TRUE, "Sin clasificación"
)</f>
        <v>Sin clasificación</v>
      </c>
      <c r="I254" s="15"/>
      <c r="J254" s="47"/>
      <c r="K254" s="76"/>
      <c r="L254" s="76"/>
      <c r="M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N254" s="77"/>
      <c r="O254" s="32"/>
      <c r="P254" s="32"/>
      <c r="Q254" s="32"/>
      <c r="R254" s="32"/>
    </row>
    <row r="255" spans="3:18" x14ac:dyDescent="0.3">
      <c r="C255" s="11"/>
      <c r="D255" s="32"/>
      <c r="E255" s="11" t="str" cm="1">
        <f t="array" ref="E255">_xlfn.IFS(
    COUNTIF(Herramientas_eléctricas1862106149[Herramientas_eléctricas], B255) &gt; 0, Herramientas_eléctricas1862106149[[#Headers],[Herramientas_eléctricas]],
    COUNTIF(Herramientas_neumáticas1963107150[Herramientas_neumáticas], B255) &gt; 0, Herramientas_neumáticas1963107150[[#Headers],[Herramientas_neumáticas]],
    COUNTIF(Herramientas_de_medición2064108151[Herramientas_de_medición], B255) &gt; 0, Herramientas_de_medición2064108151[[#Headers],[Herramientas_de_medición]],
    COUNTIF(Herrramientas_mecánicas2165109152[Herramientas_mecánicas], B255) &gt; 0, Herrramientas_mecánicas2165109152[[#Headers],[Herramientas_mecánicas]],
    COUNTIF(AH255:AH261, B255) &gt; 0, Herramientas_hidráulicas2266110153[[#Headers],[Herramientas_hidráulicas]],
    COUNTIF(EPP_2367111154[SPCC], B255) &gt; 0, EPP_2367111154[[#Headers],[SPCC]],
   COUNTIF(Herramientas_de_izaje2468112155[Herramientas_de_izaje], B255) &gt; 0, Herramientas_de_izaje2468112155[[#Headers],[Herramientas_de_izaje]],
COUNTIF(Tabla162670114157[Equipos], B255) &gt; 0, Tabla162670114157[[#Headers],[Equipos]],
    TRUE, "Sin clasificación"
)</f>
        <v>Sin clasificación</v>
      </c>
      <c r="I255" s="15"/>
      <c r="J255" s="47"/>
      <c r="K255" s="76"/>
      <c r="L255" s="76"/>
      <c r="M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N255" s="77"/>
      <c r="O255" s="32"/>
      <c r="P255" s="32"/>
      <c r="Q255" s="32"/>
      <c r="R255" s="32"/>
    </row>
    <row r="256" spans="3:18" x14ac:dyDescent="0.3">
      <c r="C256" s="11"/>
      <c r="D256" s="32"/>
      <c r="E256" s="11" t="str" cm="1">
        <f t="array" ref="E256">_xlfn.IFS(
    COUNTIF(Herramientas_eléctricas1862106149[Herramientas_eléctricas], B256) &gt; 0, Herramientas_eléctricas1862106149[[#Headers],[Herramientas_eléctricas]],
    COUNTIF(Herramientas_neumáticas1963107150[Herramientas_neumáticas], B256) &gt; 0, Herramientas_neumáticas1963107150[[#Headers],[Herramientas_neumáticas]],
    COUNTIF(Herramientas_de_medición2064108151[Herramientas_de_medición], B256) &gt; 0, Herramientas_de_medición2064108151[[#Headers],[Herramientas_de_medición]],
    COUNTIF(Herrramientas_mecánicas2165109152[Herramientas_mecánicas], B256) &gt; 0, Herrramientas_mecánicas2165109152[[#Headers],[Herramientas_mecánicas]],
    COUNTIF(AH256:AH262, B256) &gt; 0, Herramientas_hidráulicas2266110153[[#Headers],[Herramientas_hidráulicas]],
    COUNTIF(EPP_2367111154[SPCC], B256) &gt; 0, EPP_2367111154[[#Headers],[SPCC]],
   COUNTIF(Herramientas_de_izaje2468112155[Herramientas_de_izaje], B256) &gt; 0, Herramientas_de_izaje2468112155[[#Headers],[Herramientas_de_izaje]],
COUNTIF(Tabla162670114157[Equipos], B256) &gt; 0, Tabla162670114157[[#Headers],[Equipos]],
    TRUE, "Sin clasificación"
)</f>
        <v>Sin clasificación</v>
      </c>
      <c r="I256" s="15"/>
      <c r="J256" s="47"/>
      <c r="K256" s="76"/>
      <c r="L256" s="76"/>
      <c r="M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N256" s="77"/>
      <c r="O256" s="32"/>
      <c r="P256" s="32"/>
      <c r="Q256" s="32"/>
      <c r="R256" s="32"/>
    </row>
    <row r="257" spans="3:18" x14ac:dyDescent="0.3">
      <c r="C257" s="11"/>
      <c r="D257" s="32"/>
      <c r="E257" s="11" t="str" cm="1">
        <f t="array" ref="E257">_xlfn.IFS(
    COUNTIF(Herramientas_eléctricas1862106149[Herramientas_eléctricas], B257) &gt; 0, Herramientas_eléctricas1862106149[[#Headers],[Herramientas_eléctricas]],
    COUNTIF(Herramientas_neumáticas1963107150[Herramientas_neumáticas], B257) &gt; 0, Herramientas_neumáticas1963107150[[#Headers],[Herramientas_neumáticas]],
    COUNTIF(Herramientas_de_medición2064108151[Herramientas_de_medición], B257) &gt; 0, Herramientas_de_medición2064108151[[#Headers],[Herramientas_de_medición]],
    COUNTIF(Herrramientas_mecánicas2165109152[Herramientas_mecánicas], B257) &gt; 0, Herrramientas_mecánicas2165109152[[#Headers],[Herramientas_mecánicas]],
    COUNTIF(AH257:AH263, B257) &gt; 0, Herramientas_hidráulicas2266110153[[#Headers],[Herramientas_hidráulicas]],
    COUNTIF(EPP_2367111154[SPCC], B257) &gt; 0, EPP_2367111154[[#Headers],[SPCC]],
   COUNTIF(Herramientas_de_izaje2468112155[Herramientas_de_izaje], B257) &gt; 0, Herramientas_de_izaje2468112155[[#Headers],[Herramientas_de_izaje]],
COUNTIF(Tabla162670114157[Equipos], B257) &gt; 0, Tabla162670114157[[#Headers],[Equipos]],
    TRUE, "Sin clasificación"
)</f>
        <v>Sin clasificación</v>
      </c>
      <c r="I257" s="15"/>
      <c r="J257" s="47"/>
      <c r="K257" s="76"/>
      <c r="L257" s="76"/>
      <c r="M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N257" s="77"/>
      <c r="O257" s="32"/>
      <c r="P257" s="32"/>
      <c r="Q257" s="32"/>
      <c r="R257" s="32"/>
    </row>
    <row r="258" spans="3:18" x14ac:dyDescent="0.3">
      <c r="C258" s="11"/>
      <c r="D258" s="32"/>
      <c r="E258" s="11" t="str" cm="1">
        <f t="array" ref="E258">_xlfn.IFS(
    COUNTIF(Herramientas_eléctricas1862106149[Herramientas_eléctricas], B258) &gt; 0, Herramientas_eléctricas1862106149[[#Headers],[Herramientas_eléctricas]],
    COUNTIF(Herramientas_neumáticas1963107150[Herramientas_neumáticas], B258) &gt; 0, Herramientas_neumáticas1963107150[[#Headers],[Herramientas_neumáticas]],
    COUNTIF(Herramientas_de_medición2064108151[Herramientas_de_medición], B258) &gt; 0, Herramientas_de_medición2064108151[[#Headers],[Herramientas_de_medición]],
    COUNTIF(Herrramientas_mecánicas2165109152[Herramientas_mecánicas], B258) &gt; 0, Herrramientas_mecánicas2165109152[[#Headers],[Herramientas_mecánicas]],
    COUNTIF(AH258:AH264, B258) &gt; 0, Herramientas_hidráulicas2266110153[[#Headers],[Herramientas_hidráulicas]],
    COUNTIF(EPP_2367111154[SPCC], B258) &gt; 0, EPP_2367111154[[#Headers],[SPCC]],
   COUNTIF(Herramientas_de_izaje2468112155[Herramientas_de_izaje], B258) &gt; 0, Herramientas_de_izaje2468112155[[#Headers],[Herramientas_de_izaje]],
COUNTIF(Tabla162670114157[Equipos], B258) &gt; 0, Tabla162670114157[[#Headers],[Equipos]],
    TRUE, "Sin clasificación"
)</f>
        <v>Sin clasificación</v>
      </c>
      <c r="I258" s="15"/>
      <c r="J258" s="47"/>
      <c r="K258" s="76"/>
      <c r="L258" s="76"/>
      <c r="M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N258" s="77"/>
      <c r="O258" s="32"/>
      <c r="P258" s="32"/>
      <c r="Q258" s="32"/>
      <c r="R258" s="32"/>
    </row>
    <row r="259" spans="3:18" x14ac:dyDescent="0.3">
      <c r="C259" s="11"/>
      <c r="D259" s="32"/>
      <c r="E259" s="11" t="str" cm="1">
        <f t="array" ref="E259">_xlfn.IFS(
    COUNTIF(Herramientas_eléctricas1862106149[Herramientas_eléctricas], B259) &gt; 0, Herramientas_eléctricas1862106149[[#Headers],[Herramientas_eléctricas]],
    COUNTIF(Herramientas_neumáticas1963107150[Herramientas_neumáticas], B259) &gt; 0, Herramientas_neumáticas1963107150[[#Headers],[Herramientas_neumáticas]],
    COUNTIF(Herramientas_de_medición2064108151[Herramientas_de_medición], B259) &gt; 0, Herramientas_de_medición2064108151[[#Headers],[Herramientas_de_medición]],
    COUNTIF(Herrramientas_mecánicas2165109152[Herramientas_mecánicas], B259) &gt; 0, Herrramientas_mecánicas2165109152[[#Headers],[Herramientas_mecánicas]],
    COUNTIF(AH259:AH265, B259) &gt; 0, Herramientas_hidráulicas2266110153[[#Headers],[Herramientas_hidráulicas]],
    COUNTIF(EPP_2367111154[SPCC], B259) &gt; 0, EPP_2367111154[[#Headers],[SPCC]],
   COUNTIF(Herramientas_de_izaje2468112155[Herramientas_de_izaje], B259) &gt; 0, Herramientas_de_izaje2468112155[[#Headers],[Herramientas_de_izaje]],
COUNTIF(Tabla162670114157[Equipos], B259) &gt; 0, Tabla162670114157[[#Headers],[Equipos]],
    TRUE, "Sin clasificación"
)</f>
        <v>Sin clasificación</v>
      </c>
      <c r="I259" s="15"/>
      <c r="J259" s="47"/>
      <c r="K259" s="76"/>
      <c r="L259" s="76"/>
      <c r="M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N259" s="77"/>
      <c r="O259" s="32"/>
      <c r="P259" s="32"/>
      <c r="Q259" s="32"/>
      <c r="R259" s="32"/>
    </row>
    <row r="260" spans="3:18" x14ac:dyDescent="0.3">
      <c r="C260" s="11"/>
      <c r="D260" s="32"/>
      <c r="E260" s="11" t="str" cm="1">
        <f t="array" ref="E260">_xlfn.IFS(
    COUNTIF(Herramientas_eléctricas1862106149[Herramientas_eléctricas], B260) &gt; 0, Herramientas_eléctricas1862106149[[#Headers],[Herramientas_eléctricas]],
    COUNTIF(Herramientas_neumáticas1963107150[Herramientas_neumáticas], B260) &gt; 0, Herramientas_neumáticas1963107150[[#Headers],[Herramientas_neumáticas]],
    COUNTIF(Herramientas_de_medición2064108151[Herramientas_de_medición], B260) &gt; 0, Herramientas_de_medición2064108151[[#Headers],[Herramientas_de_medición]],
    COUNTIF(Herrramientas_mecánicas2165109152[Herramientas_mecánicas], B260) &gt; 0, Herrramientas_mecánicas2165109152[[#Headers],[Herramientas_mecánicas]],
    COUNTIF(AH260:AH266, B260) &gt; 0, Herramientas_hidráulicas2266110153[[#Headers],[Herramientas_hidráulicas]],
    COUNTIF(EPP_2367111154[SPCC], B260) &gt; 0, EPP_2367111154[[#Headers],[SPCC]],
   COUNTIF(Herramientas_de_izaje2468112155[Herramientas_de_izaje], B260) &gt; 0, Herramientas_de_izaje2468112155[[#Headers],[Herramientas_de_izaje]],
COUNTIF(Tabla162670114157[Equipos], B260) &gt; 0, Tabla162670114157[[#Headers],[Equipos]],
    TRUE, "Sin clasificación"
)</f>
        <v>Sin clasificación</v>
      </c>
      <c r="I260" s="15"/>
      <c r="J260" s="47"/>
      <c r="K260" s="76"/>
      <c r="L260" s="76"/>
      <c r="M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N260" s="77"/>
      <c r="O260" s="32"/>
      <c r="P260" s="32"/>
      <c r="Q260" s="32"/>
      <c r="R260" s="32"/>
    </row>
    <row r="261" spans="3:18" x14ac:dyDescent="0.3">
      <c r="C261" s="11"/>
      <c r="D261" s="32"/>
      <c r="E261" s="11" t="str" cm="1">
        <f t="array" ref="E261">_xlfn.IFS(
    COUNTIF(Herramientas_eléctricas1862106149[Herramientas_eléctricas], B261) &gt; 0, Herramientas_eléctricas1862106149[[#Headers],[Herramientas_eléctricas]],
    COUNTIF(Herramientas_neumáticas1963107150[Herramientas_neumáticas], B261) &gt; 0, Herramientas_neumáticas1963107150[[#Headers],[Herramientas_neumáticas]],
    COUNTIF(Herramientas_de_medición2064108151[Herramientas_de_medición], B261) &gt; 0, Herramientas_de_medición2064108151[[#Headers],[Herramientas_de_medición]],
    COUNTIF(Herrramientas_mecánicas2165109152[Herramientas_mecánicas], B261) &gt; 0, Herrramientas_mecánicas2165109152[[#Headers],[Herramientas_mecánicas]],
    COUNTIF(AH261:AH267, B261) &gt; 0, Herramientas_hidráulicas2266110153[[#Headers],[Herramientas_hidráulicas]],
    COUNTIF(EPP_2367111154[SPCC], B261) &gt; 0, EPP_2367111154[[#Headers],[SPCC]],
   COUNTIF(Herramientas_de_izaje2468112155[Herramientas_de_izaje], B261) &gt; 0, Herramientas_de_izaje2468112155[[#Headers],[Herramientas_de_izaje]],
COUNTIF(Tabla162670114157[Equipos], B261) &gt; 0, Tabla162670114157[[#Headers],[Equipos]],
    TRUE, "Sin clasificación"
)</f>
        <v>Sin clasificación</v>
      </c>
      <c r="I261" s="15"/>
      <c r="J261" s="47"/>
      <c r="K261" s="76"/>
      <c r="L261" s="76"/>
      <c r="M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N261" s="77"/>
      <c r="O261" s="32"/>
      <c r="P261" s="32"/>
      <c r="Q261" s="32"/>
      <c r="R261" s="32"/>
    </row>
    <row r="262" spans="3:18" x14ac:dyDescent="0.3">
      <c r="C262" s="11"/>
      <c r="D262" s="32"/>
      <c r="E262" s="11" t="str" cm="1">
        <f t="array" ref="E262">_xlfn.IFS(
    COUNTIF(Herramientas_eléctricas1862106149[Herramientas_eléctricas], B262) &gt; 0, Herramientas_eléctricas1862106149[[#Headers],[Herramientas_eléctricas]],
    COUNTIF(Herramientas_neumáticas1963107150[Herramientas_neumáticas], B262) &gt; 0, Herramientas_neumáticas1963107150[[#Headers],[Herramientas_neumáticas]],
    COUNTIF(Herramientas_de_medición2064108151[Herramientas_de_medición], B262) &gt; 0, Herramientas_de_medición2064108151[[#Headers],[Herramientas_de_medición]],
    COUNTIF(Herrramientas_mecánicas2165109152[Herramientas_mecánicas], B262) &gt; 0, Herrramientas_mecánicas2165109152[[#Headers],[Herramientas_mecánicas]],
    COUNTIF(AH262:AH268, B262) &gt; 0, Herramientas_hidráulicas2266110153[[#Headers],[Herramientas_hidráulicas]],
    COUNTIF(EPP_2367111154[SPCC], B262) &gt; 0, EPP_2367111154[[#Headers],[SPCC]],
   COUNTIF(Herramientas_de_izaje2468112155[Herramientas_de_izaje], B262) &gt; 0, Herramientas_de_izaje2468112155[[#Headers],[Herramientas_de_izaje]],
COUNTIF(Tabla162670114157[Equipos], B262) &gt; 0, Tabla162670114157[[#Headers],[Equipos]],
    TRUE, "Sin clasificación"
)</f>
        <v>Sin clasificación</v>
      </c>
      <c r="I262" s="15"/>
      <c r="J262" s="47"/>
      <c r="K262" s="76"/>
      <c r="L262" s="76"/>
      <c r="M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N262" s="77"/>
      <c r="O262" s="32"/>
      <c r="P262" s="32"/>
      <c r="Q262" s="32"/>
      <c r="R262" s="32"/>
    </row>
    <row r="263" spans="3:18" x14ac:dyDescent="0.3">
      <c r="C263" s="11"/>
      <c r="D263" s="32"/>
      <c r="E263" s="11" t="str" cm="1">
        <f t="array" ref="E263">_xlfn.IFS(
    COUNTIF(Herramientas_eléctricas1862106149[Herramientas_eléctricas], B263) &gt; 0, Herramientas_eléctricas1862106149[[#Headers],[Herramientas_eléctricas]],
    COUNTIF(Herramientas_neumáticas1963107150[Herramientas_neumáticas], B263) &gt; 0, Herramientas_neumáticas1963107150[[#Headers],[Herramientas_neumáticas]],
    COUNTIF(Herramientas_de_medición2064108151[Herramientas_de_medición], B263) &gt; 0, Herramientas_de_medición2064108151[[#Headers],[Herramientas_de_medición]],
    COUNTIF(Herrramientas_mecánicas2165109152[Herramientas_mecánicas], B263) &gt; 0, Herrramientas_mecánicas2165109152[[#Headers],[Herramientas_mecánicas]],
    COUNTIF(AH263:AH269, B263) &gt; 0, Herramientas_hidráulicas2266110153[[#Headers],[Herramientas_hidráulicas]],
    COUNTIF(EPP_2367111154[SPCC], B263) &gt; 0, EPP_2367111154[[#Headers],[SPCC]],
   COUNTIF(Herramientas_de_izaje2468112155[Herramientas_de_izaje], B263) &gt; 0, Herramientas_de_izaje2468112155[[#Headers],[Herramientas_de_izaje]],
COUNTIF(Tabla162670114157[Equipos], B263) &gt; 0, Tabla162670114157[[#Headers],[Equipos]],
    TRUE, "Sin clasificación"
)</f>
        <v>Sin clasificación</v>
      </c>
      <c r="I263" s="15"/>
      <c r="J263" s="47"/>
      <c r="K263" s="76"/>
      <c r="L263" s="76"/>
      <c r="M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N263" s="77"/>
      <c r="O263" s="32"/>
      <c r="P263" s="32"/>
      <c r="Q263" s="32"/>
      <c r="R263" s="32"/>
    </row>
    <row r="264" spans="3:18" x14ac:dyDescent="0.3">
      <c r="C264" s="11"/>
      <c r="D264" s="32"/>
      <c r="E264" s="11" t="str" cm="1">
        <f t="array" ref="E264">_xlfn.IFS(
    COUNTIF(Herramientas_eléctricas1862106149[Herramientas_eléctricas], B264) &gt; 0, Herramientas_eléctricas1862106149[[#Headers],[Herramientas_eléctricas]],
    COUNTIF(Herramientas_neumáticas1963107150[Herramientas_neumáticas], B264) &gt; 0, Herramientas_neumáticas1963107150[[#Headers],[Herramientas_neumáticas]],
    COUNTIF(Herramientas_de_medición2064108151[Herramientas_de_medición], B264) &gt; 0, Herramientas_de_medición2064108151[[#Headers],[Herramientas_de_medición]],
    COUNTIF(Herrramientas_mecánicas2165109152[Herramientas_mecánicas], B264) &gt; 0, Herrramientas_mecánicas2165109152[[#Headers],[Herramientas_mecánicas]],
    COUNTIF(AH264:AH270, B264) &gt; 0, Herramientas_hidráulicas2266110153[[#Headers],[Herramientas_hidráulicas]],
    COUNTIF(EPP_2367111154[SPCC], B264) &gt; 0, EPP_2367111154[[#Headers],[SPCC]],
   COUNTIF(Herramientas_de_izaje2468112155[Herramientas_de_izaje], B264) &gt; 0, Herramientas_de_izaje2468112155[[#Headers],[Herramientas_de_izaje]],
COUNTIF(Tabla162670114157[Equipos], B264) &gt; 0, Tabla162670114157[[#Headers],[Equipos]],
    TRUE, "Sin clasificación"
)</f>
        <v>Sin clasificación</v>
      </c>
      <c r="I264" s="15"/>
      <c r="J264" s="47"/>
      <c r="K264" s="76"/>
      <c r="L264" s="76"/>
      <c r="M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N264" s="77"/>
      <c r="O264" s="32"/>
      <c r="P264" s="32"/>
      <c r="Q264" s="32"/>
      <c r="R264" s="32"/>
    </row>
    <row r="265" spans="3:18" x14ac:dyDescent="0.3">
      <c r="C265" s="11"/>
      <c r="D265" s="32"/>
      <c r="E265" s="11" t="str" cm="1">
        <f t="array" ref="E265">_xlfn.IFS(
    COUNTIF(Herramientas_eléctricas1862106149[Herramientas_eléctricas], B265) &gt; 0, Herramientas_eléctricas1862106149[[#Headers],[Herramientas_eléctricas]],
    COUNTIF(Herramientas_neumáticas1963107150[Herramientas_neumáticas], B265) &gt; 0, Herramientas_neumáticas1963107150[[#Headers],[Herramientas_neumáticas]],
    COUNTIF(Herramientas_de_medición2064108151[Herramientas_de_medición], B265) &gt; 0, Herramientas_de_medición2064108151[[#Headers],[Herramientas_de_medición]],
    COUNTIF(Herrramientas_mecánicas2165109152[Herramientas_mecánicas], B265) &gt; 0, Herrramientas_mecánicas2165109152[[#Headers],[Herramientas_mecánicas]],
    COUNTIF(AH265:AH271, B265) &gt; 0, Herramientas_hidráulicas2266110153[[#Headers],[Herramientas_hidráulicas]],
    COUNTIF(EPP_2367111154[SPCC], B265) &gt; 0, EPP_2367111154[[#Headers],[SPCC]],
   COUNTIF(Herramientas_de_izaje2468112155[Herramientas_de_izaje], B265) &gt; 0, Herramientas_de_izaje2468112155[[#Headers],[Herramientas_de_izaje]],
COUNTIF(Tabla162670114157[Equipos], B265) &gt; 0, Tabla162670114157[[#Headers],[Equipos]],
    TRUE, "Sin clasificación"
)</f>
        <v>Sin clasificación</v>
      </c>
      <c r="I265" s="15"/>
      <c r="J265" s="47"/>
      <c r="K265" s="76"/>
      <c r="L265" s="76"/>
      <c r="M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N265" s="77"/>
      <c r="O265" s="32"/>
      <c r="P265" s="32"/>
      <c r="Q265" s="32"/>
      <c r="R265" s="32"/>
    </row>
    <row r="266" spans="3:18" x14ac:dyDescent="0.3">
      <c r="C266" s="11"/>
      <c r="D266" s="32"/>
      <c r="E266" s="11" t="str" cm="1">
        <f t="array" ref="E266">_xlfn.IFS(
    COUNTIF(Herramientas_eléctricas1862106149[Herramientas_eléctricas], B266) &gt; 0, Herramientas_eléctricas1862106149[[#Headers],[Herramientas_eléctricas]],
    COUNTIF(Herramientas_neumáticas1963107150[Herramientas_neumáticas], B266) &gt; 0, Herramientas_neumáticas1963107150[[#Headers],[Herramientas_neumáticas]],
    COUNTIF(Herramientas_de_medición2064108151[Herramientas_de_medición], B266) &gt; 0, Herramientas_de_medición2064108151[[#Headers],[Herramientas_de_medición]],
    COUNTIF(Herrramientas_mecánicas2165109152[Herramientas_mecánicas], B266) &gt; 0, Herrramientas_mecánicas2165109152[[#Headers],[Herramientas_mecánicas]],
    COUNTIF(AH266:AH272, B266) &gt; 0, Herramientas_hidráulicas2266110153[[#Headers],[Herramientas_hidráulicas]],
    COUNTIF(EPP_2367111154[SPCC], B266) &gt; 0, EPP_2367111154[[#Headers],[SPCC]],
   COUNTIF(Herramientas_de_izaje2468112155[Herramientas_de_izaje], B266) &gt; 0, Herramientas_de_izaje2468112155[[#Headers],[Herramientas_de_izaje]],
COUNTIF(Tabla162670114157[Equipos], B266) &gt; 0, Tabla162670114157[[#Headers],[Equipos]],
    TRUE, "Sin clasificación"
)</f>
        <v>Sin clasificación</v>
      </c>
      <c r="I266" s="15"/>
      <c r="J266" s="47"/>
      <c r="K266" s="76"/>
      <c r="L266" s="76"/>
      <c r="M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N266" s="77"/>
      <c r="O266" s="32"/>
      <c r="P266" s="32"/>
      <c r="Q266" s="32"/>
      <c r="R266" s="32"/>
    </row>
    <row r="267" spans="3:18" x14ac:dyDescent="0.3">
      <c r="C267" s="11"/>
      <c r="D267" s="32"/>
      <c r="E267" s="11" t="str" cm="1">
        <f t="array" ref="E267">_xlfn.IFS(
    COUNTIF(Herramientas_eléctricas1862106149[Herramientas_eléctricas], B267) &gt; 0, Herramientas_eléctricas1862106149[[#Headers],[Herramientas_eléctricas]],
    COUNTIF(Herramientas_neumáticas1963107150[Herramientas_neumáticas], B267) &gt; 0, Herramientas_neumáticas1963107150[[#Headers],[Herramientas_neumáticas]],
    COUNTIF(Herramientas_de_medición2064108151[Herramientas_de_medición], B267) &gt; 0, Herramientas_de_medición2064108151[[#Headers],[Herramientas_de_medición]],
    COUNTIF(Herrramientas_mecánicas2165109152[Herramientas_mecánicas], B267) &gt; 0, Herrramientas_mecánicas2165109152[[#Headers],[Herramientas_mecánicas]],
    COUNTIF(AH267:AH273, B267) &gt; 0, Herramientas_hidráulicas2266110153[[#Headers],[Herramientas_hidráulicas]],
    COUNTIF(EPP_2367111154[SPCC], B267) &gt; 0, EPP_2367111154[[#Headers],[SPCC]],
   COUNTIF(Herramientas_de_izaje2468112155[Herramientas_de_izaje], B267) &gt; 0, Herramientas_de_izaje2468112155[[#Headers],[Herramientas_de_izaje]],
COUNTIF(Tabla162670114157[Equipos], B267) &gt; 0, Tabla162670114157[[#Headers],[Equipos]],
    TRUE, "Sin clasificación"
)</f>
        <v>Sin clasificación</v>
      </c>
      <c r="I267" s="15"/>
      <c r="J267" s="47"/>
      <c r="K267" s="76"/>
      <c r="L267" s="76"/>
      <c r="M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N267" s="77"/>
      <c r="O267" s="32"/>
      <c r="P267" s="32"/>
      <c r="Q267" s="32"/>
      <c r="R267" s="32"/>
    </row>
    <row r="268" spans="3:18" x14ac:dyDescent="0.3">
      <c r="C268" s="11"/>
      <c r="D268" s="32"/>
      <c r="E268" s="11" t="str" cm="1">
        <f t="array" ref="E268">_xlfn.IFS(
    COUNTIF(Herramientas_eléctricas1862106149[Herramientas_eléctricas], B268) &gt; 0, Herramientas_eléctricas1862106149[[#Headers],[Herramientas_eléctricas]],
    COUNTIF(Herramientas_neumáticas1963107150[Herramientas_neumáticas], B268) &gt; 0, Herramientas_neumáticas1963107150[[#Headers],[Herramientas_neumáticas]],
    COUNTIF(Herramientas_de_medición2064108151[Herramientas_de_medición], B268) &gt; 0, Herramientas_de_medición2064108151[[#Headers],[Herramientas_de_medición]],
    COUNTIF(Herrramientas_mecánicas2165109152[Herramientas_mecánicas], B268) &gt; 0, Herrramientas_mecánicas2165109152[[#Headers],[Herramientas_mecánicas]],
    COUNTIF(AH268:AH274, B268) &gt; 0, Herramientas_hidráulicas2266110153[[#Headers],[Herramientas_hidráulicas]],
    COUNTIF(EPP_2367111154[SPCC], B268) &gt; 0, EPP_2367111154[[#Headers],[SPCC]],
   COUNTIF(Herramientas_de_izaje2468112155[Herramientas_de_izaje], B268) &gt; 0, Herramientas_de_izaje2468112155[[#Headers],[Herramientas_de_izaje]],
COUNTIF(Tabla162670114157[Equipos], B268) &gt; 0, Tabla162670114157[[#Headers],[Equipos]],
    TRUE, "Sin clasificación"
)</f>
        <v>Sin clasificación</v>
      </c>
      <c r="I268" s="15"/>
      <c r="J268" s="47"/>
      <c r="K268" s="76"/>
      <c r="L268" s="76"/>
      <c r="M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N268" s="77"/>
      <c r="O268" s="32"/>
      <c r="P268" s="32"/>
      <c r="Q268" s="32"/>
      <c r="R268" s="32"/>
    </row>
    <row r="269" spans="3:18" x14ac:dyDescent="0.3">
      <c r="C269" s="11"/>
      <c r="D269" s="32"/>
      <c r="E269" s="11" t="str" cm="1">
        <f t="array" ref="E269">_xlfn.IFS(
    COUNTIF(Herramientas_eléctricas1862106149[Herramientas_eléctricas], B269) &gt; 0, Herramientas_eléctricas1862106149[[#Headers],[Herramientas_eléctricas]],
    COUNTIF(Herramientas_neumáticas1963107150[Herramientas_neumáticas], B269) &gt; 0, Herramientas_neumáticas1963107150[[#Headers],[Herramientas_neumáticas]],
    COUNTIF(Herramientas_de_medición2064108151[Herramientas_de_medición], B269) &gt; 0, Herramientas_de_medición2064108151[[#Headers],[Herramientas_de_medición]],
    COUNTIF(Herrramientas_mecánicas2165109152[Herramientas_mecánicas], B269) &gt; 0, Herrramientas_mecánicas2165109152[[#Headers],[Herramientas_mecánicas]],
    COUNTIF(AH269:AH275, B269) &gt; 0, Herramientas_hidráulicas2266110153[[#Headers],[Herramientas_hidráulicas]],
    COUNTIF(EPP_2367111154[SPCC], B269) &gt; 0, EPP_2367111154[[#Headers],[SPCC]],
   COUNTIF(Herramientas_de_izaje2468112155[Herramientas_de_izaje], B269) &gt; 0, Herramientas_de_izaje2468112155[[#Headers],[Herramientas_de_izaje]],
COUNTIF(Tabla162670114157[Equipos], B269) &gt; 0, Tabla162670114157[[#Headers],[Equipos]],
    TRUE, "Sin clasificación"
)</f>
        <v>Sin clasificación</v>
      </c>
      <c r="I269" s="15"/>
      <c r="J269" s="47"/>
      <c r="K269" s="76"/>
      <c r="L269" s="76"/>
      <c r="M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N269" s="77"/>
      <c r="O269" s="32"/>
      <c r="P269" s="32"/>
      <c r="Q269" s="32"/>
      <c r="R269" s="32"/>
    </row>
    <row r="270" spans="3:18" x14ac:dyDescent="0.3">
      <c r="C270" s="11"/>
      <c r="D270" s="32"/>
      <c r="E270" s="11" t="str" cm="1">
        <f t="array" ref="E270">_xlfn.IFS(
    COUNTIF(Herramientas_eléctricas1862106149[Herramientas_eléctricas], B270) &gt; 0, Herramientas_eléctricas1862106149[[#Headers],[Herramientas_eléctricas]],
    COUNTIF(Herramientas_neumáticas1963107150[Herramientas_neumáticas], B270) &gt; 0, Herramientas_neumáticas1963107150[[#Headers],[Herramientas_neumáticas]],
    COUNTIF(Herramientas_de_medición2064108151[Herramientas_de_medición], B270) &gt; 0, Herramientas_de_medición2064108151[[#Headers],[Herramientas_de_medición]],
    COUNTIF(Herrramientas_mecánicas2165109152[Herramientas_mecánicas], B270) &gt; 0, Herrramientas_mecánicas2165109152[[#Headers],[Herramientas_mecánicas]],
    COUNTIF(AH270:AH276, B270) &gt; 0, Herramientas_hidráulicas2266110153[[#Headers],[Herramientas_hidráulicas]],
    COUNTIF(EPP_2367111154[SPCC], B270) &gt; 0, EPP_2367111154[[#Headers],[SPCC]],
   COUNTIF(Herramientas_de_izaje2468112155[Herramientas_de_izaje], B270) &gt; 0, Herramientas_de_izaje2468112155[[#Headers],[Herramientas_de_izaje]],
COUNTIF(Tabla162670114157[Equipos], B270) &gt; 0, Tabla162670114157[[#Headers],[Equipos]],
    TRUE, "Sin clasificación"
)</f>
        <v>Sin clasificación</v>
      </c>
      <c r="I270" s="15"/>
      <c r="J270" s="47"/>
      <c r="K270" s="76"/>
      <c r="L270" s="76"/>
      <c r="M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N270" s="77"/>
      <c r="O270" s="32"/>
      <c r="P270" s="32"/>
      <c r="Q270" s="32"/>
      <c r="R270" s="32"/>
    </row>
    <row r="271" spans="3:18" x14ac:dyDescent="0.3">
      <c r="C271" s="11"/>
      <c r="D271" s="32"/>
      <c r="E271" s="11" t="str" cm="1">
        <f t="array" ref="E271">_xlfn.IFS(
    COUNTIF(Herramientas_eléctricas1862106149[Herramientas_eléctricas], B271) &gt; 0, Herramientas_eléctricas1862106149[[#Headers],[Herramientas_eléctricas]],
    COUNTIF(Herramientas_neumáticas1963107150[Herramientas_neumáticas], B271) &gt; 0, Herramientas_neumáticas1963107150[[#Headers],[Herramientas_neumáticas]],
    COUNTIF(Herramientas_de_medición2064108151[Herramientas_de_medición], B271) &gt; 0, Herramientas_de_medición2064108151[[#Headers],[Herramientas_de_medición]],
    COUNTIF(Herrramientas_mecánicas2165109152[Herramientas_mecánicas], B271) &gt; 0, Herrramientas_mecánicas2165109152[[#Headers],[Herramientas_mecánicas]],
    COUNTIF(AH271:AH277, B271) &gt; 0, Herramientas_hidráulicas2266110153[[#Headers],[Herramientas_hidráulicas]],
    COUNTIF(EPP_2367111154[SPCC], B271) &gt; 0, EPP_2367111154[[#Headers],[SPCC]],
   COUNTIF(Herramientas_de_izaje2468112155[Herramientas_de_izaje], B271) &gt; 0, Herramientas_de_izaje2468112155[[#Headers],[Herramientas_de_izaje]],
COUNTIF(Tabla162670114157[Equipos], B271) &gt; 0, Tabla162670114157[[#Headers],[Equipos]],
    TRUE, "Sin clasificación"
)</f>
        <v>Sin clasificación</v>
      </c>
      <c r="I271" s="15"/>
      <c r="J271" s="47"/>
      <c r="K271" s="76"/>
      <c r="L271" s="76"/>
      <c r="M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N271" s="77"/>
      <c r="O271" s="32"/>
      <c r="P271" s="32"/>
      <c r="Q271" s="32"/>
      <c r="R271" s="32"/>
    </row>
    <row r="272" spans="3:18" x14ac:dyDescent="0.3">
      <c r="C272" s="11"/>
      <c r="D272" s="32"/>
      <c r="E272" s="11" t="str" cm="1">
        <f t="array" ref="E272">_xlfn.IFS(
    COUNTIF(Herramientas_eléctricas1862106149[Herramientas_eléctricas], B272) &gt; 0, Herramientas_eléctricas1862106149[[#Headers],[Herramientas_eléctricas]],
    COUNTIF(Herramientas_neumáticas1963107150[Herramientas_neumáticas], B272) &gt; 0, Herramientas_neumáticas1963107150[[#Headers],[Herramientas_neumáticas]],
    COUNTIF(Herramientas_de_medición2064108151[Herramientas_de_medición], B272) &gt; 0, Herramientas_de_medición2064108151[[#Headers],[Herramientas_de_medición]],
    COUNTIF(Herrramientas_mecánicas2165109152[Herramientas_mecánicas], B272) &gt; 0, Herrramientas_mecánicas2165109152[[#Headers],[Herramientas_mecánicas]],
    COUNTIF(AH272:AH278, B272) &gt; 0, Herramientas_hidráulicas2266110153[[#Headers],[Herramientas_hidráulicas]],
    COUNTIF(EPP_2367111154[SPCC], B272) &gt; 0, EPP_2367111154[[#Headers],[SPCC]],
   COUNTIF(Herramientas_de_izaje2468112155[Herramientas_de_izaje], B272) &gt; 0, Herramientas_de_izaje2468112155[[#Headers],[Herramientas_de_izaje]],
COUNTIF(Tabla162670114157[Equipos], B272) &gt; 0, Tabla162670114157[[#Headers],[Equipos]],
    TRUE, "Sin clasificación"
)</f>
        <v>Sin clasificación</v>
      </c>
      <c r="I272" s="15"/>
      <c r="J272" s="47"/>
      <c r="K272" s="76"/>
      <c r="L272" s="76"/>
      <c r="M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N272" s="77"/>
      <c r="O272" s="32"/>
      <c r="P272" s="32"/>
      <c r="Q272" s="32"/>
      <c r="R272" s="32"/>
    </row>
    <row r="273" spans="3:18" x14ac:dyDescent="0.3">
      <c r="C273" s="11"/>
      <c r="D273" s="32"/>
      <c r="E273" s="11" t="str" cm="1">
        <f t="array" ref="E273">_xlfn.IFS(
    COUNTIF(Herramientas_eléctricas1862106149[Herramientas_eléctricas], B273) &gt; 0, Herramientas_eléctricas1862106149[[#Headers],[Herramientas_eléctricas]],
    COUNTIF(Herramientas_neumáticas1963107150[Herramientas_neumáticas], B273) &gt; 0, Herramientas_neumáticas1963107150[[#Headers],[Herramientas_neumáticas]],
    COUNTIF(Herramientas_de_medición2064108151[Herramientas_de_medición], B273) &gt; 0, Herramientas_de_medición2064108151[[#Headers],[Herramientas_de_medición]],
    COUNTIF(Herrramientas_mecánicas2165109152[Herramientas_mecánicas], B273) &gt; 0, Herrramientas_mecánicas2165109152[[#Headers],[Herramientas_mecánicas]],
    COUNTIF(AH273:AH279, B273) &gt; 0, Herramientas_hidráulicas2266110153[[#Headers],[Herramientas_hidráulicas]],
    COUNTIF(EPP_2367111154[SPCC], B273) &gt; 0, EPP_2367111154[[#Headers],[SPCC]],
   COUNTIF(Herramientas_de_izaje2468112155[Herramientas_de_izaje], B273) &gt; 0, Herramientas_de_izaje2468112155[[#Headers],[Herramientas_de_izaje]],
COUNTIF(Tabla162670114157[Equipos], B273) &gt; 0, Tabla162670114157[[#Headers],[Equipos]],
    TRUE, "Sin clasificación"
)</f>
        <v>Sin clasificación</v>
      </c>
      <c r="I273" s="15"/>
      <c r="J273" s="47"/>
      <c r="K273" s="76"/>
      <c r="L273" s="76"/>
      <c r="M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N273" s="77"/>
      <c r="O273" s="32"/>
      <c r="P273" s="32"/>
      <c r="Q273" s="32"/>
      <c r="R273" s="32"/>
    </row>
    <row r="274" spans="3:18" x14ac:dyDescent="0.3">
      <c r="C274" s="11"/>
      <c r="D274" s="32"/>
      <c r="E274" s="11" t="str" cm="1">
        <f t="array" ref="E274">_xlfn.IFS(
    COUNTIF(Herramientas_eléctricas1862106149[Herramientas_eléctricas], B274) &gt; 0, Herramientas_eléctricas1862106149[[#Headers],[Herramientas_eléctricas]],
    COUNTIF(Herramientas_neumáticas1963107150[Herramientas_neumáticas], B274) &gt; 0, Herramientas_neumáticas1963107150[[#Headers],[Herramientas_neumáticas]],
    COUNTIF(Herramientas_de_medición2064108151[Herramientas_de_medición], B274) &gt; 0, Herramientas_de_medición2064108151[[#Headers],[Herramientas_de_medición]],
    COUNTIF(Herrramientas_mecánicas2165109152[Herramientas_mecánicas], B274) &gt; 0, Herrramientas_mecánicas2165109152[[#Headers],[Herramientas_mecánicas]],
    COUNTIF(AH274:AH280, B274) &gt; 0, Herramientas_hidráulicas2266110153[[#Headers],[Herramientas_hidráulicas]],
    COUNTIF(EPP_2367111154[SPCC], B274) &gt; 0, EPP_2367111154[[#Headers],[SPCC]],
   COUNTIF(Herramientas_de_izaje2468112155[Herramientas_de_izaje], B274) &gt; 0, Herramientas_de_izaje2468112155[[#Headers],[Herramientas_de_izaje]],
COUNTIF(Tabla162670114157[Equipos], B274) &gt; 0, Tabla162670114157[[#Headers],[Equipos]],
    TRUE, "Sin clasificación"
)</f>
        <v>Sin clasificación</v>
      </c>
      <c r="I274" s="15"/>
      <c r="J274" s="47"/>
      <c r="K274" s="76"/>
      <c r="L274" s="76"/>
      <c r="M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N274" s="77"/>
      <c r="O274" s="32"/>
      <c r="P274" s="32"/>
      <c r="Q274" s="32"/>
      <c r="R274" s="32"/>
    </row>
    <row r="275" spans="3:18" x14ac:dyDescent="0.3">
      <c r="C275" s="11"/>
      <c r="D275" s="32"/>
      <c r="E275" s="11" t="str" cm="1">
        <f t="array" ref="E275">_xlfn.IFS(
    COUNTIF(Herramientas_eléctricas1862106149[Herramientas_eléctricas], B275) &gt; 0, Herramientas_eléctricas1862106149[[#Headers],[Herramientas_eléctricas]],
    COUNTIF(Herramientas_neumáticas1963107150[Herramientas_neumáticas], B275) &gt; 0, Herramientas_neumáticas1963107150[[#Headers],[Herramientas_neumáticas]],
    COUNTIF(Herramientas_de_medición2064108151[Herramientas_de_medición], B275) &gt; 0, Herramientas_de_medición2064108151[[#Headers],[Herramientas_de_medición]],
    COUNTIF(Herrramientas_mecánicas2165109152[Herramientas_mecánicas], B275) &gt; 0, Herrramientas_mecánicas2165109152[[#Headers],[Herramientas_mecánicas]],
    COUNTIF(AH275:AH281, B275) &gt; 0, Herramientas_hidráulicas2266110153[[#Headers],[Herramientas_hidráulicas]],
    COUNTIF(EPP_2367111154[SPCC], B275) &gt; 0, EPP_2367111154[[#Headers],[SPCC]],
   COUNTIF(Herramientas_de_izaje2468112155[Herramientas_de_izaje], B275) &gt; 0, Herramientas_de_izaje2468112155[[#Headers],[Herramientas_de_izaje]],
COUNTIF(Tabla162670114157[Equipos], B275) &gt; 0, Tabla162670114157[[#Headers],[Equipos]],
    TRUE, "Sin clasificación"
)</f>
        <v>Sin clasificación</v>
      </c>
      <c r="I275" s="15"/>
      <c r="J275" s="47"/>
      <c r="K275" s="76"/>
      <c r="L275" s="76"/>
      <c r="M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N275" s="77"/>
      <c r="O275" s="32"/>
      <c r="P275" s="32"/>
      <c r="Q275" s="32"/>
      <c r="R275" s="32"/>
    </row>
    <row r="276" spans="3:18" x14ac:dyDescent="0.3">
      <c r="C276" s="11"/>
      <c r="D276" s="32"/>
      <c r="E276" s="11" t="str" cm="1">
        <f t="array" ref="E276">_xlfn.IFS(
    COUNTIF(Herramientas_eléctricas1862106149[Herramientas_eléctricas], B276) &gt; 0, Herramientas_eléctricas1862106149[[#Headers],[Herramientas_eléctricas]],
    COUNTIF(Herramientas_neumáticas1963107150[Herramientas_neumáticas], B276) &gt; 0, Herramientas_neumáticas1963107150[[#Headers],[Herramientas_neumáticas]],
    COUNTIF(Herramientas_de_medición2064108151[Herramientas_de_medición], B276) &gt; 0, Herramientas_de_medición2064108151[[#Headers],[Herramientas_de_medición]],
    COUNTIF(Herrramientas_mecánicas2165109152[Herramientas_mecánicas], B276) &gt; 0, Herrramientas_mecánicas2165109152[[#Headers],[Herramientas_mecánicas]],
    COUNTIF(AH276:AH282, B276) &gt; 0, Herramientas_hidráulicas2266110153[[#Headers],[Herramientas_hidráulicas]],
    COUNTIF(EPP_2367111154[SPCC], B276) &gt; 0, EPP_2367111154[[#Headers],[SPCC]],
   COUNTIF(Herramientas_de_izaje2468112155[Herramientas_de_izaje], B276) &gt; 0, Herramientas_de_izaje2468112155[[#Headers],[Herramientas_de_izaje]],
COUNTIF(Tabla162670114157[Equipos], B276) &gt; 0, Tabla162670114157[[#Headers],[Equipos]],
    TRUE, "Sin clasificación"
)</f>
        <v>Sin clasificación</v>
      </c>
      <c r="I276" s="15"/>
      <c r="J276" s="47"/>
      <c r="K276" s="76"/>
      <c r="L276" s="76"/>
      <c r="M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N276" s="77"/>
      <c r="O276" s="32"/>
      <c r="P276" s="32"/>
      <c r="Q276" s="32"/>
      <c r="R276" s="32"/>
    </row>
    <row r="277" spans="3:18" x14ac:dyDescent="0.3">
      <c r="C277" s="11"/>
      <c r="D277" s="32"/>
      <c r="E277" s="11" t="str" cm="1">
        <f t="array" ref="E277">_xlfn.IFS(
    COUNTIF(Herramientas_eléctricas1862106149[Herramientas_eléctricas], B277) &gt; 0, Herramientas_eléctricas1862106149[[#Headers],[Herramientas_eléctricas]],
    COUNTIF(Herramientas_neumáticas1963107150[Herramientas_neumáticas], B277) &gt; 0, Herramientas_neumáticas1963107150[[#Headers],[Herramientas_neumáticas]],
    COUNTIF(Herramientas_de_medición2064108151[Herramientas_de_medición], B277) &gt; 0, Herramientas_de_medición2064108151[[#Headers],[Herramientas_de_medición]],
    COUNTIF(Herrramientas_mecánicas2165109152[Herramientas_mecánicas], B277) &gt; 0, Herrramientas_mecánicas2165109152[[#Headers],[Herramientas_mecánicas]],
    COUNTIF(AH277:AH283, B277) &gt; 0, Herramientas_hidráulicas2266110153[[#Headers],[Herramientas_hidráulicas]],
    COUNTIF(EPP_2367111154[SPCC], B277) &gt; 0, EPP_2367111154[[#Headers],[SPCC]],
   COUNTIF(Herramientas_de_izaje2468112155[Herramientas_de_izaje], B277) &gt; 0, Herramientas_de_izaje2468112155[[#Headers],[Herramientas_de_izaje]],
COUNTIF(Tabla162670114157[Equipos], B277) &gt; 0, Tabla162670114157[[#Headers],[Equipos]],
    TRUE, "Sin clasificación"
)</f>
        <v>Sin clasificación</v>
      </c>
      <c r="I277" s="15"/>
      <c r="J277" s="47"/>
      <c r="K277" s="76"/>
      <c r="L277" s="76"/>
      <c r="M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N277" s="77"/>
      <c r="O277" s="32"/>
      <c r="P277" s="32"/>
      <c r="Q277" s="32"/>
      <c r="R277" s="32"/>
    </row>
    <row r="278" spans="3:18" x14ac:dyDescent="0.3">
      <c r="C278" s="11"/>
      <c r="D278" s="32"/>
      <c r="E278" s="11" t="str" cm="1">
        <f t="array" ref="E278">_xlfn.IFS(
    COUNTIF(Herramientas_eléctricas1862106149[Herramientas_eléctricas], B278) &gt; 0, Herramientas_eléctricas1862106149[[#Headers],[Herramientas_eléctricas]],
    COUNTIF(Herramientas_neumáticas1963107150[Herramientas_neumáticas], B278) &gt; 0, Herramientas_neumáticas1963107150[[#Headers],[Herramientas_neumáticas]],
    COUNTIF(Herramientas_de_medición2064108151[Herramientas_de_medición], B278) &gt; 0, Herramientas_de_medición2064108151[[#Headers],[Herramientas_de_medición]],
    COUNTIF(Herrramientas_mecánicas2165109152[Herramientas_mecánicas], B278) &gt; 0, Herrramientas_mecánicas2165109152[[#Headers],[Herramientas_mecánicas]],
    COUNTIF(AH278:AH284, B278) &gt; 0, Herramientas_hidráulicas2266110153[[#Headers],[Herramientas_hidráulicas]],
    COUNTIF(EPP_2367111154[SPCC], B278) &gt; 0, EPP_2367111154[[#Headers],[SPCC]],
   COUNTIF(Herramientas_de_izaje2468112155[Herramientas_de_izaje], B278) &gt; 0, Herramientas_de_izaje2468112155[[#Headers],[Herramientas_de_izaje]],
COUNTIF(Tabla162670114157[Equipos], B278) &gt; 0, Tabla162670114157[[#Headers],[Equipos]],
    TRUE, "Sin clasificación"
)</f>
        <v>Sin clasificación</v>
      </c>
      <c r="I278" s="15"/>
      <c r="J278" s="47"/>
      <c r="K278" s="76"/>
      <c r="L278" s="76"/>
      <c r="M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N278" s="77"/>
      <c r="O278" s="32"/>
      <c r="P278" s="32"/>
      <c r="Q278" s="32"/>
      <c r="R278" s="32"/>
    </row>
    <row r="279" spans="3:18" x14ac:dyDescent="0.3">
      <c r="C279" s="11"/>
      <c r="D279" s="32"/>
      <c r="E279" s="11" t="str" cm="1">
        <f t="array" ref="E279">_xlfn.IFS(
    COUNTIF(Herramientas_eléctricas1862106149[Herramientas_eléctricas], B279) &gt; 0, Herramientas_eléctricas1862106149[[#Headers],[Herramientas_eléctricas]],
    COUNTIF(Herramientas_neumáticas1963107150[Herramientas_neumáticas], B279) &gt; 0, Herramientas_neumáticas1963107150[[#Headers],[Herramientas_neumáticas]],
    COUNTIF(Herramientas_de_medición2064108151[Herramientas_de_medición], B279) &gt; 0, Herramientas_de_medición2064108151[[#Headers],[Herramientas_de_medición]],
    COUNTIF(Herrramientas_mecánicas2165109152[Herramientas_mecánicas], B279) &gt; 0, Herrramientas_mecánicas2165109152[[#Headers],[Herramientas_mecánicas]],
    COUNTIF(AH279:AH285, B279) &gt; 0, Herramientas_hidráulicas2266110153[[#Headers],[Herramientas_hidráulicas]],
    COUNTIF(EPP_2367111154[SPCC], B279) &gt; 0, EPP_2367111154[[#Headers],[SPCC]],
   COUNTIF(Herramientas_de_izaje2468112155[Herramientas_de_izaje], B279) &gt; 0, Herramientas_de_izaje2468112155[[#Headers],[Herramientas_de_izaje]],
COUNTIF(Tabla162670114157[Equipos], B279) &gt; 0, Tabla162670114157[[#Headers],[Equipos]],
    TRUE, "Sin clasificación"
)</f>
        <v>Sin clasificación</v>
      </c>
      <c r="I279" s="15"/>
      <c r="J279" s="47"/>
      <c r="K279" s="76"/>
      <c r="L279" s="76"/>
      <c r="M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N279" s="77"/>
      <c r="O279" s="32"/>
      <c r="P279" s="32"/>
      <c r="Q279" s="32"/>
      <c r="R279" s="32"/>
    </row>
    <row r="280" spans="3:18" x14ac:dyDescent="0.3">
      <c r="C280" s="11"/>
      <c r="D280" s="32"/>
      <c r="E280" s="11" t="str" cm="1">
        <f t="array" ref="E280">_xlfn.IFS(
    COUNTIF(Herramientas_eléctricas1862106149[Herramientas_eléctricas], B280) &gt; 0, Herramientas_eléctricas1862106149[[#Headers],[Herramientas_eléctricas]],
    COUNTIF(Herramientas_neumáticas1963107150[Herramientas_neumáticas], B280) &gt; 0, Herramientas_neumáticas1963107150[[#Headers],[Herramientas_neumáticas]],
    COUNTIF(Herramientas_de_medición2064108151[Herramientas_de_medición], B280) &gt; 0, Herramientas_de_medición2064108151[[#Headers],[Herramientas_de_medición]],
    COUNTIF(Herrramientas_mecánicas2165109152[Herramientas_mecánicas], B280) &gt; 0, Herrramientas_mecánicas2165109152[[#Headers],[Herramientas_mecánicas]],
    COUNTIF(AH280:AH286, B280) &gt; 0, Herramientas_hidráulicas2266110153[[#Headers],[Herramientas_hidráulicas]],
    COUNTIF(EPP_2367111154[SPCC], B280) &gt; 0, EPP_2367111154[[#Headers],[SPCC]],
   COUNTIF(Herramientas_de_izaje2468112155[Herramientas_de_izaje], B280) &gt; 0, Herramientas_de_izaje2468112155[[#Headers],[Herramientas_de_izaje]],
COUNTIF(Tabla162670114157[Equipos], B280) &gt; 0, Tabla162670114157[[#Headers],[Equipos]],
    TRUE, "Sin clasificación"
)</f>
        <v>Sin clasificación</v>
      </c>
      <c r="I280" s="15"/>
      <c r="J280" s="47"/>
      <c r="K280" s="76"/>
      <c r="L280" s="76"/>
      <c r="M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N280" s="77"/>
      <c r="O280" s="32"/>
      <c r="P280" s="32"/>
      <c r="Q280" s="32"/>
      <c r="R280" s="32"/>
    </row>
    <row r="281" spans="3:18" x14ac:dyDescent="0.3">
      <c r="C281" s="11"/>
      <c r="D281" s="32"/>
      <c r="E281" s="11" t="str" cm="1">
        <f t="array" ref="E281">_xlfn.IFS(
    COUNTIF(Herramientas_eléctricas1862106149[Herramientas_eléctricas], B281) &gt; 0, Herramientas_eléctricas1862106149[[#Headers],[Herramientas_eléctricas]],
    COUNTIF(Herramientas_neumáticas1963107150[Herramientas_neumáticas], B281) &gt; 0, Herramientas_neumáticas1963107150[[#Headers],[Herramientas_neumáticas]],
    COUNTIF(Herramientas_de_medición2064108151[Herramientas_de_medición], B281) &gt; 0, Herramientas_de_medición2064108151[[#Headers],[Herramientas_de_medición]],
    COUNTIF(Herrramientas_mecánicas2165109152[Herramientas_mecánicas], B281) &gt; 0, Herrramientas_mecánicas2165109152[[#Headers],[Herramientas_mecánicas]],
    COUNTIF(AH281:AH287, B281) &gt; 0, Herramientas_hidráulicas2266110153[[#Headers],[Herramientas_hidráulicas]],
    COUNTIF(EPP_2367111154[SPCC], B281) &gt; 0, EPP_2367111154[[#Headers],[SPCC]],
   COUNTIF(Herramientas_de_izaje2468112155[Herramientas_de_izaje], B281) &gt; 0, Herramientas_de_izaje2468112155[[#Headers],[Herramientas_de_izaje]],
COUNTIF(Tabla162670114157[Equipos], B281) &gt; 0, Tabla162670114157[[#Headers],[Equipos]],
    TRUE, "Sin clasificación"
)</f>
        <v>Sin clasificación</v>
      </c>
      <c r="I281" s="15"/>
      <c r="J281" s="47"/>
      <c r="K281" s="76"/>
      <c r="L281" s="76"/>
      <c r="M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N281" s="77"/>
      <c r="O281" s="32"/>
      <c r="P281" s="32"/>
      <c r="Q281" s="32"/>
      <c r="R281" s="32"/>
    </row>
    <row r="282" spans="3:18" x14ac:dyDescent="0.3">
      <c r="C282" s="11"/>
      <c r="D282" s="32"/>
      <c r="E282" s="11" t="str" cm="1">
        <f t="array" ref="E282">_xlfn.IFS(
    COUNTIF(Herramientas_eléctricas1862106149[Herramientas_eléctricas], B282) &gt; 0, Herramientas_eléctricas1862106149[[#Headers],[Herramientas_eléctricas]],
    COUNTIF(Herramientas_neumáticas1963107150[Herramientas_neumáticas], B282) &gt; 0, Herramientas_neumáticas1963107150[[#Headers],[Herramientas_neumáticas]],
    COUNTIF(Herramientas_de_medición2064108151[Herramientas_de_medición], B282) &gt; 0, Herramientas_de_medición2064108151[[#Headers],[Herramientas_de_medición]],
    COUNTIF(Herrramientas_mecánicas2165109152[Herramientas_mecánicas], B282) &gt; 0, Herrramientas_mecánicas2165109152[[#Headers],[Herramientas_mecánicas]],
    COUNTIF(AH282:AH288, B282) &gt; 0, Herramientas_hidráulicas2266110153[[#Headers],[Herramientas_hidráulicas]],
    COUNTIF(EPP_2367111154[SPCC], B282) &gt; 0, EPP_2367111154[[#Headers],[SPCC]],
   COUNTIF(Herramientas_de_izaje2468112155[Herramientas_de_izaje], B282) &gt; 0, Herramientas_de_izaje2468112155[[#Headers],[Herramientas_de_izaje]],
COUNTIF(Tabla162670114157[Equipos], B282) &gt; 0, Tabla162670114157[[#Headers],[Equipos]],
    TRUE, "Sin clasificación"
)</f>
        <v>Sin clasificación</v>
      </c>
      <c r="I282" s="15"/>
      <c r="J282" s="47"/>
      <c r="K282" s="76"/>
      <c r="L282" s="76"/>
      <c r="M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N282" s="77"/>
      <c r="O282" s="32"/>
      <c r="P282" s="32"/>
      <c r="Q282" s="32"/>
      <c r="R282" s="32"/>
    </row>
    <row r="283" spans="3:18" x14ac:dyDescent="0.3">
      <c r="C283" s="11"/>
      <c r="D283" s="32"/>
      <c r="E283" s="11" t="str" cm="1">
        <f t="array" ref="E283">_xlfn.IFS(
    COUNTIF(Herramientas_eléctricas1862106149[Herramientas_eléctricas], B283) &gt; 0, Herramientas_eléctricas1862106149[[#Headers],[Herramientas_eléctricas]],
    COUNTIF(Herramientas_neumáticas1963107150[Herramientas_neumáticas], B283) &gt; 0, Herramientas_neumáticas1963107150[[#Headers],[Herramientas_neumáticas]],
    COUNTIF(Herramientas_de_medición2064108151[Herramientas_de_medición], B283) &gt; 0, Herramientas_de_medición2064108151[[#Headers],[Herramientas_de_medición]],
    COUNTIF(Herrramientas_mecánicas2165109152[Herramientas_mecánicas], B283) &gt; 0, Herrramientas_mecánicas2165109152[[#Headers],[Herramientas_mecánicas]],
    COUNTIF(AH283:AH289, B283) &gt; 0, Herramientas_hidráulicas2266110153[[#Headers],[Herramientas_hidráulicas]],
    COUNTIF(EPP_2367111154[SPCC], B283) &gt; 0, EPP_2367111154[[#Headers],[SPCC]],
   COUNTIF(Herramientas_de_izaje2468112155[Herramientas_de_izaje], B283) &gt; 0, Herramientas_de_izaje2468112155[[#Headers],[Herramientas_de_izaje]],
COUNTIF(Tabla162670114157[Equipos], B283) &gt; 0, Tabla162670114157[[#Headers],[Equipos]],
    TRUE, "Sin clasificación"
)</f>
        <v>Sin clasificación</v>
      </c>
      <c r="I283" s="15"/>
      <c r="J283" s="47"/>
      <c r="K283" s="76"/>
      <c r="L283" s="76"/>
      <c r="M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N283" s="77"/>
      <c r="O283" s="32"/>
      <c r="P283" s="32"/>
      <c r="Q283" s="32"/>
      <c r="R283" s="32"/>
    </row>
    <row r="284" spans="3:18" x14ac:dyDescent="0.3">
      <c r="C284" s="11"/>
      <c r="D284" s="32"/>
      <c r="E284" s="11" t="str" cm="1">
        <f t="array" ref="E284">_xlfn.IFS(
    COUNTIF(Herramientas_eléctricas1862106149[Herramientas_eléctricas], B284) &gt; 0, Herramientas_eléctricas1862106149[[#Headers],[Herramientas_eléctricas]],
    COUNTIF(Herramientas_neumáticas1963107150[Herramientas_neumáticas], B284) &gt; 0, Herramientas_neumáticas1963107150[[#Headers],[Herramientas_neumáticas]],
    COUNTIF(Herramientas_de_medición2064108151[Herramientas_de_medición], B284) &gt; 0, Herramientas_de_medición2064108151[[#Headers],[Herramientas_de_medición]],
    COUNTIF(Herrramientas_mecánicas2165109152[Herramientas_mecánicas], B284) &gt; 0, Herrramientas_mecánicas2165109152[[#Headers],[Herramientas_mecánicas]],
    COUNTIF(AH284:AH290, B284) &gt; 0, Herramientas_hidráulicas2266110153[[#Headers],[Herramientas_hidráulicas]],
    COUNTIF(EPP_2367111154[SPCC], B284) &gt; 0, EPP_2367111154[[#Headers],[SPCC]],
   COUNTIF(Herramientas_de_izaje2468112155[Herramientas_de_izaje], B284) &gt; 0, Herramientas_de_izaje2468112155[[#Headers],[Herramientas_de_izaje]],
COUNTIF(Tabla162670114157[Equipos], B284) &gt; 0, Tabla162670114157[[#Headers],[Equipos]],
    TRUE, "Sin clasificación"
)</f>
        <v>Sin clasificación</v>
      </c>
      <c r="I284" s="15"/>
      <c r="J284" s="47"/>
      <c r="K284" s="76"/>
      <c r="L284" s="76"/>
      <c r="M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N284" s="77"/>
      <c r="O284" s="32"/>
      <c r="P284" s="32"/>
      <c r="Q284" s="32"/>
      <c r="R284" s="32"/>
    </row>
    <row r="285" spans="3:18" x14ac:dyDescent="0.3">
      <c r="C285" s="11"/>
      <c r="D285" s="32"/>
      <c r="E285" s="11" t="str" cm="1">
        <f t="array" ref="E285">_xlfn.IFS(
    COUNTIF(Herramientas_eléctricas1862106149[Herramientas_eléctricas], B285) &gt; 0, Herramientas_eléctricas1862106149[[#Headers],[Herramientas_eléctricas]],
    COUNTIF(Herramientas_neumáticas1963107150[Herramientas_neumáticas], B285) &gt; 0, Herramientas_neumáticas1963107150[[#Headers],[Herramientas_neumáticas]],
    COUNTIF(Herramientas_de_medición2064108151[Herramientas_de_medición], B285) &gt; 0, Herramientas_de_medición2064108151[[#Headers],[Herramientas_de_medición]],
    COUNTIF(Herrramientas_mecánicas2165109152[Herramientas_mecánicas], B285) &gt; 0, Herrramientas_mecánicas2165109152[[#Headers],[Herramientas_mecánicas]],
    COUNTIF(AH285:AH291, B285) &gt; 0, Herramientas_hidráulicas2266110153[[#Headers],[Herramientas_hidráulicas]],
    COUNTIF(EPP_2367111154[SPCC], B285) &gt; 0, EPP_2367111154[[#Headers],[SPCC]],
   COUNTIF(Herramientas_de_izaje2468112155[Herramientas_de_izaje], B285) &gt; 0, Herramientas_de_izaje2468112155[[#Headers],[Herramientas_de_izaje]],
COUNTIF(Tabla162670114157[Equipos], B285) &gt; 0, Tabla162670114157[[#Headers],[Equipos]],
    TRUE, "Sin clasificación"
)</f>
        <v>Sin clasificación</v>
      </c>
      <c r="I285" s="15"/>
      <c r="J285" s="47"/>
      <c r="K285" s="76"/>
      <c r="L285" s="76"/>
      <c r="M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N285" s="77"/>
      <c r="O285" s="32"/>
      <c r="P285" s="32"/>
      <c r="Q285" s="32"/>
      <c r="R285" s="32"/>
    </row>
    <row r="286" spans="3:18" x14ac:dyDescent="0.3">
      <c r="C286" s="11"/>
      <c r="D286" s="32"/>
      <c r="E286" s="11" t="str" cm="1">
        <f t="array" ref="E286">_xlfn.IFS(
    COUNTIF(Herramientas_eléctricas1862106149[Herramientas_eléctricas], B286) &gt; 0, Herramientas_eléctricas1862106149[[#Headers],[Herramientas_eléctricas]],
    COUNTIF(Herramientas_neumáticas1963107150[Herramientas_neumáticas], B286) &gt; 0, Herramientas_neumáticas1963107150[[#Headers],[Herramientas_neumáticas]],
    COUNTIF(Herramientas_de_medición2064108151[Herramientas_de_medición], B286) &gt; 0, Herramientas_de_medición2064108151[[#Headers],[Herramientas_de_medición]],
    COUNTIF(Herrramientas_mecánicas2165109152[Herramientas_mecánicas], B286) &gt; 0, Herrramientas_mecánicas2165109152[[#Headers],[Herramientas_mecánicas]],
    COUNTIF(AH286:AH292, B286) &gt; 0, Herramientas_hidráulicas2266110153[[#Headers],[Herramientas_hidráulicas]],
    COUNTIF(EPP_2367111154[SPCC], B286) &gt; 0, EPP_2367111154[[#Headers],[SPCC]],
   COUNTIF(Herramientas_de_izaje2468112155[Herramientas_de_izaje], B286) &gt; 0, Herramientas_de_izaje2468112155[[#Headers],[Herramientas_de_izaje]],
COUNTIF(Tabla162670114157[Equipos], B286) &gt; 0, Tabla162670114157[[#Headers],[Equipos]],
    TRUE, "Sin clasificación"
)</f>
        <v>Sin clasificación</v>
      </c>
      <c r="I286" s="15"/>
      <c r="J286" s="47"/>
      <c r="K286" s="76"/>
      <c r="L286" s="76"/>
      <c r="M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N286" s="77"/>
      <c r="O286" s="32"/>
      <c r="P286" s="32"/>
      <c r="Q286" s="32"/>
      <c r="R286" s="32"/>
    </row>
    <row r="287" spans="3:18" x14ac:dyDescent="0.3">
      <c r="C287" s="11"/>
      <c r="D287" s="32"/>
      <c r="E287" s="11" t="str" cm="1">
        <f t="array" ref="E287">_xlfn.IFS(
    COUNTIF(Herramientas_eléctricas1862106149[Herramientas_eléctricas], B287) &gt; 0, Herramientas_eléctricas1862106149[[#Headers],[Herramientas_eléctricas]],
    COUNTIF(Herramientas_neumáticas1963107150[Herramientas_neumáticas], B287) &gt; 0, Herramientas_neumáticas1963107150[[#Headers],[Herramientas_neumáticas]],
    COUNTIF(Herramientas_de_medición2064108151[Herramientas_de_medición], B287) &gt; 0, Herramientas_de_medición2064108151[[#Headers],[Herramientas_de_medición]],
    COUNTIF(Herrramientas_mecánicas2165109152[Herramientas_mecánicas], B287) &gt; 0, Herrramientas_mecánicas2165109152[[#Headers],[Herramientas_mecánicas]],
    COUNTIF(AH287:AH293, B287) &gt; 0, Herramientas_hidráulicas2266110153[[#Headers],[Herramientas_hidráulicas]],
    COUNTIF(EPP_2367111154[SPCC], B287) &gt; 0, EPP_2367111154[[#Headers],[SPCC]],
   COUNTIF(Herramientas_de_izaje2468112155[Herramientas_de_izaje], B287) &gt; 0, Herramientas_de_izaje2468112155[[#Headers],[Herramientas_de_izaje]],
COUNTIF(Tabla162670114157[Equipos], B287) &gt; 0, Tabla162670114157[[#Headers],[Equipos]],
    TRUE, "Sin clasificación"
)</f>
        <v>Sin clasificación</v>
      </c>
      <c r="I287" s="15"/>
      <c r="J287" s="47"/>
      <c r="K287" s="76"/>
      <c r="L287" s="76"/>
      <c r="M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N287" s="77"/>
      <c r="O287" s="32"/>
      <c r="P287" s="32"/>
      <c r="Q287" s="32"/>
      <c r="R287" s="32"/>
    </row>
    <row r="288" spans="3:18" x14ac:dyDescent="0.3">
      <c r="C288" s="11"/>
      <c r="D288" s="32"/>
      <c r="E288" s="11" t="str" cm="1">
        <f t="array" ref="E288">_xlfn.IFS(
    COUNTIF(Herramientas_eléctricas1862106149[Herramientas_eléctricas], B288) &gt; 0, Herramientas_eléctricas1862106149[[#Headers],[Herramientas_eléctricas]],
    COUNTIF(Herramientas_neumáticas1963107150[Herramientas_neumáticas], B288) &gt; 0, Herramientas_neumáticas1963107150[[#Headers],[Herramientas_neumáticas]],
    COUNTIF(Herramientas_de_medición2064108151[Herramientas_de_medición], B288) &gt; 0, Herramientas_de_medición2064108151[[#Headers],[Herramientas_de_medición]],
    COUNTIF(Herrramientas_mecánicas2165109152[Herramientas_mecánicas], B288) &gt; 0, Herrramientas_mecánicas2165109152[[#Headers],[Herramientas_mecánicas]],
    COUNTIF(AH288:AH294, B288) &gt; 0, Herramientas_hidráulicas2266110153[[#Headers],[Herramientas_hidráulicas]],
    COUNTIF(EPP_2367111154[SPCC], B288) &gt; 0, EPP_2367111154[[#Headers],[SPCC]],
   COUNTIF(Herramientas_de_izaje2468112155[Herramientas_de_izaje], B288) &gt; 0, Herramientas_de_izaje2468112155[[#Headers],[Herramientas_de_izaje]],
COUNTIF(Tabla162670114157[Equipos], B288) &gt; 0, Tabla162670114157[[#Headers],[Equipos]],
    TRUE, "Sin clasificación"
)</f>
        <v>Sin clasificación</v>
      </c>
      <c r="I288" s="15"/>
      <c r="J288" s="47"/>
      <c r="K288" s="76"/>
      <c r="L288" s="76"/>
      <c r="M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N288" s="77"/>
      <c r="O288" s="32"/>
      <c r="P288" s="32"/>
      <c r="Q288" s="32"/>
      <c r="R288" s="32"/>
    </row>
    <row r="289" spans="3:18" x14ac:dyDescent="0.3">
      <c r="C289" s="11"/>
      <c r="D289" s="32"/>
      <c r="E289" s="11" t="str" cm="1">
        <f t="array" ref="E289">_xlfn.IFS(
    COUNTIF(Herramientas_eléctricas1862106149[Herramientas_eléctricas], B289) &gt; 0, Herramientas_eléctricas1862106149[[#Headers],[Herramientas_eléctricas]],
    COUNTIF(Herramientas_neumáticas1963107150[Herramientas_neumáticas], B289) &gt; 0, Herramientas_neumáticas1963107150[[#Headers],[Herramientas_neumáticas]],
    COUNTIF(Herramientas_de_medición2064108151[Herramientas_de_medición], B289) &gt; 0, Herramientas_de_medición2064108151[[#Headers],[Herramientas_de_medición]],
    COUNTIF(Herrramientas_mecánicas2165109152[Herramientas_mecánicas], B289) &gt; 0, Herrramientas_mecánicas2165109152[[#Headers],[Herramientas_mecánicas]],
    COUNTIF(AH289:AH295, B289) &gt; 0, Herramientas_hidráulicas2266110153[[#Headers],[Herramientas_hidráulicas]],
    COUNTIF(EPP_2367111154[SPCC], B289) &gt; 0, EPP_2367111154[[#Headers],[SPCC]],
   COUNTIF(Herramientas_de_izaje2468112155[Herramientas_de_izaje], B289) &gt; 0, Herramientas_de_izaje2468112155[[#Headers],[Herramientas_de_izaje]],
COUNTIF(Tabla162670114157[Equipos], B289) &gt; 0, Tabla162670114157[[#Headers],[Equipos]],
    TRUE, "Sin clasificación"
)</f>
        <v>Sin clasificación</v>
      </c>
      <c r="I289" s="15"/>
      <c r="J289" s="47"/>
      <c r="K289" s="76"/>
      <c r="L289" s="76"/>
      <c r="M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N289" s="77"/>
      <c r="O289" s="32"/>
      <c r="P289" s="32"/>
      <c r="Q289" s="32"/>
      <c r="R289" s="32"/>
    </row>
    <row r="290" spans="3:18" x14ac:dyDescent="0.3">
      <c r="C290" s="11"/>
      <c r="D290" s="32"/>
      <c r="E290" s="11" t="str" cm="1">
        <f t="array" ref="E290">_xlfn.IFS(
    COUNTIF(Herramientas_eléctricas1862106149[Herramientas_eléctricas], B290) &gt; 0, Herramientas_eléctricas1862106149[[#Headers],[Herramientas_eléctricas]],
    COUNTIF(Herramientas_neumáticas1963107150[Herramientas_neumáticas], B290) &gt; 0, Herramientas_neumáticas1963107150[[#Headers],[Herramientas_neumáticas]],
    COUNTIF(Herramientas_de_medición2064108151[Herramientas_de_medición], B290) &gt; 0, Herramientas_de_medición2064108151[[#Headers],[Herramientas_de_medición]],
    COUNTIF(Herrramientas_mecánicas2165109152[Herramientas_mecánicas], B290) &gt; 0, Herrramientas_mecánicas2165109152[[#Headers],[Herramientas_mecánicas]],
    COUNTIF(AH290:AH296, B290) &gt; 0, Herramientas_hidráulicas2266110153[[#Headers],[Herramientas_hidráulicas]],
    COUNTIF(EPP_2367111154[SPCC], B290) &gt; 0, EPP_2367111154[[#Headers],[SPCC]],
   COUNTIF(Herramientas_de_izaje2468112155[Herramientas_de_izaje], B290) &gt; 0, Herramientas_de_izaje2468112155[[#Headers],[Herramientas_de_izaje]],
COUNTIF(Tabla162670114157[Equipos], B290) &gt; 0, Tabla162670114157[[#Headers],[Equipos]],
    TRUE, "Sin clasificación"
)</f>
        <v>Sin clasificación</v>
      </c>
      <c r="I290" s="15"/>
      <c r="J290" s="47"/>
      <c r="K290" s="76"/>
      <c r="L290" s="76"/>
      <c r="M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N290" s="77"/>
      <c r="O290" s="32"/>
      <c r="P290" s="32"/>
      <c r="Q290" s="32"/>
      <c r="R290" s="32"/>
    </row>
    <row r="291" spans="3:18" x14ac:dyDescent="0.3">
      <c r="C291" s="11"/>
      <c r="D291" s="32"/>
      <c r="E291" s="11" t="str" cm="1">
        <f t="array" ref="E291">_xlfn.IFS(
    COUNTIF(Herramientas_eléctricas1862106149[Herramientas_eléctricas], B291) &gt; 0, Herramientas_eléctricas1862106149[[#Headers],[Herramientas_eléctricas]],
    COUNTIF(Herramientas_neumáticas1963107150[Herramientas_neumáticas], B291) &gt; 0, Herramientas_neumáticas1963107150[[#Headers],[Herramientas_neumáticas]],
    COUNTIF(Herramientas_de_medición2064108151[Herramientas_de_medición], B291) &gt; 0, Herramientas_de_medición2064108151[[#Headers],[Herramientas_de_medición]],
    COUNTIF(Herrramientas_mecánicas2165109152[Herramientas_mecánicas], B291) &gt; 0, Herrramientas_mecánicas2165109152[[#Headers],[Herramientas_mecánicas]],
    COUNTIF(AH291:AH297, B291) &gt; 0, Herramientas_hidráulicas2266110153[[#Headers],[Herramientas_hidráulicas]],
    COUNTIF(EPP_2367111154[SPCC], B291) &gt; 0, EPP_2367111154[[#Headers],[SPCC]],
   COUNTIF(Herramientas_de_izaje2468112155[Herramientas_de_izaje], B291) &gt; 0, Herramientas_de_izaje2468112155[[#Headers],[Herramientas_de_izaje]],
COUNTIF(Tabla162670114157[Equipos], B291) &gt; 0, Tabla162670114157[[#Headers],[Equipos]],
    TRUE, "Sin clasificación"
)</f>
        <v>Sin clasificación</v>
      </c>
      <c r="I291" s="15"/>
      <c r="J291" s="47"/>
      <c r="K291" s="76"/>
      <c r="L291" s="76"/>
      <c r="M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N291" s="77"/>
      <c r="O291" s="32"/>
      <c r="P291" s="32"/>
      <c r="Q291" s="32"/>
      <c r="R291" s="32"/>
    </row>
    <row r="292" spans="3:18" x14ac:dyDescent="0.3">
      <c r="C292" s="11"/>
      <c r="D292" s="32"/>
      <c r="E292" s="11" t="str" cm="1">
        <f t="array" ref="E292">_xlfn.IFS(
    COUNTIF(Herramientas_eléctricas1862106149[Herramientas_eléctricas], B292) &gt; 0, Herramientas_eléctricas1862106149[[#Headers],[Herramientas_eléctricas]],
    COUNTIF(Herramientas_neumáticas1963107150[Herramientas_neumáticas], B292) &gt; 0, Herramientas_neumáticas1963107150[[#Headers],[Herramientas_neumáticas]],
    COUNTIF(Herramientas_de_medición2064108151[Herramientas_de_medición], B292) &gt; 0, Herramientas_de_medición2064108151[[#Headers],[Herramientas_de_medición]],
    COUNTIF(Herrramientas_mecánicas2165109152[Herramientas_mecánicas], B292) &gt; 0, Herrramientas_mecánicas2165109152[[#Headers],[Herramientas_mecánicas]],
    COUNTIF(AH292:AH298, B292) &gt; 0, Herramientas_hidráulicas2266110153[[#Headers],[Herramientas_hidráulicas]],
    COUNTIF(EPP_2367111154[SPCC], B292) &gt; 0, EPP_2367111154[[#Headers],[SPCC]],
   COUNTIF(Herramientas_de_izaje2468112155[Herramientas_de_izaje], B292) &gt; 0, Herramientas_de_izaje2468112155[[#Headers],[Herramientas_de_izaje]],
COUNTIF(Tabla162670114157[Equipos], B292) &gt; 0, Tabla162670114157[[#Headers],[Equipos]],
    TRUE, "Sin clasificación"
)</f>
        <v>Sin clasificación</v>
      </c>
      <c r="I292" s="15"/>
      <c r="J292" s="47"/>
      <c r="K292" s="76"/>
      <c r="L292" s="76"/>
      <c r="M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N292" s="77"/>
      <c r="O292" s="32"/>
      <c r="P292" s="32"/>
      <c r="Q292" s="32"/>
      <c r="R292" s="32"/>
    </row>
    <row r="293" spans="3:18" x14ac:dyDescent="0.3">
      <c r="C293" s="11"/>
      <c r="D293" s="32"/>
      <c r="E293" s="11" t="str" cm="1">
        <f t="array" ref="E293">_xlfn.IFS(
    COUNTIF(Herramientas_eléctricas1862106149[Herramientas_eléctricas], B293) &gt; 0, Herramientas_eléctricas1862106149[[#Headers],[Herramientas_eléctricas]],
    COUNTIF(Herramientas_neumáticas1963107150[Herramientas_neumáticas], B293) &gt; 0, Herramientas_neumáticas1963107150[[#Headers],[Herramientas_neumáticas]],
    COUNTIF(Herramientas_de_medición2064108151[Herramientas_de_medición], B293) &gt; 0, Herramientas_de_medición2064108151[[#Headers],[Herramientas_de_medición]],
    COUNTIF(Herrramientas_mecánicas2165109152[Herramientas_mecánicas], B293) &gt; 0, Herrramientas_mecánicas2165109152[[#Headers],[Herramientas_mecánicas]],
    COUNTIF(AH293:AH299, B293) &gt; 0, Herramientas_hidráulicas2266110153[[#Headers],[Herramientas_hidráulicas]],
    COUNTIF(EPP_2367111154[SPCC], B293) &gt; 0, EPP_2367111154[[#Headers],[SPCC]],
   COUNTIF(Herramientas_de_izaje2468112155[Herramientas_de_izaje], B293) &gt; 0, Herramientas_de_izaje2468112155[[#Headers],[Herramientas_de_izaje]],
COUNTIF(Tabla162670114157[Equipos], B293) &gt; 0, Tabla162670114157[[#Headers],[Equipos]],
    TRUE, "Sin clasificación"
)</f>
        <v>Sin clasificación</v>
      </c>
      <c r="I293" s="15"/>
      <c r="J293" s="47"/>
      <c r="K293" s="76"/>
      <c r="L293" s="76"/>
      <c r="M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N293" s="77"/>
      <c r="O293" s="32"/>
      <c r="P293" s="32"/>
      <c r="Q293" s="32"/>
      <c r="R293" s="32"/>
    </row>
    <row r="294" spans="3:18" x14ac:dyDescent="0.3">
      <c r="C294" s="11"/>
      <c r="D294" s="32"/>
      <c r="E294" s="11" t="str" cm="1">
        <f t="array" ref="E294">_xlfn.IFS(
    COUNTIF(Herramientas_eléctricas1862106149[Herramientas_eléctricas], B294) &gt; 0, Herramientas_eléctricas1862106149[[#Headers],[Herramientas_eléctricas]],
    COUNTIF(Herramientas_neumáticas1963107150[Herramientas_neumáticas], B294) &gt; 0, Herramientas_neumáticas1963107150[[#Headers],[Herramientas_neumáticas]],
    COUNTIF(Herramientas_de_medición2064108151[Herramientas_de_medición], B294) &gt; 0, Herramientas_de_medición2064108151[[#Headers],[Herramientas_de_medición]],
    COUNTIF(Herrramientas_mecánicas2165109152[Herramientas_mecánicas], B294) &gt; 0, Herrramientas_mecánicas2165109152[[#Headers],[Herramientas_mecánicas]],
    COUNTIF(AH294:AH300, B294) &gt; 0, Herramientas_hidráulicas2266110153[[#Headers],[Herramientas_hidráulicas]],
    COUNTIF(EPP_2367111154[SPCC], B294) &gt; 0, EPP_2367111154[[#Headers],[SPCC]],
   COUNTIF(Herramientas_de_izaje2468112155[Herramientas_de_izaje], B294) &gt; 0, Herramientas_de_izaje2468112155[[#Headers],[Herramientas_de_izaje]],
COUNTIF(Tabla162670114157[Equipos], B294) &gt; 0, Tabla162670114157[[#Headers],[Equipos]],
    TRUE, "Sin clasificación"
)</f>
        <v>Sin clasificación</v>
      </c>
      <c r="I294" s="15"/>
      <c r="J294" s="47"/>
      <c r="K294" s="76"/>
      <c r="L294" s="76"/>
      <c r="M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N294" s="77"/>
      <c r="O294" s="32"/>
      <c r="P294" s="32"/>
      <c r="Q294" s="32"/>
      <c r="R294" s="32"/>
    </row>
    <row r="295" spans="3:18" x14ac:dyDescent="0.3">
      <c r="C295" s="11"/>
      <c r="D295" s="32"/>
      <c r="E295" s="11" t="str" cm="1">
        <f t="array" ref="E295">_xlfn.IFS(
    COUNTIF(Herramientas_eléctricas1862106149[Herramientas_eléctricas], B295) &gt; 0, Herramientas_eléctricas1862106149[[#Headers],[Herramientas_eléctricas]],
    COUNTIF(Herramientas_neumáticas1963107150[Herramientas_neumáticas], B295) &gt; 0, Herramientas_neumáticas1963107150[[#Headers],[Herramientas_neumáticas]],
    COUNTIF(Herramientas_de_medición2064108151[Herramientas_de_medición], B295) &gt; 0, Herramientas_de_medición2064108151[[#Headers],[Herramientas_de_medición]],
    COUNTIF(Herrramientas_mecánicas2165109152[Herramientas_mecánicas], B295) &gt; 0, Herrramientas_mecánicas2165109152[[#Headers],[Herramientas_mecánicas]],
    COUNTIF(AH295:AH301, B295) &gt; 0, Herramientas_hidráulicas2266110153[[#Headers],[Herramientas_hidráulicas]],
    COUNTIF(EPP_2367111154[SPCC], B295) &gt; 0, EPP_2367111154[[#Headers],[SPCC]],
   COUNTIF(Herramientas_de_izaje2468112155[Herramientas_de_izaje], B295) &gt; 0, Herramientas_de_izaje2468112155[[#Headers],[Herramientas_de_izaje]],
COUNTIF(Tabla162670114157[Equipos], B295) &gt; 0, Tabla162670114157[[#Headers],[Equipos]],
    TRUE, "Sin clasificación"
)</f>
        <v>Sin clasificación</v>
      </c>
      <c r="I295" s="15"/>
      <c r="J295" s="47"/>
      <c r="K295" s="76"/>
      <c r="L295" s="76"/>
      <c r="M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N295" s="77"/>
      <c r="O295" s="32"/>
      <c r="P295" s="32"/>
      <c r="Q295" s="32"/>
      <c r="R295" s="32"/>
    </row>
    <row r="296" spans="3:18" x14ac:dyDescent="0.3">
      <c r="C296" s="11"/>
      <c r="D296" s="32"/>
      <c r="E296" s="11" t="str" cm="1">
        <f t="array" ref="E296">_xlfn.IFS(
    COUNTIF(Herramientas_eléctricas1862106149[Herramientas_eléctricas], B296) &gt; 0, Herramientas_eléctricas1862106149[[#Headers],[Herramientas_eléctricas]],
    COUNTIF(Herramientas_neumáticas1963107150[Herramientas_neumáticas], B296) &gt; 0, Herramientas_neumáticas1963107150[[#Headers],[Herramientas_neumáticas]],
    COUNTIF(Herramientas_de_medición2064108151[Herramientas_de_medición], B296) &gt; 0, Herramientas_de_medición2064108151[[#Headers],[Herramientas_de_medición]],
    COUNTIF(Herrramientas_mecánicas2165109152[Herramientas_mecánicas], B296) &gt; 0, Herrramientas_mecánicas2165109152[[#Headers],[Herramientas_mecánicas]],
    COUNTIF(AH296:AH302, B296) &gt; 0, Herramientas_hidráulicas2266110153[[#Headers],[Herramientas_hidráulicas]],
    COUNTIF(EPP_2367111154[SPCC], B296) &gt; 0, EPP_2367111154[[#Headers],[SPCC]],
   COUNTIF(Herramientas_de_izaje2468112155[Herramientas_de_izaje], B296) &gt; 0, Herramientas_de_izaje2468112155[[#Headers],[Herramientas_de_izaje]],
COUNTIF(Tabla162670114157[Equipos], B296) &gt; 0, Tabla162670114157[[#Headers],[Equipos]],
    TRUE, "Sin clasificación"
)</f>
        <v>Sin clasificación</v>
      </c>
      <c r="I296" s="15"/>
      <c r="J296" s="47"/>
      <c r="K296" s="76"/>
      <c r="L296" s="76"/>
      <c r="M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N296" s="77"/>
      <c r="O296" s="32"/>
      <c r="P296" s="32"/>
      <c r="Q296" s="32"/>
      <c r="R296" s="32"/>
    </row>
    <row r="297" spans="3:18" x14ac:dyDescent="0.3">
      <c r="C297" s="11"/>
      <c r="D297" s="32"/>
      <c r="E297" s="11" t="str" cm="1">
        <f t="array" ref="E297">_xlfn.IFS(
    COUNTIF(Herramientas_eléctricas1862106149[Herramientas_eléctricas], B297) &gt; 0, Herramientas_eléctricas1862106149[[#Headers],[Herramientas_eléctricas]],
    COUNTIF(Herramientas_neumáticas1963107150[Herramientas_neumáticas], B297) &gt; 0, Herramientas_neumáticas1963107150[[#Headers],[Herramientas_neumáticas]],
    COUNTIF(Herramientas_de_medición2064108151[Herramientas_de_medición], B297) &gt; 0, Herramientas_de_medición2064108151[[#Headers],[Herramientas_de_medición]],
    COUNTIF(Herrramientas_mecánicas2165109152[Herramientas_mecánicas], B297) &gt; 0, Herrramientas_mecánicas2165109152[[#Headers],[Herramientas_mecánicas]],
    COUNTIF(AH297:AH303, B297) &gt; 0, Herramientas_hidráulicas2266110153[[#Headers],[Herramientas_hidráulicas]],
    COUNTIF(EPP_2367111154[SPCC], B297) &gt; 0, EPP_2367111154[[#Headers],[SPCC]],
   COUNTIF(Herramientas_de_izaje2468112155[Herramientas_de_izaje], B297) &gt; 0, Herramientas_de_izaje2468112155[[#Headers],[Herramientas_de_izaje]],
COUNTIF(Tabla162670114157[Equipos], B297) &gt; 0, Tabla162670114157[[#Headers],[Equipos]],
    TRUE, "Sin clasificación"
)</f>
        <v>Sin clasificación</v>
      </c>
      <c r="I297" s="15"/>
      <c r="J297" s="47"/>
      <c r="K297" s="76"/>
      <c r="L297" s="76"/>
      <c r="M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N297" s="77"/>
      <c r="O297" s="32"/>
      <c r="P297" s="32"/>
      <c r="Q297" s="32"/>
      <c r="R297" s="32"/>
    </row>
    <row r="298" spans="3:18" x14ac:dyDescent="0.3">
      <c r="C298" s="11"/>
      <c r="D298" s="32"/>
      <c r="E298" s="11" t="str" cm="1">
        <f t="array" ref="E298">_xlfn.IFS(
    COUNTIF(Herramientas_eléctricas1862106149[Herramientas_eléctricas], B298) &gt; 0, Herramientas_eléctricas1862106149[[#Headers],[Herramientas_eléctricas]],
    COUNTIF(Herramientas_neumáticas1963107150[Herramientas_neumáticas], B298) &gt; 0, Herramientas_neumáticas1963107150[[#Headers],[Herramientas_neumáticas]],
    COUNTIF(Herramientas_de_medición2064108151[Herramientas_de_medición], B298) &gt; 0, Herramientas_de_medición2064108151[[#Headers],[Herramientas_de_medición]],
    COUNTIF(Herrramientas_mecánicas2165109152[Herramientas_mecánicas], B298) &gt; 0, Herrramientas_mecánicas2165109152[[#Headers],[Herramientas_mecánicas]],
    COUNTIF(AH298:AH304, B298) &gt; 0, Herramientas_hidráulicas2266110153[[#Headers],[Herramientas_hidráulicas]],
    COUNTIF(EPP_2367111154[SPCC], B298) &gt; 0, EPP_2367111154[[#Headers],[SPCC]],
   COUNTIF(Herramientas_de_izaje2468112155[Herramientas_de_izaje], B298) &gt; 0, Herramientas_de_izaje2468112155[[#Headers],[Herramientas_de_izaje]],
COUNTIF(Tabla162670114157[Equipos], B298) &gt; 0, Tabla162670114157[[#Headers],[Equipos]],
    TRUE, "Sin clasificación"
)</f>
        <v>Sin clasificación</v>
      </c>
      <c r="I298" s="15"/>
      <c r="J298" s="47"/>
      <c r="K298" s="76"/>
      <c r="L298" s="76"/>
      <c r="M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N298" s="77"/>
      <c r="O298" s="32"/>
      <c r="P298" s="32"/>
      <c r="Q298" s="32"/>
      <c r="R298" s="32"/>
    </row>
    <row r="299" spans="3:18" x14ac:dyDescent="0.3">
      <c r="C299" s="11"/>
      <c r="D299" s="32"/>
      <c r="E299" s="11" t="str" cm="1">
        <f t="array" ref="E299">_xlfn.IFS(
    COUNTIF(Herramientas_eléctricas1862106149[Herramientas_eléctricas], B299) &gt; 0, Herramientas_eléctricas1862106149[[#Headers],[Herramientas_eléctricas]],
    COUNTIF(Herramientas_neumáticas1963107150[Herramientas_neumáticas], B299) &gt; 0, Herramientas_neumáticas1963107150[[#Headers],[Herramientas_neumáticas]],
    COUNTIF(Herramientas_de_medición2064108151[Herramientas_de_medición], B299) &gt; 0, Herramientas_de_medición2064108151[[#Headers],[Herramientas_de_medición]],
    COUNTIF(Herrramientas_mecánicas2165109152[Herramientas_mecánicas], B299) &gt; 0, Herrramientas_mecánicas2165109152[[#Headers],[Herramientas_mecánicas]],
    COUNTIF(AH299:AH305, B299) &gt; 0, Herramientas_hidráulicas2266110153[[#Headers],[Herramientas_hidráulicas]],
    COUNTIF(EPP_2367111154[SPCC], B299) &gt; 0, EPP_2367111154[[#Headers],[SPCC]],
   COUNTIF(Herramientas_de_izaje2468112155[Herramientas_de_izaje], B299) &gt; 0, Herramientas_de_izaje2468112155[[#Headers],[Herramientas_de_izaje]],
COUNTIF(Tabla162670114157[Equipos], B299) &gt; 0, Tabla162670114157[[#Headers],[Equipos]],
    TRUE, "Sin clasificación"
)</f>
        <v>Sin clasificación</v>
      </c>
      <c r="I299" s="15"/>
      <c r="J299" s="47"/>
      <c r="K299" s="76"/>
      <c r="L299" s="76"/>
      <c r="M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N299" s="77"/>
      <c r="O299" s="32"/>
      <c r="P299" s="32"/>
      <c r="Q299" s="32"/>
      <c r="R299" s="32"/>
    </row>
    <row r="300" spans="3:18" x14ac:dyDescent="0.3">
      <c r="C300" s="11"/>
      <c r="D300" s="32"/>
      <c r="E300" s="11" t="str" cm="1">
        <f t="array" ref="E300">_xlfn.IFS(
    COUNTIF(Herramientas_eléctricas1862106149[Herramientas_eléctricas], B300) &gt; 0, Herramientas_eléctricas1862106149[[#Headers],[Herramientas_eléctricas]],
    COUNTIF(Herramientas_neumáticas1963107150[Herramientas_neumáticas], B300) &gt; 0, Herramientas_neumáticas1963107150[[#Headers],[Herramientas_neumáticas]],
    COUNTIF(Herramientas_de_medición2064108151[Herramientas_de_medición], B300) &gt; 0, Herramientas_de_medición2064108151[[#Headers],[Herramientas_de_medición]],
    COUNTIF(Herrramientas_mecánicas2165109152[Herramientas_mecánicas], B300) &gt; 0, Herrramientas_mecánicas2165109152[[#Headers],[Herramientas_mecánicas]],
    COUNTIF(AH300:AH306, B300) &gt; 0, Herramientas_hidráulicas2266110153[[#Headers],[Herramientas_hidráulicas]],
    COUNTIF(EPP_2367111154[SPCC], B300) &gt; 0, EPP_2367111154[[#Headers],[SPCC]],
   COUNTIF(Herramientas_de_izaje2468112155[Herramientas_de_izaje], B300) &gt; 0, Herramientas_de_izaje2468112155[[#Headers],[Herramientas_de_izaje]],
COUNTIF(Tabla162670114157[Equipos], B300) &gt; 0, Tabla162670114157[[#Headers],[Equipos]],
    TRUE, "Sin clasificación"
)</f>
        <v>Sin clasificación</v>
      </c>
      <c r="I300" s="15"/>
      <c r="J300" s="47"/>
      <c r="K300" s="76"/>
      <c r="L300" s="76"/>
      <c r="M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N300" s="77"/>
      <c r="O300" s="32"/>
      <c r="P300" s="32"/>
      <c r="Q300" s="32"/>
      <c r="R300" s="32"/>
    </row>
    <row r="301" spans="3:18" x14ac:dyDescent="0.3">
      <c r="C301" s="11"/>
      <c r="D301" s="32"/>
      <c r="E301" s="11" t="str" cm="1">
        <f t="array" ref="E301">_xlfn.IFS(
    COUNTIF(Herramientas_eléctricas1862106149[Herramientas_eléctricas], B301) &gt; 0, Herramientas_eléctricas1862106149[[#Headers],[Herramientas_eléctricas]],
    COUNTIF(Herramientas_neumáticas1963107150[Herramientas_neumáticas], B301) &gt; 0, Herramientas_neumáticas1963107150[[#Headers],[Herramientas_neumáticas]],
    COUNTIF(Herramientas_de_medición2064108151[Herramientas_de_medición], B301) &gt; 0, Herramientas_de_medición2064108151[[#Headers],[Herramientas_de_medición]],
    COUNTIF(Herrramientas_mecánicas2165109152[Herramientas_mecánicas], B301) &gt; 0, Herrramientas_mecánicas2165109152[[#Headers],[Herramientas_mecánicas]],
    COUNTIF(AH301:AH307, B301) &gt; 0, Herramientas_hidráulicas2266110153[[#Headers],[Herramientas_hidráulicas]],
    COUNTIF(EPP_2367111154[SPCC], B301) &gt; 0, EPP_2367111154[[#Headers],[SPCC]],
   COUNTIF(Herramientas_de_izaje2468112155[Herramientas_de_izaje], B301) &gt; 0, Herramientas_de_izaje2468112155[[#Headers],[Herramientas_de_izaje]],
COUNTIF(Tabla162670114157[Equipos], B301) &gt; 0, Tabla162670114157[[#Headers],[Equipos]],
    TRUE, "Sin clasificación"
)</f>
        <v>Sin clasificación</v>
      </c>
      <c r="I301" s="15"/>
      <c r="J301" s="47"/>
      <c r="K301" s="76"/>
      <c r="L301" s="76"/>
      <c r="M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N301" s="77"/>
      <c r="O301" s="32"/>
      <c r="P301" s="32"/>
      <c r="Q301" s="32"/>
      <c r="R301" s="32"/>
    </row>
    <row r="302" spans="3:18" x14ac:dyDescent="0.3">
      <c r="C302" s="11"/>
      <c r="D302" s="32"/>
      <c r="E302" s="11" t="str" cm="1">
        <f t="array" ref="E302">_xlfn.IFS(
    COUNTIF(Herramientas_eléctricas1862106149[Herramientas_eléctricas], B302) &gt; 0, Herramientas_eléctricas1862106149[[#Headers],[Herramientas_eléctricas]],
    COUNTIF(Herramientas_neumáticas1963107150[Herramientas_neumáticas], B302) &gt; 0, Herramientas_neumáticas1963107150[[#Headers],[Herramientas_neumáticas]],
    COUNTIF(Herramientas_de_medición2064108151[Herramientas_de_medición], B302) &gt; 0, Herramientas_de_medición2064108151[[#Headers],[Herramientas_de_medición]],
    COUNTIF(Herrramientas_mecánicas2165109152[Herramientas_mecánicas], B302) &gt; 0, Herrramientas_mecánicas2165109152[[#Headers],[Herramientas_mecánicas]],
    COUNTIF(AH302:AH308, B302) &gt; 0, Herramientas_hidráulicas2266110153[[#Headers],[Herramientas_hidráulicas]],
    COUNTIF(EPP_2367111154[SPCC], B302) &gt; 0, EPP_2367111154[[#Headers],[SPCC]],
   COUNTIF(Herramientas_de_izaje2468112155[Herramientas_de_izaje], B302) &gt; 0, Herramientas_de_izaje2468112155[[#Headers],[Herramientas_de_izaje]],
COUNTIF(Tabla162670114157[Equipos], B302) &gt; 0, Tabla162670114157[[#Headers],[Equipos]],
    TRUE, "Sin clasificación"
)</f>
        <v>Sin clasificación</v>
      </c>
      <c r="I302" s="15"/>
      <c r="J302" s="47"/>
      <c r="K302" s="76"/>
      <c r="L302" s="76"/>
      <c r="M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N302" s="77"/>
      <c r="O302" s="32"/>
      <c r="P302" s="32"/>
      <c r="Q302" s="32"/>
      <c r="R302" s="32"/>
    </row>
    <row r="303" spans="3:18" x14ac:dyDescent="0.3">
      <c r="C303" s="11"/>
      <c r="D303" s="32"/>
      <c r="E303" s="11" t="str" cm="1">
        <f t="array" ref="E303">_xlfn.IFS(
    COUNTIF(Herramientas_eléctricas1862106149[Herramientas_eléctricas], B303) &gt; 0, Herramientas_eléctricas1862106149[[#Headers],[Herramientas_eléctricas]],
    COUNTIF(Herramientas_neumáticas1963107150[Herramientas_neumáticas], B303) &gt; 0, Herramientas_neumáticas1963107150[[#Headers],[Herramientas_neumáticas]],
    COUNTIF(Herramientas_de_medición2064108151[Herramientas_de_medición], B303) &gt; 0, Herramientas_de_medición2064108151[[#Headers],[Herramientas_de_medición]],
    COUNTIF(Herrramientas_mecánicas2165109152[Herramientas_mecánicas], B303) &gt; 0, Herrramientas_mecánicas2165109152[[#Headers],[Herramientas_mecánicas]],
    COUNTIF(AH303:AH309, B303) &gt; 0, Herramientas_hidráulicas2266110153[[#Headers],[Herramientas_hidráulicas]],
    COUNTIF(EPP_2367111154[SPCC], B303) &gt; 0, EPP_2367111154[[#Headers],[SPCC]],
   COUNTIF(Herramientas_de_izaje2468112155[Herramientas_de_izaje], B303) &gt; 0, Herramientas_de_izaje2468112155[[#Headers],[Herramientas_de_izaje]],
COUNTIF(Tabla162670114157[Equipos], B303) &gt; 0, Tabla162670114157[[#Headers],[Equipos]],
    TRUE, "Sin clasificación"
)</f>
        <v>Sin clasificación</v>
      </c>
      <c r="I303" s="15"/>
      <c r="J303" s="47"/>
      <c r="K303" s="76"/>
      <c r="L303" s="76"/>
      <c r="M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N303" s="77"/>
      <c r="O303" s="32"/>
      <c r="P303" s="32"/>
      <c r="Q303" s="32"/>
      <c r="R303" s="32"/>
    </row>
    <row r="304" spans="3:18" x14ac:dyDescent="0.3">
      <c r="C304" s="11"/>
      <c r="D304" s="32"/>
      <c r="E304" s="11" t="str" cm="1">
        <f t="array" ref="E304">_xlfn.IFS(
    COUNTIF(Herramientas_eléctricas1862106149[Herramientas_eléctricas], B304) &gt; 0, Herramientas_eléctricas1862106149[[#Headers],[Herramientas_eléctricas]],
    COUNTIF(Herramientas_neumáticas1963107150[Herramientas_neumáticas], B304) &gt; 0, Herramientas_neumáticas1963107150[[#Headers],[Herramientas_neumáticas]],
    COUNTIF(Herramientas_de_medición2064108151[Herramientas_de_medición], B304) &gt; 0, Herramientas_de_medición2064108151[[#Headers],[Herramientas_de_medición]],
    COUNTIF(Herrramientas_mecánicas2165109152[Herramientas_mecánicas], B304) &gt; 0, Herrramientas_mecánicas2165109152[[#Headers],[Herramientas_mecánicas]],
    COUNTIF(AH304:AH310, B304) &gt; 0, Herramientas_hidráulicas2266110153[[#Headers],[Herramientas_hidráulicas]],
    COUNTIF(EPP_2367111154[SPCC], B304) &gt; 0, EPP_2367111154[[#Headers],[SPCC]],
   COUNTIF(Herramientas_de_izaje2468112155[Herramientas_de_izaje], B304) &gt; 0, Herramientas_de_izaje2468112155[[#Headers],[Herramientas_de_izaje]],
COUNTIF(Tabla162670114157[Equipos], B304) &gt; 0, Tabla162670114157[[#Headers],[Equipos]],
    TRUE, "Sin clasificación"
)</f>
        <v>Sin clasificación</v>
      </c>
      <c r="I304" s="15"/>
      <c r="J304" s="47"/>
      <c r="K304" s="76"/>
      <c r="L304" s="76"/>
      <c r="M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N304" s="77"/>
      <c r="O304" s="32"/>
      <c r="P304" s="32"/>
      <c r="Q304" s="32"/>
      <c r="R304" s="32"/>
    </row>
    <row r="305" spans="3:18" x14ac:dyDescent="0.3">
      <c r="C305" s="11"/>
      <c r="D305" s="32"/>
      <c r="E305" s="11" t="str" cm="1">
        <f t="array" ref="E305">_xlfn.IFS(
    COUNTIF(Herramientas_eléctricas1862106149[Herramientas_eléctricas], B305) &gt; 0, Herramientas_eléctricas1862106149[[#Headers],[Herramientas_eléctricas]],
    COUNTIF(Herramientas_neumáticas1963107150[Herramientas_neumáticas], B305) &gt; 0, Herramientas_neumáticas1963107150[[#Headers],[Herramientas_neumáticas]],
    COUNTIF(Herramientas_de_medición2064108151[Herramientas_de_medición], B305) &gt; 0, Herramientas_de_medición2064108151[[#Headers],[Herramientas_de_medición]],
    COUNTIF(Herrramientas_mecánicas2165109152[Herramientas_mecánicas], B305) &gt; 0, Herrramientas_mecánicas2165109152[[#Headers],[Herramientas_mecánicas]],
    COUNTIF(AH305:AH311, B305) &gt; 0, Herramientas_hidráulicas2266110153[[#Headers],[Herramientas_hidráulicas]],
    COUNTIF(EPP_2367111154[SPCC], B305) &gt; 0, EPP_2367111154[[#Headers],[SPCC]],
   COUNTIF(Herramientas_de_izaje2468112155[Herramientas_de_izaje], B305) &gt; 0, Herramientas_de_izaje2468112155[[#Headers],[Herramientas_de_izaje]],
COUNTIF(Tabla162670114157[Equipos], B305) &gt; 0, Tabla162670114157[[#Headers],[Equipos]],
    TRUE, "Sin clasificación"
)</f>
        <v>Sin clasificación</v>
      </c>
      <c r="I305" s="15"/>
      <c r="J305" s="47"/>
      <c r="K305" s="76"/>
      <c r="L305" s="76"/>
      <c r="M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N305" s="77"/>
      <c r="O305" s="32"/>
      <c r="P305" s="32"/>
      <c r="Q305" s="32"/>
      <c r="R305" s="32"/>
    </row>
    <row r="306" spans="3:18" x14ac:dyDescent="0.3">
      <c r="C306" s="11"/>
      <c r="D306" s="32"/>
      <c r="E306" s="11" t="str" cm="1">
        <f t="array" ref="E306">_xlfn.IFS(
    COUNTIF(Herramientas_eléctricas1862106149[Herramientas_eléctricas], B306) &gt; 0, Herramientas_eléctricas1862106149[[#Headers],[Herramientas_eléctricas]],
    COUNTIF(Herramientas_neumáticas1963107150[Herramientas_neumáticas], B306) &gt; 0, Herramientas_neumáticas1963107150[[#Headers],[Herramientas_neumáticas]],
    COUNTIF(Herramientas_de_medición2064108151[Herramientas_de_medición], B306) &gt; 0, Herramientas_de_medición2064108151[[#Headers],[Herramientas_de_medición]],
    COUNTIF(Herrramientas_mecánicas2165109152[Herramientas_mecánicas], B306) &gt; 0, Herrramientas_mecánicas2165109152[[#Headers],[Herramientas_mecánicas]],
    COUNTIF(AH306:AH312, B306) &gt; 0, Herramientas_hidráulicas2266110153[[#Headers],[Herramientas_hidráulicas]],
    COUNTIF(EPP_2367111154[SPCC], B306) &gt; 0, EPP_2367111154[[#Headers],[SPCC]],
   COUNTIF(Herramientas_de_izaje2468112155[Herramientas_de_izaje], B306) &gt; 0, Herramientas_de_izaje2468112155[[#Headers],[Herramientas_de_izaje]],
COUNTIF(Tabla162670114157[Equipos], B306) &gt; 0, Tabla162670114157[[#Headers],[Equipos]],
    TRUE, "Sin clasificación"
)</f>
        <v>Sin clasificación</v>
      </c>
      <c r="I306" s="15"/>
      <c r="J306" s="47"/>
      <c r="K306" s="76"/>
      <c r="L306" s="76"/>
      <c r="M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N306" s="77"/>
      <c r="O306" s="32"/>
      <c r="P306" s="32"/>
      <c r="Q306" s="32"/>
      <c r="R306" s="32"/>
    </row>
    <row r="307" spans="3:18" x14ac:dyDescent="0.3">
      <c r="C307" s="11"/>
      <c r="D307" s="32"/>
      <c r="E307" s="11" t="str" cm="1">
        <f t="array" ref="E307">_xlfn.IFS(
    COUNTIF(Herramientas_eléctricas1862106149[Herramientas_eléctricas], B307) &gt; 0, Herramientas_eléctricas1862106149[[#Headers],[Herramientas_eléctricas]],
    COUNTIF(Herramientas_neumáticas1963107150[Herramientas_neumáticas], B307) &gt; 0, Herramientas_neumáticas1963107150[[#Headers],[Herramientas_neumáticas]],
    COUNTIF(Herramientas_de_medición2064108151[Herramientas_de_medición], B307) &gt; 0, Herramientas_de_medición2064108151[[#Headers],[Herramientas_de_medición]],
    COUNTIF(Herrramientas_mecánicas2165109152[Herramientas_mecánicas], B307) &gt; 0, Herrramientas_mecánicas2165109152[[#Headers],[Herramientas_mecánicas]],
    COUNTIF(AH307:AH313, B307) &gt; 0, Herramientas_hidráulicas2266110153[[#Headers],[Herramientas_hidráulicas]],
    COUNTIF(EPP_2367111154[SPCC], B307) &gt; 0, EPP_2367111154[[#Headers],[SPCC]],
   COUNTIF(Herramientas_de_izaje2468112155[Herramientas_de_izaje], B307) &gt; 0, Herramientas_de_izaje2468112155[[#Headers],[Herramientas_de_izaje]],
COUNTIF(Tabla162670114157[Equipos], B307) &gt; 0, Tabla162670114157[[#Headers],[Equipos]],
    TRUE, "Sin clasificación"
)</f>
        <v>Sin clasificación</v>
      </c>
      <c r="I307" s="15"/>
      <c r="J307" s="47"/>
      <c r="K307" s="76"/>
      <c r="L307" s="76"/>
      <c r="M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N307" s="77"/>
      <c r="O307" s="32"/>
      <c r="P307" s="32"/>
      <c r="Q307" s="32"/>
      <c r="R307" s="32"/>
    </row>
    <row r="308" spans="3:18" x14ac:dyDescent="0.3">
      <c r="C308" s="11"/>
      <c r="D308" s="32"/>
      <c r="E308" s="11" t="str" cm="1">
        <f t="array" ref="E308">_xlfn.IFS(
    COUNTIF(Herramientas_eléctricas1862106149[Herramientas_eléctricas], B308) &gt; 0, Herramientas_eléctricas1862106149[[#Headers],[Herramientas_eléctricas]],
    COUNTIF(Herramientas_neumáticas1963107150[Herramientas_neumáticas], B308) &gt; 0, Herramientas_neumáticas1963107150[[#Headers],[Herramientas_neumáticas]],
    COUNTIF(Herramientas_de_medición2064108151[Herramientas_de_medición], B308) &gt; 0, Herramientas_de_medición2064108151[[#Headers],[Herramientas_de_medición]],
    COUNTIF(Herrramientas_mecánicas2165109152[Herramientas_mecánicas], B308) &gt; 0, Herrramientas_mecánicas2165109152[[#Headers],[Herramientas_mecánicas]],
    COUNTIF(AH308:AH314, B308) &gt; 0, Herramientas_hidráulicas2266110153[[#Headers],[Herramientas_hidráulicas]],
    COUNTIF(EPP_2367111154[SPCC], B308) &gt; 0, EPP_2367111154[[#Headers],[SPCC]],
   COUNTIF(Herramientas_de_izaje2468112155[Herramientas_de_izaje], B308) &gt; 0, Herramientas_de_izaje2468112155[[#Headers],[Herramientas_de_izaje]],
COUNTIF(Tabla162670114157[Equipos], B308) &gt; 0, Tabla162670114157[[#Headers],[Equipos]],
    TRUE, "Sin clasificación"
)</f>
        <v>Sin clasificación</v>
      </c>
      <c r="I308" s="15"/>
      <c r="J308" s="47"/>
      <c r="K308" s="76"/>
      <c r="L308" s="76"/>
      <c r="M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N308" s="77"/>
      <c r="O308" s="32"/>
      <c r="P308" s="32"/>
      <c r="Q308" s="32"/>
      <c r="R308" s="32"/>
    </row>
    <row r="309" spans="3:18" x14ac:dyDescent="0.3">
      <c r="C309" s="11"/>
      <c r="D309" s="32"/>
      <c r="E309" s="11" t="str" cm="1">
        <f t="array" ref="E309">_xlfn.IFS(
    COUNTIF(Herramientas_eléctricas1862106149[Herramientas_eléctricas], B309) &gt; 0, Herramientas_eléctricas1862106149[[#Headers],[Herramientas_eléctricas]],
    COUNTIF(Herramientas_neumáticas1963107150[Herramientas_neumáticas], B309) &gt; 0, Herramientas_neumáticas1963107150[[#Headers],[Herramientas_neumáticas]],
    COUNTIF(Herramientas_de_medición2064108151[Herramientas_de_medición], B309) &gt; 0, Herramientas_de_medición2064108151[[#Headers],[Herramientas_de_medición]],
    COUNTIF(Herrramientas_mecánicas2165109152[Herramientas_mecánicas], B309) &gt; 0, Herrramientas_mecánicas2165109152[[#Headers],[Herramientas_mecánicas]],
    COUNTIF(AH309:AH315, B309) &gt; 0, Herramientas_hidráulicas2266110153[[#Headers],[Herramientas_hidráulicas]],
    COUNTIF(EPP_2367111154[SPCC], B309) &gt; 0, EPP_2367111154[[#Headers],[SPCC]],
   COUNTIF(Herramientas_de_izaje2468112155[Herramientas_de_izaje], B309) &gt; 0, Herramientas_de_izaje2468112155[[#Headers],[Herramientas_de_izaje]],
COUNTIF(Tabla162670114157[Equipos], B309) &gt; 0, Tabla162670114157[[#Headers],[Equipos]],
    TRUE, "Sin clasificación"
)</f>
        <v>Sin clasificación</v>
      </c>
      <c r="I309" s="15"/>
      <c r="J309" s="47"/>
      <c r="K309" s="76"/>
      <c r="L309" s="76"/>
      <c r="M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N309" s="77"/>
      <c r="O309" s="32"/>
      <c r="P309" s="32"/>
      <c r="Q309" s="32"/>
      <c r="R309" s="32"/>
    </row>
    <row r="310" spans="3:18" x14ac:dyDescent="0.3">
      <c r="C310" s="11"/>
      <c r="D310" s="32"/>
      <c r="E310" s="11" t="str" cm="1">
        <f t="array" ref="E310">_xlfn.IFS(
    COUNTIF(Herramientas_eléctricas1862106149[Herramientas_eléctricas], B310) &gt; 0, Herramientas_eléctricas1862106149[[#Headers],[Herramientas_eléctricas]],
    COUNTIF(Herramientas_neumáticas1963107150[Herramientas_neumáticas], B310) &gt; 0, Herramientas_neumáticas1963107150[[#Headers],[Herramientas_neumáticas]],
    COUNTIF(Herramientas_de_medición2064108151[Herramientas_de_medición], B310) &gt; 0, Herramientas_de_medición2064108151[[#Headers],[Herramientas_de_medición]],
    COUNTIF(Herrramientas_mecánicas2165109152[Herramientas_mecánicas], B310) &gt; 0, Herrramientas_mecánicas2165109152[[#Headers],[Herramientas_mecánicas]],
    COUNTIF(AH310:AH316, B310) &gt; 0, Herramientas_hidráulicas2266110153[[#Headers],[Herramientas_hidráulicas]],
    COUNTIF(EPP_2367111154[SPCC], B310) &gt; 0, EPP_2367111154[[#Headers],[SPCC]],
   COUNTIF(Herramientas_de_izaje2468112155[Herramientas_de_izaje], B310) &gt; 0, Herramientas_de_izaje2468112155[[#Headers],[Herramientas_de_izaje]],
COUNTIF(Tabla162670114157[Equipos], B310) &gt; 0, Tabla162670114157[[#Headers],[Equipos]],
    TRUE, "Sin clasificación"
)</f>
        <v>Sin clasificación</v>
      </c>
      <c r="I310" s="15"/>
      <c r="J310" s="47"/>
      <c r="K310" s="76"/>
      <c r="L310" s="76"/>
      <c r="M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N310" s="77"/>
      <c r="O310" s="32"/>
      <c r="P310" s="32"/>
      <c r="Q310" s="32"/>
      <c r="R310" s="32"/>
    </row>
    <row r="311" spans="3:18" x14ac:dyDescent="0.3">
      <c r="C311" s="11"/>
      <c r="D311" s="32"/>
      <c r="E311" s="11" t="str" cm="1">
        <f t="array" ref="E311">_xlfn.IFS(
    COUNTIF(Herramientas_eléctricas1862106149[Herramientas_eléctricas], B311) &gt; 0, Herramientas_eléctricas1862106149[[#Headers],[Herramientas_eléctricas]],
    COUNTIF(Herramientas_neumáticas1963107150[Herramientas_neumáticas], B311) &gt; 0, Herramientas_neumáticas1963107150[[#Headers],[Herramientas_neumáticas]],
    COUNTIF(Herramientas_de_medición2064108151[Herramientas_de_medición], B311) &gt; 0, Herramientas_de_medición2064108151[[#Headers],[Herramientas_de_medición]],
    COUNTIF(Herrramientas_mecánicas2165109152[Herramientas_mecánicas], B311) &gt; 0, Herrramientas_mecánicas2165109152[[#Headers],[Herramientas_mecánicas]],
    COUNTIF(AH311:AH317, B311) &gt; 0, Herramientas_hidráulicas2266110153[[#Headers],[Herramientas_hidráulicas]],
    COUNTIF(EPP_2367111154[SPCC], B311) &gt; 0, EPP_2367111154[[#Headers],[SPCC]],
   COUNTIF(Herramientas_de_izaje2468112155[Herramientas_de_izaje], B311) &gt; 0, Herramientas_de_izaje2468112155[[#Headers],[Herramientas_de_izaje]],
COUNTIF(Tabla162670114157[Equipos], B311) &gt; 0, Tabla162670114157[[#Headers],[Equipos]],
    TRUE, "Sin clasificación"
)</f>
        <v>Sin clasificación</v>
      </c>
      <c r="I311" s="15"/>
      <c r="J311" s="47"/>
      <c r="K311" s="76"/>
      <c r="L311" s="76"/>
      <c r="M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N311" s="77"/>
      <c r="O311" s="32"/>
      <c r="P311" s="32"/>
      <c r="Q311" s="32"/>
      <c r="R311" s="32"/>
    </row>
    <row r="312" spans="3:18" x14ac:dyDescent="0.3">
      <c r="C312" s="11"/>
      <c r="D312" s="32"/>
      <c r="E312" s="11" t="str" cm="1">
        <f t="array" ref="E312">_xlfn.IFS(
    COUNTIF(Herramientas_eléctricas1862106149[Herramientas_eléctricas], B312) &gt; 0, Herramientas_eléctricas1862106149[[#Headers],[Herramientas_eléctricas]],
    COUNTIF(Herramientas_neumáticas1963107150[Herramientas_neumáticas], B312) &gt; 0, Herramientas_neumáticas1963107150[[#Headers],[Herramientas_neumáticas]],
    COUNTIF(Herramientas_de_medición2064108151[Herramientas_de_medición], B312) &gt; 0, Herramientas_de_medición2064108151[[#Headers],[Herramientas_de_medición]],
    COUNTIF(Herrramientas_mecánicas2165109152[Herramientas_mecánicas], B312) &gt; 0, Herrramientas_mecánicas2165109152[[#Headers],[Herramientas_mecánicas]],
    COUNTIF(AH312:AH318, B312) &gt; 0, Herramientas_hidráulicas2266110153[[#Headers],[Herramientas_hidráulicas]],
    COUNTIF(EPP_2367111154[SPCC], B312) &gt; 0, EPP_2367111154[[#Headers],[SPCC]],
   COUNTIF(Herramientas_de_izaje2468112155[Herramientas_de_izaje], B312) &gt; 0, Herramientas_de_izaje2468112155[[#Headers],[Herramientas_de_izaje]],
COUNTIF(Tabla162670114157[Equipos], B312) &gt; 0, Tabla162670114157[[#Headers],[Equipos]],
    TRUE, "Sin clasificación"
)</f>
        <v>Sin clasificación</v>
      </c>
      <c r="I312" s="15"/>
      <c r="J312" s="47"/>
      <c r="K312" s="76"/>
      <c r="L312" s="76"/>
      <c r="M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N312" s="77"/>
      <c r="O312" s="32"/>
      <c r="P312" s="32"/>
      <c r="Q312" s="32"/>
      <c r="R312" s="32"/>
    </row>
    <row r="313" spans="3:18" x14ac:dyDescent="0.3">
      <c r="C313" s="11"/>
      <c r="D313" s="32"/>
      <c r="E313" s="11" t="str" cm="1">
        <f t="array" ref="E313">_xlfn.IFS(
    COUNTIF(Herramientas_eléctricas1862106149[Herramientas_eléctricas], B313) &gt; 0, Herramientas_eléctricas1862106149[[#Headers],[Herramientas_eléctricas]],
    COUNTIF(Herramientas_neumáticas1963107150[Herramientas_neumáticas], B313) &gt; 0, Herramientas_neumáticas1963107150[[#Headers],[Herramientas_neumáticas]],
    COUNTIF(Herramientas_de_medición2064108151[Herramientas_de_medición], B313) &gt; 0, Herramientas_de_medición2064108151[[#Headers],[Herramientas_de_medición]],
    COUNTIF(Herrramientas_mecánicas2165109152[Herramientas_mecánicas], B313) &gt; 0, Herrramientas_mecánicas2165109152[[#Headers],[Herramientas_mecánicas]],
    COUNTIF(AH313:AH319, B313) &gt; 0, Herramientas_hidráulicas2266110153[[#Headers],[Herramientas_hidráulicas]],
    COUNTIF(EPP_2367111154[SPCC], B313) &gt; 0, EPP_2367111154[[#Headers],[SPCC]],
   COUNTIF(Herramientas_de_izaje2468112155[Herramientas_de_izaje], B313) &gt; 0, Herramientas_de_izaje2468112155[[#Headers],[Herramientas_de_izaje]],
COUNTIF(Tabla162670114157[Equipos], B313) &gt; 0, Tabla162670114157[[#Headers],[Equipos]],
    TRUE, "Sin clasificación"
)</f>
        <v>Sin clasificación</v>
      </c>
      <c r="I313" s="15"/>
      <c r="J313" s="47"/>
      <c r="K313" s="76"/>
      <c r="L313" s="76"/>
      <c r="M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N313" s="77"/>
      <c r="O313" s="32"/>
      <c r="P313" s="32"/>
      <c r="Q313" s="32"/>
      <c r="R313" s="32"/>
    </row>
    <row r="314" spans="3:18" x14ac:dyDescent="0.3">
      <c r="C314" s="11"/>
      <c r="D314" s="32"/>
      <c r="E314" s="11" t="str" cm="1">
        <f t="array" ref="E314">_xlfn.IFS(
    COUNTIF(Herramientas_eléctricas1862106149[Herramientas_eléctricas], B314) &gt; 0, Herramientas_eléctricas1862106149[[#Headers],[Herramientas_eléctricas]],
    COUNTIF(Herramientas_neumáticas1963107150[Herramientas_neumáticas], B314) &gt; 0, Herramientas_neumáticas1963107150[[#Headers],[Herramientas_neumáticas]],
    COUNTIF(Herramientas_de_medición2064108151[Herramientas_de_medición], B314) &gt; 0, Herramientas_de_medición2064108151[[#Headers],[Herramientas_de_medición]],
    COUNTIF(Herrramientas_mecánicas2165109152[Herramientas_mecánicas], B314) &gt; 0, Herrramientas_mecánicas2165109152[[#Headers],[Herramientas_mecánicas]],
    COUNTIF(AH314:AH320, B314) &gt; 0, Herramientas_hidráulicas2266110153[[#Headers],[Herramientas_hidráulicas]],
    COUNTIF(EPP_2367111154[SPCC], B314) &gt; 0, EPP_2367111154[[#Headers],[SPCC]],
   COUNTIF(Herramientas_de_izaje2468112155[Herramientas_de_izaje], B314) &gt; 0, Herramientas_de_izaje2468112155[[#Headers],[Herramientas_de_izaje]],
COUNTIF(Tabla162670114157[Equipos], B314) &gt; 0, Tabla162670114157[[#Headers],[Equipos]],
    TRUE, "Sin clasificación"
)</f>
        <v>Sin clasificación</v>
      </c>
      <c r="I314" s="15"/>
      <c r="J314" s="47"/>
      <c r="K314" s="76"/>
      <c r="L314" s="76"/>
      <c r="M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N314" s="77"/>
      <c r="O314" s="32"/>
      <c r="P314" s="32"/>
      <c r="Q314" s="32"/>
      <c r="R314" s="32"/>
    </row>
    <row r="315" spans="3:18" x14ac:dyDescent="0.3">
      <c r="C315" s="11"/>
      <c r="D315" s="32"/>
      <c r="E315" s="11" t="str" cm="1">
        <f t="array" ref="E315">_xlfn.IFS(
    COUNTIF(Herramientas_eléctricas1862106149[Herramientas_eléctricas], B315) &gt; 0, Herramientas_eléctricas1862106149[[#Headers],[Herramientas_eléctricas]],
    COUNTIF(Herramientas_neumáticas1963107150[Herramientas_neumáticas], B315) &gt; 0, Herramientas_neumáticas1963107150[[#Headers],[Herramientas_neumáticas]],
    COUNTIF(Herramientas_de_medición2064108151[Herramientas_de_medición], B315) &gt; 0, Herramientas_de_medición2064108151[[#Headers],[Herramientas_de_medición]],
    COUNTIF(Herrramientas_mecánicas2165109152[Herramientas_mecánicas], B315) &gt; 0, Herrramientas_mecánicas2165109152[[#Headers],[Herramientas_mecánicas]],
    COUNTIF(AH315:AH321, B315) &gt; 0, Herramientas_hidráulicas2266110153[[#Headers],[Herramientas_hidráulicas]],
    COUNTIF(EPP_2367111154[SPCC], B315) &gt; 0, EPP_2367111154[[#Headers],[SPCC]],
   COUNTIF(Herramientas_de_izaje2468112155[Herramientas_de_izaje], B315) &gt; 0, Herramientas_de_izaje2468112155[[#Headers],[Herramientas_de_izaje]],
COUNTIF(Tabla162670114157[Equipos], B315) &gt; 0, Tabla162670114157[[#Headers],[Equipos]],
    TRUE, "Sin clasificación"
)</f>
        <v>Sin clasificación</v>
      </c>
      <c r="I315" s="15"/>
      <c r="J315" s="47"/>
      <c r="K315" s="76"/>
      <c r="L315" s="76"/>
      <c r="M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N315" s="77"/>
      <c r="O315" s="32"/>
      <c r="P315" s="32"/>
      <c r="Q315" s="32"/>
      <c r="R315" s="32"/>
    </row>
    <row r="316" spans="3:18" x14ac:dyDescent="0.3">
      <c r="C316" s="11"/>
      <c r="D316" s="32"/>
      <c r="E316" s="11" t="str" cm="1">
        <f t="array" ref="E316">_xlfn.IFS(
    COUNTIF(Herramientas_eléctricas1862106149[Herramientas_eléctricas], B316) &gt; 0, Herramientas_eléctricas1862106149[[#Headers],[Herramientas_eléctricas]],
    COUNTIF(Herramientas_neumáticas1963107150[Herramientas_neumáticas], B316) &gt; 0, Herramientas_neumáticas1963107150[[#Headers],[Herramientas_neumáticas]],
    COUNTIF(Herramientas_de_medición2064108151[Herramientas_de_medición], B316) &gt; 0, Herramientas_de_medición2064108151[[#Headers],[Herramientas_de_medición]],
    COUNTIF(Herrramientas_mecánicas2165109152[Herramientas_mecánicas], B316) &gt; 0, Herrramientas_mecánicas2165109152[[#Headers],[Herramientas_mecánicas]],
    COUNTIF(AH316:AH322, B316) &gt; 0, Herramientas_hidráulicas2266110153[[#Headers],[Herramientas_hidráulicas]],
    COUNTIF(EPP_2367111154[SPCC], B316) &gt; 0, EPP_2367111154[[#Headers],[SPCC]],
   COUNTIF(Herramientas_de_izaje2468112155[Herramientas_de_izaje], B316) &gt; 0, Herramientas_de_izaje2468112155[[#Headers],[Herramientas_de_izaje]],
COUNTIF(Tabla162670114157[Equipos], B316) &gt; 0, Tabla162670114157[[#Headers],[Equipos]],
    TRUE, "Sin clasificación"
)</f>
        <v>Sin clasificación</v>
      </c>
      <c r="I316" s="15"/>
      <c r="J316" s="47"/>
      <c r="K316" s="76"/>
      <c r="L316" s="76"/>
      <c r="M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N316" s="77"/>
      <c r="O316" s="32"/>
      <c r="P316" s="32"/>
      <c r="Q316" s="32"/>
      <c r="R316" s="32"/>
    </row>
    <row r="317" spans="3:18" x14ac:dyDescent="0.3">
      <c r="C317" s="11"/>
      <c r="D317" s="32"/>
      <c r="E317" s="11" t="str" cm="1">
        <f t="array" ref="E317">_xlfn.IFS(
    COUNTIF(Herramientas_eléctricas1862106149[Herramientas_eléctricas], B317) &gt; 0, Herramientas_eléctricas1862106149[[#Headers],[Herramientas_eléctricas]],
    COUNTIF(Herramientas_neumáticas1963107150[Herramientas_neumáticas], B317) &gt; 0, Herramientas_neumáticas1963107150[[#Headers],[Herramientas_neumáticas]],
    COUNTIF(Herramientas_de_medición2064108151[Herramientas_de_medición], B317) &gt; 0, Herramientas_de_medición2064108151[[#Headers],[Herramientas_de_medición]],
    COUNTIF(Herrramientas_mecánicas2165109152[Herramientas_mecánicas], B317) &gt; 0, Herrramientas_mecánicas2165109152[[#Headers],[Herramientas_mecánicas]],
    COUNTIF(AH317:AH323, B317) &gt; 0, Herramientas_hidráulicas2266110153[[#Headers],[Herramientas_hidráulicas]],
    COUNTIF(EPP_2367111154[SPCC], B317) &gt; 0, EPP_2367111154[[#Headers],[SPCC]],
   COUNTIF(Herramientas_de_izaje2468112155[Herramientas_de_izaje], B317) &gt; 0, Herramientas_de_izaje2468112155[[#Headers],[Herramientas_de_izaje]],
COUNTIF(Tabla162670114157[Equipos], B317) &gt; 0, Tabla162670114157[[#Headers],[Equipos]],
    TRUE, "Sin clasificación"
)</f>
        <v>Sin clasificación</v>
      </c>
      <c r="I317" s="15"/>
      <c r="J317" s="47"/>
      <c r="K317" s="76"/>
      <c r="L317" s="76"/>
      <c r="M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N317" s="77"/>
      <c r="O317" s="32"/>
      <c r="P317" s="32"/>
      <c r="Q317" s="32"/>
      <c r="R317" s="32"/>
    </row>
    <row r="318" spans="3:18" x14ac:dyDescent="0.3">
      <c r="C318" s="11"/>
      <c r="D318" s="32"/>
      <c r="E318" s="11" t="str" cm="1">
        <f t="array" ref="E318">_xlfn.IFS(
    COUNTIF(Herramientas_eléctricas1862106149[Herramientas_eléctricas], B318) &gt; 0, Herramientas_eléctricas1862106149[[#Headers],[Herramientas_eléctricas]],
    COUNTIF(Herramientas_neumáticas1963107150[Herramientas_neumáticas], B318) &gt; 0, Herramientas_neumáticas1963107150[[#Headers],[Herramientas_neumáticas]],
    COUNTIF(Herramientas_de_medición2064108151[Herramientas_de_medición], B318) &gt; 0, Herramientas_de_medición2064108151[[#Headers],[Herramientas_de_medición]],
    COUNTIF(Herrramientas_mecánicas2165109152[Herramientas_mecánicas], B318) &gt; 0, Herrramientas_mecánicas2165109152[[#Headers],[Herramientas_mecánicas]],
    COUNTIF(AH318:AH324, B318) &gt; 0, Herramientas_hidráulicas2266110153[[#Headers],[Herramientas_hidráulicas]],
    COUNTIF(EPP_2367111154[SPCC], B318) &gt; 0, EPP_2367111154[[#Headers],[SPCC]],
   COUNTIF(Herramientas_de_izaje2468112155[Herramientas_de_izaje], B318) &gt; 0, Herramientas_de_izaje2468112155[[#Headers],[Herramientas_de_izaje]],
COUNTIF(Tabla162670114157[Equipos], B318) &gt; 0, Tabla162670114157[[#Headers],[Equipos]],
    TRUE, "Sin clasificación"
)</f>
        <v>Sin clasificación</v>
      </c>
      <c r="I318" s="15"/>
      <c r="J318" s="47"/>
      <c r="K318" s="76"/>
      <c r="L318" s="76"/>
      <c r="M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N318" s="77"/>
      <c r="O318" s="32"/>
      <c r="P318" s="32"/>
      <c r="Q318" s="32"/>
      <c r="R318" s="32"/>
    </row>
    <row r="319" spans="3:18" x14ac:dyDescent="0.3">
      <c r="C319" s="11"/>
      <c r="D319" s="32"/>
      <c r="E319" s="11" t="str" cm="1">
        <f t="array" ref="E319">_xlfn.IFS(
    COUNTIF(Herramientas_eléctricas1862106149[Herramientas_eléctricas], B319) &gt; 0, Herramientas_eléctricas1862106149[[#Headers],[Herramientas_eléctricas]],
    COUNTIF(Herramientas_neumáticas1963107150[Herramientas_neumáticas], B319) &gt; 0, Herramientas_neumáticas1963107150[[#Headers],[Herramientas_neumáticas]],
    COUNTIF(Herramientas_de_medición2064108151[Herramientas_de_medición], B319) &gt; 0, Herramientas_de_medición2064108151[[#Headers],[Herramientas_de_medición]],
    COUNTIF(Herrramientas_mecánicas2165109152[Herramientas_mecánicas], B319) &gt; 0, Herrramientas_mecánicas2165109152[[#Headers],[Herramientas_mecánicas]],
    COUNTIF(AH319:AH325, B319) &gt; 0, Herramientas_hidráulicas2266110153[[#Headers],[Herramientas_hidráulicas]],
    COUNTIF(EPP_2367111154[SPCC], B319) &gt; 0, EPP_2367111154[[#Headers],[SPCC]],
   COUNTIF(Herramientas_de_izaje2468112155[Herramientas_de_izaje], B319) &gt; 0, Herramientas_de_izaje2468112155[[#Headers],[Herramientas_de_izaje]],
COUNTIF(Tabla162670114157[Equipos], B319) &gt; 0, Tabla162670114157[[#Headers],[Equipos]],
    TRUE, "Sin clasificación"
)</f>
        <v>Sin clasificación</v>
      </c>
      <c r="I319" s="15"/>
      <c r="J319" s="47"/>
      <c r="K319" s="76"/>
      <c r="L319" s="76"/>
      <c r="M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N319" s="77"/>
      <c r="O319" s="32"/>
      <c r="P319" s="32"/>
      <c r="Q319" s="32"/>
      <c r="R319" s="32"/>
    </row>
    <row r="320" spans="3:18" x14ac:dyDescent="0.3">
      <c r="C320" s="11"/>
      <c r="D320" s="32"/>
      <c r="E320" s="11" t="str" cm="1">
        <f t="array" ref="E320">_xlfn.IFS(
    COUNTIF(Herramientas_eléctricas1862106149[Herramientas_eléctricas], B320) &gt; 0, Herramientas_eléctricas1862106149[[#Headers],[Herramientas_eléctricas]],
    COUNTIF(Herramientas_neumáticas1963107150[Herramientas_neumáticas], B320) &gt; 0, Herramientas_neumáticas1963107150[[#Headers],[Herramientas_neumáticas]],
    COUNTIF(Herramientas_de_medición2064108151[Herramientas_de_medición], B320) &gt; 0, Herramientas_de_medición2064108151[[#Headers],[Herramientas_de_medición]],
    COUNTIF(Herrramientas_mecánicas2165109152[Herramientas_mecánicas], B320) &gt; 0, Herrramientas_mecánicas2165109152[[#Headers],[Herramientas_mecánicas]],
    COUNTIF(AH320:AH326, B320) &gt; 0, Herramientas_hidráulicas2266110153[[#Headers],[Herramientas_hidráulicas]],
    COUNTIF(EPP_2367111154[SPCC], B320) &gt; 0, EPP_2367111154[[#Headers],[SPCC]],
   COUNTIF(Herramientas_de_izaje2468112155[Herramientas_de_izaje], B320) &gt; 0, Herramientas_de_izaje2468112155[[#Headers],[Herramientas_de_izaje]],
COUNTIF(Tabla162670114157[Equipos], B320) &gt; 0, Tabla162670114157[[#Headers],[Equipos]],
    TRUE, "Sin clasificación"
)</f>
        <v>Sin clasificación</v>
      </c>
      <c r="I320" s="15"/>
      <c r="J320" s="47"/>
      <c r="K320" s="76"/>
      <c r="L320" s="76"/>
      <c r="M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N320" s="77"/>
      <c r="O320" s="32"/>
      <c r="P320" s="32"/>
      <c r="Q320" s="32"/>
      <c r="R320" s="32"/>
    </row>
    <row r="321" spans="3:18" x14ac:dyDescent="0.3">
      <c r="C321" s="11"/>
      <c r="D321" s="32"/>
      <c r="E321" s="11" t="str" cm="1">
        <f t="array" ref="E321">_xlfn.IFS(
    COUNTIF(Herramientas_eléctricas1862106149[Herramientas_eléctricas], B321) &gt; 0, Herramientas_eléctricas1862106149[[#Headers],[Herramientas_eléctricas]],
    COUNTIF(Herramientas_neumáticas1963107150[Herramientas_neumáticas], B321) &gt; 0, Herramientas_neumáticas1963107150[[#Headers],[Herramientas_neumáticas]],
    COUNTIF(Herramientas_de_medición2064108151[Herramientas_de_medición], B321) &gt; 0, Herramientas_de_medición2064108151[[#Headers],[Herramientas_de_medición]],
    COUNTIF(Herrramientas_mecánicas2165109152[Herramientas_mecánicas], B321) &gt; 0, Herrramientas_mecánicas2165109152[[#Headers],[Herramientas_mecánicas]],
    COUNTIF(AH321:AH327, B321) &gt; 0, Herramientas_hidráulicas2266110153[[#Headers],[Herramientas_hidráulicas]],
    COUNTIF(EPP_2367111154[SPCC], B321) &gt; 0, EPP_2367111154[[#Headers],[SPCC]],
   COUNTIF(Herramientas_de_izaje2468112155[Herramientas_de_izaje], B321) &gt; 0, Herramientas_de_izaje2468112155[[#Headers],[Herramientas_de_izaje]],
COUNTIF(Tabla162670114157[Equipos], B321) &gt; 0, Tabla162670114157[[#Headers],[Equipos]],
    TRUE, "Sin clasificación"
)</f>
        <v>Sin clasificación</v>
      </c>
      <c r="I321" s="15"/>
      <c r="J321" s="47"/>
      <c r="K321" s="76"/>
      <c r="L321" s="76"/>
      <c r="M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N321" s="77"/>
      <c r="O321" s="32"/>
      <c r="P321" s="32"/>
      <c r="Q321" s="32"/>
      <c r="R321" s="32"/>
    </row>
    <row r="322" spans="3:18" x14ac:dyDescent="0.3">
      <c r="C322" s="11"/>
      <c r="D322" s="32"/>
      <c r="E322" s="11" t="str" cm="1">
        <f t="array" ref="E322">_xlfn.IFS(
    COUNTIF(Herramientas_eléctricas1862106149[Herramientas_eléctricas], B322) &gt; 0, Herramientas_eléctricas1862106149[[#Headers],[Herramientas_eléctricas]],
    COUNTIF(Herramientas_neumáticas1963107150[Herramientas_neumáticas], B322) &gt; 0, Herramientas_neumáticas1963107150[[#Headers],[Herramientas_neumáticas]],
    COUNTIF(Herramientas_de_medición2064108151[Herramientas_de_medición], B322) &gt; 0, Herramientas_de_medición2064108151[[#Headers],[Herramientas_de_medición]],
    COUNTIF(Herrramientas_mecánicas2165109152[Herramientas_mecánicas], B322) &gt; 0, Herrramientas_mecánicas2165109152[[#Headers],[Herramientas_mecánicas]],
    COUNTIF(AH322:AH328, B322) &gt; 0, Herramientas_hidráulicas2266110153[[#Headers],[Herramientas_hidráulicas]],
    COUNTIF(EPP_2367111154[SPCC], B322) &gt; 0, EPP_2367111154[[#Headers],[SPCC]],
   COUNTIF(Herramientas_de_izaje2468112155[Herramientas_de_izaje], B322) &gt; 0, Herramientas_de_izaje2468112155[[#Headers],[Herramientas_de_izaje]],
COUNTIF(Tabla162670114157[Equipos], B322) &gt; 0, Tabla162670114157[[#Headers],[Equipos]],
    TRUE, "Sin clasificación"
)</f>
        <v>Sin clasificación</v>
      </c>
      <c r="I322" s="15"/>
      <c r="J322" s="47"/>
      <c r="K322" s="76"/>
      <c r="L322" s="76"/>
      <c r="M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N322" s="77"/>
      <c r="O322" s="32"/>
      <c r="P322" s="32"/>
      <c r="Q322" s="32"/>
      <c r="R322" s="32"/>
    </row>
    <row r="323" spans="3:18" x14ac:dyDescent="0.3">
      <c r="C323" s="11"/>
      <c r="D323" s="32"/>
      <c r="E323" s="11" t="str" cm="1">
        <f t="array" ref="E323">_xlfn.IFS(
    COUNTIF(Herramientas_eléctricas1862106149[Herramientas_eléctricas], B323) &gt; 0, Herramientas_eléctricas1862106149[[#Headers],[Herramientas_eléctricas]],
    COUNTIF(Herramientas_neumáticas1963107150[Herramientas_neumáticas], B323) &gt; 0, Herramientas_neumáticas1963107150[[#Headers],[Herramientas_neumáticas]],
    COUNTIF(Herramientas_de_medición2064108151[Herramientas_de_medición], B323) &gt; 0, Herramientas_de_medición2064108151[[#Headers],[Herramientas_de_medición]],
    COUNTIF(Herrramientas_mecánicas2165109152[Herramientas_mecánicas], B323) &gt; 0, Herrramientas_mecánicas2165109152[[#Headers],[Herramientas_mecánicas]],
    COUNTIF(AH323:AH329, B323) &gt; 0, Herramientas_hidráulicas2266110153[[#Headers],[Herramientas_hidráulicas]],
    COUNTIF(EPP_2367111154[SPCC], B323) &gt; 0, EPP_2367111154[[#Headers],[SPCC]],
   COUNTIF(Herramientas_de_izaje2468112155[Herramientas_de_izaje], B323) &gt; 0, Herramientas_de_izaje2468112155[[#Headers],[Herramientas_de_izaje]],
COUNTIF(Tabla162670114157[Equipos], B323) &gt; 0, Tabla162670114157[[#Headers],[Equipos]],
    TRUE, "Sin clasificación"
)</f>
        <v>Sin clasificación</v>
      </c>
      <c r="I323" s="15"/>
      <c r="J323" s="47"/>
      <c r="K323" s="76"/>
      <c r="L323" s="76"/>
      <c r="M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N323" s="77"/>
      <c r="O323" s="32"/>
      <c r="P323" s="32"/>
      <c r="Q323" s="32"/>
      <c r="R323" s="32"/>
    </row>
    <row r="324" spans="3:18" x14ac:dyDescent="0.3">
      <c r="C324" s="11"/>
      <c r="D324" s="32"/>
      <c r="E324" s="11" t="str" cm="1">
        <f t="array" ref="E324">_xlfn.IFS(
    COUNTIF(Herramientas_eléctricas1862106149[Herramientas_eléctricas], B324) &gt; 0, Herramientas_eléctricas1862106149[[#Headers],[Herramientas_eléctricas]],
    COUNTIF(Herramientas_neumáticas1963107150[Herramientas_neumáticas], B324) &gt; 0, Herramientas_neumáticas1963107150[[#Headers],[Herramientas_neumáticas]],
    COUNTIF(Herramientas_de_medición2064108151[Herramientas_de_medición], B324) &gt; 0, Herramientas_de_medición2064108151[[#Headers],[Herramientas_de_medición]],
    COUNTIF(Herrramientas_mecánicas2165109152[Herramientas_mecánicas], B324) &gt; 0, Herrramientas_mecánicas2165109152[[#Headers],[Herramientas_mecánicas]],
    COUNTIF(AH324:AH330, B324) &gt; 0, Herramientas_hidráulicas2266110153[[#Headers],[Herramientas_hidráulicas]],
    COUNTIF(EPP_2367111154[SPCC], B324) &gt; 0, EPP_2367111154[[#Headers],[SPCC]],
   COUNTIF(Herramientas_de_izaje2468112155[Herramientas_de_izaje], B324) &gt; 0, Herramientas_de_izaje2468112155[[#Headers],[Herramientas_de_izaje]],
COUNTIF(Tabla162670114157[Equipos], B324) &gt; 0, Tabla162670114157[[#Headers],[Equipos]],
    TRUE, "Sin clasificación"
)</f>
        <v>Sin clasificación</v>
      </c>
      <c r="I324" s="15"/>
      <c r="J324" s="47"/>
      <c r="K324" s="76"/>
      <c r="L324" s="76"/>
      <c r="M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N324" s="77"/>
      <c r="O324" s="32"/>
      <c r="P324" s="32"/>
      <c r="Q324" s="32"/>
      <c r="R324" s="32"/>
    </row>
    <row r="325" spans="3:18" x14ac:dyDescent="0.3">
      <c r="C325" s="11"/>
      <c r="D325" s="32"/>
      <c r="E325" s="11" t="str" cm="1">
        <f t="array" ref="E325">_xlfn.IFS(
    COUNTIF(Herramientas_eléctricas1862106149[Herramientas_eléctricas], B325) &gt; 0, Herramientas_eléctricas1862106149[[#Headers],[Herramientas_eléctricas]],
    COUNTIF(Herramientas_neumáticas1963107150[Herramientas_neumáticas], B325) &gt; 0, Herramientas_neumáticas1963107150[[#Headers],[Herramientas_neumáticas]],
    COUNTIF(Herramientas_de_medición2064108151[Herramientas_de_medición], B325) &gt; 0, Herramientas_de_medición2064108151[[#Headers],[Herramientas_de_medición]],
    COUNTIF(Herrramientas_mecánicas2165109152[Herramientas_mecánicas], B325) &gt; 0, Herrramientas_mecánicas2165109152[[#Headers],[Herramientas_mecánicas]],
    COUNTIF(AH325:AH331, B325) &gt; 0, Herramientas_hidráulicas2266110153[[#Headers],[Herramientas_hidráulicas]],
    COUNTIF(EPP_2367111154[SPCC], B325) &gt; 0, EPP_2367111154[[#Headers],[SPCC]],
   COUNTIF(Herramientas_de_izaje2468112155[Herramientas_de_izaje], B325) &gt; 0, Herramientas_de_izaje2468112155[[#Headers],[Herramientas_de_izaje]],
COUNTIF(Tabla162670114157[Equipos], B325) &gt; 0, Tabla162670114157[[#Headers],[Equipos]],
    TRUE, "Sin clasificación"
)</f>
        <v>Sin clasificación</v>
      </c>
      <c r="I325" s="15"/>
      <c r="J325" s="47"/>
      <c r="K325" s="76"/>
      <c r="L325" s="76"/>
      <c r="M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N325" s="77"/>
      <c r="O325" s="32"/>
      <c r="P325" s="32"/>
      <c r="Q325" s="32"/>
      <c r="R325" s="32"/>
    </row>
    <row r="326" spans="3:18" x14ac:dyDescent="0.3">
      <c r="C326" s="11"/>
      <c r="D326" s="32"/>
      <c r="E326" s="11" t="str" cm="1">
        <f t="array" ref="E326">_xlfn.IFS(
    COUNTIF(Herramientas_eléctricas1862106149[Herramientas_eléctricas], B326) &gt; 0, Herramientas_eléctricas1862106149[[#Headers],[Herramientas_eléctricas]],
    COUNTIF(Herramientas_neumáticas1963107150[Herramientas_neumáticas], B326) &gt; 0, Herramientas_neumáticas1963107150[[#Headers],[Herramientas_neumáticas]],
    COUNTIF(Herramientas_de_medición2064108151[Herramientas_de_medición], B326) &gt; 0, Herramientas_de_medición2064108151[[#Headers],[Herramientas_de_medición]],
    COUNTIF(Herrramientas_mecánicas2165109152[Herramientas_mecánicas], B326) &gt; 0, Herrramientas_mecánicas2165109152[[#Headers],[Herramientas_mecánicas]],
    COUNTIF(AH326:AH332, B326) &gt; 0, Herramientas_hidráulicas2266110153[[#Headers],[Herramientas_hidráulicas]],
    COUNTIF(EPP_2367111154[SPCC], B326) &gt; 0, EPP_2367111154[[#Headers],[SPCC]],
   COUNTIF(Herramientas_de_izaje2468112155[Herramientas_de_izaje], B326) &gt; 0, Herramientas_de_izaje2468112155[[#Headers],[Herramientas_de_izaje]],
COUNTIF(Tabla162670114157[Equipos], B326) &gt; 0, Tabla162670114157[[#Headers],[Equipos]],
    TRUE, "Sin clasificación"
)</f>
        <v>Sin clasificación</v>
      </c>
      <c r="I326" s="15"/>
      <c r="J326" s="47"/>
      <c r="K326" s="76"/>
      <c r="L326" s="76"/>
      <c r="M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N326" s="77"/>
      <c r="O326" s="32"/>
      <c r="P326" s="32"/>
      <c r="Q326" s="32"/>
      <c r="R326" s="32"/>
    </row>
    <row r="327" spans="3:18" x14ac:dyDescent="0.3">
      <c r="C327" s="11"/>
      <c r="D327" s="32"/>
      <c r="E327" s="11" t="str" cm="1">
        <f t="array" ref="E327">_xlfn.IFS(
    COUNTIF(Herramientas_eléctricas1862106149[Herramientas_eléctricas], B327) &gt; 0, Herramientas_eléctricas1862106149[[#Headers],[Herramientas_eléctricas]],
    COUNTIF(Herramientas_neumáticas1963107150[Herramientas_neumáticas], B327) &gt; 0, Herramientas_neumáticas1963107150[[#Headers],[Herramientas_neumáticas]],
    COUNTIF(Herramientas_de_medición2064108151[Herramientas_de_medición], B327) &gt; 0, Herramientas_de_medición2064108151[[#Headers],[Herramientas_de_medición]],
    COUNTIF(Herrramientas_mecánicas2165109152[Herramientas_mecánicas], B327) &gt; 0, Herrramientas_mecánicas2165109152[[#Headers],[Herramientas_mecánicas]],
    COUNTIF(AH327:AH333, B327) &gt; 0, Herramientas_hidráulicas2266110153[[#Headers],[Herramientas_hidráulicas]],
    COUNTIF(EPP_2367111154[SPCC], B327) &gt; 0, EPP_2367111154[[#Headers],[SPCC]],
   COUNTIF(Herramientas_de_izaje2468112155[Herramientas_de_izaje], B327) &gt; 0, Herramientas_de_izaje2468112155[[#Headers],[Herramientas_de_izaje]],
COUNTIF(Tabla162670114157[Equipos], B327) &gt; 0, Tabla162670114157[[#Headers],[Equipos]],
    TRUE, "Sin clasificación"
)</f>
        <v>Sin clasificación</v>
      </c>
      <c r="I327" s="15"/>
      <c r="J327" s="47"/>
      <c r="K327" s="76"/>
      <c r="L327" s="76"/>
      <c r="M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N327" s="77"/>
      <c r="O327" s="32"/>
      <c r="P327" s="32"/>
      <c r="Q327" s="32"/>
      <c r="R327" s="32"/>
    </row>
    <row r="328" spans="3:18" x14ac:dyDescent="0.3">
      <c r="C328" s="11"/>
      <c r="D328" s="32"/>
      <c r="E328" s="11" t="str" cm="1">
        <f t="array" ref="E328">_xlfn.IFS(
    COUNTIF(Herramientas_eléctricas1862106149[Herramientas_eléctricas], B328) &gt; 0, Herramientas_eléctricas1862106149[[#Headers],[Herramientas_eléctricas]],
    COUNTIF(Herramientas_neumáticas1963107150[Herramientas_neumáticas], B328) &gt; 0, Herramientas_neumáticas1963107150[[#Headers],[Herramientas_neumáticas]],
    COUNTIF(Herramientas_de_medición2064108151[Herramientas_de_medición], B328) &gt; 0, Herramientas_de_medición2064108151[[#Headers],[Herramientas_de_medición]],
    COUNTIF(Herrramientas_mecánicas2165109152[Herramientas_mecánicas], B328) &gt; 0, Herrramientas_mecánicas2165109152[[#Headers],[Herramientas_mecánicas]],
    COUNTIF(AH328:AH334, B328) &gt; 0, Herramientas_hidráulicas2266110153[[#Headers],[Herramientas_hidráulicas]],
    COUNTIF(EPP_2367111154[SPCC], B328) &gt; 0, EPP_2367111154[[#Headers],[SPCC]],
   COUNTIF(Herramientas_de_izaje2468112155[Herramientas_de_izaje], B328) &gt; 0, Herramientas_de_izaje2468112155[[#Headers],[Herramientas_de_izaje]],
COUNTIF(Tabla162670114157[Equipos], B328) &gt; 0, Tabla162670114157[[#Headers],[Equipos]],
    TRUE, "Sin clasificación"
)</f>
        <v>Sin clasificación</v>
      </c>
      <c r="I328" s="15"/>
      <c r="J328" s="47"/>
      <c r="K328" s="76"/>
      <c r="L328" s="76"/>
      <c r="M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N328" s="77"/>
      <c r="O328" s="32"/>
      <c r="P328" s="32"/>
      <c r="Q328" s="32"/>
      <c r="R328" s="32"/>
    </row>
    <row r="329" spans="3:18" x14ac:dyDescent="0.3">
      <c r="C329" s="11"/>
      <c r="D329" s="32"/>
      <c r="E329" s="11" t="str" cm="1">
        <f t="array" ref="E329">_xlfn.IFS(
    COUNTIF(Herramientas_eléctricas1862106149[Herramientas_eléctricas], B329) &gt; 0, Herramientas_eléctricas1862106149[[#Headers],[Herramientas_eléctricas]],
    COUNTIF(Herramientas_neumáticas1963107150[Herramientas_neumáticas], B329) &gt; 0, Herramientas_neumáticas1963107150[[#Headers],[Herramientas_neumáticas]],
    COUNTIF(Herramientas_de_medición2064108151[Herramientas_de_medición], B329) &gt; 0, Herramientas_de_medición2064108151[[#Headers],[Herramientas_de_medición]],
    COUNTIF(Herrramientas_mecánicas2165109152[Herramientas_mecánicas], B329) &gt; 0, Herrramientas_mecánicas2165109152[[#Headers],[Herramientas_mecánicas]],
    COUNTIF(AH329:AH335, B329) &gt; 0, Herramientas_hidráulicas2266110153[[#Headers],[Herramientas_hidráulicas]],
    COUNTIF(EPP_2367111154[SPCC], B329) &gt; 0, EPP_2367111154[[#Headers],[SPCC]],
   COUNTIF(Herramientas_de_izaje2468112155[Herramientas_de_izaje], B329) &gt; 0, Herramientas_de_izaje2468112155[[#Headers],[Herramientas_de_izaje]],
COUNTIF(Tabla162670114157[Equipos], B329) &gt; 0, Tabla162670114157[[#Headers],[Equipos]],
    TRUE, "Sin clasificación"
)</f>
        <v>Sin clasificación</v>
      </c>
      <c r="I329" s="15"/>
      <c r="J329" s="47"/>
      <c r="K329" s="76"/>
      <c r="L329" s="76"/>
      <c r="M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N329" s="77"/>
      <c r="O329" s="32"/>
      <c r="P329" s="32"/>
      <c r="Q329" s="32"/>
      <c r="R329" s="32"/>
    </row>
    <row r="330" spans="3:18" x14ac:dyDescent="0.3">
      <c r="C330" s="11"/>
      <c r="D330" s="32"/>
      <c r="E330" s="11" t="str" cm="1">
        <f t="array" ref="E330">_xlfn.IFS(
    COUNTIF(Herramientas_eléctricas1862106149[Herramientas_eléctricas], B330) &gt; 0, Herramientas_eléctricas1862106149[[#Headers],[Herramientas_eléctricas]],
    COUNTIF(Herramientas_neumáticas1963107150[Herramientas_neumáticas], B330) &gt; 0, Herramientas_neumáticas1963107150[[#Headers],[Herramientas_neumáticas]],
    COUNTIF(Herramientas_de_medición2064108151[Herramientas_de_medición], B330) &gt; 0, Herramientas_de_medición2064108151[[#Headers],[Herramientas_de_medición]],
    COUNTIF(Herrramientas_mecánicas2165109152[Herramientas_mecánicas], B330) &gt; 0, Herrramientas_mecánicas2165109152[[#Headers],[Herramientas_mecánicas]],
    COUNTIF(AH330:AH336, B330) &gt; 0, Herramientas_hidráulicas2266110153[[#Headers],[Herramientas_hidráulicas]],
    COUNTIF(EPP_2367111154[SPCC], B330) &gt; 0, EPP_2367111154[[#Headers],[SPCC]],
   COUNTIF(Herramientas_de_izaje2468112155[Herramientas_de_izaje], B330) &gt; 0, Herramientas_de_izaje2468112155[[#Headers],[Herramientas_de_izaje]],
COUNTIF(Tabla162670114157[Equipos], B330) &gt; 0, Tabla162670114157[[#Headers],[Equipos]],
    TRUE, "Sin clasificación"
)</f>
        <v>Sin clasificación</v>
      </c>
      <c r="I330" s="15"/>
      <c r="J330" s="47"/>
      <c r="K330" s="76"/>
      <c r="L330" s="76"/>
      <c r="M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N330" s="77"/>
      <c r="O330" s="32"/>
      <c r="P330" s="32"/>
      <c r="Q330" s="32"/>
      <c r="R330" s="32"/>
    </row>
    <row r="331" spans="3:18" x14ac:dyDescent="0.3">
      <c r="C331" s="11"/>
      <c r="D331" s="32"/>
      <c r="E331" s="11" t="str" cm="1">
        <f t="array" ref="E331">_xlfn.IFS(
    COUNTIF(Herramientas_eléctricas1862106149[Herramientas_eléctricas], B331) &gt; 0, Herramientas_eléctricas1862106149[[#Headers],[Herramientas_eléctricas]],
    COUNTIF(Herramientas_neumáticas1963107150[Herramientas_neumáticas], B331) &gt; 0, Herramientas_neumáticas1963107150[[#Headers],[Herramientas_neumáticas]],
    COUNTIF(Herramientas_de_medición2064108151[Herramientas_de_medición], B331) &gt; 0, Herramientas_de_medición2064108151[[#Headers],[Herramientas_de_medición]],
    COUNTIF(Herrramientas_mecánicas2165109152[Herramientas_mecánicas], B331) &gt; 0, Herrramientas_mecánicas2165109152[[#Headers],[Herramientas_mecánicas]],
    COUNTIF(AH331:AH337, B331) &gt; 0, Herramientas_hidráulicas2266110153[[#Headers],[Herramientas_hidráulicas]],
    COUNTIF(EPP_2367111154[SPCC], B331) &gt; 0, EPP_2367111154[[#Headers],[SPCC]],
   COUNTIF(Herramientas_de_izaje2468112155[Herramientas_de_izaje], B331) &gt; 0, Herramientas_de_izaje2468112155[[#Headers],[Herramientas_de_izaje]],
COUNTIF(Tabla162670114157[Equipos], B331) &gt; 0, Tabla162670114157[[#Headers],[Equipos]],
    TRUE, "Sin clasificación"
)</f>
        <v>Sin clasificación</v>
      </c>
      <c r="I331" s="15"/>
      <c r="J331" s="47"/>
      <c r="K331" s="76"/>
      <c r="L331" s="76"/>
      <c r="M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N331" s="77"/>
      <c r="O331" s="32"/>
      <c r="P331" s="32"/>
      <c r="Q331" s="32"/>
      <c r="R331" s="32"/>
    </row>
    <row r="332" spans="3:18" x14ac:dyDescent="0.3">
      <c r="C332" s="11"/>
      <c r="D332" s="32"/>
      <c r="E332" s="11" t="str" cm="1">
        <f t="array" ref="E332">_xlfn.IFS(
    COUNTIF(Herramientas_eléctricas1862106149[Herramientas_eléctricas], B332) &gt; 0, Herramientas_eléctricas1862106149[[#Headers],[Herramientas_eléctricas]],
    COUNTIF(Herramientas_neumáticas1963107150[Herramientas_neumáticas], B332) &gt; 0, Herramientas_neumáticas1963107150[[#Headers],[Herramientas_neumáticas]],
    COUNTIF(Herramientas_de_medición2064108151[Herramientas_de_medición], B332) &gt; 0, Herramientas_de_medición2064108151[[#Headers],[Herramientas_de_medición]],
    COUNTIF(Herrramientas_mecánicas2165109152[Herramientas_mecánicas], B332) &gt; 0, Herrramientas_mecánicas2165109152[[#Headers],[Herramientas_mecánicas]],
    COUNTIF(AH332:AH338, B332) &gt; 0, Herramientas_hidráulicas2266110153[[#Headers],[Herramientas_hidráulicas]],
    COUNTIF(EPP_2367111154[SPCC], B332) &gt; 0, EPP_2367111154[[#Headers],[SPCC]],
   COUNTIF(Herramientas_de_izaje2468112155[Herramientas_de_izaje], B332) &gt; 0, Herramientas_de_izaje2468112155[[#Headers],[Herramientas_de_izaje]],
COUNTIF(Tabla162670114157[Equipos], B332) &gt; 0, Tabla162670114157[[#Headers],[Equipos]],
    TRUE, "Sin clasificación"
)</f>
        <v>Sin clasificación</v>
      </c>
      <c r="I332" s="15"/>
      <c r="J332" s="47"/>
      <c r="K332" s="76"/>
      <c r="L332" s="76"/>
      <c r="M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N332" s="77"/>
      <c r="O332" s="32"/>
      <c r="P332" s="32"/>
      <c r="Q332" s="32"/>
      <c r="R332" s="32"/>
    </row>
    <row r="333" spans="3:18" x14ac:dyDescent="0.3">
      <c r="C333" s="11"/>
      <c r="D333" s="32"/>
      <c r="E333" s="11" t="str" cm="1">
        <f t="array" ref="E333">_xlfn.IFS(
    COUNTIF(Herramientas_eléctricas1862106149[Herramientas_eléctricas], B333) &gt; 0, Herramientas_eléctricas1862106149[[#Headers],[Herramientas_eléctricas]],
    COUNTIF(Herramientas_neumáticas1963107150[Herramientas_neumáticas], B333) &gt; 0, Herramientas_neumáticas1963107150[[#Headers],[Herramientas_neumáticas]],
    COUNTIF(Herramientas_de_medición2064108151[Herramientas_de_medición], B333) &gt; 0, Herramientas_de_medición2064108151[[#Headers],[Herramientas_de_medición]],
    COUNTIF(Herrramientas_mecánicas2165109152[Herramientas_mecánicas], B333) &gt; 0, Herrramientas_mecánicas2165109152[[#Headers],[Herramientas_mecánicas]],
    COUNTIF(AH333:AH339, B333) &gt; 0, Herramientas_hidráulicas2266110153[[#Headers],[Herramientas_hidráulicas]],
    COUNTIF(EPP_2367111154[SPCC], B333) &gt; 0, EPP_2367111154[[#Headers],[SPCC]],
   COUNTIF(Herramientas_de_izaje2468112155[Herramientas_de_izaje], B333) &gt; 0, Herramientas_de_izaje2468112155[[#Headers],[Herramientas_de_izaje]],
COUNTIF(Tabla162670114157[Equipos], B333) &gt; 0, Tabla162670114157[[#Headers],[Equipos]],
    TRUE, "Sin clasificación"
)</f>
        <v>Sin clasificación</v>
      </c>
      <c r="I333" s="15"/>
      <c r="J333" s="47"/>
      <c r="K333" s="76"/>
      <c r="L333" s="76"/>
      <c r="M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N333" s="77"/>
      <c r="O333" s="32"/>
      <c r="P333" s="32"/>
      <c r="Q333" s="32"/>
      <c r="R333" s="32"/>
    </row>
    <row r="334" spans="3:18" x14ac:dyDescent="0.3">
      <c r="C334" s="11"/>
      <c r="D334" s="32"/>
      <c r="E334" s="11" t="str" cm="1">
        <f t="array" ref="E334">_xlfn.IFS(
    COUNTIF(Herramientas_eléctricas1862106149[Herramientas_eléctricas], B334) &gt; 0, Herramientas_eléctricas1862106149[[#Headers],[Herramientas_eléctricas]],
    COUNTIF(Herramientas_neumáticas1963107150[Herramientas_neumáticas], B334) &gt; 0, Herramientas_neumáticas1963107150[[#Headers],[Herramientas_neumáticas]],
    COUNTIF(Herramientas_de_medición2064108151[Herramientas_de_medición], B334) &gt; 0, Herramientas_de_medición2064108151[[#Headers],[Herramientas_de_medición]],
    COUNTIF(Herrramientas_mecánicas2165109152[Herramientas_mecánicas], B334) &gt; 0, Herrramientas_mecánicas2165109152[[#Headers],[Herramientas_mecánicas]],
    COUNTIF(AH334:AH340, B334) &gt; 0, Herramientas_hidráulicas2266110153[[#Headers],[Herramientas_hidráulicas]],
    COUNTIF(EPP_2367111154[SPCC], B334) &gt; 0, EPP_2367111154[[#Headers],[SPCC]],
   COUNTIF(Herramientas_de_izaje2468112155[Herramientas_de_izaje], B334) &gt; 0, Herramientas_de_izaje2468112155[[#Headers],[Herramientas_de_izaje]],
COUNTIF(Tabla162670114157[Equipos], B334) &gt; 0, Tabla162670114157[[#Headers],[Equipos]],
    TRUE, "Sin clasificación"
)</f>
        <v>Sin clasificación</v>
      </c>
      <c r="I334" s="15"/>
      <c r="J334" s="47"/>
      <c r="K334" s="76"/>
      <c r="L334" s="76"/>
      <c r="M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N334" s="77"/>
      <c r="O334" s="32"/>
      <c r="P334" s="32"/>
      <c r="Q334" s="32"/>
      <c r="R334" s="32"/>
    </row>
    <row r="335" spans="3:18" x14ac:dyDescent="0.3">
      <c r="C335" s="11"/>
      <c r="D335" s="32"/>
      <c r="E335" s="11" t="str" cm="1">
        <f t="array" ref="E335">_xlfn.IFS(
    COUNTIF(Herramientas_eléctricas1862106149[Herramientas_eléctricas], B335) &gt; 0, Herramientas_eléctricas1862106149[[#Headers],[Herramientas_eléctricas]],
    COUNTIF(Herramientas_neumáticas1963107150[Herramientas_neumáticas], B335) &gt; 0, Herramientas_neumáticas1963107150[[#Headers],[Herramientas_neumáticas]],
    COUNTIF(Herramientas_de_medición2064108151[Herramientas_de_medición], B335) &gt; 0, Herramientas_de_medición2064108151[[#Headers],[Herramientas_de_medición]],
    COUNTIF(Herrramientas_mecánicas2165109152[Herramientas_mecánicas], B335) &gt; 0, Herrramientas_mecánicas2165109152[[#Headers],[Herramientas_mecánicas]],
    COUNTIF(AH335:AH341, B335) &gt; 0, Herramientas_hidráulicas2266110153[[#Headers],[Herramientas_hidráulicas]],
    COUNTIF(EPP_2367111154[SPCC], B335) &gt; 0, EPP_2367111154[[#Headers],[SPCC]],
   COUNTIF(Herramientas_de_izaje2468112155[Herramientas_de_izaje], B335) &gt; 0, Herramientas_de_izaje2468112155[[#Headers],[Herramientas_de_izaje]],
COUNTIF(Tabla162670114157[Equipos], B335) &gt; 0, Tabla162670114157[[#Headers],[Equipos]],
    TRUE, "Sin clasificación"
)</f>
        <v>Sin clasificación</v>
      </c>
      <c r="I335" s="15"/>
      <c r="J335" s="47"/>
      <c r="K335" s="76"/>
      <c r="L335" s="76"/>
      <c r="M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N335" s="77"/>
      <c r="O335" s="32"/>
      <c r="P335" s="32"/>
      <c r="Q335" s="32"/>
      <c r="R335" s="32"/>
    </row>
    <row r="336" spans="3:18" x14ac:dyDescent="0.3">
      <c r="C336" s="11"/>
      <c r="D336" s="32"/>
      <c r="E336" s="11" t="str" cm="1">
        <f t="array" ref="E336">_xlfn.IFS(
    COUNTIF(Herramientas_eléctricas1862106149[Herramientas_eléctricas], B336) &gt; 0, Herramientas_eléctricas1862106149[[#Headers],[Herramientas_eléctricas]],
    COUNTIF(Herramientas_neumáticas1963107150[Herramientas_neumáticas], B336) &gt; 0, Herramientas_neumáticas1963107150[[#Headers],[Herramientas_neumáticas]],
    COUNTIF(Herramientas_de_medición2064108151[Herramientas_de_medición], B336) &gt; 0, Herramientas_de_medición2064108151[[#Headers],[Herramientas_de_medición]],
    COUNTIF(Herrramientas_mecánicas2165109152[Herramientas_mecánicas], B336) &gt; 0, Herrramientas_mecánicas2165109152[[#Headers],[Herramientas_mecánicas]],
    COUNTIF(AH336:AH342, B336) &gt; 0, Herramientas_hidráulicas2266110153[[#Headers],[Herramientas_hidráulicas]],
    COUNTIF(EPP_2367111154[SPCC], B336) &gt; 0, EPP_2367111154[[#Headers],[SPCC]],
   COUNTIF(Herramientas_de_izaje2468112155[Herramientas_de_izaje], B336) &gt; 0, Herramientas_de_izaje2468112155[[#Headers],[Herramientas_de_izaje]],
COUNTIF(Tabla162670114157[Equipos], B336) &gt; 0, Tabla162670114157[[#Headers],[Equipos]],
    TRUE, "Sin clasificación"
)</f>
        <v>Sin clasificación</v>
      </c>
      <c r="I336" s="15"/>
      <c r="J336" s="47"/>
      <c r="K336" s="76"/>
      <c r="L336" s="76"/>
      <c r="M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N336" s="77"/>
      <c r="O336" s="32"/>
      <c r="P336" s="32"/>
      <c r="Q336" s="32"/>
      <c r="R336" s="32"/>
    </row>
    <row r="337" spans="3:18" x14ac:dyDescent="0.3">
      <c r="C337" s="11"/>
      <c r="D337" s="32"/>
      <c r="E337" s="11" t="str" cm="1">
        <f t="array" ref="E337">_xlfn.IFS(
    COUNTIF(Herramientas_eléctricas1862106149[Herramientas_eléctricas], B337) &gt; 0, Herramientas_eléctricas1862106149[[#Headers],[Herramientas_eléctricas]],
    COUNTIF(Herramientas_neumáticas1963107150[Herramientas_neumáticas], B337) &gt; 0, Herramientas_neumáticas1963107150[[#Headers],[Herramientas_neumáticas]],
    COUNTIF(Herramientas_de_medición2064108151[Herramientas_de_medición], B337) &gt; 0, Herramientas_de_medición2064108151[[#Headers],[Herramientas_de_medición]],
    COUNTIF(Herrramientas_mecánicas2165109152[Herramientas_mecánicas], B337) &gt; 0, Herrramientas_mecánicas2165109152[[#Headers],[Herramientas_mecánicas]],
    COUNTIF(AH337:AH343, B337) &gt; 0, Herramientas_hidráulicas2266110153[[#Headers],[Herramientas_hidráulicas]],
    COUNTIF(EPP_2367111154[SPCC], B337) &gt; 0, EPP_2367111154[[#Headers],[SPCC]],
   COUNTIF(Herramientas_de_izaje2468112155[Herramientas_de_izaje], B337) &gt; 0, Herramientas_de_izaje2468112155[[#Headers],[Herramientas_de_izaje]],
COUNTIF(Tabla162670114157[Equipos], B337) &gt; 0, Tabla162670114157[[#Headers],[Equipos]],
    TRUE, "Sin clasificación"
)</f>
        <v>Sin clasificación</v>
      </c>
      <c r="I337" s="15"/>
      <c r="J337" s="47"/>
      <c r="K337" s="76"/>
      <c r="L337" s="76"/>
      <c r="M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N337" s="77"/>
      <c r="O337" s="32"/>
      <c r="P337" s="32"/>
      <c r="Q337" s="32"/>
      <c r="R337" s="32"/>
    </row>
    <row r="338" spans="3:18" x14ac:dyDescent="0.3">
      <c r="C338" s="11"/>
      <c r="D338" s="32"/>
      <c r="E338" s="11" t="str" cm="1">
        <f t="array" ref="E338">_xlfn.IFS(
    COUNTIF(Herramientas_eléctricas1862106149[Herramientas_eléctricas], B338) &gt; 0, Herramientas_eléctricas1862106149[[#Headers],[Herramientas_eléctricas]],
    COUNTIF(Herramientas_neumáticas1963107150[Herramientas_neumáticas], B338) &gt; 0, Herramientas_neumáticas1963107150[[#Headers],[Herramientas_neumáticas]],
    COUNTIF(Herramientas_de_medición2064108151[Herramientas_de_medición], B338) &gt; 0, Herramientas_de_medición2064108151[[#Headers],[Herramientas_de_medición]],
    COUNTIF(Herrramientas_mecánicas2165109152[Herramientas_mecánicas], B338) &gt; 0, Herrramientas_mecánicas2165109152[[#Headers],[Herramientas_mecánicas]],
    COUNTIF(AH338:AH344, B338) &gt; 0, Herramientas_hidráulicas2266110153[[#Headers],[Herramientas_hidráulicas]],
    COUNTIF(EPP_2367111154[SPCC], B338) &gt; 0, EPP_2367111154[[#Headers],[SPCC]],
   COUNTIF(Herramientas_de_izaje2468112155[Herramientas_de_izaje], B338) &gt; 0, Herramientas_de_izaje2468112155[[#Headers],[Herramientas_de_izaje]],
COUNTIF(Tabla162670114157[Equipos], B338) &gt; 0, Tabla162670114157[[#Headers],[Equipos]],
    TRUE, "Sin clasificación"
)</f>
        <v>Sin clasificación</v>
      </c>
      <c r="I338" s="15"/>
      <c r="J338" s="47"/>
      <c r="K338" s="76"/>
      <c r="L338" s="76"/>
      <c r="M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N338" s="77"/>
      <c r="O338" s="32"/>
      <c r="P338" s="32"/>
      <c r="Q338" s="32"/>
      <c r="R338" s="32"/>
    </row>
    <row r="339" spans="3:18" x14ac:dyDescent="0.3">
      <c r="C339" s="11"/>
      <c r="D339" s="32"/>
      <c r="E339" s="11" t="str" cm="1">
        <f t="array" ref="E339">_xlfn.IFS(
    COUNTIF(Herramientas_eléctricas1862106149[Herramientas_eléctricas], B339) &gt; 0, Herramientas_eléctricas1862106149[[#Headers],[Herramientas_eléctricas]],
    COUNTIF(Herramientas_neumáticas1963107150[Herramientas_neumáticas], B339) &gt; 0, Herramientas_neumáticas1963107150[[#Headers],[Herramientas_neumáticas]],
    COUNTIF(Herramientas_de_medición2064108151[Herramientas_de_medición], B339) &gt; 0, Herramientas_de_medición2064108151[[#Headers],[Herramientas_de_medición]],
    COUNTIF(Herrramientas_mecánicas2165109152[Herramientas_mecánicas], B339) &gt; 0, Herrramientas_mecánicas2165109152[[#Headers],[Herramientas_mecánicas]],
    COUNTIF(AH339:AH345, B339) &gt; 0, Herramientas_hidráulicas2266110153[[#Headers],[Herramientas_hidráulicas]],
    COUNTIF(EPP_2367111154[SPCC], B339) &gt; 0, EPP_2367111154[[#Headers],[SPCC]],
   COUNTIF(Herramientas_de_izaje2468112155[Herramientas_de_izaje], B339) &gt; 0, Herramientas_de_izaje2468112155[[#Headers],[Herramientas_de_izaje]],
COUNTIF(Tabla162670114157[Equipos], B339) &gt; 0, Tabla162670114157[[#Headers],[Equipos]],
    TRUE, "Sin clasificación"
)</f>
        <v>Sin clasificación</v>
      </c>
      <c r="I339" s="15"/>
      <c r="J339" s="47"/>
      <c r="K339" s="76"/>
      <c r="L339" s="76"/>
      <c r="M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N339" s="77"/>
      <c r="O339" s="32"/>
      <c r="P339" s="32"/>
      <c r="Q339" s="32"/>
      <c r="R339" s="32"/>
    </row>
    <row r="340" spans="3:18" x14ac:dyDescent="0.3">
      <c r="C340" s="11"/>
      <c r="D340" s="32"/>
      <c r="E340" s="11" t="str" cm="1">
        <f t="array" ref="E340">_xlfn.IFS(
    COUNTIF(Herramientas_eléctricas1862106149[Herramientas_eléctricas], B340) &gt; 0, Herramientas_eléctricas1862106149[[#Headers],[Herramientas_eléctricas]],
    COUNTIF(Herramientas_neumáticas1963107150[Herramientas_neumáticas], B340) &gt; 0, Herramientas_neumáticas1963107150[[#Headers],[Herramientas_neumáticas]],
    COUNTIF(Herramientas_de_medición2064108151[Herramientas_de_medición], B340) &gt; 0, Herramientas_de_medición2064108151[[#Headers],[Herramientas_de_medición]],
    COUNTIF(Herrramientas_mecánicas2165109152[Herramientas_mecánicas], B340) &gt; 0, Herrramientas_mecánicas2165109152[[#Headers],[Herramientas_mecánicas]],
    COUNTIF(AH340:AH346, B340) &gt; 0, Herramientas_hidráulicas2266110153[[#Headers],[Herramientas_hidráulicas]],
    COUNTIF(EPP_2367111154[SPCC], B340) &gt; 0, EPP_2367111154[[#Headers],[SPCC]],
   COUNTIF(Herramientas_de_izaje2468112155[Herramientas_de_izaje], B340) &gt; 0, Herramientas_de_izaje2468112155[[#Headers],[Herramientas_de_izaje]],
COUNTIF(Tabla162670114157[Equipos], B340) &gt; 0, Tabla162670114157[[#Headers],[Equipos]],
    TRUE, "Sin clasificación"
)</f>
        <v>Sin clasificación</v>
      </c>
      <c r="I340" s="15"/>
      <c r="J340" s="47"/>
      <c r="K340" s="76"/>
      <c r="L340" s="76"/>
      <c r="M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N340" s="77"/>
      <c r="O340" s="32"/>
      <c r="P340" s="32"/>
      <c r="Q340" s="32"/>
      <c r="R340" s="32"/>
    </row>
    <row r="341" spans="3:18" x14ac:dyDescent="0.3">
      <c r="C341" s="11"/>
      <c r="D341" s="32"/>
      <c r="E341" s="11" t="str" cm="1">
        <f t="array" ref="E341">_xlfn.IFS(
    COUNTIF(Herramientas_eléctricas1862106149[Herramientas_eléctricas], B341) &gt; 0, Herramientas_eléctricas1862106149[[#Headers],[Herramientas_eléctricas]],
    COUNTIF(Herramientas_neumáticas1963107150[Herramientas_neumáticas], B341) &gt; 0, Herramientas_neumáticas1963107150[[#Headers],[Herramientas_neumáticas]],
    COUNTIF(Herramientas_de_medición2064108151[Herramientas_de_medición], B341) &gt; 0, Herramientas_de_medición2064108151[[#Headers],[Herramientas_de_medición]],
    COUNTIF(Herrramientas_mecánicas2165109152[Herramientas_mecánicas], B341) &gt; 0, Herrramientas_mecánicas2165109152[[#Headers],[Herramientas_mecánicas]],
    COUNTIF(AH341:AH347, B341) &gt; 0, Herramientas_hidráulicas2266110153[[#Headers],[Herramientas_hidráulicas]],
    COUNTIF(EPP_2367111154[SPCC], B341) &gt; 0, EPP_2367111154[[#Headers],[SPCC]],
   COUNTIF(Herramientas_de_izaje2468112155[Herramientas_de_izaje], B341) &gt; 0, Herramientas_de_izaje2468112155[[#Headers],[Herramientas_de_izaje]],
COUNTIF(Tabla162670114157[Equipos], B341) &gt; 0, Tabla162670114157[[#Headers],[Equipos]],
    TRUE, "Sin clasificación"
)</f>
        <v>Sin clasificación</v>
      </c>
      <c r="I341" s="15"/>
      <c r="J341" s="47"/>
      <c r="K341" s="76"/>
      <c r="L341" s="76"/>
      <c r="M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N341" s="77"/>
      <c r="O341" s="32"/>
      <c r="P341" s="32"/>
      <c r="Q341" s="32"/>
      <c r="R341" s="32"/>
    </row>
    <row r="342" spans="3:18" x14ac:dyDescent="0.3">
      <c r="C342" s="11"/>
      <c r="D342" s="32"/>
      <c r="E342" s="11" t="str" cm="1">
        <f t="array" ref="E342">_xlfn.IFS(
    COUNTIF(Herramientas_eléctricas1862106149[Herramientas_eléctricas], B342) &gt; 0, Herramientas_eléctricas1862106149[[#Headers],[Herramientas_eléctricas]],
    COUNTIF(Herramientas_neumáticas1963107150[Herramientas_neumáticas], B342) &gt; 0, Herramientas_neumáticas1963107150[[#Headers],[Herramientas_neumáticas]],
    COUNTIF(Herramientas_de_medición2064108151[Herramientas_de_medición], B342) &gt; 0, Herramientas_de_medición2064108151[[#Headers],[Herramientas_de_medición]],
    COUNTIF(Herrramientas_mecánicas2165109152[Herramientas_mecánicas], B342) &gt; 0, Herrramientas_mecánicas2165109152[[#Headers],[Herramientas_mecánicas]],
    COUNTIF(AH342:AH348, B342) &gt; 0, Herramientas_hidráulicas2266110153[[#Headers],[Herramientas_hidráulicas]],
    COUNTIF(EPP_2367111154[SPCC], B342) &gt; 0, EPP_2367111154[[#Headers],[SPCC]],
   COUNTIF(Herramientas_de_izaje2468112155[Herramientas_de_izaje], B342) &gt; 0, Herramientas_de_izaje2468112155[[#Headers],[Herramientas_de_izaje]],
COUNTIF(Tabla162670114157[Equipos], B342) &gt; 0, Tabla162670114157[[#Headers],[Equipos]],
    TRUE, "Sin clasificación"
)</f>
        <v>Sin clasificación</v>
      </c>
      <c r="I342" s="15"/>
      <c r="J342" s="47"/>
      <c r="K342" s="76"/>
      <c r="L342" s="76"/>
      <c r="M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N342" s="77"/>
      <c r="O342" s="32"/>
      <c r="P342" s="32"/>
      <c r="Q342" s="32"/>
      <c r="R342" s="32"/>
    </row>
    <row r="343" spans="3:18" x14ac:dyDescent="0.3">
      <c r="C343" s="11"/>
      <c r="D343" s="32"/>
      <c r="E343" s="11" t="str" cm="1">
        <f t="array" ref="E343">_xlfn.IFS(
    COUNTIF(Herramientas_eléctricas1862106149[Herramientas_eléctricas], B343) &gt; 0, Herramientas_eléctricas1862106149[[#Headers],[Herramientas_eléctricas]],
    COUNTIF(Herramientas_neumáticas1963107150[Herramientas_neumáticas], B343) &gt; 0, Herramientas_neumáticas1963107150[[#Headers],[Herramientas_neumáticas]],
    COUNTIF(Herramientas_de_medición2064108151[Herramientas_de_medición], B343) &gt; 0, Herramientas_de_medición2064108151[[#Headers],[Herramientas_de_medición]],
    COUNTIF(Herrramientas_mecánicas2165109152[Herramientas_mecánicas], B343) &gt; 0, Herrramientas_mecánicas2165109152[[#Headers],[Herramientas_mecánicas]],
    COUNTIF(AH343:AH349, B343) &gt; 0, Herramientas_hidráulicas2266110153[[#Headers],[Herramientas_hidráulicas]],
    COUNTIF(EPP_2367111154[SPCC], B343) &gt; 0, EPP_2367111154[[#Headers],[SPCC]],
   COUNTIF(Herramientas_de_izaje2468112155[Herramientas_de_izaje], B343) &gt; 0, Herramientas_de_izaje2468112155[[#Headers],[Herramientas_de_izaje]],
COUNTIF(Tabla162670114157[Equipos], B343) &gt; 0, Tabla162670114157[[#Headers],[Equipos]],
    TRUE, "Sin clasificación"
)</f>
        <v>Sin clasificación</v>
      </c>
      <c r="I343" s="15"/>
      <c r="J343" s="47"/>
      <c r="K343" s="76"/>
      <c r="L343" s="76"/>
      <c r="M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N343" s="77"/>
      <c r="O343" s="32"/>
      <c r="P343" s="32"/>
      <c r="Q343" s="32"/>
      <c r="R343" s="32"/>
    </row>
    <row r="344" spans="3:18" x14ac:dyDescent="0.3">
      <c r="C344" s="11"/>
      <c r="D344" s="32"/>
      <c r="E344" s="11" t="str" cm="1">
        <f t="array" ref="E344">_xlfn.IFS(
    COUNTIF(Herramientas_eléctricas1862106149[Herramientas_eléctricas], B344) &gt; 0, Herramientas_eléctricas1862106149[[#Headers],[Herramientas_eléctricas]],
    COUNTIF(Herramientas_neumáticas1963107150[Herramientas_neumáticas], B344) &gt; 0, Herramientas_neumáticas1963107150[[#Headers],[Herramientas_neumáticas]],
    COUNTIF(Herramientas_de_medición2064108151[Herramientas_de_medición], B344) &gt; 0, Herramientas_de_medición2064108151[[#Headers],[Herramientas_de_medición]],
    COUNTIF(Herrramientas_mecánicas2165109152[Herramientas_mecánicas], B344) &gt; 0, Herrramientas_mecánicas2165109152[[#Headers],[Herramientas_mecánicas]],
    COUNTIF(AH344:AH350, B344) &gt; 0, Herramientas_hidráulicas2266110153[[#Headers],[Herramientas_hidráulicas]],
    COUNTIF(EPP_2367111154[SPCC], B344) &gt; 0, EPP_2367111154[[#Headers],[SPCC]],
   COUNTIF(Herramientas_de_izaje2468112155[Herramientas_de_izaje], B344) &gt; 0, Herramientas_de_izaje2468112155[[#Headers],[Herramientas_de_izaje]],
COUNTIF(Tabla162670114157[Equipos], B344) &gt; 0, Tabla162670114157[[#Headers],[Equipos]],
    TRUE, "Sin clasificación"
)</f>
        <v>Sin clasificación</v>
      </c>
      <c r="I344" s="15"/>
      <c r="J344" s="47"/>
      <c r="K344" s="76"/>
      <c r="L344" s="76"/>
      <c r="M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N344" s="77"/>
      <c r="O344" s="32"/>
      <c r="P344" s="32"/>
      <c r="Q344" s="32"/>
      <c r="R344" s="32"/>
    </row>
    <row r="345" spans="3:18" x14ac:dyDescent="0.3">
      <c r="C345" s="11"/>
      <c r="D345" s="32"/>
      <c r="E345" s="11" t="str" cm="1">
        <f t="array" ref="E345">_xlfn.IFS(
    COUNTIF(Herramientas_eléctricas1862106149[Herramientas_eléctricas], B345) &gt; 0, Herramientas_eléctricas1862106149[[#Headers],[Herramientas_eléctricas]],
    COUNTIF(Herramientas_neumáticas1963107150[Herramientas_neumáticas], B345) &gt; 0, Herramientas_neumáticas1963107150[[#Headers],[Herramientas_neumáticas]],
    COUNTIF(Herramientas_de_medición2064108151[Herramientas_de_medición], B345) &gt; 0, Herramientas_de_medición2064108151[[#Headers],[Herramientas_de_medición]],
    COUNTIF(Herrramientas_mecánicas2165109152[Herramientas_mecánicas], B345) &gt; 0, Herrramientas_mecánicas2165109152[[#Headers],[Herramientas_mecánicas]],
    COUNTIF(AH345:AH351, B345) &gt; 0, Herramientas_hidráulicas2266110153[[#Headers],[Herramientas_hidráulicas]],
    COUNTIF(EPP_2367111154[SPCC], B345) &gt; 0, EPP_2367111154[[#Headers],[SPCC]],
   COUNTIF(Herramientas_de_izaje2468112155[Herramientas_de_izaje], B345) &gt; 0, Herramientas_de_izaje2468112155[[#Headers],[Herramientas_de_izaje]],
COUNTIF(Tabla162670114157[Equipos], B345) &gt; 0, Tabla162670114157[[#Headers],[Equipos]],
    TRUE, "Sin clasificación"
)</f>
        <v>Sin clasificación</v>
      </c>
      <c r="I345" s="15"/>
      <c r="J345" s="47"/>
      <c r="K345" s="76"/>
      <c r="L345" s="76"/>
      <c r="M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N345" s="77"/>
      <c r="O345" s="32"/>
      <c r="P345" s="32"/>
      <c r="Q345" s="32"/>
      <c r="R345" s="32"/>
    </row>
    <row r="346" spans="3:18" x14ac:dyDescent="0.3">
      <c r="C346" s="11"/>
      <c r="D346" s="32"/>
      <c r="E346" s="11" t="str" cm="1">
        <f t="array" ref="E346">_xlfn.IFS(
    COUNTIF(Herramientas_eléctricas1862106149[Herramientas_eléctricas], B346) &gt; 0, Herramientas_eléctricas1862106149[[#Headers],[Herramientas_eléctricas]],
    COUNTIF(Herramientas_neumáticas1963107150[Herramientas_neumáticas], B346) &gt; 0, Herramientas_neumáticas1963107150[[#Headers],[Herramientas_neumáticas]],
    COUNTIF(Herramientas_de_medición2064108151[Herramientas_de_medición], B346) &gt; 0, Herramientas_de_medición2064108151[[#Headers],[Herramientas_de_medición]],
    COUNTIF(Herrramientas_mecánicas2165109152[Herramientas_mecánicas], B346) &gt; 0, Herrramientas_mecánicas2165109152[[#Headers],[Herramientas_mecánicas]],
    COUNTIF(AH346:AH352, B346) &gt; 0, Herramientas_hidráulicas2266110153[[#Headers],[Herramientas_hidráulicas]],
    COUNTIF(EPP_2367111154[SPCC], B346) &gt; 0, EPP_2367111154[[#Headers],[SPCC]],
   COUNTIF(Herramientas_de_izaje2468112155[Herramientas_de_izaje], B346) &gt; 0, Herramientas_de_izaje2468112155[[#Headers],[Herramientas_de_izaje]],
COUNTIF(Tabla162670114157[Equipos], B346) &gt; 0, Tabla162670114157[[#Headers],[Equipos]],
    TRUE, "Sin clasificación"
)</f>
        <v>Sin clasificación</v>
      </c>
      <c r="I346" s="15"/>
      <c r="J346" s="47"/>
      <c r="K346" s="76"/>
      <c r="L346" s="76"/>
      <c r="M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N346" s="77"/>
      <c r="O346" s="32"/>
      <c r="P346" s="32"/>
      <c r="Q346" s="32"/>
      <c r="R346" s="32"/>
    </row>
    <row r="347" spans="3:18" x14ac:dyDescent="0.3">
      <c r="C347" s="11"/>
      <c r="D347" s="32"/>
      <c r="E347" s="11" t="str" cm="1">
        <f t="array" ref="E347">_xlfn.IFS(
    COUNTIF(Herramientas_eléctricas1862106149[Herramientas_eléctricas], B347) &gt; 0, Herramientas_eléctricas1862106149[[#Headers],[Herramientas_eléctricas]],
    COUNTIF(Herramientas_neumáticas1963107150[Herramientas_neumáticas], B347) &gt; 0, Herramientas_neumáticas1963107150[[#Headers],[Herramientas_neumáticas]],
    COUNTIF(Herramientas_de_medición2064108151[Herramientas_de_medición], B347) &gt; 0, Herramientas_de_medición2064108151[[#Headers],[Herramientas_de_medición]],
    COUNTIF(Herrramientas_mecánicas2165109152[Herramientas_mecánicas], B347) &gt; 0, Herrramientas_mecánicas2165109152[[#Headers],[Herramientas_mecánicas]],
    COUNTIF(AH347:AH353, B347) &gt; 0, Herramientas_hidráulicas2266110153[[#Headers],[Herramientas_hidráulicas]],
    COUNTIF(EPP_2367111154[SPCC], B347) &gt; 0, EPP_2367111154[[#Headers],[SPCC]],
   COUNTIF(Herramientas_de_izaje2468112155[Herramientas_de_izaje], B347) &gt; 0, Herramientas_de_izaje2468112155[[#Headers],[Herramientas_de_izaje]],
COUNTIF(Tabla162670114157[Equipos], B347) &gt; 0, Tabla162670114157[[#Headers],[Equipos]],
    TRUE, "Sin clasificación"
)</f>
        <v>Sin clasificación</v>
      </c>
      <c r="I347" s="15"/>
      <c r="J347" s="47"/>
      <c r="K347" s="76"/>
      <c r="L347" s="76"/>
      <c r="M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N347" s="77"/>
      <c r="O347" s="32"/>
      <c r="P347" s="32"/>
      <c r="Q347" s="32"/>
      <c r="R347" s="32"/>
    </row>
    <row r="348" spans="3:18" x14ac:dyDescent="0.3">
      <c r="C348" s="11"/>
      <c r="D348" s="32"/>
      <c r="E348" s="11" t="str" cm="1">
        <f t="array" ref="E348">_xlfn.IFS(
    COUNTIF(Herramientas_eléctricas1862106149[Herramientas_eléctricas], B348) &gt; 0, Herramientas_eléctricas1862106149[[#Headers],[Herramientas_eléctricas]],
    COUNTIF(Herramientas_neumáticas1963107150[Herramientas_neumáticas], B348) &gt; 0, Herramientas_neumáticas1963107150[[#Headers],[Herramientas_neumáticas]],
    COUNTIF(Herramientas_de_medición2064108151[Herramientas_de_medición], B348) &gt; 0, Herramientas_de_medición2064108151[[#Headers],[Herramientas_de_medición]],
    COUNTIF(Herrramientas_mecánicas2165109152[Herramientas_mecánicas], B348) &gt; 0, Herrramientas_mecánicas2165109152[[#Headers],[Herramientas_mecánicas]],
    COUNTIF(AH348:AH354, B348) &gt; 0, Herramientas_hidráulicas2266110153[[#Headers],[Herramientas_hidráulicas]],
    COUNTIF(EPP_2367111154[SPCC], B348) &gt; 0, EPP_2367111154[[#Headers],[SPCC]],
   COUNTIF(Herramientas_de_izaje2468112155[Herramientas_de_izaje], B348) &gt; 0, Herramientas_de_izaje2468112155[[#Headers],[Herramientas_de_izaje]],
COUNTIF(Tabla162670114157[Equipos], B348) &gt; 0, Tabla162670114157[[#Headers],[Equipos]],
    TRUE, "Sin clasificación"
)</f>
        <v>Sin clasificación</v>
      </c>
      <c r="I348" s="15"/>
      <c r="J348" s="47"/>
      <c r="K348" s="76"/>
      <c r="L348" s="76"/>
      <c r="M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N348" s="77"/>
      <c r="O348" s="32"/>
      <c r="P348" s="32"/>
      <c r="Q348" s="32"/>
      <c r="R348" s="32"/>
    </row>
    <row r="349" spans="3:18" x14ac:dyDescent="0.3">
      <c r="C349" s="11"/>
      <c r="D349" s="32"/>
      <c r="E349" s="11" t="str" cm="1">
        <f t="array" ref="E349">_xlfn.IFS(
    COUNTIF(Herramientas_eléctricas1862106149[Herramientas_eléctricas], B349) &gt; 0, Herramientas_eléctricas1862106149[[#Headers],[Herramientas_eléctricas]],
    COUNTIF(Herramientas_neumáticas1963107150[Herramientas_neumáticas], B349) &gt; 0, Herramientas_neumáticas1963107150[[#Headers],[Herramientas_neumáticas]],
    COUNTIF(Herramientas_de_medición2064108151[Herramientas_de_medición], B349) &gt; 0, Herramientas_de_medición2064108151[[#Headers],[Herramientas_de_medición]],
    COUNTIF(Herrramientas_mecánicas2165109152[Herramientas_mecánicas], B349) &gt; 0, Herrramientas_mecánicas2165109152[[#Headers],[Herramientas_mecánicas]],
    COUNTIF(AH349:AH355, B349) &gt; 0, Herramientas_hidráulicas2266110153[[#Headers],[Herramientas_hidráulicas]],
    COUNTIF(EPP_2367111154[SPCC], B349) &gt; 0, EPP_2367111154[[#Headers],[SPCC]],
   COUNTIF(Herramientas_de_izaje2468112155[Herramientas_de_izaje], B349) &gt; 0, Herramientas_de_izaje2468112155[[#Headers],[Herramientas_de_izaje]],
COUNTIF(Tabla162670114157[Equipos], B349) &gt; 0, Tabla162670114157[[#Headers],[Equipos]],
    TRUE, "Sin clasificación"
)</f>
        <v>Sin clasificación</v>
      </c>
      <c r="I349" s="15"/>
      <c r="J349" s="47"/>
      <c r="K349" s="76"/>
      <c r="L349" s="76"/>
      <c r="M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N349" s="77"/>
      <c r="O349" s="32"/>
      <c r="P349" s="32"/>
      <c r="Q349" s="32"/>
      <c r="R349" s="32"/>
    </row>
    <row r="350" spans="3:18" x14ac:dyDescent="0.3">
      <c r="C350" s="11"/>
      <c r="D350" s="32"/>
      <c r="E350" s="11" t="str" cm="1">
        <f t="array" ref="E350">_xlfn.IFS(
    COUNTIF(Herramientas_eléctricas1862106149[Herramientas_eléctricas], B350) &gt; 0, Herramientas_eléctricas1862106149[[#Headers],[Herramientas_eléctricas]],
    COUNTIF(Herramientas_neumáticas1963107150[Herramientas_neumáticas], B350) &gt; 0, Herramientas_neumáticas1963107150[[#Headers],[Herramientas_neumáticas]],
    COUNTIF(Herramientas_de_medición2064108151[Herramientas_de_medición], B350) &gt; 0, Herramientas_de_medición2064108151[[#Headers],[Herramientas_de_medición]],
    COUNTIF(Herrramientas_mecánicas2165109152[Herramientas_mecánicas], B350) &gt; 0, Herrramientas_mecánicas2165109152[[#Headers],[Herramientas_mecánicas]],
    COUNTIF(AH350:AH356, B350) &gt; 0, Herramientas_hidráulicas2266110153[[#Headers],[Herramientas_hidráulicas]],
    COUNTIF(EPP_2367111154[SPCC], B350) &gt; 0, EPP_2367111154[[#Headers],[SPCC]],
   COUNTIF(Herramientas_de_izaje2468112155[Herramientas_de_izaje], B350) &gt; 0, Herramientas_de_izaje2468112155[[#Headers],[Herramientas_de_izaje]],
COUNTIF(Tabla162670114157[Equipos], B350) &gt; 0, Tabla162670114157[[#Headers],[Equipos]],
    TRUE, "Sin clasificación"
)</f>
        <v>Sin clasificación</v>
      </c>
      <c r="I350" s="15"/>
      <c r="J350" s="47"/>
      <c r="K350" s="76"/>
      <c r="L350" s="76"/>
      <c r="M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N350" s="77"/>
      <c r="O350" s="32"/>
      <c r="P350" s="32"/>
      <c r="Q350" s="32"/>
      <c r="R350" s="32"/>
    </row>
    <row r="351" spans="3:18" x14ac:dyDescent="0.3">
      <c r="C351" s="11"/>
      <c r="D351" s="32"/>
      <c r="E351" s="11" t="str" cm="1">
        <f t="array" ref="E351">_xlfn.IFS(
    COUNTIF(Herramientas_eléctricas1862106149[Herramientas_eléctricas], B351) &gt; 0, Herramientas_eléctricas1862106149[[#Headers],[Herramientas_eléctricas]],
    COUNTIF(Herramientas_neumáticas1963107150[Herramientas_neumáticas], B351) &gt; 0, Herramientas_neumáticas1963107150[[#Headers],[Herramientas_neumáticas]],
    COUNTIF(Herramientas_de_medición2064108151[Herramientas_de_medición], B351) &gt; 0, Herramientas_de_medición2064108151[[#Headers],[Herramientas_de_medición]],
    COUNTIF(Herrramientas_mecánicas2165109152[Herramientas_mecánicas], B351) &gt; 0, Herrramientas_mecánicas2165109152[[#Headers],[Herramientas_mecánicas]],
    COUNTIF(AH351:AH357, B351) &gt; 0, Herramientas_hidráulicas2266110153[[#Headers],[Herramientas_hidráulicas]],
    COUNTIF(EPP_2367111154[SPCC], B351) &gt; 0, EPP_2367111154[[#Headers],[SPCC]],
   COUNTIF(Herramientas_de_izaje2468112155[Herramientas_de_izaje], B351) &gt; 0, Herramientas_de_izaje2468112155[[#Headers],[Herramientas_de_izaje]],
COUNTIF(Tabla162670114157[Equipos], B351) &gt; 0, Tabla162670114157[[#Headers],[Equipos]],
    TRUE, "Sin clasificación"
)</f>
        <v>Sin clasificación</v>
      </c>
      <c r="I351" s="15"/>
      <c r="J351" s="47"/>
      <c r="K351" s="76"/>
      <c r="L351" s="76"/>
      <c r="M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N351" s="77"/>
      <c r="O351" s="32"/>
      <c r="P351" s="32"/>
      <c r="Q351" s="32"/>
      <c r="R351" s="32"/>
    </row>
    <row r="352" spans="3:18" x14ac:dyDescent="0.3">
      <c r="C352" s="11"/>
      <c r="D352" s="32"/>
      <c r="E352" s="11" t="str" cm="1">
        <f t="array" ref="E352">_xlfn.IFS(
    COUNTIF(Herramientas_eléctricas1862106149[Herramientas_eléctricas], B352) &gt; 0, Herramientas_eléctricas1862106149[[#Headers],[Herramientas_eléctricas]],
    COUNTIF(Herramientas_neumáticas1963107150[Herramientas_neumáticas], B352) &gt; 0, Herramientas_neumáticas1963107150[[#Headers],[Herramientas_neumáticas]],
    COUNTIF(Herramientas_de_medición2064108151[Herramientas_de_medición], B352) &gt; 0, Herramientas_de_medición2064108151[[#Headers],[Herramientas_de_medición]],
    COUNTIF(Herrramientas_mecánicas2165109152[Herramientas_mecánicas], B352) &gt; 0, Herrramientas_mecánicas2165109152[[#Headers],[Herramientas_mecánicas]],
    COUNTIF(AH352:AH358, B352) &gt; 0, Herramientas_hidráulicas2266110153[[#Headers],[Herramientas_hidráulicas]],
    COUNTIF(EPP_2367111154[SPCC], B352) &gt; 0, EPP_2367111154[[#Headers],[SPCC]],
   COUNTIF(Herramientas_de_izaje2468112155[Herramientas_de_izaje], B352) &gt; 0, Herramientas_de_izaje2468112155[[#Headers],[Herramientas_de_izaje]],
COUNTIF(Tabla162670114157[Equipos], B352) &gt; 0, Tabla162670114157[[#Headers],[Equipos]],
    TRUE, "Sin clasificación"
)</f>
        <v>Sin clasificación</v>
      </c>
      <c r="I352" s="15"/>
      <c r="J352" s="47"/>
      <c r="K352" s="76"/>
      <c r="L352" s="76"/>
      <c r="M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N352" s="77"/>
      <c r="O352" s="32"/>
      <c r="P352" s="32"/>
      <c r="Q352" s="32"/>
      <c r="R352" s="32"/>
    </row>
    <row r="353" spans="3:18" x14ac:dyDescent="0.3">
      <c r="C353" s="11"/>
      <c r="D353" s="32"/>
      <c r="E353" s="11" t="str" cm="1">
        <f t="array" ref="E353">_xlfn.IFS(
    COUNTIF(Herramientas_eléctricas1862106149[Herramientas_eléctricas], B353) &gt; 0, Herramientas_eléctricas1862106149[[#Headers],[Herramientas_eléctricas]],
    COUNTIF(Herramientas_neumáticas1963107150[Herramientas_neumáticas], B353) &gt; 0, Herramientas_neumáticas1963107150[[#Headers],[Herramientas_neumáticas]],
    COUNTIF(Herramientas_de_medición2064108151[Herramientas_de_medición], B353) &gt; 0, Herramientas_de_medición2064108151[[#Headers],[Herramientas_de_medición]],
    COUNTIF(Herrramientas_mecánicas2165109152[Herramientas_mecánicas], B353) &gt; 0, Herrramientas_mecánicas2165109152[[#Headers],[Herramientas_mecánicas]],
    COUNTIF(AH353:AH359, B353) &gt; 0, Herramientas_hidráulicas2266110153[[#Headers],[Herramientas_hidráulicas]],
    COUNTIF(EPP_2367111154[SPCC], B353) &gt; 0, EPP_2367111154[[#Headers],[SPCC]],
   COUNTIF(Herramientas_de_izaje2468112155[Herramientas_de_izaje], B353) &gt; 0, Herramientas_de_izaje2468112155[[#Headers],[Herramientas_de_izaje]],
COUNTIF(Tabla162670114157[Equipos], B353) &gt; 0, Tabla162670114157[[#Headers],[Equipos]],
    TRUE, "Sin clasificación"
)</f>
        <v>Sin clasificación</v>
      </c>
      <c r="I353" s="15"/>
      <c r="J353" s="47"/>
      <c r="K353" s="76"/>
      <c r="L353" s="76"/>
      <c r="M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N353" s="77"/>
      <c r="O353" s="32"/>
      <c r="P353" s="32"/>
      <c r="Q353" s="32"/>
      <c r="R353" s="32"/>
    </row>
    <row r="354" spans="3:18" x14ac:dyDescent="0.3">
      <c r="C354" s="11"/>
      <c r="D354" s="32"/>
      <c r="E354" s="11" t="str" cm="1">
        <f t="array" ref="E354">_xlfn.IFS(
    COUNTIF(Herramientas_eléctricas1862106149[Herramientas_eléctricas], B354) &gt; 0, Herramientas_eléctricas1862106149[[#Headers],[Herramientas_eléctricas]],
    COUNTIF(Herramientas_neumáticas1963107150[Herramientas_neumáticas], B354) &gt; 0, Herramientas_neumáticas1963107150[[#Headers],[Herramientas_neumáticas]],
    COUNTIF(Herramientas_de_medición2064108151[Herramientas_de_medición], B354) &gt; 0, Herramientas_de_medición2064108151[[#Headers],[Herramientas_de_medición]],
    COUNTIF(Herrramientas_mecánicas2165109152[Herramientas_mecánicas], B354) &gt; 0, Herrramientas_mecánicas2165109152[[#Headers],[Herramientas_mecánicas]],
    COUNTIF(AH354:AH360, B354) &gt; 0, Herramientas_hidráulicas2266110153[[#Headers],[Herramientas_hidráulicas]],
    COUNTIF(EPP_2367111154[SPCC], B354) &gt; 0, EPP_2367111154[[#Headers],[SPCC]],
   COUNTIF(Herramientas_de_izaje2468112155[Herramientas_de_izaje], B354) &gt; 0, Herramientas_de_izaje2468112155[[#Headers],[Herramientas_de_izaje]],
COUNTIF(Tabla162670114157[Equipos], B354) &gt; 0, Tabla162670114157[[#Headers],[Equipos]],
    TRUE, "Sin clasificación"
)</f>
        <v>Sin clasificación</v>
      </c>
      <c r="I354" s="15"/>
      <c r="J354" s="47"/>
      <c r="K354" s="76"/>
      <c r="L354" s="76"/>
      <c r="M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N354" s="77"/>
      <c r="O354" s="32"/>
      <c r="P354" s="32"/>
      <c r="Q354" s="32"/>
      <c r="R354" s="32"/>
    </row>
    <row r="355" spans="3:18" x14ac:dyDescent="0.3">
      <c r="C355" s="11"/>
      <c r="D355" s="32"/>
      <c r="E355" s="11" t="str" cm="1">
        <f t="array" ref="E355">_xlfn.IFS(
    COUNTIF(Herramientas_eléctricas1862106149[Herramientas_eléctricas], B355) &gt; 0, Herramientas_eléctricas1862106149[[#Headers],[Herramientas_eléctricas]],
    COUNTIF(Herramientas_neumáticas1963107150[Herramientas_neumáticas], B355) &gt; 0, Herramientas_neumáticas1963107150[[#Headers],[Herramientas_neumáticas]],
    COUNTIF(Herramientas_de_medición2064108151[Herramientas_de_medición], B355) &gt; 0, Herramientas_de_medición2064108151[[#Headers],[Herramientas_de_medición]],
    COUNTIF(Herrramientas_mecánicas2165109152[Herramientas_mecánicas], B355) &gt; 0, Herrramientas_mecánicas2165109152[[#Headers],[Herramientas_mecánicas]],
    COUNTIF(AH355:AH361, B355) &gt; 0, Herramientas_hidráulicas2266110153[[#Headers],[Herramientas_hidráulicas]],
    COUNTIF(EPP_2367111154[SPCC], B355) &gt; 0, EPP_2367111154[[#Headers],[SPCC]],
   COUNTIF(Herramientas_de_izaje2468112155[Herramientas_de_izaje], B355) &gt; 0, Herramientas_de_izaje2468112155[[#Headers],[Herramientas_de_izaje]],
COUNTIF(Tabla162670114157[Equipos], B355) &gt; 0, Tabla162670114157[[#Headers],[Equipos]],
    TRUE, "Sin clasificación"
)</f>
        <v>Sin clasificación</v>
      </c>
      <c r="I355" s="15"/>
      <c r="J355" s="47"/>
      <c r="K355" s="76"/>
      <c r="L355" s="76"/>
      <c r="M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N355" s="77"/>
      <c r="O355" s="32"/>
      <c r="P355" s="32"/>
      <c r="Q355" s="32"/>
      <c r="R355" s="32"/>
    </row>
    <row r="356" spans="3:18" x14ac:dyDescent="0.3">
      <c r="C356" s="11"/>
      <c r="D356" s="32"/>
      <c r="E356" s="11" t="str" cm="1">
        <f t="array" ref="E356">_xlfn.IFS(
    COUNTIF(Herramientas_eléctricas1862106149[Herramientas_eléctricas], B356) &gt; 0, Herramientas_eléctricas1862106149[[#Headers],[Herramientas_eléctricas]],
    COUNTIF(Herramientas_neumáticas1963107150[Herramientas_neumáticas], B356) &gt; 0, Herramientas_neumáticas1963107150[[#Headers],[Herramientas_neumáticas]],
    COUNTIF(Herramientas_de_medición2064108151[Herramientas_de_medición], B356) &gt; 0, Herramientas_de_medición2064108151[[#Headers],[Herramientas_de_medición]],
    COUNTIF(Herrramientas_mecánicas2165109152[Herramientas_mecánicas], B356) &gt; 0, Herrramientas_mecánicas2165109152[[#Headers],[Herramientas_mecánicas]],
    COUNTIF(AH356:AH362, B356) &gt; 0, Herramientas_hidráulicas2266110153[[#Headers],[Herramientas_hidráulicas]],
    COUNTIF(EPP_2367111154[SPCC], B356) &gt; 0, EPP_2367111154[[#Headers],[SPCC]],
   COUNTIF(Herramientas_de_izaje2468112155[Herramientas_de_izaje], B356) &gt; 0, Herramientas_de_izaje2468112155[[#Headers],[Herramientas_de_izaje]],
COUNTIF(Tabla162670114157[Equipos], B356) &gt; 0, Tabla162670114157[[#Headers],[Equipos]],
    TRUE, "Sin clasificación"
)</f>
        <v>Sin clasificación</v>
      </c>
      <c r="I356" s="15"/>
      <c r="J356" s="47"/>
      <c r="K356" s="76"/>
      <c r="L356" s="76"/>
      <c r="M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N356" s="77"/>
      <c r="O356" s="32"/>
      <c r="P356" s="32"/>
      <c r="Q356" s="32"/>
      <c r="R356" s="32"/>
    </row>
    <row r="357" spans="3:18" x14ac:dyDescent="0.3">
      <c r="C357" s="11"/>
      <c r="D357" s="32"/>
      <c r="E357" s="11" t="str" cm="1">
        <f t="array" ref="E357">_xlfn.IFS(
    COUNTIF(Herramientas_eléctricas1862106149[Herramientas_eléctricas], B357) &gt; 0, Herramientas_eléctricas1862106149[[#Headers],[Herramientas_eléctricas]],
    COUNTIF(Herramientas_neumáticas1963107150[Herramientas_neumáticas], B357) &gt; 0, Herramientas_neumáticas1963107150[[#Headers],[Herramientas_neumáticas]],
    COUNTIF(Herramientas_de_medición2064108151[Herramientas_de_medición], B357) &gt; 0, Herramientas_de_medición2064108151[[#Headers],[Herramientas_de_medición]],
    COUNTIF(Herrramientas_mecánicas2165109152[Herramientas_mecánicas], B357) &gt; 0, Herrramientas_mecánicas2165109152[[#Headers],[Herramientas_mecánicas]],
    COUNTIF(AH357:AH363, B357) &gt; 0, Herramientas_hidráulicas2266110153[[#Headers],[Herramientas_hidráulicas]],
    COUNTIF(EPP_2367111154[SPCC], B357) &gt; 0, EPP_2367111154[[#Headers],[SPCC]],
   COUNTIF(Herramientas_de_izaje2468112155[Herramientas_de_izaje], B357) &gt; 0, Herramientas_de_izaje2468112155[[#Headers],[Herramientas_de_izaje]],
COUNTIF(Tabla162670114157[Equipos], B357) &gt; 0, Tabla162670114157[[#Headers],[Equipos]],
    TRUE, "Sin clasificación"
)</f>
        <v>Sin clasificación</v>
      </c>
      <c r="I357" s="15"/>
      <c r="J357" s="47"/>
      <c r="K357" s="76"/>
      <c r="L357" s="76"/>
      <c r="M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N357" s="77"/>
      <c r="O357" s="32"/>
      <c r="P357" s="32"/>
      <c r="Q357" s="32"/>
      <c r="R357" s="32"/>
    </row>
    <row r="358" spans="3:18" x14ac:dyDescent="0.3">
      <c r="C358" s="11"/>
      <c r="D358" s="32"/>
      <c r="E358" s="11" t="str" cm="1">
        <f t="array" ref="E358">_xlfn.IFS(
    COUNTIF(Herramientas_eléctricas1862106149[Herramientas_eléctricas], B358) &gt; 0, Herramientas_eléctricas1862106149[[#Headers],[Herramientas_eléctricas]],
    COUNTIF(Herramientas_neumáticas1963107150[Herramientas_neumáticas], B358) &gt; 0, Herramientas_neumáticas1963107150[[#Headers],[Herramientas_neumáticas]],
    COUNTIF(Herramientas_de_medición2064108151[Herramientas_de_medición], B358) &gt; 0, Herramientas_de_medición2064108151[[#Headers],[Herramientas_de_medición]],
    COUNTIF(Herrramientas_mecánicas2165109152[Herramientas_mecánicas], B358) &gt; 0, Herrramientas_mecánicas2165109152[[#Headers],[Herramientas_mecánicas]],
    COUNTIF(AH358:AH364, B358) &gt; 0, Herramientas_hidráulicas2266110153[[#Headers],[Herramientas_hidráulicas]],
    COUNTIF(EPP_2367111154[SPCC], B358) &gt; 0, EPP_2367111154[[#Headers],[SPCC]],
   COUNTIF(Herramientas_de_izaje2468112155[Herramientas_de_izaje], B358) &gt; 0, Herramientas_de_izaje2468112155[[#Headers],[Herramientas_de_izaje]],
COUNTIF(Tabla162670114157[Equipos], B358) &gt; 0, Tabla162670114157[[#Headers],[Equipos]],
    TRUE, "Sin clasificación"
)</f>
        <v>Sin clasificación</v>
      </c>
      <c r="I358" s="15"/>
      <c r="J358" s="47"/>
      <c r="K358" s="76"/>
      <c r="L358" s="76"/>
      <c r="M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N358" s="77"/>
      <c r="O358" s="32"/>
      <c r="P358" s="32"/>
      <c r="Q358" s="32"/>
      <c r="R358" s="32"/>
    </row>
    <row r="359" spans="3:18" x14ac:dyDescent="0.3">
      <c r="C359" s="11"/>
      <c r="D359" s="32"/>
      <c r="E359" s="11" t="str" cm="1">
        <f t="array" ref="E359">_xlfn.IFS(
    COUNTIF(Herramientas_eléctricas1862106149[Herramientas_eléctricas], B359) &gt; 0, Herramientas_eléctricas1862106149[[#Headers],[Herramientas_eléctricas]],
    COUNTIF(Herramientas_neumáticas1963107150[Herramientas_neumáticas], B359) &gt; 0, Herramientas_neumáticas1963107150[[#Headers],[Herramientas_neumáticas]],
    COUNTIF(Herramientas_de_medición2064108151[Herramientas_de_medición], B359) &gt; 0, Herramientas_de_medición2064108151[[#Headers],[Herramientas_de_medición]],
    COUNTIF(Herrramientas_mecánicas2165109152[Herramientas_mecánicas], B359) &gt; 0, Herrramientas_mecánicas2165109152[[#Headers],[Herramientas_mecánicas]],
    COUNTIF(AH359:AH365, B359) &gt; 0, Herramientas_hidráulicas2266110153[[#Headers],[Herramientas_hidráulicas]],
    COUNTIF(EPP_2367111154[SPCC], B359) &gt; 0, EPP_2367111154[[#Headers],[SPCC]],
   COUNTIF(Herramientas_de_izaje2468112155[Herramientas_de_izaje], B359) &gt; 0, Herramientas_de_izaje2468112155[[#Headers],[Herramientas_de_izaje]],
COUNTIF(Tabla162670114157[Equipos], B359) &gt; 0, Tabla162670114157[[#Headers],[Equipos]],
    TRUE, "Sin clasificación"
)</f>
        <v>Sin clasificación</v>
      </c>
      <c r="I359" s="15"/>
      <c r="J359" s="47"/>
      <c r="K359" s="76"/>
      <c r="L359" s="76"/>
      <c r="M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N359" s="77"/>
      <c r="O359" s="32"/>
      <c r="P359" s="32"/>
      <c r="Q359" s="32"/>
      <c r="R359" s="32"/>
    </row>
    <row r="360" spans="3:18" x14ac:dyDescent="0.3">
      <c r="C360" s="11"/>
      <c r="D360" s="32"/>
      <c r="E360" s="11" t="str" cm="1">
        <f t="array" ref="E360">_xlfn.IFS(
    COUNTIF(Herramientas_eléctricas1862106149[Herramientas_eléctricas], B360) &gt; 0, Herramientas_eléctricas1862106149[[#Headers],[Herramientas_eléctricas]],
    COUNTIF(Herramientas_neumáticas1963107150[Herramientas_neumáticas], B360) &gt; 0, Herramientas_neumáticas1963107150[[#Headers],[Herramientas_neumáticas]],
    COUNTIF(Herramientas_de_medición2064108151[Herramientas_de_medición], B360) &gt; 0, Herramientas_de_medición2064108151[[#Headers],[Herramientas_de_medición]],
    COUNTIF(Herrramientas_mecánicas2165109152[Herramientas_mecánicas], B360) &gt; 0, Herrramientas_mecánicas2165109152[[#Headers],[Herramientas_mecánicas]],
    COUNTIF(AH360:AH366, B360) &gt; 0, Herramientas_hidráulicas2266110153[[#Headers],[Herramientas_hidráulicas]],
    COUNTIF(EPP_2367111154[SPCC], B360) &gt; 0, EPP_2367111154[[#Headers],[SPCC]],
   COUNTIF(Herramientas_de_izaje2468112155[Herramientas_de_izaje], B360) &gt; 0, Herramientas_de_izaje2468112155[[#Headers],[Herramientas_de_izaje]],
COUNTIF(Tabla162670114157[Equipos], B360) &gt; 0, Tabla162670114157[[#Headers],[Equipos]],
    TRUE, "Sin clasificación"
)</f>
        <v>Sin clasificación</v>
      </c>
      <c r="I360" s="15"/>
      <c r="J360" s="47"/>
      <c r="K360" s="76"/>
      <c r="L360" s="76"/>
      <c r="M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N360" s="77"/>
      <c r="O360" s="32"/>
      <c r="P360" s="32"/>
      <c r="Q360" s="32"/>
      <c r="R360" s="32"/>
    </row>
    <row r="361" spans="3:18" x14ac:dyDescent="0.3">
      <c r="C361" s="11"/>
      <c r="D361" s="32"/>
      <c r="E361" s="11" t="str" cm="1">
        <f t="array" ref="E361">_xlfn.IFS(
    COUNTIF(Herramientas_eléctricas1862106149[Herramientas_eléctricas], B361) &gt; 0, Herramientas_eléctricas1862106149[[#Headers],[Herramientas_eléctricas]],
    COUNTIF(Herramientas_neumáticas1963107150[Herramientas_neumáticas], B361) &gt; 0, Herramientas_neumáticas1963107150[[#Headers],[Herramientas_neumáticas]],
    COUNTIF(Herramientas_de_medición2064108151[Herramientas_de_medición], B361) &gt; 0, Herramientas_de_medición2064108151[[#Headers],[Herramientas_de_medición]],
    COUNTIF(Herrramientas_mecánicas2165109152[Herramientas_mecánicas], B361) &gt; 0, Herrramientas_mecánicas2165109152[[#Headers],[Herramientas_mecánicas]],
    COUNTIF(AH361:AH367, B361) &gt; 0, Herramientas_hidráulicas2266110153[[#Headers],[Herramientas_hidráulicas]],
    COUNTIF(EPP_2367111154[SPCC], B361) &gt; 0, EPP_2367111154[[#Headers],[SPCC]],
   COUNTIF(Herramientas_de_izaje2468112155[Herramientas_de_izaje], B361) &gt; 0, Herramientas_de_izaje2468112155[[#Headers],[Herramientas_de_izaje]],
COUNTIF(Tabla162670114157[Equipos], B361) &gt; 0, Tabla162670114157[[#Headers],[Equipos]],
    TRUE, "Sin clasificación"
)</f>
        <v>Sin clasificación</v>
      </c>
      <c r="I361" s="15"/>
      <c r="J361" s="47"/>
      <c r="K361" s="76"/>
      <c r="L361" s="76"/>
      <c r="M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N361" s="77"/>
      <c r="O361" s="32"/>
      <c r="P361" s="32"/>
      <c r="Q361" s="32"/>
      <c r="R361" s="32"/>
    </row>
    <row r="362" spans="3:18" x14ac:dyDescent="0.3">
      <c r="C362" s="11"/>
      <c r="D362" s="32"/>
      <c r="E362" s="11" t="str" cm="1">
        <f t="array" ref="E362">_xlfn.IFS(
    COUNTIF(Herramientas_eléctricas1862106149[Herramientas_eléctricas], B362) &gt; 0, Herramientas_eléctricas1862106149[[#Headers],[Herramientas_eléctricas]],
    COUNTIF(Herramientas_neumáticas1963107150[Herramientas_neumáticas], B362) &gt; 0, Herramientas_neumáticas1963107150[[#Headers],[Herramientas_neumáticas]],
    COUNTIF(Herramientas_de_medición2064108151[Herramientas_de_medición], B362) &gt; 0, Herramientas_de_medición2064108151[[#Headers],[Herramientas_de_medición]],
    COUNTIF(Herrramientas_mecánicas2165109152[Herramientas_mecánicas], B362) &gt; 0, Herrramientas_mecánicas2165109152[[#Headers],[Herramientas_mecánicas]],
    COUNTIF(AH362:AH368, B362) &gt; 0, Herramientas_hidráulicas2266110153[[#Headers],[Herramientas_hidráulicas]],
    COUNTIF(EPP_2367111154[SPCC], B362) &gt; 0, EPP_2367111154[[#Headers],[SPCC]],
   COUNTIF(Herramientas_de_izaje2468112155[Herramientas_de_izaje], B362) &gt; 0, Herramientas_de_izaje2468112155[[#Headers],[Herramientas_de_izaje]],
COUNTIF(Tabla162670114157[Equipos], B362) &gt; 0, Tabla162670114157[[#Headers],[Equipos]],
    TRUE, "Sin clasificación"
)</f>
        <v>Sin clasificación</v>
      </c>
      <c r="I362" s="15"/>
      <c r="J362" s="47"/>
      <c r="K362" s="76"/>
      <c r="L362" s="76"/>
      <c r="M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N362" s="77"/>
      <c r="O362" s="32"/>
      <c r="P362" s="32"/>
      <c r="Q362" s="32"/>
      <c r="R362" s="32"/>
    </row>
    <row r="363" spans="3:18" x14ac:dyDescent="0.3">
      <c r="C363" s="11"/>
      <c r="D363" s="32"/>
      <c r="E363" s="11" t="str" cm="1">
        <f t="array" ref="E363">_xlfn.IFS(
    COUNTIF(Herramientas_eléctricas1862106149[Herramientas_eléctricas], B363) &gt; 0, Herramientas_eléctricas1862106149[[#Headers],[Herramientas_eléctricas]],
    COUNTIF(Herramientas_neumáticas1963107150[Herramientas_neumáticas], B363) &gt; 0, Herramientas_neumáticas1963107150[[#Headers],[Herramientas_neumáticas]],
    COUNTIF(Herramientas_de_medición2064108151[Herramientas_de_medición], B363) &gt; 0, Herramientas_de_medición2064108151[[#Headers],[Herramientas_de_medición]],
    COUNTIF(Herrramientas_mecánicas2165109152[Herramientas_mecánicas], B363) &gt; 0, Herrramientas_mecánicas2165109152[[#Headers],[Herramientas_mecánicas]],
    COUNTIF(AH363:AH369, B363) &gt; 0, Herramientas_hidráulicas2266110153[[#Headers],[Herramientas_hidráulicas]],
    COUNTIF(EPP_2367111154[SPCC], B363) &gt; 0, EPP_2367111154[[#Headers],[SPCC]],
   COUNTIF(Herramientas_de_izaje2468112155[Herramientas_de_izaje], B363) &gt; 0, Herramientas_de_izaje2468112155[[#Headers],[Herramientas_de_izaje]],
COUNTIF(Tabla162670114157[Equipos], B363) &gt; 0, Tabla162670114157[[#Headers],[Equipos]],
    TRUE, "Sin clasificación"
)</f>
        <v>Sin clasificación</v>
      </c>
      <c r="I363" s="15"/>
      <c r="J363" s="47"/>
      <c r="K363" s="76"/>
      <c r="L363" s="76"/>
      <c r="M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N363" s="77"/>
      <c r="O363" s="32"/>
      <c r="P363" s="32"/>
      <c r="Q363" s="32"/>
      <c r="R363" s="32"/>
    </row>
    <row r="364" spans="3:18" x14ac:dyDescent="0.3">
      <c r="C364" s="11"/>
      <c r="D364" s="32"/>
      <c r="E364" s="11" t="str" cm="1">
        <f t="array" ref="E364">_xlfn.IFS(
    COUNTIF(Herramientas_eléctricas1862106149[Herramientas_eléctricas], B364) &gt; 0, Herramientas_eléctricas1862106149[[#Headers],[Herramientas_eléctricas]],
    COUNTIF(Herramientas_neumáticas1963107150[Herramientas_neumáticas], B364) &gt; 0, Herramientas_neumáticas1963107150[[#Headers],[Herramientas_neumáticas]],
    COUNTIF(Herramientas_de_medición2064108151[Herramientas_de_medición], B364) &gt; 0, Herramientas_de_medición2064108151[[#Headers],[Herramientas_de_medición]],
    COUNTIF(Herrramientas_mecánicas2165109152[Herramientas_mecánicas], B364) &gt; 0, Herrramientas_mecánicas2165109152[[#Headers],[Herramientas_mecánicas]],
    COUNTIF(AH364:AH370, B364) &gt; 0, Herramientas_hidráulicas2266110153[[#Headers],[Herramientas_hidráulicas]],
    COUNTIF(EPP_2367111154[SPCC], B364) &gt; 0, EPP_2367111154[[#Headers],[SPCC]],
   COUNTIF(Herramientas_de_izaje2468112155[Herramientas_de_izaje], B364) &gt; 0, Herramientas_de_izaje2468112155[[#Headers],[Herramientas_de_izaje]],
COUNTIF(Tabla162670114157[Equipos], B364) &gt; 0, Tabla162670114157[[#Headers],[Equipos]],
    TRUE, "Sin clasificación"
)</f>
        <v>Sin clasificación</v>
      </c>
      <c r="I364" s="15"/>
      <c r="J364" s="47"/>
      <c r="K364" s="76"/>
      <c r="L364" s="76"/>
      <c r="M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N364" s="77"/>
      <c r="O364" s="32"/>
      <c r="P364" s="32"/>
      <c r="Q364" s="32"/>
      <c r="R364" s="32"/>
    </row>
    <row r="365" spans="3:18" x14ac:dyDescent="0.3">
      <c r="C365" s="11"/>
      <c r="D365" s="32"/>
      <c r="E365" s="11" t="str" cm="1">
        <f t="array" ref="E365">_xlfn.IFS(
    COUNTIF(Herramientas_eléctricas1862106149[Herramientas_eléctricas], B365) &gt; 0, Herramientas_eléctricas1862106149[[#Headers],[Herramientas_eléctricas]],
    COUNTIF(Herramientas_neumáticas1963107150[Herramientas_neumáticas], B365) &gt; 0, Herramientas_neumáticas1963107150[[#Headers],[Herramientas_neumáticas]],
    COUNTIF(Herramientas_de_medición2064108151[Herramientas_de_medición], B365) &gt; 0, Herramientas_de_medición2064108151[[#Headers],[Herramientas_de_medición]],
    COUNTIF(Herrramientas_mecánicas2165109152[Herramientas_mecánicas], B365) &gt; 0, Herrramientas_mecánicas2165109152[[#Headers],[Herramientas_mecánicas]],
    COUNTIF(AH365:AH371, B365) &gt; 0, Herramientas_hidráulicas2266110153[[#Headers],[Herramientas_hidráulicas]],
    COUNTIF(EPP_2367111154[SPCC], B365) &gt; 0, EPP_2367111154[[#Headers],[SPCC]],
   COUNTIF(Herramientas_de_izaje2468112155[Herramientas_de_izaje], B365) &gt; 0, Herramientas_de_izaje2468112155[[#Headers],[Herramientas_de_izaje]],
COUNTIF(Tabla162670114157[Equipos], B365) &gt; 0, Tabla162670114157[[#Headers],[Equipos]],
    TRUE, "Sin clasificación"
)</f>
        <v>Sin clasificación</v>
      </c>
      <c r="I365" s="15"/>
      <c r="J365" s="47"/>
      <c r="K365" s="76"/>
      <c r="L365" s="76"/>
      <c r="M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N365" s="77"/>
      <c r="O365" s="32"/>
      <c r="P365" s="32"/>
      <c r="Q365" s="32"/>
      <c r="R365" s="32"/>
    </row>
    <row r="366" spans="3:18" x14ac:dyDescent="0.3">
      <c r="C366" s="11"/>
      <c r="D366" s="32"/>
      <c r="E366" s="11" t="str" cm="1">
        <f t="array" ref="E366">_xlfn.IFS(
    COUNTIF(Herramientas_eléctricas1862106149[Herramientas_eléctricas], B366) &gt; 0, Herramientas_eléctricas1862106149[[#Headers],[Herramientas_eléctricas]],
    COUNTIF(Herramientas_neumáticas1963107150[Herramientas_neumáticas], B366) &gt; 0, Herramientas_neumáticas1963107150[[#Headers],[Herramientas_neumáticas]],
    COUNTIF(Herramientas_de_medición2064108151[Herramientas_de_medición], B366) &gt; 0, Herramientas_de_medición2064108151[[#Headers],[Herramientas_de_medición]],
    COUNTIF(Herrramientas_mecánicas2165109152[Herramientas_mecánicas], B366) &gt; 0, Herrramientas_mecánicas2165109152[[#Headers],[Herramientas_mecánicas]],
    COUNTIF(AH366:AH372, B366) &gt; 0, Herramientas_hidráulicas2266110153[[#Headers],[Herramientas_hidráulicas]],
    COUNTIF(EPP_2367111154[SPCC], B366) &gt; 0, EPP_2367111154[[#Headers],[SPCC]],
   COUNTIF(Herramientas_de_izaje2468112155[Herramientas_de_izaje], B366) &gt; 0, Herramientas_de_izaje2468112155[[#Headers],[Herramientas_de_izaje]],
COUNTIF(Tabla162670114157[Equipos], B366) &gt; 0, Tabla162670114157[[#Headers],[Equipos]],
    TRUE, "Sin clasificación"
)</f>
        <v>Sin clasificación</v>
      </c>
      <c r="I366" s="15"/>
      <c r="J366" s="47"/>
      <c r="K366" s="76"/>
      <c r="L366" s="76"/>
      <c r="M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N366" s="77"/>
      <c r="O366" s="32"/>
      <c r="P366" s="32"/>
      <c r="Q366" s="32"/>
      <c r="R366" s="32"/>
    </row>
    <row r="367" spans="3:18" x14ac:dyDescent="0.3">
      <c r="C367" s="11"/>
      <c r="D367" s="32"/>
      <c r="E367" s="11" t="str" cm="1">
        <f t="array" ref="E367">_xlfn.IFS(
    COUNTIF(Herramientas_eléctricas1862106149[Herramientas_eléctricas], B367) &gt; 0, Herramientas_eléctricas1862106149[[#Headers],[Herramientas_eléctricas]],
    COUNTIF(Herramientas_neumáticas1963107150[Herramientas_neumáticas], B367) &gt; 0, Herramientas_neumáticas1963107150[[#Headers],[Herramientas_neumáticas]],
    COUNTIF(Herramientas_de_medición2064108151[Herramientas_de_medición], B367) &gt; 0, Herramientas_de_medición2064108151[[#Headers],[Herramientas_de_medición]],
    COUNTIF(Herrramientas_mecánicas2165109152[Herramientas_mecánicas], B367) &gt; 0, Herrramientas_mecánicas2165109152[[#Headers],[Herramientas_mecánicas]],
    COUNTIF(AH367:AH373, B367) &gt; 0, Herramientas_hidráulicas2266110153[[#Headers],[Herramientas_hidráulicas]],
    COUNTIF(EPP_2367111154[SPCC], B367) &gt; 0, EPP_2367111154[[#Headers],[SPCC]],
   COUNTIF(Herramientas_de_izaje2468112155[Herramientas_de_izaje], B367) &gt; 0, Herramientas_de_izaje2468112155[[#Headers],[Herramientas_de_izaje]],
COUNTIF(Tabla162670114157[Equipos], B367) &gt; 0, Tabla162670114157[[#Headers],[Equipos]],
    TRUE, "Sin clasificación"
)</f>
        <v>Sin clasificación</v>
      </c>
      <c r="I367" s="15"/>
      <c r="J367" s="47"/>
      <c r="K367" s="76"/>
      <c r="L367" s="76"/>
      <c r="M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N367" s="77"/>
      <c r="O367" s="32"/>
      <c r="P367" s="32"/>
      <c r="Q367" s="32"/>
      <c r="R367" s="32"/>
    </row>
    <row r="368" spans="3:18" x14ac:dyDescent="0.3">
      <c r="C368" s="11"/>
      <c r="D368" s="32"/>
      <c r="E368" s="11" t="str" cm="1">
        <f t="array" ref="E368">_xlfn.IFS(
    COUNTIF(Herramientas_eléctricas1862106149[Herramientas_eléctricas], B368) &gt; 0, Herramientas_eléctricas1862106149[[#Headers],[Herramientas_eléctricas]],
    COUNTIF(Herramientas_neumáticas1963107150[Herramientas_neumáticas], B368) &gt; 0, Herramientas_neumáticas1963107150[[#Headers],[Herramientas_neumáticas]],
    COUNTIF(Herramientas_de_medición2064108151[Herramientas_de_medición], B368) &gt; 0, Herramientas_de_medición2064108151[[#Headers],[Herramientas_de_medición]],
    COUNTIF(Herrramientas_mecánicas2165109152[Herramientas_mecánicas], B368) &gt; 0, Herrramientas_mecánicas2165109152[[#Headers],[Herramientas_mecánicas]],
    COUNTIF(AH368:AH374, B368) &gt; 0, Herramientas_hidráulicas2266110153[[#Headers],[Herramientas_hidráulicas]],
    COUNTIF(EPP_2367111154[SPCC], B368) &gt; 0, EPP_2367111154[[#Headers],[SPCC]],
   COUNTIF(Herramientas_de_izaje2468112155[Herramientas_de_izaje], B368) &gt; 0, Herramientas_de_izaje2468112155[[#Headers],[Herramientas_de_izaje]],
COUNTIF(Tabla162670114157[Equipos], B368) &gt; 0, Tabla162670114157[[#Headers],[Equipos]],
    TRUE, "Sin clasificación"
)</f>
        <v>Sin clasificación</v>
      </c>
      <c r="I368" s="15"/>
      <c r="J368" s="47"/>
      <c r="K368" s="76"/>
      <c r="L368" s="76"/>
      <c r="M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N368" s="77"/>
      <c r="O368" s="32"/>
      <c r="P368" s="32"/>
      <c r="Q368" s="32"/>
      <c r="R368" s="32"/>
    </row>
    <row r="369" spans="3:18" x14ac:dyDescent="0.3">
      <c r="C369" s="11"/>
      <c r="D369" s="32"/>
      <c r="E369" s="11" t="str" cm="1">
        <f t="array" ref="E369">_xlfn.IFS(
    COUNTIF(Herramientas_eléctricas1862106149[Herramientas_eléctricas], B369) &gt; 0, Herramientas_eléctricas1862106149[[#Headers],[Herramientas_eléctricas]],
    COUNTIF(Herramientas_neumáticas1963107150[Herramientas_neumáticas], B369) &gt; 0, Herramientas_neumáticas1963107150[[#Headers],[Herramientas_neumáticas]],
    COUNTIF(Herramientas_de_medición2064108151[Herramientas_de_medición], B369) &gt; 0, Herramientas_de_medición2064108151[[#Headers],[Herramientas_de_medición]],
    COUNTIF(Herrramientas_mecánicas2165109152[Herramientas_mecánicas], B369) &gt; 0, Herrramientas_mecánicas2165109152[[#Headers],[Herramientas_mecánicas]],
    COUNTIF(AH369:AH375, B369) &gt; 0, Herramientas_hidráulicas2266110153[[#Headers],[Herramientas_hidráulicas]],
    COUNTIF(EPP_2367111154[SPCC], B369) &gt; 0, EPP_2367111154[[#Headers],[SPCC]],
   COUNTIF(Herramientas_de_izaje2468112155[Herramientas_de_izaje], B369) &gt; 0, Herramientas_de_izaje2468112155[[#Headers],[Herramientas_de_izaje]],
COUNTIF(Tabla162670114157[Equipos], B369) &gt; 0, Tabla162670114157[[#Headers],[Equipos]],
    TRUE, "Sin clasificación"
)</f>
        <v>Sin clasificación</v>
      </c>
      <c r="I369" s="15"/>
      <c r="J369" s="47"/>
      <c r="K369" s="76"/>
      <c r="L369" s="76"/>
      <c r="M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N369" s="77"/>
      <c r="O369" s="32"/>
      <c r="P369" s="32"/>
      <c r="Q369" s="32"/>
      <c r="R369" s="32"/>
    </row>
    <row r="370" spans="3:18" x14ac:dyDescent="0.3">
      <c r="C370" s="11"/>
      <c r="D370" s="32"/>
      <c r="E370" s="11" t="str" cm="1">
        <f t="array" ref="E370">_xlfn.IFS(
    COUNTIF(Herramientas_eléctricas1862106149[Herramientas_eléctricas], B370) &gt; 0, Herramientas_eléctricas1862106149[[#Headers],[Herramientas_eléctricas]],
    COUNTIF(Herramientas_neumáticas1963107150[Herramientas_neumáticas], B370) &gt; 0, Herramientas_neumáticas1963107150[[#Headers],[Herramientas_neumáticas]],
    COUNTIF(Herramientas_de_medición2064108151[Herramientas_de_medición], B370) &gt; 0, Herramientas_de_medición2064108151[[#Headers],[Herramientas_de_medición]],
    COUNTIF(Herrramientas_mecánicas2165109152[Herramientas_mecánicas], B370) &gt; 0, Herrramientas_mecánicas2165109152[[#Headers],[Herramientas_mecánicas]],
    COUNTIF(AH370:AH376, B370) &gt; 0, Herramientas_hidráulicas2266110153[[#Headers],[Herramientas_hidráulicas]],
    COUNTIF(EPP_2367111154[SPCC], B370) &gt; 0, EPP_2367111154[[#Headers],[SPCC]],
   COUNTIF(Herramientas_de_izaje2468112155[Herramientas_de_izaje], B370) &gt; 0, Herramientas_de_izaje2468112155[[#Headers],[Herramientas_de_izaje]],
COUNTIF(Tabla162670114157[Equipos], B370) &gt; 0, Tabla162670114157[[#Headers],[Equipos]],
    TRUE, "Sin clasificación"
)</f>
        <v>Sin clasificación</v>
      </c>
      <c r="I370" s="15"/>
      <c r="J370" s="47"/>
      <c r="K370" s="76"/>
      <c r="L370" s="76"/>
      <c r="M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N370" s="77"/>
      <c r="O370" s="32"/>
      <c r="P370" s="32"/>
      <c r="Q370" s="32"/>
      <c r="R370" s="32"/>
    </row>
    <row r="371" spans="3:18" x14ac:dyDescent="0.3">
      <c r="C371" s="11"/>
      <c r="D371" s="32"/>
      <c r="E371" s="11" t="str" cm="1">
        <f t="array" ref="E371">_xlfn.IFS(
    COUNTIF(Herramientas_eléctricas1862106149[Herramientas_eléctricas], B371) &gt; 0, Herramientas_eléctricas1862106149[[#Headers],[Herramientas_eléctricas]],
    COUNTIF(Herramientas_neumáticas1963107150[Herramientas_neumáticas], B371) &gt; 0, Herramientas_neumáticas1963107150[[#Headers],[Herramientas_neumáticas]],
    COUNTIF(Herramientas_de_medición2064108151[Herramientas_de_medición], B371) &gt; 0, Herramientas_de_medición2064108151[[#Headers],[Herramientas_de_medición]],
    COUNTIF(Herrramientas_mecánicas2165109152[Herramientas_mecánicas], B371) &gt; 0, Herrramientas_mecánicas2165109152[[#Headers],[Herramientas_mecánicas]],
    COUNTIF(AH371:AH377, B371) &gt; 0, Herramientas_hidráulicas2266110153[[#Headers],[Herramientas_hidráulicas]],
    COUNTIF(EPP_2367111154[SPCC], B371) &gt; 0, EPP_2367111154[[#Headers],[SPCC]],
   COUNTIF(Herramientas_de_izaje2468112155[Herramientas_de_izaje], B371) &gt; 0, Herramientas_de_izaje2468112155[[#Headers],[Herramientas_de_izaje]],
COUNTIF(Tabla162670114157[Equipos], B371) &gt; 0, Tabla162670114157[[#Headers],[Equipos]],
    TRUE, "Sin clasificación"
)</f>
        <v>Sin clasificación</v>
      </c>
      <c r="I371" s="15"/>
      <c r="J371" s="47"/>
      <c r="K371" s="76"/>
      <c r="L371" s="76"/>
      <c r="M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N371" s="77"/>
      <c r="O371" s="32"/>
      <c r="P371" s="32"/>
      <c r="Q371" s="32"/>
      <c r="R371" s="32"/>
    </row>
    <row r="372" spans="3:18" x14ac:dyDescent="0.3">
      <c r="C372" s="11"/>
      <c r="D372" s="32"/>
      <c r="E372" s="11" t="str" cm="1">
        <f t="array" ref="E372">_xlfn.IFS(
    COUNTIF(Herramientas_eléctricas1862106149[Herramientas_eléctricas], B372) &gt; 0, Herramientas_eléctricas1862106149[[#Headers],[Herramientas_eléctricas]],
    COUNTIF(Herramientas_neumáticas1963107150[Herramientas_neumáticas], B372) &gt; 0, Herramientas_neumáticas1963107150[[#Headers],[Herramientas_neumáticas]],
    COUNTIF(Herramientas_de_medición2064108151[Herramientas_de_medición], B372) &gt; 0, Herramientas_de_medición2064108151[[#Headers],[Herramientas_de_medición]],
    COUNTIF(Herrramientas_mecánicas2165109152[Herramientas_mecánicas], B372) &gt; 0, Herrramientas_mecánicas2165109152[[#Headers],[Herramientas_mecánicas]],
    COUNTIF(AH372:AH378, B372) &gt; 0, Herramientas_hidráulicas2266110153[[#Headers],[Herramientas_hidráulicas]],
    COUNTIF(EPP_2367111154[SPCC], B372) &gt; 0, EPP_2367111154[[#Headers],[SPCC]],
   COUNTIF(Herramientas_de_izaje2468112155[Herramientas_de_izaje], B372) &gt; 0, Herramientas_de_izaje2468112155[[#Headers],[Herramientas_de_izaje]],
COUNTIF(Tabla162670114157[Equipos], B372) &gt; 0, Tabla162670114157[[#Headers],[Equipos]],
    TRUE, "Sin clasificación"
)</f>
        <v>Sin clasificación</v>
      </c>
      <c r="I372" s="15"/>
      <c r="J372" s="47"/>
      <c r="K372" s="76"/>
      <c r="L372" s="76"/>
      <c r="M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N372" s="77"/>
      <c r="O372" s="32"/>
      <c r="P372" s="32"/>
      <c r="Q372" s="32"/>
      <c r="R372" s="32"/>
    </row>
    <row r="373" spans="3:18" x14ac:dyDescent="0.3">
      <c r="C373" s="11"/>
      <c r="D373" s="32"/>
      <c r="E373" s="11" t="str" cm="1">
        <f t="array" ref="E373">_xlfn.IFS(
    COUNTIF(Herramientas_eléctricas1862106149[Herramientas_eléctricas], B373) &gt; 0, Herramientas_eléctricas1862106149[[#Headers],[Herramientas_eléctricas]],
    COUNTIF(Herramientas_neumáticas1963107150[Herramientas_neumáticas], B373) &gt; 0, Herramientas_neumáticas1963107150[[#Headers],[Herramientas_neumáticas]],
    COUNTIF(Herramientas_de_medición2064108151[Herramientas_de_medición], B373) &gt; 0, Herramientas_de_medición2064108151[[#Headers],[Herramientas_de_medición]],
    COUNTIF(Herrramientas_mecánicas2165109152[Herramientas_mecánicas], B373) &gt; 0, Herrramientas_mecánicas2165109152[[#Headers],[Herramientas_mecánicas]],
    COUNTIF(AH373:AH379, B373) &gt; 0, Herramientas_hidráulicas2266110153[[#Headers],[Herramientas_hidráulicas]],
    COUNTIF(EPP_2367111154[SPCC], B373) &gt; 0, EPP_2367111154[[#Headers],[SPCC]],
   COUNTIF(Herramientas_de_izaje2468112155[Herramientas_de_izaje], B373) &gt; 0, Herramientas_de_izaje2468112155[[#Headers],[Herramientas_de_izaje]],
COUNTIF(Tabla162670114157[Equipos], B373) &gt; 0, Tabla162670114157[[#Headers],[Equipos]],
    TRUE, "Sin clasificación"
)</f>
        <v>Sin clasificación</v>
      </c>
      <c r="I373" s="15"/>
      <c r="J373" s="47"/>
      <c r="K373" s="76"/>
      <c r="L373" s="76"/>
      <c r="M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N373" s="77"/>
      <c r="O373" s="32"/>
      <c r="P373" s="32"/>
      <c r="Q373" s="32"/>
      <c r="R373" s="32"/>
    </row>
    <row r="374" spans="3:18" x14ac:dyDescent="0.3">
      <c r="C374" s="11"/>
      <c r="D374" s="32"/>
      <c r="E374" s="11" t="str" cm="1">
        <f t="array" ref="E374">_xlfn.IFS(
    COUNTIF(Herramientas_eléctricas1862106149[Herramientas_eléctricas], B374) &gt; 0, Herramientas_eléctricas1862106149[[#Headers],[Herramientas_eléctricas]],
    COUNTIF(Herramientas_neumáticas1963107150[Herramientas_neumáticas], B374) &gt; 0, Herramientas_neumáticas1963107150[[#Headers],[Herramientas_neumáticas]],
    COUNTIF(Herramientas_de_medición2064108151[Herramientas_de_medición], B374) &gt; 0, Herramientas_de_medición2064108151[[#Headers],[Herramientas_de_medición]],
    COUNTIF(Herrramientas_mecánicas2165109152[Herramientas_mecánicas], B374) &gt; 0, Herrramientas_mecánicas2165109152[[#Headers],[Herramientas_mecánicas]],
    COUNTIF(AH374:AH380, B374) &gt; 0, Herramientas_hidráulicas2266110153[[#Headers],[Herramientas_hidráulicas]],
    COUNTIF(EPP_2367111154[SPCC], B374) &gt; 0, EPP_2367111154[[#Headers],[SPCC]],
   COUNTIF(Herramientas_de_izaje2468112155[Herramientas_de_izaje], B374) &gt; 0, Herramientas_de_izaje2468112155[[#Headers],[Herramientas_de_izaje]],
COUNTIF(Tabla162670114157[Equipos], B374) &gt; 0, Tabla162670114157[[#Headers],[Equipos]],
    TRUE, "Sin clasificación"
)</f>
        <v>Sin clasificación</v>
      </c>
      <c r="I374" s="15"/>
      <c r="J374" s="47"/>
      <c r="K374" s="76"/>
      <c r="L374" s="76"/>
      <c r="M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N374" s="77"/>
      <c r="O374" s="32"/>
      <c r="P374" s="32"/>
      <c r="Q374" s="32"/>
      <c r="R374" s="32"/>
    </row>
    <row r="375" spans="3:18" x14ac:dyDescent="0.3">
      <c r="C375" s="11"/>
      <c r="D375" s="32"/>
      <c r="E375" s="11" t="str" cm="1">
        <f t="array" ref="E375">_xlfn.IFS(
    COUNTIF(Herramientas_eléctricas1862106149[Herramientas_eléctricas], B375) &gt; 0, Herramientas_eléctricas1862106149[[#Headers],[Herramientas_eléctricas]],
    COUNTIF(Herramientas_neumáticas1963107150[Herramientas_neumáticas], B375) &gt; 0, Herramientas_neumáticas1963107150[[#Headers],[Herramientas_neumáticas]],
    COUNTIF(Herramientas_de_medición2064108151[Herramientas_de_medición], B375) &gt; 0, Herramientas_de_medición2064108151[[#Headers],[Herramientas_de_medición]],
    COUNTIF(Herrramientas_mecánicas2165109152[Herramientas_mecánicas], B375) &gt; 0, Herrramientas_mecánicas2165109152[[#Headers],[Herramientas_mecánicas]],
    COUNTIF(AH375:AH381, B375) &gt; 0, Herramientas_hidráulicas2266110153[[#Headers],[Herramientas_hidráulicas]],
    COUNTIF(EPP_2367111154[SPCC], B375) &gt; 0, EPP_2367111154[[#Headers],[SPCC]],
   COUNTIF(Herramientas_de_izaje2468112155[Herramientas_de_izaje], B375) &gt; 0, Herramientas_de_izaje2468112155[[#Headers],[Herramientas_de_izaje]],
COUNTIF(Tabla162670114157[Equipos], B375) &gt; 0, Tabla162670114157[[#Headers],[Equipos]],
    TRUE, "Sin clasificación"
)</f>
        <v>Sin clasificación</v>
      </c>
      <c r="I375" s="15"/>
      <c r="J375" s="47"/>
      <c r="K375" s="76"/>
      <c r="L375" s="76"/>
      <c r="M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N375" s="77"/>
      <c r="O375" s="32"/>
      <c r="P375" s="32"/>
      <c r="Q375" s="32"/>
      <c r="R375" s="32"/>
    </row>
    <row r="376" spans="3:18" x14ac:dyDescent="0.3">
      <c r="C376" s="11"/>
      <c r="D376" s="32"/>
      <c r="E376" s="11" t="str" cm="1">
        <f t="array" ref="E376">_xlfn.IFS(
    COUNTIF(Herramientas_eléctricas1862106149[Herramientas_eléctricas], B376) &gt; 0, Herramientas_eléctricas1862106149[[#Headers],[Herramientas_eléctricas]],
    COUNTIF(Herramientas_neumáticas1963107150[Herramientas_neumáticas], B376) &gt; 0, Herramientas_neumáticas1963107150[[#Headers],[Herramientas_neumáticas]],
    COUNTIF(Herramientas_de_medición2064108151[Herramientas_de_medición], B376) &gt; 0, Herramientas_de_medición2064108151[[#Headers],[Herramientas_de_medición]],
    COUNTIF(Herrramientas_mecánicas2165109152[Herramientas_mecánicas], B376) &gt; 0, Herrramientas_mecánicas2165109152[[#Headers],[Herramientas_mecánicas]],
    COUNTIF(AH376:AH382, B376) &gt; 0, Herramientas_hidráulicas2266110153[[#Headers],[Herramientas_hidráulicas]],
    COUNTIF(EPP_2367111154[SPCC], B376) &gt; 0, EPP_2367111154[[#Headers],[SPCC]],
   COUNTIF(Herramientas_de_izaje2468112155[Herramientas_de_izaje], B376) &gt; 0, Herramientas_de_izaje2468112155[[#Headers],[Herramientas_de_izaje]],
COUNTIF(Tabla162670114157[Equipos], B376) &gt; 0, Tabla162670114157[[#Headers],[Equipos]],
    TRUE, "Sin clasificación"
)</f>
        <v>Sin clasificación</v>
      </c>
      <c r="I376" s="15"/>
      <c r="J376" s="47"/>
      <c r="K376" s="76"/>
      <c r="L376" s="76"/>
      <c r="M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N376" s="77"/>
      <c r="O376" s="32"/>
      <c r="P376" s="32"/>
      <c r="Q376" s="32"/>
      <c r="R376" s="32"/>
    </row>
    <row r="377" spans="3:18" x14ac:dyDescent="0.3">
      <c r="C377" s="11"/>
      <c r="D377" s="32"/>
      <c r="E377" s="11" t="str" cm="1">
        <f t="array" ref="E377">_xlfn.IFS(
    COUNTIF(Herramientas_eléctricas1862106149[Herramientas_eléctricas], B377) &gt; 0, Herramientas_eléctricas1862106149[[#Headers],[Herramientas_eléctricas]],
    COUNTIF(Herramientas_neumáticas1963107150[Herramientas_neumáticas], B377) &gt; 0, Herramientas_neumáticas1963107150[[#Headers],[Herramientas_neumáticas]],
    COUNTIF(Herramientas_de_medición2064108151[Herramientas_de_medición], B377) &gt; 0, Herramientas_de_medición2064108151[[#Headers],[Herramientas_de_medición]],
    COUNTIF(Herrramientas_mecánicas2165109152[Herramientas_mecánicas], B377) &gt; 0, Herrramientas_mecánicas2165109152[[#Headers],[Herramientas_mecánicas]],
    COUNTIF(AH377:AH383, B377) &gt; 0, Herramientas_hidráulicas2266110153[[#Headers],[Herramientas_hidráulicas]],
    COUNTIF(EPP_2367111154[SPCC], B377) &gt; 0, EPP_2367111154[[#Headers],[SPCC]],
   COUNTIF(Herramientas_de_izaje2468112155[Herramientas_de_izaje], B377) &gt; 0, Herramientas_de_izaje2468112155[[#Headers],[Herramientas_de_izaje]],
COUNTIF(Tabla162670114157[Equipos], B377) &gt; 0, Tabla162670114157[[#Headers],[Equipos]],
    TRUE, "Sin clasificación"
)</f>
        <v>Sin clasificación</v>
      </c>
      <c r="I377" s="15"/>
      <c r="J377" s="47"/>
      <c r="K377" s="76"/>
      <c r="L377" s="76"/>
      <c r="M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N377" s="77"/>
      <c r="O377" s="32"/>
      <c r="P377" s="32"/>
      <c r="Q377" s="32"/>
      <c r="R377" s="32"/>
    </row>
    <row r="378" spans="3:18" x14ac:dyDescent="0.3">
      <c r="C378" s="11"/>
      <c r="D378" s="32"/>
      <c r="E378" s="11" t="str" cm="1">
        <f t="array" ref="E378">_xlfn.IFS(
    COUNTIF(Herramientas_eléctricas1862106149[Herramientas_eléctricas], B378) &gt; 0, Herramientas_eléctricas1862106149[[#Headers],[Herramientas_eléctricas]],
    COUNTIF(Herramientas_neumáticas1963107150[Herramientas_neumáticas], B378) &gt; 0, Herramientas_neumáticas1963107150[[#Headers],[Herramientas_neumáticas]],
    COUNTIF(Herramientas_de_medición2064108151[Herramientas_de_medición], B378) &gt; 0, Herramientas_de_medición2064108151[[#Headers],[Herramientas_de_medición]],
    COUNTIF(Herrramientas_mecánicas2165109152[Herramientas_mecánicas], B378) &gt; 0, Herrramientas_mecánicas2165109152[[#Headers],[Herramientas_mecánicas]],
    COUNTIF(AH378:AH384, B378) &gt; 0, Herramientas_hidráulicas2266110153[[#Headers],[Herramientas_hidráulicas]],
    COUNTIF(EPP_2367111154[SPCC], B378) &gt; 0, EPP_2367111154[[#Headers],[SPCC]],
   COUNTIF(Herramientas_de_izaje2468112155[Herramientas_de_izaje], B378) &gt; 0, Herramientas_de_izaje2468112155[[#Headers],[Herramientas_de_izaje]],
COUNTIF(Tabla162670114157[Equipos], B378) &gt; 0, Tabla162670114157[[#Headers],[Equipos]],
    TRUE, "Sin clasificación"
)</f>
        <v>Sin clasificación</v>
      </c>
      <c r="I378" s="15"/>
      <c r="J378" s="47"/>
      <c r="K378" s="76"/>
      <c r="L378" s="76"/>
      <c r="M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N378" s="77"/>
      <c r="O378" s="32"/>
      <c r="P378" s="32"/>
      <c r="Q378" s="32"/>
      <c r="R378" s="32"/>
    </row>
    <row r="379" spans="3:18" x14ac:dyDescent="0.3">
      <c r="C379" s="11"/>
      <c r="D379" s="32"/>
      <c r="E379" s="11" t="str" cm="1">
        <f t="array" ref="E379">_xlfn.IFS(
    COUNTIF(Herramientas_eléctricas1862106149[Herramientas_eléctricas], B379) &gt; 0, Herramientas_eléctricas1862106149[[#Headers],[Herramientas_eléctricas]],
    COUNTIF(Herramientas_neumáticas1963107150[Herramientas_neumáticas], B379) &gt; 0, Herramientas_neumáticas1963107150[[#Headers],[Herramientas_neumáticas]],
    COUNTIF(Herramientas_de_medición2064108151[Herramientas_de_medición], B379) &gt; 0, Herramientas_de_medición2064108151[[#Headers],[Herramientas_de_medición]],
    COUNTIF(Herrramientas_mecánicas2165109152[Herramientas_mecánicas], B379) &gt; 0, Herrramientas_mecánicas2165109152[[#Headers],[Herramientas_mecánicas]],
    COUNTIF(AH379:AH385, B379) &gt; 0, Herramientas_hidráulicas2266110153[[#Headers],[Herramientas_hidráulicas]],
    COUNTIF(EPP_2367111154[SPCC], B379) &gt; 0, EPP_2367111154[[#Headers],[SPCC]],
   COUNTIF(Herramientas_de_izaje2468112155[Herramientas_de_izaje], B379) &gt; 0, Herramientas_de_izaje2468112155[[#Headers],[Herramientas_de_izaje]],
COUNTIF(Tabla162670114157[Equipos], B379) &gt; 0, Tabla162670114157[[#Headers],[Equipos]],
    TRUE, "Sin clasificación"
)</f>
        <v>Sin clasificación</v>
      </c>
      <c r="I379" s="15"/>
      <c r="J379" s="47"/>
      <c r="K379" s="76"/>
      <c r="L379" s="76"/>
      <c r="M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N379" s="77"/>
      <c r="O379" s="32"/>
      <c r="P379" s="32"/>
      <c r="Q379" s="32"/>
      <c r="R379" s="32"/>
    </row>
    <row r="380" spans="3:18" x14ac:dyDescent="0.3">
      <c r="C380" s="11"/>
      <c r="D380" s="32"/>
      <c r="E380" s="11" t="str" cm="1">
        <f t="array" ref="E380">_xlfn.IFS(
    COUNTIF(Herramientas_eléctricas1862106149[Herramientas_eléctricas], B380) &gt; 0, Herramientas_eléctricas1862106149[[#Headers],[Herramientas_eléctricas]],
    COUNTIF(Herramientas_neumáticas1963107150[Herramientas_neumáticas], B380) &gt; 0, Herramientas_neumáticas1963107150[[#Headers],[Herramientas_neumáticas]],
    COUNTIF(Herramientas_de_medición2064108151[Herramientas_de_medición], B380) &gt; 0, Herramientas_de_medición2064108151[[#Headers],[Herramientas_de_medición]],
    COUNTIF(Herrramientas_mecánicas2165109152[Herramientas_mecánicas], B380) &gt; 0, Herrramientas_mecánicas2165109152[[#Headers],[Herramientas_mecánicas]],
    COUNTIF(AH380:AH386, B380) &gt; 0, Herramientas_hidráulicas2266110153[[#Headers],[Herramientas_hidráulicas]],
    COUNTIF(EPP_2367111154[SPCC], B380) &gt; 0, EPP_2367111154[[#Headers],[SPCC]],
   COUNTIF(Herramientas_de_izaje2468112155[Herramientas_de_izaje], B380) &gt; 0, Herramientas_de_izaje2468112155[[#Headers],[Herramientas_de_izaje]],
COUNTIF(Tabla162670114157[Equipos], B380) &gt; 0, Tabla162670114157[[#Headers],[Equipos]],
    TRUE, "Sin clasificación"
)</f>
        <v>Sin clasificación</v>
      </c>
      <c r="I380" s="15"/>
      <c r="J380" s="47"/>
      <c r="K380" s="76"/>
      <c r="L380" s="76"/>
      <c r="M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N380" s="77"/>
      <c r="O380" s="32"/>
      <c r="P380" s="32"/>
      <c r="Q380" s="32"/>
      <c r="R380" s="32"/>
    </row>
    <row r="381" spans="3:18" x14ac:dyDescent="0.3">
      <c r="C381" s="11"/>
      <c r="D381" s="32"/>
      <c r="E381" s="11" t="str" cm="1">
        <f t="array" ref="E381">_xlfn.IFS(
    COUNTIF(Herramientas_eléctricas1862106149[Herramientas_eléctricas], B381) &gt; 0, Herramientas_eléctricas1862106149[[#Headers],[Herramientas_eléctricas]],
    COUNTIF(Herramientas_neumáticas1963107150[Herramientas_neumáticas], B381) &gt; 0, Herramientas_neumáticas1963107150[[#Headers],[Herramientas_neumáticas]],
    COUNTIF(Herramientas_de_medición2064108151[Herramientas_de_medición], B381) &gt; 0, Herramientas_de_medición2064108151[[#Headers],[Herramientas_de_medición]],
    COUNTIF(Herrramientas_mecánicas2165109152[Herramientas_mecánicas], B381) &gt; 0, Herrramientas_mecánicas2165109152[[#Headers],[Herramientas_mecánicas]],
    COUNTIF(AH381:AH387, B381) &gt; 0, Herramientas_hidráulicas2266110153[[#Headers],[Herramientas_hidráulicas]],
    COUNTIF(EPP_2367111154[SPCC], B381) &gt; 0, EPP_2367111154[[#Headers],[SPCC]],
   COUNTIF(Herramientas_de_izaje2468112155[Herramientas_de_izaje], B381) &gt; 0, Herramientas_de_izaje2468112155[[#Headers],[Herramientas_de_izaje]],
COUNTIF(Tabla162670114157[Equipos], B381) &gt; 0, Tabla162670114157[[#Headers],[Equipos]],
    TRUE, "Sin clasificación"
)</f>
        <v>Sin clasificación</v>
      </c>
      <c r="I381" s="15"/>
      <c r="J381" s="47"/>
      <c r="K381" s="76"/>
      <c r="L381" s="76"/>
      <c r="M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N381" s="77"/>
      <c r="O381" s="32"/>
      <c r="P381" s="32"/>
      <c r="Q381" s="32"/>
      <c r="R381" s="32"/>
    </row>
    <row r="382" spans="3:18" x14ac:dyDescent="0.3">
      <c r="C382" s="11"/>
      <c r="D382" s="32"/>
      <c r="E382" s="11" t="str" cm="1">
        <f t="array" ref="E382">_xlfn.IFS(
    COUNTIF(Herramientas_eléctricas1862106149[Herramientas_eléctricas], B382) &gt; 0, Herramientas_eléctricas1862106149[[#Headers],[Herramientas_eléctricas]],
    COUNTIF(Herramientas_neumáticas1963107150[Herramientas_neumáticas], B382) &gt; 0, Herramientas_neumáticas1963107150[[#Headers],[Herramientas_neumáticas]],
    COUNTIF(Herramientas_de_medición2064108151[Herramientas_de_medición], B382) &gt; 0, Herramientas_de_medición2064108151[[#Headers],[Herramientas_de_medición]],
    COUNTIF(Herrramientas_mecánicas2165109152[Herramientas_mecánicas], B382) &gt; 0, Herrramientas_mecánicas2165109152[[#Headers],[Herramientas_mecánicas]],
    COUNTIF(AH382:AH388, B382) &gt; 0, Herramientas_hidráulicas2266110153[[#Headers],[Herramientas_hidráulicas]],
    COUNTIF(EPP_2367111154[SPCC], B382) &gt; 0, EPP_2367111154[[#Headers],[SPCC]],
   COUNTIF(Herramientas_de_izaje2468112155[Herramientas_de_izaje], B382) &gt; 0, Herramientas_de_izaje2468112155[[#Headers],[Herramientas_de_izaje]],
COUNTIF(Tabla162670114157[Equipos], B382) &gt; 0, Tabla162670114157[[#Headers],[Equipos]],
    TRUE, "Sin clasificación"
)</f>
        <v>Sin clasificación</v>
      </c>
      <c r="I382" s="15"/>
      <c r="J382" s="47"/>
      <c r="K382" s="76"/>
      <c r="L382" s="76"/>
      <c r="M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N382" s="77"/>
      <c r="O382" s="32"/>
      <c r="P382" s="32"/>
      <c r="Q382" s="32"/>
      <c r="R382" s="32"/>
    </row>
    <row r="383" spans="3:18" x14ac:dyDescent="0.3">
      <c r="C383" s="11"/>
      <c r="D383" s="32"/>
      <c r="E383" s="11" t="str" cm="1">
        <f t="array" ref="E383">_xlfn.IFS(
    COUNTIF(Herramientas_eléctricas1862106149[Herramientas_eléctricas], B383) &gt; 0, Herramientas_eléctricas1862106149[[#Headers],[Herramientas_eléctricas]],
    COUNTIF(Herramientas_neumáticas1963107150[Herramientas_neumáticas], B383) &gt; 0, Herramientas_neumáticas1963107150[[#Headers],[Herramientas_neumáticas]],
    COUNTIF(Herramientas_de_medición2064108151[Herramientas_de_medición], B383) &gt; 0, Herramientas_de_medición2064108151[[#Headers],[Herramientas_de_medición]],
    COUNTIF(Herrramientas_mecánicas2165109152[Herramientas_mecánicas], B383) &gt; 0, Herrramientas_mecánicas2165109152[[#Headers],[Herramientas_mecánicas]],
    COUNTIF(AH383:AH389, B383) &gt; 0, Herramientas_hidráulicas2266110153[[#Headers],[Herramientas_hidráulicas]],
    COUNTIF(EPP_2367111154[SPCC], B383) &gt; 0, EPP_2367111154[[#Headers],[SPCC]],
   COUNTIF(Herramientas_de_izaje2468112155[Herramientas_de_izaje], B383) &gt; 0, Herramientas_de_izaje2468112155[[#Headers],[Herramientas_de_izaje]],
COUNTIF(Tabla162670114157[Equipos], B383) &gt; 0, Tabla162670114157[[#Headers],[Equipos]],
    TRUE, "Sin clasificación"
)</f>
        <v>Sin clasificación</v>
      </c>
      <c r="I383" s="15"/>
      <c r="J383" s="47"/>
      <c r="K383" s="76"/>
      <c r="L383" s="76"/>
      <c r="M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N383" s="77"/>
      <c r="O383" s="32"/>
      <c r="P383" s="32"/>
      <c r="Q383" s="32"/>
      <c r="R383" s="32"/>
    </row>
    <row r="384" spans="3:18" x14ac:dyDescent="0.3">
      <c r="C384" s="11"/>
      <c r="D384" s="32"/>
      <c r="E384" s="11" t="str" cm="1">
        <f t="array" ref="E384">_xlfn.IFS(
    COUNTIF(Herramientas_eléctricas1862106149[Herramientas_eléctricas], B384) &gt; 0, Herramientas_eléctricas1862106149[[#Headers],[Herramientas_eléctricas]],
    COUNTIF(Herramientas_neumáticas1963107150[Herramientas_neumáticas], B384) &gt; 0, Herramientas_neumáticas1963107150[[#Headers],[Herramientas_neumáticas]],
    COUNTIF(Herramientas_de_medición2064108151[Herramientas_de_medición], B384) &gt; 0, Herramientas_de_medición2064108151[[#Headers],[Herramientas_de_medición]],
    COUNTIF(Herrramientas_mecánicas2165109152[Herramientas_mecánicas], B384) &gt; 0, Herrramientas_mecánicas2165109152[[#Headers],[Herramientas_mecánicas]],
    COUNTIF(AH384:AH390, B384) &gt; 0, Herramientas_hidráulicas2266110153[[#Headers],[Herramientas_hidráulicas]],
    COUNTIF(EPP_2367111154[SPCC], B384) &gt; 0, EPP_2367111154[[#Headers],[SPCC]],
   COUNTIF(Herramientas_de_izaje2468112155[Herramientas_de_izaje], B384) &gt; 0, Herramientas_de_izaje2468112155[[#Headers],[Herramientas_de_izaje]],
COUNTIF(Tabla162670114157[Equipos], B384) &gt; 0, Tabla162670114157[[#Headers],[Equipos]],
    TRUE, "Sin clasificación"
)</f>
        <v>Sin clasificación</v>
      </c>
      <c r="I384" s="15"/>
      <c r="J384" s="47"/>
      <c r="K384" s="76"/>
      <c r="L384" s="76"/>
      <c r="M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N384" s="77"/>
      <c r="O384" s="32"/>
      <c r="P384" s="32"/>
      <c r="Q384" s="32"/>
      <c r="R384" s="32"/>
    </row>
    <row r="385" spans="3:18" x14ac:dyDescent="0.3">
      <c r="C385" s="11"/>
      <c r="D385" s="32"/>
      <c r="E385" s="11" t="str" cm="1">
        <f t="array" ref="E385">_xlfn.IFS(
    COUNTIF(Herramientas_eléctricas1862106149[Herramientas_eléctricas], B385) &gt; 0, Herramientas_eléctricas1862106149[[#Headers],[Herramientas_eléctricas]],
    COUNTIF(Herramientas_neumáticas1963107150[Herramientas_neumáticas], B385) &gt; 0, Herramientas_neumáticas1963107150[[#Headers],[Herramientas_neumáticas]],
    COUNTIF(Herramientas_de_medición2064108151[Herramientas_de_medición], B385) &gt; 0, Herramientas_de_medición2064108151[[#Headers],[Herramientas_de_medición]],
    COUNTIF(Herrramientas_mecánicas2165109152[Herramientas_mecánicas], B385) &gt; 0, Herrramientas_mecánicas2165109152[[#Headers],[Herramientas_mecánicas]],
    COUNTIF(AH385:AH391, B385) &gt; 0, Herramientas_hidráulicas2266110153[[#Headers],[Herramientas_hidráulicas]],
    COUNTIF(EPP_2367111154[SPCC], B385) &gt; 0, EPP_2367111154[[#Headers],[SPCC]],
   COUNTIF(Herramientas_de_izaje2468112155[Herramientas_de_izaje], B385) &gt; 0, Herramientas_de_izaje2468112155[[#Headers],[Herramientas_de_izaje]],
COUNTIF(Tabla162670114157[Equipos], B385) &gt; 0, Tabla162670114157[[#Headers],[Equipos]],
    TRUE, "Sin clasificación"
)</f>
        <v>Sin clasificación</v>
      </c>
      <c r="I385" s="15"/>
      <c r="J385" s="47"/>
      <c r="K385" s="76"/>
      <c r="L385" s="76"/>
      <c r="M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N385" s="77"/>
      <c r="O385" s="32"/>
      <c r="P385" s="32"/>
      <c r="Q385" s="32"/>
      <c r="R385" s="32"/>
    </row>
    <row r="386" spans="3:18" x14ac:dyDescent="0.3">
      <c r="C386" s="11"/>
      <c r="D386" s="32"/>
      <c r="E386" s="11" t="str" cm="1">
        <f t="array" ref="E386">_xlfn.IFS(
    COUNTIF(Herramientas_eléctricas1862106149[Herramientas_eléctricas], B386) &gt; 0, Herramientas_eléctricas1862106149[[#Headers],[Herramientas_eléctricas]],
    COUNTIF(Herramientas_neumáticas1963107150[Herramientas_neumáticas], B386) &gt; 0, Herramientas_neumáticas1963107150[[#Headers],[Herramientas_neumáticas]],
    COUNTIF(Herramientas_de_medición2064108151[Herramientas_de_medición], B386) &gt; 0, Herramientas_de_medición2064108151[[#Headers],[Herramientas_de_medición]],
    COUNTIF(Herrramientas_mecánicas2165109152[Herramientas_mecánicas], B386) &gt; 0, Herrramientas_mecánicas2165109152[[#Headers],[Herramientas_mecánicas]],
    COUNTIF(AH386:AH392, B386) &gt; 0, Herramientas_hidráulicas2266110153[[#Headers],[Herramientas_hidráulicas]],
    COUNTIF(EPP_2367111154[SPCC], B386) &gt; 0, EPP_2367111154[[#Headers],[SPCC]],
   COUNTIF(Herramientas_de_izaje2468112155[Herramientas_de_izaje], B386) &gt; 0, Herramientas_de_izaje2468112155[[#Headers],[Herramientas_de_izaje]],
COUNTIF(Tabla162670114157[Equipos], B386) &gt; 0, Tabla162670114157[[#Headers],[Equipos]],
    TRUE, "Sin clasificación"
)</f>
        <v>Sin clasificación</v>
      </c>
      <c r="I386" s="15"/>
      <c r="J386" s="47"/>
      <c r="K386" s="76"/>
      <c r="L386" s="76"/>
      <c r="M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N386" s="77"/>
      <c r="O386" s="32"/>
      <c r="P386" s="32"/>
      <c r="Q386" s="32"/>
      <c r="R386" s="32"/>
    </row>
    <row r="387" spans="3:18" x14ac:dyDescent="0.3">
      <c r="C387" s="11"/>
      <c r="D387" s="32"/>
      <c r="E387" s="11" t="str" cm="1">
        <f t="array" ref="E387">_xlfn.IFS(
    COUNTIF(Herramientas_eléctricas1862106149[Herramientas_eléctricas], B387) &gt; 0, Herramientas_eléctricas1862106149[[#Headers],[Herramientas_eléctricas]],
    COUNTIF(Herramientas_neumáticas1963107150[Herramientas_neumáticas], B387) &gt; 0, Herramientas_neumáticas1963107150[[#Headers],[Herramientas_neumáticas]],
    COUNTIF(Herramientas_de_medición2064108151[Herramientas_de_medición], B387) &gt; 0, Herramientas_de_medición2064108151[[#Headers],[Herramientas_de_medición]],
    COUNTIF(Herrramientas_mecánicas2165109152[Herramientas_mecánicas], B387) &gt; 0, Herrramientas_mecánicas2165109152[[#Headers],[Herramientas_mecánicas]],
    COUNTIF(AH387:AH393, B387) &gt; 0, Herramientas_hidráulicas2266110153[[#Headers],[Herramientas_hidráulicas]],
    COUNTIF(EPP_2367111154[SPCC], B387) &gt; 0, EPP_2367111154[[#Headers],[SPCC]],
   COUNTIF(Herramientas_de_izaje2468112155[Herramientas_de_izaje], B387) &gt; 0, Herramientas_de_izaje2468112155[[#Headers],[Herramientas_de_izaje]],
COUNTIF(Tabla162670114157[Equipos], B387) &gt; 0, Tabla162670114157[[#Headers],[Equipos]],
    TRUE, "Sin clasificación"
)</f>
        <v>Sin clasificación</v>
      </c>
      <c r="I387" s="15"/>
      <c r="J387" s="47"/>
      <c r="K387" s="76"/>
      <c r="L387" s="76"/>
      <c r="M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N387" s="77"/>
      <c r="O387" s="32"/>
      <c r="P387" s="32"/>
      <c r="Q387" s="32"/>
      <c r="R387" s="32"/>
    </row>
    <row r="388" spans="3:18" x14ac:dyDescent="0.3">
      <c r="C388" s="11"/>
      <c r="D388" s="32"/>
      <c r="E388" s="11" t="str" cm="1">
        <f t="array" ref="E388">_xlfn.IFS(
    COUNTIF(Herramientas_eléctricas1862106149[Herramientas_eléctricas], B388) &gt; 0, Herramientas_eléctricas1862106149[[#Headers],[Herramientas_eléctricas]],
    COUNTIF(Herramientas_neumáticas1963107150[Herramientas_neumáticas], B388) &gt; 0, Herramientas_neumáticas1963107150[[#Headers],[Herramientas_neumáticas]],
    COUNTIF(Herramientas_de_medición2064108151[Herramientas_de_medición], B388) &gt; 0, Herramientas_de_medición2064108151[[#Headers],[Herramientas_de_medición]],
    COUNTIF(Herrramientas_mecánicas2165109152[Herramientas_mecánicas], B388) &gt; 0, Herrramientas_mecánicas2165109152[[#Headers],[Herramientas_mecánicas]],
    COUNTIF(AH388:AH394, B388) &gt; 0, Herramientas_hidráulicas2266110153[[#Headers],[Herramientas_hidráulicas]],
    COUNTIF(EPP_2367111154[SPCC], B388) &gt; 0, EPP_2367111154[[#Headers],[SPCC]],
   COUNTIF(Herramientas_de_izaje2468112155[Herramientas_de_izaje], B388) &gt; 0, Herramientas_de_izaje2468112155[[#Headers],[Herramientas_de_izaje]],
COUNTIF(Tabla162670114157[Equipos], B388) &gt; 0, Tabla162670114157[[#Headers],[Equipos]],
    TRUE, "Sin clasificación"
)</f>
        <v>Sin clasificación</v>
      </c>
      <c r="I388" s="15"/>
      <c r="J388" s="47"/>
      <c r="K388" s="76"/>
      <c r="L388" s="76"/>
      <c r="M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N388" s="77"/>
      <c r="O388" s="32"/>
      <c r="P388" s="32"/>
      <c r="Q388" s="32"/>
      <c r="R388" s="32"/>
    </row>
    <row r="389" spans="3:18" x14ac:dyDescent="0.3">
      <c r="C389" s="11"/>
      <c r="D389" s="32"/>
      <c r="E389" s="11" t="str" cm="1">
        <f t="array" ref="E389">_xlfn.IFS(
    COUNTIF(Herramientas_eléctricas1862106149[Herramientas_eléctricas], B389) &gt; 0, Herramientas_eléctricas1862106149[[#Headers],[Herramientas_eléctricas]],
    COUNTIF(Herramientas_neumáticas1963107150[Herramientas_neumáticas], B389) &gt; 0, Herramientas_neumáticas1963107150[[#Headers],[Herramientas_neumáticas]],
    COUNTIF(Herramientas_de_medición2064108151[Herramientas_de_medición], B389) &gt; 0, Herramientas_de_medición2064108151[[#Headers],[Herramientas_de_medición]],
    COUNTIF(Herrramientas_mecánicas2165109152[Herramientas_mecánicas], B389) &gt; 0, Herrramientas_mecánicas2165109152[[#Headers],[Herramientas_mecánicas]],
    COUNTIF(AH389:AH395, B389) &gt; 0, Herramientas_hidráulicas2266110153[[#Headers],[Herramientas_hidráulicas]],
    COUNTIF(EPP_2367111154[SPCC], B389) &gt; 0, EPP_2367111154[[#Headers],[SPCC]],
   COUNTIF(Herramientas_de_izaje2468112155[Herramientas_de_izaje], B389) &gt; 0, Herramientas_de_izaje2468112155[[#Headers],[Herramientas_de_izaje]],
COUNTIF(Tabla162670114157[Equipos], B389) &gt; 0, Tabla162670114157[[#Headers],[Equipos]],
    TRUE, "Sin clasificación"
)</f>
        <v>Sin clasificación</v>
      </c>
      <c r="I389" s="15"/>
      <c r="J389" s="47"/>
      <c r="K389" s="76"/>
      <c r="L389" s="76"/>
      <c r="M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N389" s="77"/>
      <c r="O389" s="32"/>
      <c r="P389" s="32"/>
      <c r="Q389" s="32"/>
      <c r="R389" s="32"/>
    </row>
    <row r="390" spans="3:18" x14ac:dyDescent="0.3">
      <c r="C390" s="11"/>
      <c r="D390" s="32"/>
      <c r="E390" s="11" t="str" cm="1">
        <f t="array" ref="E390">_xlfn.IFS(
    COUNTIF(Herramientas_eléctricas1862106149[Herramientas_eléctricas], B390) &gt; 0, Herramientas_eléctricas1862106149[[#Headers],[Herramientas_eléctricas]],
    COUNTIF(Herramientas_neumáticas1963107150[Herramientas_neumáticas], B390) &gt; 0, Herramientas_neumáticas1963107150[[#Headers],[Herramientas_neumáticas]],
    COUNTIF(Herramientas_de_medición2064108151[Herramientas_de_medición], B390) &gt; 0, Herramientas_de_medición2064108151[[#Headers],[Herramientas_de_medición]],
    COUNTIF(Herrramientas_mecánicas2165109152[Herramientas_mecánicas], B390) &gt; 0, Herrramientas_mecánicas2165109152[[#Headers],[Herramientas_mecánicas]],
    COUNTIF(AH390:AH396, B390) &gt; 0, Herramientas_hidráulicas2266110153[[#Headers],[Herramientas_hidráulicas]],
    COUNTIF(EPP_2367111154[SPCC], B390) &gt; 0, EPP_2367111154[[#Headers],[SPCC]],
   COUNTIF(Herramientas_de_izaje2468112155[Herramientas_de_izaje], B390) &gt; 0, Herramientas_de_izaje2468112155[[#Headers],[Herramientas_de_izaje]],
COUNTIF(Tabla162670114157[Equipos], B390) &gt; 0, Tabla162670114157[[#Headers],[Equipos]],
    TRUE, "Sin clasificación"
)</f>
        <v>Sin clasificación</v>
      </c>
      <c r="I390" s="15"/>
      <c r="J390" s="47"/>
      <c r="K390" s="76"/>
      <c r="L390" s="76"/>
      <c r="M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N390" s="77"/>
      <c r="O390" s="32"/>
      <c r="P390" s="32"/>
      <c r="Q390" s="32"/>
      <c r="R390" s="32"/>
    </row>
    <row r="391" spans="3:18" x14ac:dyDescent="0.3">
      <c r="C391" s="11"/>
      <c r="D391" s="32"/>
      <c r="E391" s="11" t="str" cm="1">
        <f t="array" ref="E391">_xlfn.IFS(
    COUNTIF(Herramientas_eléctricas1862106149[Herramientas_eléctricas], B391) &gt; 0, Herramientas_eléctricas1862106149[[#Headers],[Herramientas_eléctricas]],
    COUNTIF(Herramientas_neumáticas1963107150[Herramientas_neumáticas], B391) &gt; 0, Herramientas_neumáticas1963107150[[#Headers],[Herramientas_neumáticas]],
    COUNTIF(Herramientas_de_medición2064108151[Herramientas_de_medición], B391) &gt; 0, Herramientas_de_medición2064108151[[#Headers],[Herramientas_de_medición]],
    COUNTIF(Herrramientas_mecánicas2165109152[Herramientas_mecánicas], B391) &gt; 0, Herrramientas_mecánicas2165109152[[#Headers],[Herramientas_mecánicas]],
    COUNTIF(AH391:AH397, B391) &gt; 0, Herramientas_hidráulicas2266110153[[#Headers],[Herramientas_hidráulicas]],
    COUNTIF(EPP_2367111154[SPCC], B391) &gt; 0, EPP_2367111154[[#Headers],[SPCC]],
   COUNTIF(Herramientas_de_izaje2468112155[Herramientas_de_izaje], B391) &gt; 0, Herramientas_de_izaje2468112155[[#Headers],[Herramientas_de_izaje]],
COUNTIF(Tabla162670114157[Equipos], B391) &gt; 0, Tabla162670114157[[#Headers],[Equipos]],
    TRUE, "Sin clasificación"
)</f>
        <v>Sin clasificación</v>
      </c>
      <c r="I391" s="15"/>
      <c r="J391" s="47"/>
      <c r="K391" s="76"/>
      <c r="L391" s="76"/>
      <c r="M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N391" s="77"/>
      <c r="O391" s="32"/>
      <c r="P391" s="32"/>
      <c r="Q391" s="32"/>
      <c r="R391" s="32"/>
    </row>
    <row r="392" spans="3:18" x14ac:dyDescent="0.3">
      <c r="C392" s="11"/>
      <c r="D392" s="32"/>
      <c r="E392" s="11" t="str" cm="1">
        <f t="array" ref="E392">_xlfn.IFS(
    COUNTIF(Herramientas_eléctricas1862106149[Herramientas_eléctricas], B392) &gt; 0, Herramientas_eléctricas1862106149[[#Headers],[Herramientas_eléctricas]],
    COUNTIF(Herramientas_neumáticas1963107150[Herramientas_neumáticas], B392) &gt; 0, Herramientas_neumáticas1963107150[[#Headers],[Herramientas_neumáticas]],
    COUNTIF(Herramientas_de_medición2064108151[Herramientas_de_medición], B392) &gt; 0, Herramientas_de_medición2064108151[[#Headers],[Herramientas_de_medición]],
    COUNTIF(Herrramientas_mecánicas2165109152[Herramientas_mecánicas], B392) &gt; 0, Herrramientas_mecánicas2165109152[[#Headers],[Herramientas_mecánicas]],
    COUNTIF(AH392:AH398, B392) &gt; 0, Herramientas_hidráulicas2266110153[[#Headers],[Herramientas_hidráulicas]],
    COUNTIF(EPP_2367111154[SPCC], B392) &gt; 0, EPP_2367111154[[#Headers],[SPCC]],
   COUNTIF(Herramientas_de_izaje2468112155[Herramientas_de_izaje], B392) &gt; 0, Herramientas_de_izaje2468112155[[#Headers],[Herramientas_de_izaje]],
COUNTIF(Tabla162670114157[Equipos], B392) &gt; 0, Tabla162670114157[[#Headers],[Equipos]],
    TRUE, "Sin clasificación"
)</f>
        <v>Sin clasificación</v>
      </c>
      <c r="I392" s="15"/>
      <c r="J392" s="47"/>
      <c r="K392" s="76"/>
      <c r="L392" s="76"/>
      <c r="M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N392" s="77"/>
      <c r="O392" s="32"/>
      <c r="P392" s="32"/>
      <c r="Q392" s="32"/>
      <c r="R392" s="32"/>
    </row>
    <row r="393" spans="3:18" x14ac:dyDescent="0.3">
      <c r="C393" s="11"/>
      <c r="D393" s="32"/>
      <c r="E393" s="11" t="str" cm="1">
        <f t="array" ref="E393">_xlfn.IFS(
    COUNTIF(Herramientas_eléctricas1862106149[Herramientas_eléctricas], B393) &gt; 0, Herramientas_eléctricas1862106149[[#Headers],[Herramientas_eléctricas]],
    COUNTIF(Herramientas_neumáticas1963107150[Herramientas_neumáticas], B393) &gt; 0, Herramientas_neumáticas1963107150[[#Headers],[Herramientas_neumáticas]],
    COUNTIF(Herramientas_de_medición2064108151[Herramientas_de_medición], B393) &gt; 0, Herramientas_de_medición2064108151[[#Headers],[Herramientas_de_medición]],
    COUNTIF(Herrramientas_mecánicas2165109152[Herramientas_mecánicas], B393) &gt; 0, Herrramientas_mecánicas2165109152[[#Headers],[Herramientas_mecánicas]],
    COUNTIF(AH393:AH399, B393) &gt; 0, Herramientas_hidráulicas2266110153[[#Headers],[Herramientas_hidráulicas]],
    COUNTIF(EPP_2367111154[SPCC], B393) &gt; 0, EPP_2367111154[[#Headers],[SPCC]],
   COUNTIF(Herramientas_de_izaje2468112155[Herramientas_de_izaje], B393) &gt; 0, Herramientas_de_izaje2468112155[[#Headers],[Herramientas_de_izaje]],
COUNTIF(Tabla162670114157[Equipos], B393) &gt; 0, Tabla162670114157[[#Headers],[Equipos]],
    TRUE, "Sin clasificación"
)</f>
        <v>Sin clasificación</v>
      </c>
      <c r="I393" s="15"/>
      <c r="J393" s="47"/>
      <c r="K393" s="76"/>
      <c r="L393" s="76"/>
      <c r="M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N393" s="77"/>
      <c r="O393" s="32"/>
      <c r="P393" s="32"/>
      <c r="Q393" s="32"/>
      <c r="R393" s="32"/>
    </row>
    <row r="394" spans="3:18" x14ac:dyDescent="0.3">
      <c r="C394" s="11"/>
      <c r="D394" s="32"/>
      <c r="E394" s="11" t="str" cm="1">
        <f t="array" ref="E394">_xlfn.IFS(
    COUNTIF(Herramientas_eléctricas1862106149[Herramientas_eléctricas], B394) &gt; 0, Herramientas_eléctricas1862106149[[#Headers],[Herramientas_eléctricas]],
    COUNTIF(Herramientas_neumáticas1963107150[Herramientas_neumáticas], B394) &gt; 0, Herramientas_neumáticas1963107150[[#Headers],[Herramientas_neumáticas]],
    COUNTIF(Herramientas_de_medición2064108151[Herramientas_de_medición], B394) &gt; 0, Herramientas_de_medición2064108151[[#Headers],[Herramientas_de_medición]],
    COUNTIF(Herrramientas_mecánicas2165109152[Herramientas_mecánicas], B394) &gt; 0, Herrramientas_mecánicas2165109152[[#Headers],[Herramientas_mecánicas]],
    COUNTIF(AH394:AH400, B394) &gt; 0, Herramientas_hidráulicas2266110153[[#Headers],[Herramientas_hidráulicas]],
    COUNTIF(EPP_2367111154[SPCC], B394) &gt; 0, EPP_2367111154[[#Headers],[SPCC]],
   COUNTIF(Herramientas_de_izaje2468112155[Herramientas_de_izaje], B394) &gt; 0, Herramientas_de_izaje2468112155[[#Headers],[Herramientas_de_izaje]],
COUNTIF(Tabla162670114157[Equipos], B394) &gt; 0, Tabla162670114157[[#Headers],[Equipos]],
    TRUE, "Sin clasificación"
)</f>
        <v>Sin clasificación</v>
      </c>
      <c r="I394" s="15"/>
      <c r="J394" s="47"/>
      <c r="K394" s="76"/>
      <c r="L394" s="76"/>
      <c r="M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N394" s="77"/>
      <c r="O394" s="32"/>
      <c r="P394" s="32"/>
      <c r="Q394" s="32"/>
      <c r="R394" s="32"/>
    </row>
    <row r="395" spans="3:18" x14ac:dyDescent="0.3">
      <c r="C395" s="11"/>
      <c r="D395" s="32"/>
      <c r="E395" s="11" t="str" cm="1">
        <f t="array" ref="E395">_xlfn.IFS(
    COUNTIF(Herramientas_eléctricas1862106149[Herramientas_eléctricas], B395) &gt; 0, Herramientas_eléctricas1862106149[[#Headers],[Herramientas_eléctricas]],
    COUNTIF(Herramientas_neumáticas1963107150[Herramientas_neumáticas], B395) &gt; 0, Herramientas_neumáticas1963107150[[#Headers],[Herramientas_neumáticas]],
    COUNTIF(Herramientas_de_medición2064108151[Herramientas_de_medición], B395) &gt; 0, Herramientas_de_medición2064108151[[#Headers],[Herramientas_de_medición]],
    COUNTIF(Herrramientas_mecánicas2165109152[Herramientas_mecánicas], B395) &gt; 0, Herrramientas_mecánicas2165109152[[#Headers],[Herramientas_mecánicas]],
    COUNTIF(AH395:AH401, B395) &gt; 0, Herramientas_hidráulicas2266110153[[#Headers],[Herramientas_hidráulicas]],
    COUNTIF(EPP_2367111154[SPCC], B395) &gt; 0, EPP_2367111154[[#Headers],[SPCC]],
   COUNTIF(Herramientas_de_izaje2468112155[Herramientas_de_izaje], B395) &gt; 0, Herramientas_de_izaje2468112155[[#Headers],[Herramientas_de_izaje]],
COUNTIF(Tabla162670114157[Equipos], B395) &gt; 0, Tabla162670114157[[#Headers],[Equipos]],
    TRUE, "Sin clasificación"
)</f>
        <v>Sin clasificación</v>
      </c>
      <c r="I395" s="15"/>
      <c r="J395" s="47"/>
      <c r="K395" s="76"/>
      <c r="L395" s="76"/>
      <c r="M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N395" s="77"/>
      <c r="O395" s="32"/>
      <c r="P395" s="32"/>
      <c r="Q395" s="32"/>
      <c r="R395" s="32"/>
    </row>
    <row r="396" spans="3:18" x14ac:dyDescent="0.3">
      <c r="C396" s="11"/>
      <c r="D396" s="32"/>
      <c r="E396" s="11" t="str" cm="1">
        <f t="array" ref="E396">_xlfn.IFS(
    COUNTIF(Herramientas_eléctricas1862106149[Herramientas_eléctricas], B396) &gt; 0, Herramientas_eléctricas1862106149[[#Headers],[Herramientas_eléctricas]],
    COUNTIF(Herramientas_neumáticas1963107150[Herramientas_neumáticas], B396) &gt; 0, Herramientas_neumáticas1963107150[[#Headers],[Herramientas_neumáticas]],
    COUNTIF(Herramientas_de_medición2064108151[Herramientas_de_medición], B396) &gt; 0, Herramientas_de_medición2064108151[[#Headers],[Herramientas_de_medición]],
    COUNTIF(Herrramientas_mecánicas2165109152[Herramientas_mecánicas], B396) &gt; 0, Herrramientas_mecánicas2165109152[[#Headers],[Herramientas_mecánicas]],
    COUNTIF(AH396:AH402, B396) &gt; 0, Herramientas_hidráulicas2266110153[[#Headers],[Herramientas_hidráulicas]],
    COUNTIF(EPP_2367111154[SPCC], B396) &gt; 0, EPP_2367111154[[#Headers],[SPCC]],
   COUNTIF(Herramientas_de_izaje2468112155[Herramientas_de_izaje], B396) &gt; 0, Herramientas_de_izaje2468112155[[#Headers],[Herramientas_de_izaje]],
COUNTIF(Tabla162670114157[Equipos], B396) &gt; 0, Tabla162670114157[[#Headers],[Equipos]],
    TRUE, "Sin clasificación"
)</f>
        <v>Sin clasificación</v>
      </c>
      <c r="I396" s="15"/>
      <c r="J396" s="47"/>
      <c r="K396" s="76"/>
      <c r="L396" s="76"/>
      <c r="M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N396" s="77"/>
      <c r="O396" s="32"/>
      <c r="P396" s="32"/>
      <c r="Q396" s="32"/>
      <c r="R396" s="32"/>
    </row>
    <row r="397" spans="3:18" x14ac:dyDescent="0.3">
      <c r="C397" s="11"/>
      <c r="D397" s="32"/>
      <c r="E397" s="11" t="str" cm="1">
        <f t="array" ref="E397">_xlfn.IFS(
    COUNTIF(Herramientas_eléctricas1862106149[Herramientas_eléctricas], B397) &gt; 0, Herramientas_eléctricas1862106149[[#Headers],[Herramientas_eléctricas]],
    COUNTIF(Herramientas_neumáticas1963107150[Herramientas_neumáticas], B397) &gt; 0, Herramientas_neumáticas1963107150[[#Headers],[Herramientas_neumáticas]],
    COUNTIF(Herramientas_de_medición2064108151[Herramientas_de_medición], B397) &gt; 0, Herramientas_de_medición2064108151[[#Headers],[Herramientas_de_medición]],
    COUNTIF(Herrramientas_mecánicas2165109152[Herramientas_mecánicas], B397) &gt; 0, Herrramientas_mecánicas2165109152[[#Headers],[Herramientas_mecánicas]],
    COUNTIF(AH397:AH403, B397) &gt; 0, Herramientas_hidráulicas2266110153[[#Headers],[Herramientas_hidráulicas]],
    COUNTIF(EPP_2367111154[SPCC], B397) &gt; 0, EPP_2367111154[[#Headers],[SPCC]],
   COUNTIF(Herramientas_de_izaje2468112155[Herramientas_de_izaje], B397) &gt; 0, Herramientas_de_izaje2468112155[[#Headers],[Herramientas_de_izaje]],
COUNTIF(Tabla162670114157[Equipos], B397) &gt; 0, Tabla162670114157[[#Headers],[Equipos]],
    TRUE, "Sin clasificación"
)</f>
        <v>Sin clasificación</v>
      </c>
      <c r="I397" s="15"/>
      <c r="J397" s="47"/>
      <c r="K397" s="76"/>
      <c r="L397" s="76"/>
      <c r="M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N397" s="77"/>
      <c r="O397" s="32"/>
      <c r="P397" s="32"/>
      <c r="Q397" s="32"/>
      <c r="R397" s="32"/>
    </row>
    <row r="398" spans="3:18" x14ac:dyDescent="0.3">
      <c r="C398" s="11"/>
      <c r="D398" s="32"/>
      <c r="E398" s="11" t="str" cm="1">
        <f t="array" ref="E398">_xlfn.IFS(
    COUNTIF(Herramientas_eléctricas1862106149[Herramientas_eléctricas], B398) &gt; 0, Herramientas_eléctricas1862106149[[#Headers],[Herramientas_eléctricas]],
    COUNTIF(Herramientas_neumáticas1963107150[Herramientas_neumáticas], B398) &gt; 0, Herramientas_neumáticas1963107150[[#Headers],[Herramientas_neumáticas]],
    COUNTIF(Herramientas_de_medición2064108151[Herramientas_de_medición], B398) &gt; 0, Herramientas_de_medición2064108151[[#Headers],[Herramientas_de_medición]],
    COUNTIF(Herrramientas_mecánicas2165109152[Herramientas_mecánicas], B398) &gt; 0, Herrramientas_mecánicas2165109152[[#Headers],[Herramientas_mecánicas]],
    COUNTIF(AH398:AH404, B398) &gt; 0, Herramientas_hidráulicas2266110153[[#Headers],[Herramientas_hidráulicas]],
    COUNTIF(EPP_2367111154[SPCC], B398) &gt; 0, EPP_2367111154[[#Headers],[SPCC]],
   COUNTIF(Herramientas_de_izaje2468112155[Herramientas_de_izaje], B398) &gt; 0, Herramientas_de_izaje2468112155[[#Headers],[Herramientas_de_izaje]],
COUNTIF(Tabla162670114157[Equipos], B398) &gt; 0, Tabla162670114157[[#Headers],[Equipos]],
    TRUE, "Sin clasificación"
)</f>
        <v>Sin clasificación</v>
      </c>
      <c r="I398" s="15"/>
      <c r="J398" s="47"/>
      <c r="K398" s="76"/>
      <c r="L398" s="76"/>
      <c r="M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N398" s="77"/>
      <c r="O398" s="32"/>
      <c r="P398" s="32"/>
      <c r="Q398" s="32"/>
      <c r="R398" s="32"/>
    </row>
    <row r="399" spans="3:18" x14ac:dyDescent="0.3">
      <c r="C399" s="11"/>
      <c r="D399" s="32"/>
      <c r="E399" s="11" t="str" cm="1">
        <f t="array" ref="E399">_xlfn.IFS(
    COUNTIF(Herramientas_eléctricas1862106149[Herramientas_eléctricas], B399) &gt; 0, Herramientas_eléctricas1862106149[[#Headers],[Herramientas_eléctricas]],
    COUNTIF(Herramientas_neumáticas1963107150[Herramientas_neumáticas], B399) &gt; 0, Herramientas_neumáticas1963107150[[#Headers],[Herramientas_neumáticas]],
    COUNTIF(Herramientas_de_medición2064108151[Herramientas_de_medición], B399) &gt; 0, Herramientas_de_medición2064108151[[#Headers],[Herramientas_de_medición]],
    COUNTIF(Herrramientas_mecánicas2165109152[Herramientas_mecánicas], B399) &gt; 0, Herrramientas_mecánicas2165109152[[#Headers],[Herramientas_mecánicas]],
    COUNTIF(AH399:AH405, B399) &gt; 0, Herramientas_hidráulicas2266110153[[#Headers],[Herramientas_hidráulicas]],
    COUNTIF(EPP_2367111154[SPCC], B399) &gt; 0, EPP_2367111154[[#Headers],[SPCC]],
   COUNTIF(Herramientas_de_izaje2468112155[Herramientas_de_izaje], B399) &gt; 0, Herramientas_de_izaje2468112155[[#Headers],[Herramientas_de_izaje]],
COUNTIF(Tabla162670114157[Equipos], B399) &gt; 0, Tabla162670114157[[#Headers],[Equipos]],
    TRUE, "Sin clasificación"
)</f>
        <v>Sin clasificación</v>
      </c>
      <c r="I399" s="15"/>
      <c r="J399" s="47"/>
      <c r="K399" s="76"/>
      <c r="L399" s="76"/>
      <c r="M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N399" s="77"/>
      <c r="O399" s="32"/>
      <c r="P399" s="32"/>
      <c r="Q399" s="32"/>
      <c r="R399" s="32"/>
    </row>
    <row r="400" spans="3:18" x14ac:dyDescent="0.3">
      <c r="C400" s="11"/>
      <c r="D400" s="32"/>
      <c r="E400" s="11" t="str" cm="1">
        <f t="array" ref="E400">_xlfn.IFS(
    COUNTIF(Herramientas_eléctricas1862106149[Herramientas_eléctricas], B400) &gt; 0, Herramientas_eléctricas1862106149[[#Headers],[Herramientas_eléctricas]],
    COUNTIF(Herramientas_neumáticas1963107150[Herramientas_neumáticas], B400) &gt; 0, Herramientas_neumáticas1963107150[[#Headers],[Herramientas_neumáticas]],
    COUNTIF(Herramientas_de_medición2064108151[Herramientas_de_medición], B400) &gt; 0, Herramientas_de_medición2064108151[[#Headers],[Herramientas_de_medición]],
    COUNTIF(Herrramientas_mecánicas2165109152[Herramientas_mecánicas], B400) &gt; 0, Herrramientas_mecánicas2165109152[[#Headers],[Herramientas_mecánicas]],
    COUNTIF(AH400:AH406, B400) &gt; 0, Herramientas_hidráulicas2266110153[[#Headers],[Herramientas_hidráulicas]],
    COUNTIF(EPP_2367111154[SPCC], B400) &gt; 0, EPP_2367111154[[#Headers],[SPCC]],
   COUNTIF(Herramientas_de_izaje2468112155[Herramientas_de_izaje], B400) &gt; 0, Herramientas_de_izaje2468112155[[#Headers],[Herramientas_de_izaje]],
COUNTIF(Tabla162670114157[Equipos], B400) &gt; 0, Tabla162670114157[[#Headers],[Equipos]],
    TRUE, "Sin clasificación"
)</f>
        <v>Sin clasificación</v>
      </c>
      <c r="I400" s="15"/>
      <c r="J400" s="47"/>
      <c r="K400" s="76"/>
      <c r="L400" s="76"/>
      <c r="M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N400" s="77"/>
      <c r="O400" s="32"/>
      <c r="P400" s="32"/>
      <c r="Q400" s="32"/>
      <c r="R400" s="32"/>
    </row>
    <row r="401" spans="3:18" x14ac:dyDescent="0.3">
      <c r="C401" s="11"/>
      <c r="D401" s="32"/>
      <c r="E401" s="11" t="str" cm="1">
        <f t="array" ref="E401">_xlfn.IFS(
    COUNTIF(Herramientas_eléctricas1862106149[Herramientas_eléctricas], B401) &gt; 0, Herramientas_eléctricas1862106149[[#Headers],[Herramientas_eléctricas]],
    COUNTIF(Herramientas_neumáticas1963107150[Herramientas_neumáticas], B401) &gt; 0, Herramientas_neumáticas1963107150[[#Headers],[Herramientas_neumáticas]],
    COUNTIF(Herramientas_de_medición2064108151[Herramientas_de_medición], B401) &gt; 0, Herramientas_de_medición2064108151[[#Headers],[Herramientas_de_medición]],
    COUNTIF(Herrramientas_mecánicas2165109152[Herramientas_mecánicas], B401) &gt; 0, Herrramientas_mecánicas2165109152[[#Headers],[Herramientas_mecánicas]],
    COUNTIF(AH401:AH407, B401) &gt; 0, Herramientas_hidráulicas2266110153[[#Headers],[Herramientas_hidráulicas]],
    COUNTIF(EPP_2367111154[SPCC], B401) &gt; 0, EPP_2367111154[[#Headers],[SPCC]],
   COUNTIF(Herramientas_de_izaje2468112155[Herramientas_de_izaje], B401) &gt; 0, Herramientas_de_izaje2468112155[[#Headers],[Herramientas_de_izaje]],
COUNTIF(Tabla162670114157[Equipos], B401) &gt; 0, Tabla162670114157[[#Headers],[Equipos]],
    TRUE, "Sin clasificación"
)</f>
        <v>Sin clasificación</v>
      </c>
      <c r="I401" s="15"/>
      <c r="J401" s="47"/>
      <c r="K401" s="76"/>
      <c r="L401" s="76"/>
      <c r="M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N401" s="77"/>
      <c r="O401" s="32"/>
      <c r="P401" s="32"/>
      <c r="Q401" s="32"/>
      <c r="R401" s="32"/>
    </row>
    <row r="402" spans="3:18" x14ac:dyDescent="0.3">
      <c r="C402" s="11"/>
      <c r="D402" s="32"/>
      <c r="E402" s="11" t="str" cm="1">
        <f t="array" ref="E402">_xlfn.IFS(
    COUNTIF(Herramientas_eléctricas1862106149[Herramientas_eléctricas], B402) &gt; 0, Herramientas_eléctricas1862106149[[#Headers],[Herramientas_eléctricas]],
    COUNTIF(Herramientas_neumáticas1963107150[Herramientas_neumáticas], B402) &gt; 0, Herramientas_neumáticas1963107150[[#Headers],[Herramientas_neumáticas]],
    COUNTIF(Herramientas_de_medición2064108151[Herramientas_de_medición], B402) &gt; 0, Herramientas_de_medición2064108151[[#Headers],[Herramientas_de_medición]],
    COUNTIF(Herrramientas_mecánicas2165109152[Herramientas_mecánicas], B402) &gt; 0, Herrramientas_mecánicas2165109152[[#Headers],[Herramientas_mecánicas]],
    COUNTIF(AH402:AH408, B402) &gt; 0, Herramientas_hidráulicas2266110153[[#Headers],[Herramientas_hidráulicas]],
    COUNTIF(EPP_2367111154[SPCC], B402) &gt; 0, EPP_2367111154[[#Headers],[SPCC]],
   COUNTIF(Herramientas_de_izaje2468112155[Herramientas_de_izaje], B402) &gt; 0, Herramientas_de_izaje2468112155[[#Headers],[Herramientas_de_izaje]],
COUNTIF(Tabla162670114157[Equipos], B402) &gt; 0, Tabla162670114157[[#Headers],[Equipos]],
    TRUE, "Sin clasificación"
)</f>
        <v>Sin clasificación</v>
      </c>
      <c r="I402" s="15"/>
      <c r="J402" s="47"/>
      <c r="K402" s="76"/>
      <c r="L402" s="76"/>
      <c r="M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N402" s="77"/>
      <c r="O402" s="32"/>
      <c r="P402" s="32"/>
      <c r="Q402" s="32"/>
      <c r="R402" s="32"/>
    </row>
    <row r="403" spans="3:18" x14ac:dyDescent="0.3">
      <c r="C403" s="11"/>
      <c r="D403" s="32"/>
      <c r="E403" s="11" t="str" cm="1">
        <f t="array" ref="E403">_xlfn.IFS(
    COUNTIF(Herramientas_eléctricas1862106149[Herramientas_eléctricas], B403) &gt; 0, Herramientas_eléctricas1862106149[[#Headers],[Herramientas_eléctricas]],
    COUNTIF(Herramientas_neumáticas1963107150[Herramientas_neumáticas], B403) &gt; 0, Herramientas_neumáticas1963107150[[#Headers],[Herramientas_neumáticas]],
    COUNTIF(Herramientas_de_medición2064108151[Herramientas_de_medición], B403) &gt; 0, Herramientas_de_medición2064108151[[#Headers],[Herramientas_de_medición]],
    COUNTIF(Herrramientas_mecánicas2165109152[Herramientas_mecánicas], B403) &gt; 0, Herrramientas_mecánicas2165109152[[#Headers],[Herramientas_mecánicas]],
    COUNTIF(AH403:AH409, B403) &gt; 0, Herramientas_hidráulicas2266110153[[#Headers],[Herramientas_hidráulicas]],
    COUNTIF(EPP_2367111154[SPCC], B403) &gt; 0, EPP_2367111154[[#Headers],[SPCC]],
   COUNTIF(Herramientas_de_izaje2468112155[Herramientas_de_izaje], B403) &gt; 0, Herramientas_de_izaje2468112155[[#Headers],[Herramientas_de_izaje]],
COUNTIF(Tabla162670114157[Equipos], B403) &gt; 0, Tabla162670114157[[#Headers],[Equipos]],
    TRUE, "Sin clasificación"
)</f>
        <v>Sin clasificación</v>
      </c>
      <c r="I403" s="15"/>
      <c r="J403" s="47"/>
      <c r="K403" s="76"/>
      <c r="L403" s="76"/>
      <c r="M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N403" s="77"/>
      <c r="O403" s="32"/>
      <c r="P403" s="32"/>
      <c r="Q403" s="32"/>
      <c r="R403" s="32"/>
    </row>
    <row r="404" spans="3:18" x14ac:dyDescent="0.3">
      <c r="C404" s="11"/>
      <c r="D404" s="32"/>
      <c r="E404" s="11" t="str" cm="1">
        <f t="array" ref="E404">_xlfn.IFS(
    COUNTIF(Herramientas_eléctricas1862106149[Herramientas_eléctricas], B404) &gt; 0, Herramientas_eléctricas1862106149[[#Headers],[Herramientas_eléctricas]],
    COUNTIF(Herramientas_neumáticas1963107150[Herramientas_neumáticas], B404) &gt; 0, Herramientas_neumáticas1963107150[[#Headers],[Herramientas_neumáticas]],
    COUNTIF(Herramientas_de_medición2064108151[Herramientas_de_medición], B404) &gt; 0, Herramientas_de_medición2064108151[[#Headers],[Herramientas_de_medición]],
    COUNTIF(Herrramientas_mecánicas2165109152[Herramientas_mecánicas], B404) &gt; 0, Herrramientas_mecánicas2165109152[[#Headers],[Herramientas_mecánicas]],
    COUNTIF(AH404:AH410, B404) &gt; 0, Herramientas_hidráulicas2266110153[[#Headers],[Herramientas_hidráulicas]],
    COUNTIF(EPP_2367111154[SPCC], B404) &gt; 0, EPP_2367111154[[#Headers],[SPCC]],
   COUNTIF(Herramientas_de_izaje2468112155[Herramientas_de_izaje], B404) &gt; 0, Herramientas_de_izaje2468112155[[#Headers],[Herramientas_de_izaje]],
COUNTIF(Tabla162670114157[Equipos], B404) &gt; 0, Tabla162670114157[[#Headers],[Equipos]],
    TRUE, "Sin clasificación"
)</f>
        <v>Sin clasificación</v>
      </c>
      <c r="I404" s="15"/>
      <c r="J404" s="47"/>
      <c r="K404" s="76"/>
      <c r="L404" s="76"/>
      <c r="M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N404" s="77"/>
      <c r="O404" s="32"/>
      <c r="P404" s="32"/>
      <c r="Q404" s="32"/>
      <c r="R404" s="32"/>
    </row>
    <row r="405" spans="3:18" x14ac:dyDescent="0.3">
      <c r="C405" s="11"/>
      <c r="D405" s="32"/>
      <c r="E405" s="11" t="str" cm="1">
        <f t="array" ref="E405">_xlfn.IFS(
    COUNTIF(Herramientas_eléctricas1862106149[Herramientas_eléctricas], B405) &gt; 0, Herramientas_eléctricas1862106149[[#Headers],[Herramientas_eléctricas]],
    COUNTIF(Herramientas_neumáticas1963107150[Herramientas_neumáticas], B405) &gt; 0, Herramientas_neumáticas1963107150[[#Headers],[Herramientas_neumáticas]],
    COUNTIF(Herramientas_de_medición2064108151[Herramientas_de_medición], B405) &gt; 0, Herramientas_de_medición2064108151[[#Headers],[Herramientas_de_medición]],
    COUNTIF(Herrramientas_mecánicas2165109152[Herramientas_mecánicas], B405) &gt; 0, Herrramientas_mecánicas2165109152[[#Headers],[Herramientas_mecánicas]],
    COUNTIF(AH405:AH411, B405) &gt; 0, Herramientas_hidráulicas2266110153[[#Headers],[Herramientas_hidráulicas]],
    COUNTIF(EPP_2367111154[SPCC], B405) &gt; 0, EPP_2367111154[[#Headers],[SPCC]],
   COUNTIF(Herramientas_de_izaje2468112155[Herramientas_de_izaje], B405) &gt; 0, Herramientas_de_izaje2468112155[[#Headers],[Herramientas_de_izaje]],
COUNTIF(Tabla162670114157[Equipos], B405) &gt; 0, Tabla162670114157[[#Headers],[Equipos]],
    TRUE, "Sin clasificación"
)</f>
        <v>Sin clasificación</v>
      </c>
      <c r="I405" s="15"/>
      <c r="J405" s="47"/>
      <c r="K405" s="76"/>
      <c r="L405" s="76"/>
      <c r="M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N405" s="77"/>
      <c r="O405" s="32"/>
      <c r="P405" s="32"/>
      <c r="Q405" s="32"/>
      <c r="R405" s="32"/>
    </row>
    <row r="406" spans="3:18" x14ac:dyDescent="0.3">
      <c r="C406" s="11"/>
      <c r="D406" s="32"/>
      <c r="E406" s="11" t="str" cm="1">
        <f t="array" ref="E406">_xlfn.IFS(
    COUNTIF(Herramientas_eléctricas1862106149[Herramientas_eléctricas], B406) &gt; 0, Herramientas_eléctricas1862106149[[#Headers],[Herramientas_eléctricas]],
    COUNTIF(Herramientas_neumáticas1963107150[Herramientas_neumáticas], B406) &gt; 0, Herramientas_neumáticas1963107150[[#Headers],[Herramientas_neumáticas]],
    COUNTIF(Herramientas_de_medición2064108151[Herramientas_de_medición], B406) &gt; 0, Herramientas_de_medición2064108151[[#Headers],[Herramientas_de_medición]],
    COUNTIF(Herrramientas_mecánicas2165109152[Herramientas_mecánicas], B406) &gt; 0, Herrramientas_mecánicas2165109152[[#Headers],[Herramientas_mecánicas]],
    COUNTIF(AH406:AH412, B406) &gt; 0, Herramientas_hidráulicas2266110153[[#Headers],[Herramientas_hidráulicas]],
    COUNTIF(EPP_2367111154[SPCC], B406) &gt; 0, EPP_2367111154[[#Headers],[SPCC]],
   COUNTIF(Herramientas_de_izaje2468112155[Herramientas_de_izaje], B406) &gt; 0, Herramientas_de_izaje2468112155[[#Headers],[Herramientas_de_izaje]],
COUNTIF(Tabla162670114157[Equipos], B406) &gt; 0, Tabla162670114157[[#Headers],[Equipos]],
    TRUE, "Sin clasificación"
)</f>
        <v>Sin clasificación</v>
      </c>
      <c r="I406" s="15"/>
      <c r="J406" s="47"/>
      <c r="K406" s="76"/>
      <c r="L406" s="76"/>
      <c r="M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N406" s="77"/>
      <c r="O406" s="32"/>
      <c r="P406" s="32"/>
      <c r="Q406" s="32"/>
      <c r="R406" s="32"/>
    </row>
    <row r="407" spans="3:18" x14ac:dyDescent="0.3">
      <c r="C407" s="11"/>
      <c r="D407" s="32"/>
      <c r="E407" s="11" t="str" cm="1">
        <f t="array" ref="E407">_xlfn.IFS(
    COUNTIF(Herramientas_eléctricas1862106149[Herramientas_eléctricas], B407) &gt; 0, Herramientas_eléctricas1862106149[[#Headers],[Herramientas_eléctricas]],
    COUNTIF(Herramientas_neumáticas1963107150[Herramientas_neumáticas], B407) &gt; 0, Herramientas_neumáticas1963107150[[#Headers],[Herramientas_neumáticas]],
    COUNTIF(Herramientas_de_medición2064108151[Herramientas_de_medición], B407) &gt; 0, Herramientas_de_medición2064108151[[#Headers],[Herramientas_de_medición]],
    COUNTIF(Herrramientas_mecánicas2165109152[Herramientas_mecánicas], B407) &gt; 0, Herrramientas_mecánicas2165109152[[#Headers],[Herramientas_mecánicas]],
    COUNTIF(AH407:AH413, B407) &gt; 0, Herramientas_hidráulicas2266110153[[#Headers],[Herramientas_hidráulicas]],
    COUNTIF(EPP_2367111154[SPCC], B407) &gt; 0, EPP_2367111154[[#Headers],[SPCC]],
   COUNTIF(Herramientas_de_izaje2468112155[Herramientas_de_izaje], B407) &gt; 0, Herramientas_de_izaje2468112155[[#Headers],[Herramientas_de_izaje]],
COUNTIF(Tabla162670114157[Equipos], B407) &gt; 0, Tabla162670114157[[#Headers],[Equipos]],
    TRUE, "Sin clasificación"
)</f>
        <v>Sin clasificación</v>
      </c>
      <c r="I407" s="15"/>
      <c r="J407" s="47"/>
      <c r="K407" s="76"/>
      <c r="L407" s="76"/>
      <c r="M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N407" s="77"/>
      <c r="O407" s="32"/>
      <c r="P407" s="32"/>
      <c r="Q407" s="32"/>
      <c r="R407" s="32"/>
    </row>
    <row r="408" spans="3:18" x14ac:dyDescent="0.3">
      <c r="C408" s="11"/>
      <c r="D408" s="32"/>
      <c r="E408" s="11" t="str" cm="1">
        <f t="array" ref="E408">_xlfn.IFS(
    COUNTIF(Herramientas_eléctricas1862106149[Herramientas_eléctricas], B408) &gt; 0, Herramientas_eléctricas1862106149[[#Headers],[Herramientas_eléctricas]],
    COUNTIF(Herramientas_neumáticas1963107150[Herramientas_neumáticas], B408) &gt; 0, Herramientas_neumáticas1963107150[[#Headers],[Herramientas_neumáticas]],
    COUNTIF(Herramientas_de_medición2064108151[Herramientas_de_medición], B408) &gt; 0, Herramientas_de_medición2064108151[[#Headers],[Herramientas_de_medición]],
    COUNTIF(Herrramientas_mecánicas2165109152[Herramientas_mecánicas], B408) &gt; 0, Herrramientas_mecánicas2165109152[[#Headers],[Herramientas_mecánicas]],
    COUNTIF(AH408:AH414, B408) &gt; 0, Herramientas_hidráulicas2266110153[[#Headers],[Herramientas_hidráulicas]],
    COUNTIF(EPP_2367111154[SPCC], B408) &gt; 0, EPP_2367111154[[#Headers],[SPCC]],
   COUNTIF(Herramientas_de_izaje2468112155[Herramientas_de_izaje], B408) &gt; 0, Herramientas_de_izaje2468112155[[#Headers],[Herramientas_de_izaje]],
COUNTIF(Tabla162670114157[Equipos], B408) &gt; 0, Tabla162670114157[[#Headers],[Equipos]],
    TRUE, "Sin clasificación"
)</f>
        <v>Sin clasificación</v>
      </c>
      <c r="I408" s="15"/>
      <c r="J408" s="47"/>
      <c r="K408" s="76"/>
      <c r="L408" s="76"/>
      <c r="M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N408" s="77"/>
      <c r="O408" s="32"/>
      <c r="P408" s="32"/>
      <c r="Q408" s="32"/>
      <c r="R408" s="32"/>
    </row>
    <row r="409" spans="3:18" x14ac:dyDescent="0.3">
      <c r="C409" s="11"/>
      <c r="D409" s="32"/>
      <c r="E409" s="11" t="str" cm="1">
        <f t="array" ref="E409">_xlfn.IFS(
    COUNTIF(Herramientas_eléctricas1862106149[Herramientas_eléctricas], B409) &gt; 0, Herramientas_eléctricas1862106149[[#Headers],[Herramientas_eléctricas]],
    COUNTIF(Herramientas_neumáticas1963107150[Herramientas_neumáticas], B409) &gt; 0, Herramientas_neumáticas1963107150[[#Headers],[Herramientas_neumáticas]],
    COUNTIF(Herramientas_de_medición2064108151[Herramientas_de_medición], B409) &gt; 0, Herramientas_de_medición2064108151[[#Headers],[Herramientas_de_medición]],
    COUNTIF(Herrramientas_mecánicas2165109152[Herramientas_mecánicas], B409) &gt; 0, Herrramientas_mecánicas2165109152[[#Headers],[Herramientas_mecánicas]],
    COUNTIF(AH409:AH415, B409) &gt; 0, Herramientas_hidráulicas2266110153[[#Headers],[Herramientas_hidráulicas]],
    COUNTIF(EPP_2367111154[SPCC], B409) &gt; 0, EPP_2367111154[[#Headers],[SPCC]],
   COUNTIF(Herramientas_de_izaje2468112155[Herramientas_de_izaje], B409) &gt; 0, Herramientas_de_izaje2468112155[[#Headers],[Herramientas_de_izaje]],
COUNTIF(Tabla162670114157[Equipos], B409) &gt; 0, Tabla162670114157[[#Headers],[Equipos]],
    TRUE, "Sin clasificación"
)</f>
        <v>Sin clasificación</v>
      </c>
      <c r="I409" s="15"/>
      <c r="J409" s="47"/>
      <c r="K409" s="76"/>
      <c r="L409" s="76"/>
      <c r="M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N409" s="77"/>
      <c r="O409" s="32"/>
      <c r="P409" s="32"/>
      <c r="Q409" s="32"/>
      <c r="R409" s="32"/>
    </row>
    <row r="410" spans="3:18" x14ac:dyDescent="0.3">
      <c r="C410" s="11"/>
      <c r="D410" s="32"/>
      <c r="E410" s="11" t="str" cm="1">
        <f t="array" ref="E410">_xlfn.IFS(
    COUNTIF(Herramientas_eléctricas1862106149[Herramientas_eléctricas], B410) &gt; 0, Herramientas_eléctricas1862106149[[#Headers],[Herramientas_eléctricas]],
    COUNTIF(Herramientas_neumáticas1963107150[Herramientas_neumáticas], B410) &gt; 0, Herramientas_neumáticas1963107150[[#Headers],[Herramientas_neumáticas]],
    COUNTIF(Herramientas_de_medición2064108151[Herramientas_de_medición], B410) &gt; 0, Herramientas_de_medición2064108151[[#Headers],[Herramientas_de_medición]],
    COUNTIF(Herrramientas_mecánicas2165109152[Herramientas_mecánicas], B410) &gt; 0, Herrramientas_mecánicas2165109152[[#Headers],[Herramientas_mecánicas]],
    COUNTIF(AH410:AH416, B410) &gt; 0, Herramientas_hidráulicas2266110153[[#Headers],[Herramientas_hidráulicas]],
    COUNTIF(EPP_2367111154[SPCC], B410) &gt; 0, EPP_2367111154[[#Headers],[SPCC]],
   COUNTIF(Herramientas_de_izaje2468112155[Herramientas_de_izaje], B410) &gt; 0, Herramientas_de_izaje2468112155[[#Headers],[Herramientas_de_izaje]],
COUNTIF(Tabla162670114157[Equipos], B410) &gt; 0, Tabla162670114157[[#Headers],[Equipos]],
    TRUE, "Sin clasificación"
)</f>
        <v>Sin clasificación</v>
      </c>
      <c r="I410" s="15"/>
      <c r="J410" s="47"/>
      <c r="K410" s="76"/>
      <c r="L410" s="76"/>
      <c r="M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N410" s="77"/>
      <c r="O410" s="32"/>
      <c r="P410" s="32"/>
      <c r="Q410" s="32"/>
      <c r="R410" s="32"/>
    </row>
    <row r="411" spans="3:18" x14ac:dyDescent="0.3">
      <c r="C411" s="11"/>
      <c r="D411" s="32"/>
      <c r="E411" s="11" t="str" cm="1">
        <f t="array" ref="E411">_xlfn.IFS(
    COUNTIF(Herramientas_eléctricas1862106149[Herramientas_eléctricas], B411) &gt; 0, Herramientas_eléctricas1862106149[[#Headers],[Herramientas_eléctricas]],
    COUNTIF(Herramientas_neumáticas1963107150[Herramientas_neumáticas], B411) &gt; 0, Herramientas_neumáticas1963107150[[#Headers],[Herramientas_neumáticas]],
    COUNTIF(Herramientas_de_medición2064108151[Herramientas_de_medición], B411) &gt; 0, Herramientas_de_medición2064108151[[#Headers],[Herramientas_de_medición]],
    COUNTIF(Herrramientas_mecánicas2165109152[Herramientas_mecánicas], B411) &gt; 0, Herrramientas_mecánicas2165109152[[#Headers],[Herramientas_mecánicas]],
    COUNTIF(AH411:AH417, B411) &gt; 0, Herramientas_hidráulicas2266110153[[#Headers],[Herramientas_hidráulicas]],
    COUNTIF(EPP_2367111154[SPCC], B411) &gt; 0, EPP_2367111154[[#Headers],[SPCC]],
   COUNTIF(Herramientas_de_izaje2468112155[Herramientas_de_izaje], B411) &gt; 0, Herramientas_de_izaje2468112155[[#Headers],[Herramientas_de_izaje]],
COUNTIF(Tabla162670114157[Equipos], B411) &gt; 0, Tabla162670114157[[#Headers],[Equipos]],
    TRUE, "Sin clasificación"
)</f>
        <v>Sin clasificación</v>
      </c>
      <c r="I411" s="15"/>
      <c r="J411" s="47"/>
      <c r="K411" s="76"/>
      <c r="L411" s="76"/>
      <c r="M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N411" s="77"/>
      <c r="O411" s="32"/>
      <c r="P411" s="32"/>
      <c r="Q411" s="32"/>
      <c r="R411" s="32"/>
    </row>
    <row r="412" spans="3:18" x14ac:dyDescent="0.3">
      <c r="C412" s="11"/>
      <c r="D412" s="32"/>
      <c r="E412" s="11" t="str" cm="1">
        <f t="array" ref="E412">_xlfn.IFS(
    COUNTIF(Herramientas_eléctricas1862106149[Herramientas_eléctricas], B412) &gt; 0, Herramientas_eléctricas1862106149[[#Headers],[Herramientas_eléctricas]],
    COUNTIF(Herramientas_neumáticas1963107150[Herramientas_neumáticas], B412) &gt; 0, Herramientas_neumáticas1963107150[[#Headers],[Herramientas_neumáticas]],
    COUNTIF(Herramientas_de_medición2064108151[Herramientas_de_medición], B412) &gt; 0, Herramientas_de_medición2064108151[[#Headers],[Herramientas_de_medición]],
    COUNTIF(Herrramientas_mecánicas2165109152[Herramientas_mecánicas], B412) &gt; 0, Herrramientas_mecánicas2165109152[[#Headers],[Herramientas_mecánicas]],
    COUNTIF(AH412:AH418, B412) &gt; 0, Herramientas_hidráulicas2266110153[[#Headers],[Herramientas_hidráulicas]],
    COUNTIF(EPP_2367111154[SPCC], B412) &gt; 0, EPP_2367111154[[#Headers],[SPCC]],
   COUNTIF(Herramientas_de_izaje2468112155[Herramientas_de_izaje], B412) &gt; 0, Herramientas_de_izaje2468112155[[#Headers],[Herramientas_de_izaje]],
COUNTIF(Tabla162670114157[Equipos], B412) &gt; 0, Tabla162670114157[[#Headers],[Equipos]],
    TRUE, "Sin clasificación"
)</f>
        <v>Sin clasificación</v>
      </c>
      <c r="I412" s="15"/>
      <c r="J412" s="47"/>
      <c r="K412" s="76"/>
      <c r="L412" s="76"/>
      <c r="M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N412" s="77"/>
      <c r="O412" s="32"/>
      <c r="P412" s="32"/>
      <c r="Q412" s="32"/>
      <c r="R412" s="32"/>
    </row>
    <row r="413" spans="3:18" x14ac:dyDescent="0.3">
      <c r="C413" s="11"/>
      <c r="D413" s="32"/>
      <c r="E413" s="11" t="str" cm="1">
        <f t="array" ref="E413">_xlfn.IFS(
    COUNTIF(Herramientas_eléctricas1862106149[Herramientas_eléctricas], B413) &gt; 0, Herramientas_eléctricas1862106149[[#Headers],[Herramientas_eléctricas]],
    COUNTIF(Herramientas_neumáticas1963107150[Herramientas_neumáticas], B413) &gt; 0, Herramientas_neumáticas1963107150[[#Headers],[Herramientas_neumáticas]],
    COUNTIF(Herramientas_de_medición2064108151[Herramientas_de_medición], B413) &gt; 0, Herramientas_de_medición2064108151[[#Headers],[Herramientas_de_medición]],
    COUNTIF(Herrramientas_mecánicas2165109152[Herramientas_mecánicas], B413) &gt; 0, Herrramientas_mecánicas2165109152[[#Headers],[Herramientas_mecánicas]],
    COUNTIF(AH413:AH419, B413) &gt; 0, Herramientas_hidráulicas2266110153[[#Headers],[Herramientas_hidráulicas]],
    COUNTIF(EPP_2367111154[SPCC], B413) &gt; 0, EPP_2367111154[[#Headers],[SPCC]],
   COUNTIF(Herramientas_de_izaje2468112155[Herramientas_de_izaje], B413) &gt; 0, Herramientas_de_izaje2468112155[[#Headers],[Herramientas_de_izaje]],
COUNTIF(Tabla162670114157[Equipos], B413) &gt; 0, Tabla162670114157[[#Headers],[Equipos]],
    TRUE, "Sin clasificación"
)</f>
        <v>Sin clasificación</v>
      </c>
      <c r="I413" s="15"/>
      <c r="J413" s="47"/>
      <c r="K413" s="76"/>
      <c r="L413" s="76"/>
      <c r="M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N413" s="77"/>
      <c r="O413" s="32"/>
      <c r="P413" s="32"/>
      <c r="Q413" s="32"/>
      <c r="R413" s="32"/>
    </row>
    <row r="414" spans="3:18" x14ac:dyDescent="0.3">
      <c r="C414" s="11"/>
      <c r="D414" s="32"/>
      <c r="E414" s="11" t="str" cm="1">
        <f t="array" ref="E414">_xlfn.IFS(
    COUNTIF(Herramientas_eléctricas1862106149[Herramientas_eléctricas], B414) &gt; 0, Herramientas_eléctricas1862106149[[#Headers],[Herramientas_eléctricas]],
    COUNTIF(Herramientas_neumáticas1963107150[Herramientas_neumáticas], B414) &gt; 0, Herramientas_neumáticas1963107150[[#Headers],[Herramientas_neumáticas]],
    COUNTIF(Herramientas_de_medición2064108151[Herramientas_de_medición], B414) &gt; 0, Herramientas_de_medición2064108151[[#Headers],[Herramientas_de_medición]],
    COUNTIF(Herrramientas_mecánicas2165109152[Herramientas_mecánicas], B414) &gt; 0, Herrramientas_mecánicas2165109152[[#Headers],[Herramientas_mecánicas]],
    COUNTIF(AH414:AH420, B414) &gt; 0, Herramientas_hidráulicas2266110153[[#Headers],[Herramientas_hidráulicas]],
    COUNTIF(EPP_2367111154[SPCC], B414) &gt; 0, EPP_2367111154[[#Headers],[SPCC]],
   COUNTIF(Herramientas_de_izaje2468112155[Herramientas_de_izaje], B414) &gt; 0, Herramientas_de_izaje2468112155[[#Headers],[Herramientas_de_izaje]],
COUNTIF(Tabla162670114157[Equipos], B414) &gt; 0, Tabla162670114157[[#Headers],[Equipos]],
    TRUE, "Sin clasificación"
)</f>
        <v>Sin clasificación</v>
      </c>
      <c r="I414" s="15"/>
      <c r="J414" s="47"/>
      <c r="K414" s="76"/>
      <c r="L414" s="76"/>
      <c r="M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N414" s="77"/>
      <c r="O414" s="32"/>
      <c r="P414" s="32"/>
      <c r="Q414" s="32"/>
      <c r="R414" s="32"/>
    </row>
    <row r="415" spans="3:18" x14ac:dyDescent="0.3">
      <c r="C415" s="11"/>
      <c r="D415" s="32"/>
      <c r="E415" s="11" t="str" cm="1">
        <f t="array" ref="E415">_xlfn.IFS(
    COUNTIF(Herramientas_eléctricas1862106149[Herramientas_eléctricas], B415) &gt; 0, Herramientas_eléctricas1862106149[[#Headers],[Herramientas_eléctricas]],
    COUNTIF(Herramientas_neumáticas1963107150[Herramientas_neumáticas], B415) &gt; 0, Herramientas_neumáticas1963107150[[#Headers],[Herramientas_neumáticas]],
    COUNTIF(Herramientas_de_medición2064108151[Herramientas_de_medición], B415) &gt; 0, Herramientas_de_medición2064108151[[#Headers],[Herramientas_de_medición]],
    COUNTIF(Herrramientas_mecánicas2165109152[Herramientas_mecánicas], B415) &gt; 0, Herrramientas_mecánicas2165109152[[#Headers],[Herramientas_mecánicas]],
    COUNTIF(AH415:AH421, B415) &gt; 0, Herramientas_hidráulicas2266110153[[#Headers],[Herramientas_hidráulicas]],
    COUNTIF(EPP_2367111154[SPCC], B415) &gt; 0, EPP_2367111154[[#Headers],[SPCC]],
   COUNTIF(Herramientas_de_izaje2468112155[Herramientas_de_izaje], B415) &gt; 0, Herramientas_de_izaje2468112155[[#Headers],[Herramientas_de_izaje]],
COUNTIF(Tabla162670114157[Equipos], B415) &gt; 0, Tabla162670114157[[#Headers],[Equipos]],
    TRUE, "Sin clasificación"
)</f>
        <v>Sin clasificación</v>
      </c>
      <c r="I415" s="15"/>
      <c r="J415" s="47"/>
      <c r="K415" s="76"/>
      <c r="L415" s="76"/>
      <c r="M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N415" s="77"/>
      <c r="O415" s="32"/>
      <c r="P415" s="32"/>
      <c r="Q415" s="32"/>
      <c r="R415" s="32"/>
    </row>
    <row r="416" spans="3:18" x14ac:dyDescent="0.3">
      <c r="C416" s="11"/>
      <c r="D416" s="32"/>
      <c r="E416" s="11" t="str" cm="1">
        <f t="array" ref="E416">_xlfn.IFS(
    COUNTIF(Herramientas_eléctricas1862106149[Herramientas_eléctricas], B416) &gt; 0, Herramientas_eléctricas1862106149[[#Headers],[Herramientas_eléctricas]],
    COUNTIF(Herramientas_neumáticas1963107150[Herramientas_neumáticas], B416) &gt; 0, Herramientas_neumáticas1963107150[[#Headers],[Herramientas_neumáticas]],
    COUNTIF(Herramientas_de_medición2064108151[Herramientas_de_medición], B416) &gt; 0, Herramientas_de_medición2064108151[[#Headers],[Herramientas_de_medición]],
    COUNTIF(Herrramientas_mecánicas2165109152[Herramientas_mecánicas], B416) &gt; 0, Herrramientas_mecánicas2165109152[[#Headers],[Herramientas_mecánicas]],
    COUNTIF(AH416:AH422, B416) &gt; 0, Herramientas_hidráulicas2266110153[[#Headers],[Herramientas_hidráulicas]],
    COUNTIF(EPP_2367111154[SPCC], B416) &gt; 0, EPP_2367111154[[#Headers],[SPCC]],
   COUNTIF(Herramientas_de_izaje2468112155[Herramientas_de_izaje], B416) &gt; 0, Herramientas_de_izaje2468112155[[#Headers],[Herramientas_de_izaje]],
COUNTIF(Tabla162670114157[Equipos], B416) &gt; 0, Tabla162670114157[[#Headers],[Equipos]],
    TRUE, "Sin clasificación"
)</f>
        <v>Sin clasificación</v>
      </c>
      <c r="I416" s="15"/>
      <c r="J416" s="47"/>
      <c r="K416" s="76"/>
      <c r="L416" s="76"/>
      <c r="M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N416" s="77"/>
      <c r="O416" s="32"/>
      <c r="P416" s="32"/>
      <c r="Q416" s="32"/>
      <c r="R416" s="32"/>
    </row>
    <row r="417" spans="3:18" x14ac:dyDescent="0.3">
      <c r="C417" s="11"/>
      <c r="D417" s="32"/>
      <c r="E417" s="11" t="str" cm="1">
        <f t="array" ref="E417">_xlfn.IFS(
    COUNTIF(Herramientas_eléctricas1862106149[Herramientas_eléctricas], B417) &gt; 0, Herramientas_eléctricas1862106149[[#Headers],[Herramientas_eléctricas]],
    COUNTIF(Herramientas_neumáticas1963107150[Herramientas_neumáticas], B417) &gt; 0, Herramientas_neumáticas1963107150[[#Headers],[Herramientas_neumáticas]],
    COUNTIF(Herramientas_de_medición2064108151[Herramientas_de_medición], B417) &gt; 0, Herramientas_de_medición2064108151[[#Headers],[Herramientas_de_medición]],
    COUNTIF(Herrramientas_mecánicas2165109152[Herramientas_mecánicas], B417) &gt; 0, Herrramientas_mecánicas2165109152[[#Headers],[Herramientas_mecánicas]],
    COUNTIF(AH417:AH423, B417) &gt; 0, Herramientas_hidráulicas2266110153[[#Headers],[Herramientas_hidráulicas]],
    COUNTIF(EPP_2367111154[SPCC], B417) &gt; 0, EPP_2367111154[[#Headers],[SPCC]],
   COUNTIF(Herramientas_de_izaje2468112155[Herramientas_de_izaje], B417) &gt; 0, Herramientas_de_izaje2468112155[[#Headers],[Herramientas_de_izaje]],
COUNTIF(Tabla162670114157[Equipos], B417) &gt; 0, Tabla162670114157[[#Headers],[Equipos]],
    TRUE, "Sin clasificación"
)</f>
        <v>Sin clasificación</v>
      </c>
      <c r="I417" s="15"/>
      <c r="J417" s="47"/>
      <c r="K417" s="76"/>
      <c r="L417" s="76"/>
      <c r="M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N417" s="77"/>
      <c r="O417" s="32"/>
      <c r="P417" s="32"/>
      <c r="Q417" s="32"/>
      <c r="R417" s="32"/>
    </row>
    <row r="418" spans="3:18" x14ac:dyDescent="0.3">
      <c r="C418" s="11"/>
      <c r="D418" s="32"/>
      <c r="E418" s="11" t="str" cm="1">
        <f t="array" ref="E418">_xlfn.IFS(
    COUNTIF(Herramientas_eléctricas1862106149[Herramientas_eléctricas], B418) &gt; 0, Herramientas_eléctricas1862106149[[#Headers],[Herramientas_eléctricas]],
    COUNTIF(Herramientas_neumáticas1963107150[Herramientas_neumáticas], B418) &gt; 0, Herramientas_neumáticas1963107150[[#Headers],[Herramientas_neumáticas]],
    COUNTIF(Herramientas_de_medición2064108151[Herramientas_de_medición], B418) &gt; 0, Herramientas_de_medición2064108151[[#Headers],[Herramientas_de_medición]],
    COUNTIF(Herrramientas_mecánicas2165109152[Herramientas_mecánicas], B418) &gt; 0, Herrramientas_mecánicas2165109152[[#Headers],[Herramientas_mecánicas]],
    COUNTIF(AH418:AH424, B418) &gt; 0, Herramientas_hidráulicas2266110153[[#Headers],[Herramientas_hidráulicas]],
    COUNTIF(EPP_2367111154[SPCC], B418) &gt; 0, EPP_2367111154[[#Headers],[SPCC]],
   COUNTIF(Herramientas_de_izaje2468112155[Herramientas_de_izaje], B418) &gt; 0, Herramientas_de_izaje2468112155[[#Headers],[Herramientas_de_izaje]],
COUNTIF(Tabla162670114157[Equipos], B418) &gt; 0, Tabla162670114157[[#Headers],[Equipos]],
    TRUE, "Sin clasificación"
)</f>
        <v>Sin clasificación</v>
      </c>
      <c r="I418" s="15"/>
      <c r="J418" s="47"/>
      <c r="K418" s="76"/>
      <c r="L418" s="76"/>
      <c r="M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N418" s="77"/>
      <c r="O418" s="32"/>
      <c r="P418" s="32"/>
      <c r="Q418" s="32"/>
      <c r="R418" s="32"/>
    </row>
    <row r="419" spans="3:18" x14ac:dyDescent="0.3">
      <c r="C419" s="11"/>
      <c r="D419" s="32"/>
      <c r="E419" s="11" t="str" cm="1">
        <f t="array" ref="E419">_xlfn.IFS(
    COUNTIF(Herramientas_eléctricas1862106149[Herramientas_eléctricas], B419) &gt; 0, Herramientas_eléctricas1862106149[[#Headers],[Herramientas_eléctricas]],
    COUNTIF(Herramientas_neumáticas1963107150[Herramientas_neumáticas], B419) &gt; 0, Herramientas_neumáticas1963107150[[#Headers],[Herramientas_neumáticas]],
    COUNTIF(Herramientas_de_medición2064108151[Herramientas_de_medición], B419) &gt; 0, Herramientas_de_medición2064108151[[#Headers],[Herramientas_de_medición]],
    COUNTIF(Herrramientas_mecánicas2165109152[Herramientas_mecánicas], B419) &gt; 0, Herrramientas_mecánicas2165109152[[#Headers],[Herramientas_mecánicas]],
    COUNTIF(AH419:AH425, B419) &gt; 0, Herramientas_hidráulicas2266110153[[#Headers],[Herramientas_hidráulicas]],
    COUNTIF(EPP_2367111154[SPCC], B419) &gt; 0, EPP_2367111154[[#Headers],[SPCC]],
   COUNTIF(Herramientas_de_izaje2468112155[Herramientas_de_izaje], B419) &gt; 0, Herramientas_de_izaje2468112155[[#Headers],[Herramientas_de_izaje]],
COUNTIF(Tabla162670114157[Equipos], B419) &gt; 0, Tabla162670114157[[#Headers],[Equipos]],
    TRUE, "Sin clasificación"
)</f>
        <v>Sin clasificación</v>
      </c>
      <c r="I419" s="15"/>
      <c r="J419" s="47"/>
      <c r="K419" s="76"/>
      <c r="L419" s="76"/>
      <c r="M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N419" s="77"/>
      <c r="O419" s="32"/>
      <c r="P419" s="32"/>
      <c r="Q419" s="32"/>
      <c r="R419" s="32"/>
    </row>
    <row r="420" spans="3:18" x14ac:dyDescent="0.3">
      <c r="C420" s="11"/>
      <c r="D420" s="32"/>
      <c r="E420" s="11" t="str" cm="1">
        <f t="array" ref="E420">_xlfn.IFS(
    COUNTIF(Herramientas_eléctricas1862106149[Herramientas_eléctricas], B420) &gt; 0, Herramientas_eléctricas1862106149[[#Headers],[Herramientas_eléctricas]],
    COUNTIF(Herramientas_neumáticas1963107150[Herramientas_neumáticas], B420) &gt; 0, Herramientas_neumáticas1963107150[[#Headers],[Herramientas_neumáticas]],
    COUNTIF(Herramientas_de_medición2064108151[Herramientas_de_medición], B420) &gt; 0, Herramientas_de_medición2064108151[[#Headers],[Herramientas_de_medición]],
    COUNTIF(Herrramientas_mecánicas2165109152[Herramientas_mecánicas], B420) &gt; 0, Herrramientas_mecánicas2165109152[[#Headers],[Herramientas_mecánicas]],
    COUNTIF(AH420:AH426, B420) &gt; 0, Herramientas_hidráulicas2266110153[[#Headers],[Herramientas_hidráulicas]],
    COUNTIF(EPP_2367111154[SPCC], B420) &gt; 0, EPP_2367111154[[#Headers],[SPCC]],
   COUNTIF(Herramientas_de_izaje2468112155[Herramientas_de_izaje], B420) &gt; 0, Herramientas_de_izaje2468112155[[#Headers],[Herramientas_de_izaje]],
COUNTIF(Tabla162670114157[Equipos], B420) &gt; 0, Tabla162670114157[[#Headers],[Equipos]],
    TRUE, "Sin clasificación"
)</f>
        <v>Sin clasificación</v>
      </c>
      <c r="I420" s="15"/>
      <c r="J420" s="47"/>
      <c r="K420" s="76"/>
      <c r="L420" s="76"/>
      <c r="M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N420" s="77"/>
      <c r="O420" s="32"/>
      <c r="P420" s="32"/>
      <c r="Q420" s="32"/>
      <c r="R420" s="32"/>
    </row>
    <row r="421" spans="3:18" x14ac:dyDescent="0.3">
      <c r="C421" s="11"/>
      <c r="D421" s="32"/>
      <c r="E421" s="11" t="str" cm="1">
        <f t="array" ref="E421">_xlfn.IFS(
    COUNTIF(Herramientas_eléctricas1862106149[Herramientas_eléctricas], B421) &gt; 0, Herramientas_eléctricas1862106149[[#Headers],[Herramientas_eléctricas]],
    COUNTIF(Herramientas_neumáticas1963107150[Herramientas_neumáticas], B421) &gt; 0, Herramientas_neumáticas1963107150[[#Headers],[Herramientas_neumáticas]],
    COUNTIF(Herramientas_de_medición2064108151[Herramientas_de_medición], B421) &gt; 0, Herramientas_de_medición2064108151[[#Headers],[Herramientas_de_medición]],
    COUNTIF(Herrramientas_mecánicas2165109152[Herramientas_mecánicas], B421) &gt; 0, Herrramientas_mecánicas2165109152[[#Headers],[Herramientas_mecánicas]],
    COUNTIF(AH421:AH427, B421) &gt; 0, Herramientas_hidráulicas2266110153[[#Headers],[Herramientas_hidráulicas]],
    COUNTIF(EPP_2367111154[SPCC], B421) &gt; 0, EPP_2367111154[[#Headers],[SPCC]],
   COUNTIF(Herramientas_de_izaje2468112155[Herramientas_de_izaje], B421) &gt; 0, Herramientas_de_izaje2468112155[[#Headers],[Herramientas_de_izaje]],
COUNTIF(Tabla162670114157[Equipos], B421) &gt; 0, Tabla162670114157[[#Headers],[Equipos]],
    TRUE, "Sin clasificación"
)</f>
        <v>Sin clasificación</v>
      </c>
      <c r="I421" s="15"/>
      <c r="J421" s="47"/>
      <c r="K421" s="76"/>
      <c r="L421" s="76"/>
      <c r="M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N421" s="77"/>
      <c r="O421" s="32"/>
      <c r="P421" s="32"/>
      <c r="Q421" s="32"/>
      <c r="R421" s="32"/>
    </row>
    <row r="422" spans="3:18" x14ac:dyDescent="0.3">
      <c r="C422" s="11"/>
      <c r="D422" s="32"/>
      <c r="E422" s="11" t="str" cm="1">
        <f t="array" ref="E422">_xlfn.IFS(
    COUNTIF(Herramientas_eléctricas1862106149[Herramientas_eléctricas], B422) &gt; 0, Herramientas_eléctricas1862106149[[#Headers],[Herramientas_eléctricas]],
    COUNTIF(Herramientas_neumáticas1963107150[Herramientas_neumáticas], B422) &gt; 0, Herramientas_neumáticas1963107150[[#Headers],[Herramientas_neumáticas]],
    COUNTIF(Herramientas_de_medición2064108151[Herramientas_de_medición], B422) &gt; 0, Herramientas_de_medición2064108151[[#Headers],[Herramientas_de_medición]],
    COUNTIF(Herrramientas_mecánicas2165109152[Herramientas_mecánicas], B422) &gt; 0, Herrramientas_mecánicas2165109152[[#Headers],[Herramientas_mecánicas]],
    COUNTIF(AH422:AH428, B422) &gt; 0, Herramientas_hidráulicas2266110153[[#Headers],[Herramientas_hidráulicas]],
    COUNTIF(EPP_2367111154[SPCC], B422) &gt; 0, EPP_2367111154[[#Headers],[SPCC]],
   COUNTIF(Herramientas_de_izaje2468112155[Herramientas_de_izaje], B422) &gt; 0, Herramientas_de_izaje2468112155[[#Headers],[Herramientas_de_izaje]],
COUNTIF(Tabla162670114157[Equipos], B422) &gt; 0, Tabla162670114157[[#Headers],[Equipos]],
    TRUE, "Sin clasificación"
)</f>
        <v>Sin clasificación</v>
      </c>
      <c r="I422" s="15"/>
      <c r="J422" s="47"/>
      <c r="K422" s="76"/>
      <c r="L422" s="76"/>
      <c r="M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N422" s="77"/>
      <c r="O422" s="32"/>
      <c r="P422" s="32"/>
      <c r="Q422" s="32"/>
      <c r="R422" s="32"/>
    </row>
    <row r="423" spans="3:18" x14ac:dyDescent="0.3">
      <c r="C423" s="11"/>
      <c r="D423" s="32"/>
      <c r="E423" s="11" t="str" cm="1">
        <f t="array" ref="E423">_xlfn.IFS(
    COUNTIF(Herramientas_eléctricas1862106149[Herramientas_eléctricas], B423) &gt; 0, Herramientas_eléctricas1862106149[[#Headers],[Herramientas_eléctricas]],
    COUNTIF(Herramientas_neumáticas1963107150[Herramientas_neumáticas], B423) &gt; 0, Herramientas_neumáticas1963107150[[#Headers],[Herramientas_neumáticas]],
    COUNTIF(Herramientas_de_medición2064108151[Herramientas_de_medición], B423) &gt; 0, Herramientas_de_medición2064108151[[#Headers],[Herramientas_de_medición]],
    COUNTIF(Herrramientas_mecánicas2165109152[Herramientas_mecánicas], B423) &gt; 0, Herrramientas_mecánicas2165109152[[#Headers],[Herramientas_mecánicas]],
    COUNTIF(AH423:AH429, B423) &gt; 0, Herramientas_hidráulicas2266110153[[#Headers],[Herramientas_hidráulicas]],
    COUNTIF(EPP_2367111154[SPCC], B423) &gt; 0, EPP_2367111154[[#Headers],[SPCC]],
   COUNTIF(Herramientas_de_izaje2468112155[Herramientas_de_izaje], B423) &gt; 0, Herramientas_de_izaje2468112155[[#Headers],[Herramientas_de_izaje]],
COUNTIF(Tabla162670114157[Equipos], B423) &gt; 0, Tabla162670114157[[#Headers],[Equipos]],
    TRUE, "Sin clasificación"
)</f>
        <v>Sin clasificación</v>
      </c>
      <c r="I423" s="15"/>
      <c r="J423" s="47"/>
      <c r="K423" s="76"/>
      <c r="L423" s="76"/>
      <c r="M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N423" s="77"/>
      <c r="O423" s="32"/>
      <c r="P423" s="32"/>
      <c r="Q423" s="32"/>
      <c r="R423" s="32"/>
    </row>
    <row r="424" spans="3:18" x14ac:dyDescent="0.3">
      <c r="C424" s="11"/>
      <c r="D424" s="32"/>
      <c r="E424" s="11" t="str" cm="1">
        <f t="array" ref="E424">_xlfn.IFS(
    COUNTIF(Herramientas_eléctricas1862106149[Herramientas_eléctricas], B424) &gt; 0, Herramientas_eléctricas1862106149[[#Headers],[Herramientas_eléctricas]],
    COUNTIF(Herramientas_neumáticas1963107150[Herramientas_neumáticas], B424) &gt; 0, Herramientas_neumáticas1963107150[[#Headers],[Herramientas_neumáticas]],
    COUNTIF(Herramientas_de_medición2064108151[Herramientas_de_medición], B424) &gt; 0, Herramientas_de_medición2064108151[[#Headers],[Herramientas_de_medición]],
    COUNTIF(Herrramientas_mecánicas2165109152[Herramientas_mecánicas], B424) &gt; 0, Herrramientas_mecánicas2165109152[[#Headers],[Herramientas_mecánicas]],
    COUNTIF(AH424:AH430, B424) &gt; 0, Herramientas_hidráulicas2266110153[[#Headers],[Herramientas_hidráulicas]],
    COUNTIF(EPP_2367111154[SPCC], B424) &gt; 0, EPP_2367111154[[#Headers],[SPCC]],
   COUNTIF(Herramientas_de_izaje2468112155[Herramientas_de_izaje], B424) &gt; 0, Herramientas_de_izaje2468112155[[#Headers],[Herramientas_de_izaje]],
COUNTIF(Tabla162670114157[Equipos], B424) &gt; 0, Tabla162670114157[[#Headers],[Equipos]],
    TRUE, "Sin clasificación"
)</f>
        <v>Sin clasificación</v>
      </c>
      <c r="I424" s="15"/>
      <c r="J424" s="47"/>
      <c r="K424" s="76"/>
      <c r="L424" s="76"/>
      <c r="M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N424" s="77"/>
      <c r="O424" s="32"/>
      <c r="P424" s="32"/>
      <c r="Q424" s="32"/>
      <c r="R424" s="32"/>
    </row>
    <row r="425" spans="3:18" x14ac:dyDescent="0.3">
      <c r="C425" s="11"/>
      <c r="D425" s="32"/>
      <c r="E425" s="11" t="str" cm="1">
        <f t="array" ref="E425">_xlfn.IFS(
    COUNTIF(Herramientas_eléctricas1862106149[Herramientas_eléctricas], B425) &gt; 0, Herramientas_eléctricas1862106149[[#Headers],[Herramientas_eléctricas]],
    COUNTIF(Herramientas_neumáticas1963107150[Herramientas_neumáticas], B425) &gt; 0, Herramientas_neumáticas1963107150[[#Headers],[Herramientas_neumáticas]],
    COUNTIF(Herramientas_de_medición2064108151[Herramientas_de_medición], B425) &gt; 0, Herramientas_de_medición2064108151[[#Headers],[Herramientas_de_medición]],
    COUNTIF(Herrramientas_mecánicas2165109152[Herramientas_mecánicas], B425) &gt; 0, Herrramientas_mecánicas2165109152[[#Headers],[Herramientas_mecánicas]],
    COUNTIF(AH425:AH431, B425) &gt; 0, Herramientas_hidráulicas2266110153[[#Headers],[Herramientas_hidráulicas]],
    COUNTIF(EPP_2367111154[SPCC], B425) &gt; 0, EPP_2367111154[[#Headers],[SPCC]],
   COUNTIF(Herramientas_de_izaje2468112155[Herramientas_de_izaje], B425) &gt; 0, Herramientas_de_izaje2468112155[[#Headers],[Herramientas_de_izaje]],
COUNTIF(Tabla162670114157[Equipos], B425) &gt; 0, Tabla162670114157[[#Headers],[Equipos]],
    TRUE, "Sin clasificación"
)</f>
        <v>Sin clasificación</v>
      </c>
      <c r="I425" s="15"/>
      <c r="J425" s="47"/>
      <c r="K425" s="76"/>
      <c r="L425" s="76"/>
      <c r="M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N425" s="77"/>
      <c r="O425" s="32"/>
      <c r="P425" s="32"/>
      <c r="Q425" s="32"/>
      <c r="R425" s="32"/>
    </row>
    <row r="426" spans="3:18" x14ac:dyDescent="0.3">
      <c r="C426" s="11"/>
      <c r="D426" s="32"/>
      <c r="E426" s="11" t="str" cm="1">
        <f t="array" ref="E426">_xlfn.IFS(
    COUNTIF(Herramientas_eléctricas1862106149[Herramientas_eléctricas], B426) &gt; 0, Herramientas_eléctricas1862106149[[#Headers],[Herramientas_eléctricas]],
    COUNTIF(Herramientas_neumáticas1963107150[Herramientas_neumáticas], B426) &gt; 0, Herramientas_neumáticas1963107150[[#Headers],[Herramientas_neumáticas]],
    COUNTIF(Herramientas_de_medición2064108151[Herramientas_de_medición], B426) &gt; 0, Herramientas_de_medición2064108151[[#Headers],[Herramientas_de_medición]],
    COUNTIF(Herrramientas_mecánicas2165109152[Herramientas_mecánicas], B426) &gt; 0, Herrramientas_mecánicas2165109152[[#Headers],[Herramientas_mecánicas]],
    COUNTIF(AH426:AH432, B426) &gt; 0, Herramientas_hidráulicas2266110153[[#Headers],[Herramientas_hidráulicas]],
    COUNTIF(EPP_2367111154[SPCC], B426) &gt; 0, EPP_2367111154[[#Headers],[SPCC]],
   COUNTIF(Herramientas_de_izaje2468112155[Herramientas_de_izaje], B426) &gt; 0, Herramientas_de_izaje2468112155[[#Headers],[Herramientas_de_izaje]],
COUNTIF(Tabla162670114157[Equipos], B426) &gt; 0, Tabla162670114157[[#Headers],[Equipos]],
    TRUE, "Sin clasificación"
)</f>
        <v>Sin clasificación</v>
      </c>
      <c r="I426" s="15"/>
      <c r="J426" s="47"/>
      <c r="K426" s="76"/>
      <c r="L426" s="76"/>
      <c r="M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N426" s="77"/>
      <c r="O426" s="32"/>
      <c r="P426" s="32"/>
      <c r="Q426" s="32"/>
      <c r="R426" s="32"/>
    </row>
    <row r="427" spans="3:18" x14ac:dyDescent="0.3">
      <c r="C427" s="11"/>
      <c r="D427" s="32"/>
      <c r="E427" s="11" t="str" cm="1">
        <f t="array" ref="E427">_xlfn.IFS(
    COUNTIF(Herramientas_eléctricas1862106149[Herramientas_eléctricas], B427) &gt; 0, Herramientas_eléctricas1862106149[[#Headers],[Herramientas_eléctricas]],
    COUNTIF(Herramientas_neumáticas1963107150[Herramientas_neumáticas], B427) &gt; 0, Herramientas_neumáticas1963107150[[#Headers],[Herramientas_neumáticas]],
    COUNTIF(Herramientas_de_medición2064108151[Herramientas_de_medición], B427) &gt; 0, Herramientas_de_medición2064108151[[#Headers],[Herramientas_de_medición]],
    COUNTIF(Herrramientas_mecánicas2165109152[Herramientas_mecánicas], B427) &gt; 0, Herrramientas_mecánicas2165109152[[#Headers],[Herramientas_mecánicas]],
    COUNTIF(AH427:AH433, B427) &gt; 0, Herramientas_hidráulicas2266110153[[#Headers],[Herramientas_hidráulicas]],
    COUNTIF(EPP_2367111154[SPCC], B427) &gt; 0, EPP_2367111154[[#Headers],[SPCC]],
   COUNTIF(Herramientas_de_izaje2468112155[Herramientas_de_izaje], B427) &gt; 0, Herramientas_de_izaje2468112155[[#Headers],[Herramientas_de_izaje]],
COUNTIF(Tabla162670114157[Equipos], B427) &gt; 0, Tabla162670114157[[#Headers],[Equipos]],
    TRUE, "Sin clasificación"
)</f>
        <v>Sin clasificación</v>
      </c>
      <c r="I427" s="15"/>
      <c r="J427" s="47"/>
      <c r="K427" s="76"/>
      <c r="L427" s="76"/>
      <c r="M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N427" s="77"/>
      <c r="O427" s="32"/>
      <c r="P427" s="32"/>
      <c r="Q427" s="32"/>
      <c r="R427" s="32"/>
    </row>
    <row r="428" spans="3:18" x14ac:dyDescent="0.3">
      <c r="C428" s="11"/>
      <c r="D428" s="32"/>
      <c r="E428" s="11" t="str" cm="1">
        <f t="array" ref="E428">_xlfn.IFS(
    COUNTIF(Herramientas_eléctricas1862106149[Herramientas_eléctricas], B428) &gt; 0, Herramientas_eléctricas1862106149[[#Headers],[Herramientas_eléctricas]],
    COUNTIF(Herramientas_neumáticas1963107150[Herramientas_neumáticas], B428) &gt; 0, Herramientas_neumáticas1963107150[[#Headers],[Herramientas_neumáticas]],
    COUNTIF(Herramientas_de_medición2064108151[Herramientas_de_medición], B428) &gt; 0, Herramientas_de_medición2064108151[[#Headers],[Herramientas_de_medición]],
    COUNTIF(Herrramientas_mecánicas2165109152[Herramientas_mecánicas], B428) &gt; 0, Herrramientas_mecánicas2165109152[[#Headers],[Herramientas_mecánicas]],
    COUNTIF(AH428:AH434, B428) &gt; 0, Herramientas_hidráulicas2266110153[[#Headers],[Herramientas_hidráulicas]],
    COUNTIF(EPP_2367111154[SPCC], B428) &gt; 0, EPP_2367111154[[#Headers],[SPCC]],
   COUNTIF(Herramientas_de_izaje2468112155[Herramientas_de_izaje], B428) &gt; 0, Herramientas_de_izaje2468112155[[#Headers],[Herramientas_de_izaje]],
COUNTIF(Tabla162670114157[Equipos], B428) &gt; 0, Tabla162670114157[[#Headers],[Equipos]],
    TRUE, "Sin clasificación"
)</f>
        <v>Sin clasificación</v>
      </c>
      <c r="I428" s="15"/>
      <c r="J428" s="47"/>
      <c r="K428" s="76"/>
      <c r="L428" s="76"/>
      <c r="M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N428" s="77"/>
      <c r="O428" s="32"/>
      <c r="P428" s="32"/>
      <c r="Q428" s="32"/>
      <c r="R428" s="32"/>
    </row>
    <row r="429" spans="3:18" x14ac:dyDescent="0.3">
      <c r="C429" s="11"/>
      <c r="D429" s="32"/>
      <c r="E429" s="11" t="str" cm="1">
        <f t="array" ref="E429">_xlfn.IFS(
    COUNTIF(Herramientas_eléctricas1862106149[Herramientas_eléctricas], B429) &gt; 0, Herramientas_eléctricas1862106149[[#Headers],[Herramientas_eléctricas]],
    COUNTIF(Herramientas_neumáticas1963107150[Herramientas_neumáticas], B429) &gt; 0, Herramientas_neumáticas1963107150[[#Headers],[Herramientas_neumáticas]],
    COUNTIF(Herramientas_de_medición2064108151[Herramientas_de_medición], B429) &gt; 0, Herramientas_de_medición2064108151[[#Headers],[Herramientas_de_medición]],
    COUNTIF(Herrramientas_mecánicas2165109152[Herramientas_mecánicas], B429) &gt; 0, Herrramientas_mecánicas2165109152[[#Headers],[Herramientas_mecánicas]],
    COUNTIF(AH429:AH435, B429) &gt; 0, Herramientas_hidráulicas2266110153[[#Headers],[Herramientas_hidráulicas]],
    COUNTIF(EPP_2367111154[SPCC], B429) &gt; 0, EPP_2367111154[[#Headers],[SPCC]],
   COUNTIF(Herramientas_de_izaje2468112155[Herramientas_de_izaje], B429) &gt; 0, Herramientas_de_izaje2468112155[[#Headers],[Herramientas_de_izaje]],
COUNTIF(Tabla162670114157[Equipos], B429) &gt; 0, Tabla162670114157[[#Headers],[Equipos]],
    TRUE, "Sin clasificación"
)</f>
        <v>Sin clasificación</v>
      </c>
      <c r="I429" s="15"/>
      <c r="J429" s="47"/>
      <c r="K429" s="76"/>
      <c r="L429" s="76"/>
      <c r="M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N429" s="77"/>
      <c r="O429" s="32"/>
      <c r="P429" s="32"/>
      <c r="Q429" s="32"/>
      <c r="R429" s="32"/>
    </row>
    <row r="430" spans="3:18" x14ac:dyDescent="0.3">
      <c r="C430" s="11"/>
      <c r="D430" s="32"/>
      <c r="E430" s="11" t="str" cm="1">
        <f t="array" ref="E430">_xlfn.IFS(
    COUNTIF(Herramientas_eléctricas1862106149[Herramientas_eléctricas], B430) &gt; 0, Herramientas_eléctricas1862106149[[#Headers],[Herramientas_eléctricas]],
    COUNTIF(Herramientas_neumáticas1963107150[Herramientas_neumáticas], B430) &gt; 0, Herramientas_neumáticas1963107150[[#Headers],[Herramientas_neumáticas]],
    COUNTIF(Herramientas_de_medición2064108151[Herramientas_de_medición], B430) &gt; 0, Herramientas_de_medición2064108151[[#Headers],[Herramientas_de_medición]],
    COUNTIF(Herrramientas_mecánicas2165109152[Herramientas_mecánicas], B430) &gt; 0, Herrramientas_mecánicas2165109152[[#Headers],[Herramientas_mecánicas]],
    COUNTIF(AH430:AH436, B430) &gt; 0, Herramientas_hidráulicas2266110153[[#Headers],[Herramientas_hidráulicas]],
    COUNTIF(EPP_2367111154[SPCC], B430) &gt; 0, EPP_2367111154[[#Headers],[SPCC]],
   COUNTIF(Herramientas_de_izaje2468112155[Herramientas_de_izaje], B430) &gt; 0, Herramientas_de_izaje2468112155[[#Headers],[Herramientas_de_izaje]],
COUNTIF(Tabla162670114157[Equipos], B430) &gt; 0, Tabla162670114157[[#Headers],[Equipos]],
    TRUE, "Sin clasificación"
)</f>
        <v>Sin clasificación</v>
      </c>
      <c r="I430" s="15"/>
      <c r="J430" s="47"/>
      <c r="K430" s="76"/>
      <c r="L430" s="76"/>
      <c r="M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N430" s="77"/>
      <c r="O430" s="32"/>
      <c r="P430" s="32"/>
      <c r="Q430" s="32"/>
      <c r="R430" s="32"/>
    </row>
    <row r="431" spans="3:18" x14ac:dyDescent="0.3">
      <c r="C431" s="11"/>
      <c r="D431" s="32"/>
      <c r="E431" s="11" t="str" cm="1">
        <f t="array" ref="E431">_xlfn.IFS(
    COUNTIF(Herramientas_eléctricas1862106149[Herramientas_eléctricas], B431) &gt; 0, Herramientas_eléctricas1862106149[[#Headers],[Herramientas_eléctricas]],
    COUNTIF(Herramientas_neumáticas1963107150[Herramientas_neumáticas], B431) &gt; 0, Herramientas_neumáticas1963107150[[#Headers],[Herramientas_neumáticas]],
    COUNTIF(Herramientas_de_medición2064108151[Herramientas_de_medición], B431) &gt; 0, Herramientas_de_medición2064108151[[#Headers],[Herramientas_de_medición]],
    COUNTIF(Herrramientas_mecánicas2165109152[Herramientas_mecánicas], B431) &gt; 0, Herrramientas_mecánicas2165109152[[#Headers],[Herramientas_mecánicas]],
    COUNTIF(AH431:AH437, B431) &gt; 0, Herramientas_hidráulicas2266110153[[#Headers],[Herramientas_hidráulicas]],
    COUNTIF(EPP_2367111154[SPCC], B431) &gt; 0, EPP_2367111154[[#Headers],[SPCC]],
   COUNTIF(Herramientas_de_izaje2468112155[Herramientas_de_izaje], B431) &gt; 0, Herramientas_de_izaje2468112155[[#Headers],[Herramientas_de_izaje]],
COUNTIF(Tabla162670114157[Equipos], B431) &gt; 0, Tabla162670114157[[#Headers],[Equipos]],
    TRUE, "Sin clasificación"
)</f>
        <v>Sin clasificación</v>
      </c>
      <c r="I431" s="15"/>
      <c r="J431" s="47"/>
      <c r="K431" s="76"/>
      <c r="L431" s="76"/>
      <c r="M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N431" s="77"/>
      <c r="O431" s="32"/>
      <c r="P431" s="32"/>
      <c r="Q431" s="32"/>
      <c r="R431" s="32"/>
    </row>
    <row r="432" spans="3:18" x14ac:dyDescent="0.3">
      <c r="C432" s="11"/>
      <c r="D432" s="32"/>
      <c r="E432" s="11" t="str" cm="1">
        <f t="array" ref="E432">_xlfn.IFS(
    COUNTIF(Herramientas_eléctricas1862106149[Herramientas_eléctricas], B432) &gt; 0, Herramientas_eléctricas1862106149[[#Headers],[Herramientas_eléctricas]],
    COUNTIF(Herramientas_neumáticas1963107150[Herramientas_neumáticas], B432) &gt; 0, Herramientas_neumáticas1963107150[[#Headers],[Herramientas_neumáticas]],
    COUNTIF(Herramientas_de_medición2064108151[Herramientas_de_medición], B432) &gt; 0, Herramientas_de_medición2064108151[[#Headers],[Herramientas_de_medición]],
    COUNTIF(Herrramientas_mecánicas2165109152[Herramientas_mecánicas], B432) &gt; 0, Herrramientas_mecánicas2165109152[[#Headers],[Herramientas_mecánicas]],
    COUNTIF(AH432:AH438, B432) &gt; 0, Herramientas_hidráulicas2266110153[[#Headers],[Herramientas_hidráulicas]],
    COUNTIF(EPP_2367111154[SPCC], B432) &gt; 0, EPP_2367111154[[#Headers],[SPCC]],
   COUNTIF(Herramientas_de_izaje2468112155[Herramientas_de_izaje], B432) &gt; 0, Herramientas_de_izaje2468112155[[#Headers],[Herramientas_de_izaje]],
COUNTIF(Tabla162670114157[Equipos], B432) &gt; 0, Tabla162670114157[[#Headers],[Equipos]],
    TRUE, "Sin clasificación"
)</f>
        <v>Sin clasificación</v>
      </c>
      <c r="I432" s="15"/>
      <c r="J432" s="47"/>
      <c r="K432" s="76"/>
      <c r="L432" s="76"/>
      <c r="M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N432" s="77"/>
      <c r="O432" s="32"/>
      <c r="P432" s="32"/>
      <c r="Q432" s="32"/>
      <c r="R432" s="32"/>
    </row>
    <row r="433" spans="3:18" x14ac:dyDescent="0.3">
      <c r="C433" s="11"/>
      <c r="D433" s="32"/>
      <c r="E433" s="11" t="str" cm="1">
        <f t="array" ref="E433">_xlfn.IFS(
    COUNTIF(Herramientas_eléctricas1862106149[Herramientas_eléctricas], B433) &gt; 0, Herramientas_eléctricas1862106149[[#Headers],[Herramientas_eléctricas]],
    COUNTIF(Herramientas_neumáticas1963107150[Herramientas_neumáticas], B433) &gt; 0, Herramientas_neumáticas1963107150[[#Headers],[Herramientas_neumáticas]],
    COUNTIF(Herramientas_de_medición2064108151[Herramientas_de_medición], B433) &gt; 0, Herramientas_de_medición2064108151[[#Headers],[Herramientas_de_medición]],
    COUNTIF(Herrramientas_mecánicas2165109152[Herramientas_mecánicas], B433) &gt; 0, Herrramientas_mecánicas2165109152[[#Headers],[Herramientas_mecánicas]],
    COUNTIF(AH433:AH439, B433) &gt; 0, Herramientas_hidráulicas2266110153[[#Headers],[Herramientas_hidráulicas]],
    COUNTIF(EPP_2367111154[SPCC], B433) &gt; 0, EPP_2367111154[[#Headers],[SPCC]],
   COUNTIF(Herramientas_de_izaje2468112155[Herramientas_de_izaje], B433) &gt; 0, Herramientas_de_izaje2468112155[[#Headers],[Herramientas_de_izaje]],
COUNTIF(Tabla162670114157[Equipos], B433) &gt; 0, Tabla162670114157[[#Headers],[Equipos]],
    TRUE, "Sin clasificación"
)</f>
        <v>Sin clasificación</v>
      </c>
      <c r="I433" s="15"/>
      <c r="J433" s="47"/>
      <c r="K433" s="76"/>
      <c r="L433" s="76"/>
      <c r="M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N433" s="77"/>
      <c r="O433" s="32"/>
      <c r="P433" s="32"/>
      <c r="Q433" s="32"/>
      <c r="R433" s="32"/>
    </row>
    <row r="434" spans="3:18" x14ac:dyDescent="0.3">
      <c r="C434" s="11"/>
      <c r="D434" s="32"/>
      <c r="E434" s="11" t="str" cm="1">
        <f t="array" ref="E434">_xlfn.IFS(
    COUNTIF(Herramientas_eléctricas1862106149[Herramientas_eléctricas], B434) &gt; 0, Herramientas_eléctricas1862106149[[#Headers],[Herramientas_eléctricas]],
    COUNTIF(Herramientas_neumáticas1963107150[Herramientas_neumáticas], B434) &gt; 0, Herramientas_neumáticas1963107150[[#Headers],[Herramientas_neumáticas]],
    COUNTIF(Herramientas_de_medición2064108151[Herramientas_de_medición], B434) &gt; 0, Herramientas_de_medición2064108151[[#Headers],[Herramientas_de_medición]],
    COUNTIF(Herrramientas_mecánicas2165109152[Herramientas_mecánicas], B434) &gt; 0, Herrramientas_mecánicas2165109152[[#Headers],[Herramientas_mecánicas]],
    COUNTIF(AH434:AH440, B434) &gt; 0, Herramientas_hidráulicas2266110153[[#Headers],[Herramientas_hidráulicas]],
    COUNTIF(EPP_2367111154[SPCC], B434) &gt; 0, EPP_2367111154[[#Headers],[SPCC]],
   COUNTIF(Herramientas_de_izaje2468112155[Herramientas_de_izaje], B434) &gt; 0, Herramientas_de_izaje2468112155[[#Headers],[Herramientas_de_izaje]],
COUNTIF(Tabla162670114157[Equipos], B434) &gt; 0, Tabla162670114157[[#Headers],[Equipos]],
    TRUE, "Sin clasificación"
)</f>
        <v>Sin clasificación</v>
      </c>
      <c r="I434" s="15"/>
      <c r="J434" s="47"/>
      <c r="K434" s="76"/>
      <c r="L434" s="76"/>
      <c r="M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N434" s="77"/>
      <c r="O434" s="32"/>
      <c r="P434" s="32"/>
      <c r="Q434" s="32"/>
      <c r="R434" s="32"/>
    </row>
    <row r="435" spans="3:18" x14ac:dyDescent="0.3">
      <c r="C435" s="11"/>
      <c r="D435" s="32"/>
      <c r="E435" s="11" t="str" cm="1">
        <f t="array" ref="E435">_xlfn.IFS(
    COUNTIF(Herramientas_eléctricas1862106149[Herramientas_eléctricas], B435) &gt; 0, Herramientas_eléctricas1862106149[[#Headers],[Herramientas_eléctricas]],
    COUNTIF(Herramientas_neumáticas1963107150[Herramientas_neumáticas], B435) &gt; 0, Herramientas_neumáticas1963107150[[#Headers],[Herramientas_neumáticas]],
    COUNTIF(Herramientas_de_medición2064108151[Herramientas_de_medición], B435) &gt; 0, Herramientas_de_medición2064108151[[#Headers],[Herramientas_de_medición]],
    COUNTIF(Herrramientas_mecánicas2165109152[Herramientas_mecánicas], B435) &gt; 0, Herrramientas_mecánicas2165109152[[#Headers],[Herramientas_mecánicas]],
    COUNTIF(AH435:AH441, B435) &gt; 0, Herramientas_hidráulicas2266110153[[#Headers],[Herramientas_hidráulicas]],
    COUNTIF(EPP_2367111154[SPCC], B435) &gt; 0, EPP_2367111154[[#Headers],[SPCC]],
   COUNTIF(Herramientas_de_izaje2468112155[Herramientas_de_izaje], B435) &gt; 0, Herramientas_de_izaje2468112155[[#Headers],[Herramientas_de_izaje]],
COUNTIF(Tabla162670114157[Equipos], B435) &gt; 0, Tabla162670114157[[#Headers],[Equipos]],
    TRUE, "Sin clasificación"
)</f>
        <v>Sin clasificación</v>
      </c>
      <c r="I435" s="15"/>
      <c r="J435" s="47"/>
      <c r="K435" s="76"/>
      <c r="L435" s="76"/>
      <c r="M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N435" s="77"/>
      <c r="O435" s="32"/>
      <c r="P435" s="32"/>
      <c r="Q435" s="32"/>
      <c r="R435" s="32"/>
    </row>
    <row r="436" spans="3:18" x14ac:dyDescent="0.3">
      <c r="C436" s="11"/>
      <c r="D436" s="32"/>
      <c r="E436" s="11" t="str" cm="1">
        <f t="array" ref="E436">_xlfn.IFS(
    COUNTIF(Herramientas_eléctricas1862106149[Herramientas_eléctricas], B436) &gt; 0, Herramientas_eléctricas1862106149[[#Headers],[Herramientas_eléctricas]],
    COUNTIF(Herramientas_neumáticas1963107150[Herramientas_neumáticas], B436) &gt; 0, Herramientas_neumáticas1963107150[[#Headers],[Herramientas_neumáticas]],
    COUNTIF(Herramientas_de_medición2064108151[Herramientas_de_medición], B436) &gt; 0, Herramientas_de_medición2064108151[[#Headers],[Herramientas_de_medición]],
    COUNTIF(Herrramientas_mecánicas2165109152[Herramientas_mecánicas], B436) &gt; 0, Herrramientas_mecánicas2165109152[[#Headers],[Herramientas_mecánicas]],
    COUNTIF(AH436:AH442, B436) &gt; 0, Herramientas_hidráulicas2266110153[[#Headers],[Herramientas_hidráulicas]],
    COUNTIF(EPP_2367111154[SPCC], B436) &gt; 0, EPP_2367111154[[#Headers],[SPCC]],
   COUNTIF(Herramientas_de_izaje2468112155[Herramientas_de_izaje], B436) &gt; 0, Herramientas_de_izaje2468112155[[#Headers],[Herramientas_de_izaje]],
COUNTIF(Tabla162670114157[Equipos], B436) &gt; 0, Tabla162670114157[[#Headers],[Equipos]],
    TRUE, "Sin clasificación"
)</f>
        <v>Sin clasificación</v>
      </c>
      <c r="I436" s="15"/>
      <c r="J436" s="47"/>
      <c r="K436" s="76"/>
      <c r="L436" s="76"/>
      <c r="M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N436" s="77"/>
      <c r="O436" s="32"/>
      <c r="P436" s="32"/>
      <c r="Q436" s="32"/>
      <c r="R436" s="32"/>
    </row>
    <row r="437" spans="3:18" x14ac:dyDescent="0.3">
      <c r="C437" s="11"/>
      <c r="D437" s="32"/>
      <c r="E437" s="11" t="str" cm="1">
        <f t="array" ref="E437">_xlfn.IFS(
    COUNTIF(Herramientas_eléctricas1862106149[Herramientas_eléctricas], B437) &gt; 0, Herramientas_eléctricas1862106149[[#Headers],[Herramientas_eléctricas]],
    COUNTIF(Herramientas_neumáticas1963107150[Herramientas_neumáticas], B437) &gt; 0, Herramientas_neumáticas1963107150[[#Headers],[Herramientas_neumáticas]],
    COUNTIF(Herramientas_de_medición2064108151[Herramientas_de_medición], B437) &gt; 0, Herramientas_de_medición2064108151[[#Headers],[Herramientas_de_medición]],
    COUNTIF(Herrramientas_mecánicas2165109152[Herramientas_mecánicas], B437) &gt; 0, Herrramientas_mecánicas2165109152[[#Headers],[Herramientas_mecánicas]],
    COUNTIF(AH437:AH443, B437) &gt; 0, Herramientas_hidráulicas2266110153[[#Headers],[Herramientas_hidráulicas]],
    COUNTIF(EPP_2367111154[SPCC], B437) &gt; 0, EPP_2367111154[[#Headers],[SPCC]],
   COUNTIF(Herramientas_de_izaje2468112155[Herramientas_de_izaje], B437) &gt; 0, Herramientas_de_izaje2468112155[[#Headers],[Herramientas_de_izaje]],
COUNTIF(Tabla162670114157[Equipos], B437) &gt; 0, Tabla162670114157[[#Headers],[Equipos]],
    TRUE, "Sin clasificación"
)</f>
        <v>Sin clasificación</v>
      </c>
      <c r="I437" s="15"/>
      <c r="J437" s="47"/>
      <c r="K437" s="76"/>
      <c r="L437" s="76"/>
      <c r="M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N437" s="77"/>
      <c r="O437" s="32"/>
      <c r="P437" s="32"/>
      <c r="Q437" s="32"/>
      <c r="R437" s="32"/>
    </row>
    <row r="438" spans="3:18" x14ac:dyDescent="0.3">
      <c r="C438" s="11"/>
      <c r="D438" s="32"/>
      <c r="E438" s="11" t="str" cm="1">
        <f t="array" ref="E438">_xlfn.IFS(
    COUNTIF(Herramientas_eléctricas1862106149[Herramientas_eléctricas], B438) &gt; 0, Herramientas_eléctricas1862106149[[#Headers],[Herramientas_eléctricas]],
    COUNTIF(Herramientas_neumáticas1963107150[Herramientas_neumáticas], B438) &gt; 0, Herramientas_neumáticas1963107150[[#Headers],[Herramientas_neumáticas]],
    COUNTIF(Herramientas_de_medición2064108151[Herramientas_de_medición], B438) &gt; 0, Herramientas_de_medición2064108151[[#Headers],[Herramientas_de_medición]],
    COUNTIF(Herrramientas_mecánicas2165109152[Herramientas_mecánicas], B438) &gt; 0, Herrramientas_mecánicas2165109152[[#Headers],[Herramientas_mecánicas]],
    COUNTIF(AH438:AH444, B438) &gt; 0, Herramientas_hidráulicas2266110153[[#Headers],[Herramientas_hidráulicas]],
    COUNTIF(EPP_2367111154[SPCC], B438) &gt; 0, EPP_2367111154[[#Headers],[SPCC]],
   COUNTIF(Herramientas_de_izaje2468112155[Herramientas_de_izaje], B438) &gt; 0, Herramientas_de_izaje2468112155[[#Headers],[Herramientas_de_izaje]],
COUNTIF(Tabla162670114157[Equipos], B438) &gt; 0, Tabla162670114157[[#Headers],[Equipos]],
    TRUE, "Sin clasificación"
)</f>
        <v>Sin clasificación</v>
      </c>
      <c r="I438" s="15"/>
      <c r="J438" s="47"/>
      <c r="K438" s="76"/>
      <c r="L438" s="76"/>
      <c r="M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N438" s="77"/>
      <c r="O438" s="32"/>
      <c r="P438" s="32"/>
      <c r="Q438" s="32"/>
      <c r="R438" s="32"/>
    </row>
    <row r="439" spans="3:18" x14ac:dyDescent="0.3">
      <c r="C439" s="11"/>
      <c r="D439" s="32"/>
      <c r="E439" s="11" t="str" cm="1">
        <f t="array" ref="E439">_xlfn.IFS(
    COUNTIF(Herramientas_eléctricas1862106149[Herramientas_eléctricas], B439) &gt; 0, Herramientas_eléctricas1862106149[[#Headers],[Herramientas_eléctricas]],
    COUNTIF(Herramientas_neumáticas1963107150[Herramientas_neumáticas], B439) &gt; 0, Herramientas_neumáticas1963107150[[#Headers],[Herramientas_neumáticas]],
    COUNTIF(Herramientas_de_medición2064108151[Herramientas_de_medición], B439) &gt; 0, Herramientas_de_medición2064108151[[#Headers],[Herramientas_de_medición]],
    COUNTIF(Herrramientas_mecánicas2165109152[Herramientas_mecánicas], B439) &gt; 0, Herrramientas_mecánicas2165109152[[#Headers],[Herramientas_mecánicas]],
    COUNTIF(AH439:AH445, B439) &gt; 0, Herramientas_hidráulicas2266110153[[#Headers],[Herramientas_hidráulicas]],
    COUNTIF(EPP_2367111154[SPCC], B439) &gt; 0, EPP_2367111154[[#Headers],[SPCC]],
   COUNTIF(Herramientas_de_izaje2468112155[Herramientas_de_izaje], B439) &gt; 0, Herramientas_de_izaje2468112155[[#Headers],[Herramientas_de_izaje]],
COUNTIF(Tabla162670114157[Equipos], B439) &gt; 0, Tabla162670114157[[#Headers],[Equipos]],
    TRUE, "Sin clasificación"
)</f>
        <v>Sin clasificación</v>
      </c>
      <c r="I439" s="15"/>
      <c r="J439" s="47"/>
      <c r="K439" s="76"/>
      <c r="L439" s="76"/>
      <c r="M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N439" s="77"/>
      <c r="O439" s="32"/>
      <c r="P439" s="32"/>
      <c r="Q439" s="32"/>
      <c r="R439" s="32"/>
    </row>
    <row r="440" spans="3:18" x14ac:dyDescent="0.3">
      <c r="C440" s="11"/>
      <c r="D440" s="32"/>
      <c r="E440" s="11" t="str" cm="1">
        <f t="array" ref="E440">_xlfn.IFS(
    COUNTIF(Herramientas_eléctricas1862106149[Herramientas_eléctricas], B440) &gt; 0, Herramientas_eléctricas1862106149[[#Headers],[Herramientas_eléctricas]],
    COUNTIF(Herramientas_neumáticas1963107150[Herramientas_neumáticas], B440) &gt; 0, Herramientas_neumáticas1963107150[[#Headers],[Herramientas_neumáticas]],
    COUNTIF(Herramientas_de_medición2064108151[Herramientas_de_medición], B440) &gt; 0, Herramientas_de_medición2064108151[[#Headers],[Herramientas_de_medición]],
    COUNTIF(Herrramientas_mecánicas2165109152[Herramientas_mecánicas], B440) &gt; 0, Herrramientas_mecánicas2165109152[[#Headers],[Herramientas_mecánicas]],
    COUNTIF(AH440:AH446, B440) &gt; 0, Herramientas_hidráulicas2266110153[[#Headers],[Herramientas_hidráulicas]],
    COUNTIF(EPP_2367111154[SPCC], B440) &gt; 0, EPP_2367111154[[#Headers],[SPCC]],
   COUNTIF(Herramientas_de_izaje2468112155[Herramientas_de_izaje], B440) &gt; 0, Herramientas_de_izaje2468112155[[#Headers],[Herramientas_de_izaje]],
COUNTIF(Tabla162670114157[Equipos], B440) &gt; 0, Tabla162670114157[[#Headers],[Equipos]],
    TRUE, "Sin clasificación"
)</f>
        <v>Sin clasificación</v>
      </c>
      <c r="I440" s="15"/>
      <c r="J440" s="47"/>
      <c r="K440" s="76"/>
      <c r="L440" s="76"/>
      <c r="M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N440" s="77"/>
      <c r="O440" s="32"/>
      <c r="P440" s="32"/>
      <c r="Q440" s="32"/>
      <c r="R440" s="32"/>
    </row>
    <row r="441" spans="3:18" x14ac:dyDescent="0.3">
      <c r="C441" s="11"/>
      <c r="D441" s="32"/>
      <c r="E441" s="11" t="str" cm="1">
        <f t="array" ref="E441">_xlfn.IFS(
    COUNTIF(Herramientas_eléctricas1862106149[Herramientas_eléctricas], B441) &gt; 0, Herramientas_eléctricas1862106149[[#Headers],[Herramientas_eléctricas]],
    COUNTIF(Herramientas_neumáticas1963107150[Herramientas_neumáticas], B441) &gt; 0, Herramientas_neumáticas1963107150[[#Headers],[Herramientas_neumáticas]],
    COUNTIF(Herramientas_de_medición2064108151[Herramientas_de_medición], B441) &gt; 0, Herramientas_de_medición2064108151[[#Headers],[Herramientas_de_medición]],
    COUNTIF(Herrramientas_mecánicas2165109152[Herramientas_mecánicas], B441) &gt; 0, Herrramientas_mecánicas2165109152[[#Headers],[Herramientas_mecánicas]],
    COUNTIF(AH441:AH447, B441) &gt; 0, Herramientas_hidráulicas2266110153[[#Headers],[Herramientas_hidráulicas]],
    COUNTIF(EPP_2367111154[SPCC], B441) &gt; 0, EPP_2367111154[[#Headers],[SPCC]],
   COUNTIF(Herramientas_de_izaje2468112155[Herramientas_de_izaje], B441) &gt; 0, Herramientas_de_izaje2468112155[[#Headers],[Herramientas_de_izaje]],
COUNTIF(Tabla162670114157[Equipos], B441) &gt; 0, Tabla162670114157[[#Headers],[Equipos]],
    TRUE, "Sin clasificación"
)</f>
        <v>Sin clasificación</v>
      </c>
      <c r="I441" s="15"/>
      <c r="J441" s="47"/>
      <c r="K441" s="76"/>
      <c r="L441" s="76"/>
      <c r="M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N441" s="77"/>
      <c r="O441" s="32"/>
      <c r="P441" s="32"/>
      <c r="Q441" s="32"/>
      <c r="R441" s="32"/>
    </row>
    <row r="442" spans="3:18" x14ac:dyDescent="0.3">
      <c r="C442" s="11"/>
      <c r="D442" s="32"/>
      <c r="E442" s="11" t="str" cm="1">
        <f t="array" ref="E442">_xlfn.IFS(
    COUNTIF(Herramientas_eléctricas1862106149[Herramientas_eléctricas], B442) &gt; 0, Herramientas_eléctricas1862106149[[#Headers],[Herramientas_eléctricas]],
    COUNTIF(Herramientas_neumáticas1963107150[Herramientas_neumáticas], B442) &gt; 0, Herramientas_neumáticas1963107150[[#Headers],[Herramientas_neumáticas]],
    COUNTIF(Herramientas_de_medición2064108151[Herramientas_de_medición], B442) &gt; 0, Herramientas_de_medición2064108151[[#Headers],[Herramientas_de_medición]],
    COUNTIF(Herrramientas_mecánicas2165109152[Herramientas_mecánicas], B442) &gt; 0, Herrramientas_mecánicas2165109152[[#Headers],[Herramientas_mecánicas]],
    COUNTIF(AH442:AH448, B442) &gt; 0, Herramientas_hidráulicas2266110153[[#Headers],[Herramientas_hidráulicas]],
    COUNTIF(EPP_2367111154[SPCC], B442) &gt; 0, EPP_2367111154[[#Headers],[SPCC]],
   COUNTIF(Herramientas_de_izaje2468112155[Herramientas_de_izaje], B442) &gt; 0, Herramientas_de_izaje2468112155[[#Headers],[Herramientas_de_izaje]],
COUNTIF(Tabla162670114157[Equipos], B442) &gt; 0, Tabla162670114157[[#Headers],[Equipos]],
    TRUE, "Sin clasificación"
)</f>
        <v>Sin clasificación</v>
      </c>
      <c r="I442" s="15"/>
      <c r="J442" s="47"/>
      <c r="K442" s="76"/>
      <c r="L442" s="76"/>
      <c r="M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N442" s="77"/>
      <c r="O442" s="32"/>
      <c r="P442" s="32"/>
      <c r="Q442" s="32"/>
      <c r="R442" s="32"/>
    </row>
    <row r="443" spans="3:18" x14ac:dyDescent="0.3">
      <c r="C443" s="11"/>
      <c r="D443" s="32"/>
      <c r="E443" s="11" t="str" cm="1">
        <f t="array" ref="E443">_xlfn.IFS(
    COUNTIF(Herramientas_eléctricas1862106149[Herramientas_eléctricas], B443) &gt; 0, Herramientas_eléctricas1862106149[[#Headers],[Herramientas_eléctricas]],
    COUNTIF(Herramientas_neumáticas1963107150[Herramientas_neumáticas], B443) &gt; 0, Herramientas_neumáticas1963107150[[#Headers],[Herramientas_neumáticas]],
    COUNTIF(Herramientas_de_medición2064108151[Herramientas_de_medición], B443) &gt; 0, Herramientas_de_medición2064108151[[#Headers],[Herramientas_de_medición]],
    COUNTIF(Herrramientas_mecánicas2165109152[Herramientas_mecánicas], B443) &gt; 0, Herrramientas_mecánicas2165109152[[#Headers],[Herramientas_mecánicas]],
    COUNTIF(AH443:AH449, B443) &gt; 0, Herramientas_hidráulicas2266110153[[#Headers],[Herramientas_hidráulicas]],
    COUNTIF(EPP_2367111154[SPCC], B443) &gt; 0, EPP_2367111154[[#Headers],[SPCC]],
   COUNTIF(Herramientas_de_izaje2468112155[Herramientas_de_izaje], B443) &gt; 0, Herramientas_de_izaje2468112155[[#Headers],[Herramientas_de_izaje]],
COUNTIF(Tabla162670114157[Equipos], B443) &gt; 0, Tabla162670114157[[#Headers],[Equipos]],
    TRUE, "Sin clasificación"
)</f>
        <v>Sin clasificación</v>
      </c>
      <c r="I443" s="15"/>
      <c r="J443" s="47"/>
      <c r="K443" s="76"/>
      <c r="L443" s="76"/>
      <c r="M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N443" s="77"/>
      <c r="O443" s="32"/>
      <c r="P443" s="32"/>
      <c r="Q443" s="32"/>
      <c r="R443" s="32"/>
    </row>
    <row r="444" spans="3:18" x14ac:dyDescent="0.3">
      <c r="C444" s="11"/>
      <c r="D444" s="32"/>
      <c r="E444" s="11" t="str" cm="1">
        <f t="array" ref="E444">_xlfn.IFS(
    COUNTIF(Herramientas_eléctricas1862106149[Herramientas_eléctricas], B444) &gt; 0, Herramientas_eléctricas1862106149[[#Headers],[Herramientas_eléctricas]],
    COUNTIF(Herramientas_neumáticas1963107150[Herramientas_neumáticas], B444) &gt; 0, Herramientas_neumáticas1963107150[[#Headers],[Herramientas_neumáticas]],
    COUNTIF(Herramientas_de_medición2064108151[Herramientas_de_medición], B444) &gt; 0, Herramientas_de_medición2064108151[[#Headers],[Herramientas_de_medición]],
    COUNTIF(Herrramientas_mecánicas2165109152[Herramientas_mecánicas], B444) &gt; 0, Herrramientas_mecánicas2165109152[[#Headers],[Herramientas_mecánicas]],
    COUNTIF(AH444:AH450, B444) &gt; 0, Herramientas_hidráulicas2266110153[[#Headers],[Herramientas_hidráulicas]],
    COUNTIF(EPP_2367111154[SPCC], B444) &gt; 0, EPP_2367111154[[#Headers],[SPCC]],
   COUNTIF(Herramientas_de_izaje2468112155[Herramientas_de_izaje], B444) &gt; 0, Herramientas_de_izaje2468112155[[#Headers],[Herramientas_de_izaje]],
COUNTIF(Tabla162670114157[Equipos], B444) &gt; 0, Tabla162670114157[[#Headers],[Equipos]],
    TRUE, "Sin clasificación"
)</f>
        <v>Sin clasificación</v>
      </c>
      <c r="I444" s="15"/>
      <c r="J444" s="47"/>
      <c r="K444" s="76"/>
      <c r="L444" s="76"/>
      <c r="M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N444" s="77"/>
      <c r="O444" s="32"/>
      <c r="P444" s="32"/>
      <c r="Q444" s="32"/>
      <c r="R444" s="32"/>
    </row>
    <row r="445" spans="3:18" x14ac:dyDescent="0.3">
      <c r="C445" s="11"/>
      <c r="D445" s="32"/>
      <c r="E445" s="11" t="str" cm="1">
        <f t="array" ref="E445">_xlfn.IFS(
    COUNTIF(Herramientas_eléctricas1862106149[Herramientas_eléctricas], B445) &gt; 0, Herramientas_eléctricas1862106149[[#Headers],[Herramientas_eléctricas]],
    COUNTIF(Herramientas_neumáticas1963107150[Herramientas_neumáticas], B445) &gt; 0, Herramientas_neumáticas1963107150[[#Headers],[Herramientas_neumáticas]],
    COUNTIF(Herramientas_de_medición2064108151[Herramientas_de_medición], B445) &gt; 0, Herramientas_de_medición2064108151[[#Headers],[Herramientas_de_medición]],
    COUNTIF(Herrramientas_mecánicas2165109152[Herramientas_mecánicas], B445) &gt; 0, Herrramientas_mecánicas2165109152[[#Headers],[Herramientas_mecánicas]],
    COUNTIF(AH445:AH451, B445) &gt; 0, Herramientas_hidráulicas2266110153[[#Headers],[Herramientas_hidráulicas]],
    COUNTIF(EPP_2367111154[SPCC], B445) &gt; 0, EPP_2367111154[[#Headers],[SPCC]],
   COUNTIF(Herramientas_de_izaje2468112155[Herramientas_de_izaje], B445) &gt; 0, Herramientas_de_izaje2468112155[[#Headers],[Herramientas_de_izaje]],
COUNTIF(Tabla162670114157[Equipos], B445) &gt; 0, Tabla162670114157[[#Headers],[Equipos]],
    TRUE, "Sin clasificación"
)</f>
        <v>Sin clasificación</v>
      </c>
      <c r="I445" s="15"/>
      <c r="J445" s="47"/>
      <c r="K445" s="76"/>
      <c r="L445" s="76"/>
      <c r="M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N445" s="77"/>
      <c r="O445" s="32"/>
      <c r="P445" s="32"/>
      <c r="Q445" s="32"/>
      <c r="R445" s="32"/>
    </row>
    <row r="446" spans="3:18" x14ac:dyDescent="0.3">
      <c r="C446" s="11"/>
      <c r="D446" s="32"/>
      <c r="E446" s="11" t="str" cm="1">
        <f t="array" ref="E446">_xlfn.IFS(
    COUNTIF(Herramientas_eléctricas1862106149[Herramientas_eléctricas], B446) &gt; 0, Herramientas_eléctricas1862106149[[#Headers],[Herramientas_eléctricas]],
    COUNTIF(Herramientas_neumáticas1963107150[Herramientas_neumáticas], B446) &gt; 0, Herramientas_neumáticas1963107150[[#Headers],[Herramientas_neumáticas]],
    COUNTIF(Herramientas_de_medición2064108151[Herramientas_de_medición], B446) &gt; 0, Herramientas_de_medición2064108151[[#Headers],[Herramientas_de_medición]],
    COUNTIF(Herrramientas_mecánicas2165109152[Herramientas_mecánicas], B446) &gt; 0, Herrramientas_mecánicas2165109152[[#Headers],[Herramientas_mecánicas]],
    COUNTIF(AH446:AH452, B446) &gt; 0, Herramientas_hidráulicas2266110153[[#Headers],[Herramientas_hidráulicas]],
    COUNTIF(EPP_2367111154[SPCC], B446) &gt; 0, EPP_2367111154[[#Headers],[SPCC]],
   COUNTIF(Herramientas_de_izaje2468112155[Herramientas_de_izaje], B446) &gt; 0, Herramientas_de_izaje2468112155[[#Headers],[Herramientas_de_izaje]],
COUNTIF(Tabla162670114157[Equipos], B446) &gt; 0, Tabla162670114157[[#Headers],[Equipos]],
    TRUE, "Sin clasificación"
)</f>
        <v>Sin clasificación</v>
      </c>
      <c r="I446" s="15"/>
      <c r="J446" s="47"/>
      <c r="K446" s="76"/>
      <c r="L446" s="76"/>
      <c r="M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N446" s="77"/>
      <c r="O446" s="32"/>
      <c r="P446" s="32"/>
      <c r="Q446" s="32"/>
      <c r="R446" s="32"/>
    </row>
    <row r="447" spans="3:18" x14ac:dyDescent="0.3">
      <c r="C447" s="11"/>
      <c r="D447" s="32"/>
      <c r="E447" s="11" t="str" cm="1">
        <f t="array" ref="E447">_xlfn.IFS(
    COUNTIF(Herramientas_eléctricas1862106149[Herramientas_eléctricas], B447) &gt; 0, Herramientas_eléctricas1862106149[[#Headers],[Herramientas_eléctricas]],
    COUNTIF(Herramientas_neumáticas1963107150[Herramientas_neumáticas], B447) &gt; 0, Herramientas_neumáticas1963107150[[#Headers],[Herramientas_neumáticas]],
    COUNTIF(Herramientas_de_medición2064108151[Herramientas_de_medición], B447) &gt; 0, Herramientas_de_medición2064108151[[#Headers],[Herramientas_de_medición]],
    COUNTIF(Herrramientas_mecánicas2165109152[Herramientas_mecánicas], B447) &gt; 0, Herrramientas_mecánicas2165109152[[#Headers],[Herramientas_mecánicas]],
    COUNTIF(AH447:AH453, B447) &gt; 0, Herramientas_hidráulicas2266110153[[#Headers],[Herramientas_hidráulicas]],
    COUNTIF(EPP_2367111154[SPCC], B447) &gt; 0, EPP_2367111154[[#Headers],[SPCC]],
   COUNTIF(Herramientas_de_izaje2468112155[Herramientas_de_izaje], B447) &gt; 0, Herramientas_de_izaje2468112155[[#Headers],[Herramientas_de_izaje]],
COUNTIF(Tabla162670114157[Equipos], B447) &gt; 0, Tabla162670114157[[#Headers],[Equipos]],
    TRUE, "Sin clasificación"
)</f>
        <v>Sin clasificación</v>
      </c>
      <c r="I447" s="15"/>
      <c r="J447" s="47"/>
      <c r="K447" s="76"/>
      <c r="L447" s="76"/>
      <c r="M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N447" s="77"/>
      <c r="O447" s="32"/>
      <c r="P447" s="32"/>
      <c r="Q447" s="32"/>
      <c r="R447" s="32"/>
    </row>
    <row r="448" spans="3:18" x14ac:dyDescent="0.3">
      <c r="C448" s="11"/>
      <c r="D448" s="32"/>
      <c r="E448" s="11" t="str" cm="1">
        <f t="array" ref="E448">_xlfn.IFS(
    COUNTIF(Herramientas_eléctricas1862106149[Herramientas_eléctricas], B448) &gt; 0, Herramientas_eléctricas1862106149[[#Headers],[Herramientas_eléctricas]],
    COUNTIF(Herramientas_neumáticas1963107150[Herramientas_neumáticas], B448) &gt; 0, Herramientas_neumáticas1963107150[[#Headers],[Herramientas_neumáticas]],
    COUNTIF(Herramientas_de_medición2064108151[Herramientas_de_medición], B448) &gt; 0, Herramientas_de_medición2064108151[[#Headers],[Herramientas_de_medición]],
    COUNTIF(Herrramientas_mecánicas2165109152[Herramientas_mecánicas], B448) &gt; 0, Herrramientas_mecánicas2165109152[[#Headers],[Herramientas_mecánicas]],
    COUNTIF(AH448:AH454, B448) &gt; 0, Herramientas_hidráulicas2266110153[[#Headers],[Herramientas_hidráulicas]],
    COUNTIF(EPP_2367111154[SPCC], B448) &gt; 0, EPP_2367111154[[#Headers],[SPCC]],
   COUNTIF(Herramientas_de_izaje2468112155[Herramientas_de_izaje], B448) &gt; 0, Herramientas_de_izaje2468112155[[#Headers],[Herramientas_de_izaje]],
COUNTIF(Tabla162670114157[Equipos], B448) &gt; 0, Tabla162670114157[[#Headers],[Equipos]],
    TRUE, "Sin clasificación"
)</f>
        <v>Sin clasificación</v>
      </c>
      <c r="I448" s="15"/>
      <c r="J448" s="47"/>
      <c r="K448" s="76"/>
      <c r="L448" s="76"/>
      <c r="M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N448" s="77"/>
      <c r="O448" s="32"/>
      <c r="P448" s="32"/>
      <c r="Q448" s="32"/>
      <c r="R448" s="32"/>
    </row>
    <row r="449" spans="3:18" x14ac:dyDescent="0.3">
      <c r="C449" s="11"/>
      <c r="D449" s="32"/>
      <c r="E449" s="11" t="str" cm="1">
        <f t="array" ref="E449">_xlfn.IFS(
    COUNTIF(Herramientas_eléctricas1862106149[Herramientas_eléctricas], B449) &gt; 0, Herramientas_eléctricas1862106149[[#Headers],[Herramientas_eléctricas]],
    COUNTIF(Herramientas_neumáticas1963107150[Herramientas_neumáticas], B449) &gt; 0, Herramientas_neumáticas1963107150[[#Headers],[Herramientas_neumáticas]],
    COUNTIF(Herramientas_de_medición2064108151[Herramientas_de_medición], B449) &gt; 0, Herramientas_de_medición2064108151[[#Headers],[Herramientas_de_medición]],
    COUNTIF(Herrramientas_mecánicas2165109152[Herramientas_mecánicas], B449) &gt; 0, Herrramientas_mecánicas2165109152[[#Headers],[Herramientas_mecánicas]],
    COUNTIF(AH449:AH455, B449) &gt; 0, Herramientas_hidráulicas2266110153[[#Headers],[Herramientas_hidráulicas]],
    COUNTIF(EPP_2367111154[SPCC], B449) &gt; 0, EPP_2367111154[[#Headers],[SPCC]],
   COUNTIF(Herramientas_de_izaje2468112155[Herramientas_de_izaje], B449) &gt; 0, Herramientas_de_izaje2468112155[[#Headers],[Herramientas_de_izaje]],
COUNTIF(Tabla162670114157[Equipos], B449) &gt; 0, Tabla162670114157[[#Headers],[Equipos]],
    TRUE, "Sin clasificación"
)</f>
        <v>Sin clasificación</v>
      </c>
      <c r="I449" s="15"/>
      <c r="J449" s="47"/>
      <c r="K449" s="76"/>
      <c r="L449" s="76"/>
      <c r="M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N449" s="77"/>
      <c r="O449" s="32"/>
      <c r="P449" s="32"/>
      <c r="Q449" s="32"/>
      <c r="R449" s="32"/>
    </row>
    <row r="450" spans="3:18" x14ac:dyDescent="0.3">
      <c r="C450" s="11"/>
      <c r="D450" s="32"/>
      <c r="E450" s="11" t="str" cm="1">
        <f t="array" ref="E450">_xlfn.IFS(
    COUNTIF(Herramientas_eléctricas1862106149[Herramientas_eléctricas], B450) &gt; 0, Herramientas_eléctricas1862106149[[#Headers],[Herramientas_eléctricas]],
    COUNTIF(Herramientas_neumáticas1963107150[Herramientas_neumáticas], B450) &gt; 0, Herramientas_neumáticas1963107150[[#Headers],[Herramientas_neumáticas]],
    COUNTIF(Herramientas_de_medición2064108151[Herramientas_de_medición], B450) &gt; 0, Herramientas_de_medición2064108151[[#Headers],[Herramientas_de_medición]],
    COUNTIF(Herrramientas_mecánicas2165109152[Herramientas_mecánicas], B450) &gt; 0, Herrramientas_mecánicas2165109152[[#Headers],[Herramientas_mecánicas]],
    COUNTIF(AH450:AH456, B450) &gt; 0, Herramientas_hidráulicas2266110153[[#Headers],[Herramientas_hidráulicas]],
    COUNTIF(EPP_2367111154[SPCC], B450) &gt; 0, EPP_2367111154[[#Headers],[SPCC]],
   COUNTIF(Herramientas_de_izaje2468112155[Herramientas_de_izaje], B450) &gt; 0, Herramientas_de_izaje2468112155[[#Headers],[Herramientas_de_izaje]],
COUNTIF(Tabla162670114157[Equipos], B450) &gt; 0, Tabla162670114157[[#Headers],[Equipos]],
    TRUE, "Sin clasificación"
)</f>
        <v>Sin clasificación</v>
      </c>
      <c r="I450" s="15"/>
      <c r="J450" s="47"/>
      <c r="K450" s="76"/>
      <c r="L450" s="76"/>
      <c r="M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N450" s="77"/>
      <c r="O450" s="32"/>
      <c r="P450" s="32"/>
      <c r="Q450" s="32"/>
      <c r="R450" s="32"/>
    </row>
    <row r="451" spans="3:18" x14ac:dyDescent="0.3">
      <c r="C451" s="11"/>
      <c r="D451" s="32"/>
      <c r="E451" s="11" t="str" cm="1">
        <f t="array" ref="E451">_xlfn.IFS(
    COUNTIF(Herramientas_eléctricas1862106149[Herramientas_eléctricas], B451) &gt; 0, Herramientas_eléctricas1862106149[[#Headers],[Herramientas_eléctricas]],
    COUNTIF(Herramientas_neumáticas1963107150[Herramientas_neumáticas], B451) &gt; 0, Herramientas_neumáticas1963107150[[#Headers],[Herramientas_neumáticas]],
    COUNTIF(Herramientas_de_medición2064108151[Herramientas_de_medición], B451) &gt; 0, Herramientas_de_medición2064108151[[#Headers],[Herramientas_de_medición]],
    COUNTIF(Herrramientas_mecánicas2165109152[Herramientas_mecánicas], B451) &gt; 0, Herrramientas_mecánicas2165109152[[#Headers],[Herramientas_mecánicas]],
    COUNTIF(AH451:AH457, B451) &gt; 0, Herramientas_hidráulicas2266110153[[#Headers],[Herramientas_hidráulicas]],
    COUNTIF(EPP_2367111154[SPCC], B451) &gt; 0, EPP_2367111154[[#Headers],[SPCC]],
   COUNTIF(Herramientas_de_izaje2468112155[Herramientas_de_izaje], B451) &gt; 0, Herramientas_de_izaje2468112155[[#Headers],[Herramientas_de_izaje]],
COUNTIF(Tabla162670114157[Equipos], B451) &gt; 0, Tabla162670114157[[#Headers],[Equipos]],
    TRUE, "Sin clasificación"
)</f>
        <v>Sin clasificación</v>
      </c>
      <c r="I451" s="15"/>
      <c r="J451" s="47"/>
      <c r="K451" s="76"/>
      <c r="L451" s="76"/>
      <c r="M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N451" s="77"/>
      <c r="O451" s="32"/>
      <c r="P451" s="32"/>
      <c r="Q451" s="32"/>
      <c r="R451" s="32"/>
    </row>
    <row r="452" spans="3:18" x14ac:dyDescent="0.3">
      <c r="C452" s="11"/>
      <c r="D452" s="32"/>
      <c r="E452" s="11" t="str" cm="1">
        <f t="array" ref="E452">_xlfn.IFS(
    COUNTIF(Herramientas_eléctricas1862106149[Herramientas_eléctricas], B452) &gt; 0, Herramientas_eléctricas1862106149[[#Headers],[Herramientas_eléctricas]],
    COUNTIF(Herramientas_neumáticas1963107150[Herramientas_neumáticas], B452) &gt; 0, Herramientas_neumáticas1963107150[[#Headers],[Herramientas_neumáticas]],
    COUNTIF(Herramientas_de_medición2064108151[Herramientas_de_medición], B452) &gt; 0, Herramientas_de_medición2064108151[[#Headers],[Herramientas_de_medición]],
    COUNTIF(Herrramientas_mecánicas2165109152[Herramientas_mecánicas], B452) &gt; 0, Herrramientas_mecánicas2165109152[[#Headers],[Herramientas_mecánicas]],
    COUNTIF(AH452:AH458, B452) &gt; 0, Herramientas_hidráulicas2266110153[[#Headers],[Herramientas_hidráulicas]],
    COUNTIF(EPP_2367111154[SPCC], B452) &gt; 0, EPP_2367111154[[#Headers],[SPCC]],
   COUNTIF(Herramientas_de_izaje2468112155[Herramientas_de_izaje], B452) &gt; 0, Herramientas_de_izaje2468112155[[#Headers],[Herramientas_de_izaje]],
COUNTIF(Tabla162670114157[Equipos], B452) &gt; 0, Tabla162670114157[[#Headers],[Equipos]],
    TRUE, "Sin clasificación"
)</f>
        <v>Sin clasificación</v>
      </c>
      <c r="I452" s="15"/>
      <c r="J452" s="47"/>
      <c r="K452" s="76"/>
      <c r="L452" s="76"/>
      <c r="M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N452" s="77"/>
      <c r="O452" s="32"/>
      <c r="P452" s="32"/>
      <c r="Q452" s="32"/>
      <c r="R452" s="32"/>
    </row>
    <row r="453" spans="3:18" x14ac:dyDescent="0.3">
      <c r="C453" s="11"/>
      <c r="D453" s="32"/>
      <c r="E453" s="11" t="str" cm="1">
        <f t="array" ref="E453">_xlfn.IFS(
    COUNTIF(Herramientas_eléctricas1862106149[Herramientas_eléctricas], B453) &gt; 0, Herramientas_eléctricas1862106149[[#Headers],[Herramientas_eléctricas]],
    COUNTIF(Herramientas_neumáticas1963107150[Herramientas_neumáticas], B453) &gt; 0, Herramientas_neumáticas1963107150[[#Headers],[Herramientas_neumáticas]],
    COUNTIF(Herramientas_de_medición2064108151[Herramientas_de_medición], B453) &gt; 0, Herramientas_de_medición2064108151[[#Headers],[Herramientas_de_medición]],
    COUNTIF(Herrramientas_mecánicas2165109152[Herramientas_mecánicas], B453) &gt; 0, Herrramientas_mecánicas2165109152[[#Headers],[Herramientas_mecánicas]],
    COUNTIF(AH453:AH459, B453) &gt; 0, Herramientas_hidráulicas2266110153[[#Headers],[Herramientas_hidráulicas]],
    COUNTIF(EPP_2367111154[SPCC], B453) &gt; 0, EPP_2367111154[[#Headers],[SPCC]],
   COUNTIF(Herramientas_de_izaje2468112155[Herramientas_de_izaje], B453) &gt; 0, Herramientas_de_izaje2468112155[[#Headers],[Herramientas_de_izaje]],
COUNTIF(Tabla162670114157[Equipos], B453) &gt; 0, Tabla162670114157[[#Headers],[Equipos]],
    TRUE, "Sin clasificación"
)</f>
        <v>Sin clasificación</v>
      </c>
      <c r="I453" s="15"/>
      <c r="J453" s="47"/>
      <c r="K453" s="76"/>
      <c r="L453" s="76"/>
      <c r="M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N453" s="77"/>
      <c r="O453" s="32"/>
      <c r="P453" s="32"/>
      <c r="Q453" s="32"/>
      <c r="R453" s="32"/>
    </row>
    <row r="454" spans="3:18" x14ac:dyDescent="0.3">
      <c r="C454" s="11"/>
      <c r="D454" s="32"/>
      <c r="E454" s="11" t="str" cm="1">
        <f t="array" ref="E454">_xlfn.IFS(
    COUNTIF(Herramientas_eléctricas1862106149[Herramientas_eléctricas], B454) &gt; 0, Herramientas_eléctricas1862106149[[#Headers],[Herramientas_eléctricas]],
    COUNTIF(Herramientas_neumáticas1963107150[Herramientas_neumáticas], B454) &gt; 0, Herramientas_neumáticas1963107150[[#Headers],[Herramientas_neumáticas]],
    COUNTIF(Herramientas_de_medición2064108151[Herramientas_de_medición], B454) &gt; 0, Herramientas_de_medición2064108151[[#Headers],[Herramientas_de_medición]],
    COUNTIF(Herrramientas_mecánicas2165109152[Herramientas_mecánicas], B454) &gt; 0, Herrramientas_mecánicas2165109152[[#Headers],[Herramientas_mecánicas]],
    COUNTIF(AH454:AH460, B454) &gt; 0, Herramientas_hidráulicas2266110153[[#Headers],[Herramientas_hidráulicas]],
    COUNTIF(EPP_2367111154[SPCC], B454) &gt; 0, EPP_2367111154[[#Headers],[SPCC]],
   COUNTIF(Herramientas_de_izaje2468112155[Herramientas_de_izaje], B454) &gt; 0, Herramientas_de_izaje2468112155[[#Headers],[Herramientas_de_izaje]],
COUNTIF(Tabla162670114157[Equipos], B454) &gt; 0, Tabla162670114157[[#Headers],[Equipos]],
    TRUE, "Sin clasificación"
)</f>
        <v>Sin clasificación</v>
      </c>
      <c r="I454" s="15"/>
      <c r="J454" s="47"/>
      <c r="K454" s="76"/>
      <c r="L454" s="76"/>
      <c r="M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N454" s="77"/>
      <c r="O454" s="32"/>
      <c r="P454" s="32"/>
      <c r="Q454" s="32"/>
      <c r="R454" s="32"/>
    </row>
    <row r="455" spans="3:18" x14ac:dyDescent="0.3">
      <c r="C455" s="11"/>
      <c r="D455" s="32"/>
      <c r="E455" s="11" t="str" cm="1">
        <f t="array" ref="E455">_xlfn.IFS(
    COUNTIF(Herramientas_eléctricas1862106149[Herramientas_eléctricas], B455) &gt; 0, Herramientas_eléctricas1862106149[[#Headers],[Herramientas_eléctricas]],
    COUNTIF(Herramientas_neumáticas1963107150[Herramientas_neumáticas], B455) &gt; 0, Herramientas_neumáticas1963107150[[#Headers],[Herramientas_neumáticas]],
    COUNTIF(Herramientas_de_medición2064108151[Herramientas_de_medición], B455) &gt; 0, Herramientas_de_medición2064108151[[#Headers],[Herramientas_de_medición]],
    COUNTIF(Herrramientas_mecánicas2165109152[Herramientas_mecánicas], B455) &gt; 0, Herrramientas_mecánicas2165109152[[#Headers],[Herramientas_mecánicas]],
    COUNTIF(AH455:AH461, B455) &gt; 0, Herramientas_hidráulicas2266110153[[#Headers],[Herramientas_hidráulicas]],
    COUNTIF(EPP_2367111154[SPCC], B455) &gt; 0, EPP_2367111154[[#Headers],[SPCC]],
   COUNTIF(Herramientas_de_izaje2468112155[Herramientas_de_izaje], B455) &gt; 0, Herramientas_de_izaje2468112155[[#Headers],[Herramientas_de_izaje]],
COUNTIF(Tabla162670114157[Equipos], B455) &gt; 0, Tabla162670114157[[#Headers],[Equipos]],
    TRUE, "Sin clasificación"
)</f>
        <v>Sin clasificación</v>
      </c>
      <c r="I455" s="15"/>
      <c r="J455" s="47"/>
      <c r="K455" s="76"/>
      <c r="L455" s="76"/>
      <c r="M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N455" s="77"/>
      <c r="O455" s="32"/>
      <c r="P455" s="32"/>
      <c r="Q455" s="32"/>
      <c r="R455" s="32"/>
    </row>
    <row r="456" spans="3:18" x14ac:dyDescent="0.3">
      <c r="C456" s="11"/>
      <c r="D456" s="32"/>
      <c r="E456" s="11" t="str" cm="1">
        <f t="array" ref="E456">_xlfn.IFS(
    COUNTIF(Herramientas_eléctricas1862106149[Herramientas_eléctricas], B456) &gt; 0, Herramientas_eléctricas1862106149[[#Headers],[Herramientas_eléctricas]],
    COUNTIF(Herramientas_neumáticas1963107150[Herramientas_neumáticas], B456) &gt; 0, Herramientas_neumáticas1963107150[[#Headers],[Herramientas_neumáticas]],
    COUNTIF(Herramientas_de_medición2064108151[Herramientas_de_medición], B456) &gt; 0, Herramientas_de_medición2064108151[[#Headers],[Herramientas_de_medición]],
    COUNTIF(Herrramientas_mecánicas2165109152[Herramientas_mecánicas], B456) &gt; 0, Herrramientas_mecánicas2165109152[[#Headers],[Herramientas_mecánicas]],
    COUNTIF(AH456:AH462, B456) &gt; 0, Herramientas_hidráulicas2266110153[[#Headers],[Herramientas_hidráulicas]],
    COUNTIF(EPP_2367111154[SPCC], B456) &gt; 0, EPP_2367111154[[#Headers],[SPCC]],
   COUNTIF(Herramientas_de_izaje2468112155[Herramientas_de_izaje], B456) &gt; 0, Herramientas_de_izaje2468112155[[#Headers],[Herramientas_de_izaje]],
COUNTIF(Tabla162670114157[Equipos], B456) &gt; 0, Tabla162670114157[[#Headers],[Equipos]],
    TRUE, "Sin clasificación"
)</f>
        <v>Sin clasificación</v>
      </c>
      <c r="I456" s="15"/>
      <c r="J456" s="47"/>
      <c r="K456" s="76"/>
      <c r="L456" s="76"/>
      <c r="M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N456" s="77"/>
      <c r="O456" s="32"/>
      <c r="P456" s="32"/>
      <c r="Q456" s="32"/>
      <c r="R456" s="32"/>
    </row>
    <row r="457" spans="3:18" x14ac:dyDescent="0.3">
      <c r="C457" s="11"/>
      <c r="D457" s="32"/>
      <c r="E457" s="11" t="str" cm="1">
        <f t="array" ref="E457">_xlfn.IFS(
    COUNTIF(Herramientas_eléctricas1862106149[Herramientas_eléctricas], B457) &gt; 0, Herramientas_eléctricas1862106149[[#Headers],[Herramientas_eléctricas]],
    COUNTIF(Herramientas_neumáticas1963107150[Herramientas_neumáticas], B457) &gt; 0, Herramientas_neumáticas1963107150[[#Headers],[Herramientas_neumáticas]],
    COUNTIF(Herramientas_de_medición2064108151[Herramientas_de_medición], B457) &gt; 0, Herramientas_de_medición2064108151[[#Headers],[Herramientas_de_medición]],
    COUNTIF(Herrramientas_mecánicas2165109152[Herramientas_mecánicas], B457) &gt; 0, Herrramientas_mecánicas2165109152[[#Headers],[Herramientas_mecánicas]],
    COUNTIF(AH457:AH463, B457) &gt; 0, Herramientas_hidráulicas2266110153[[#Headers],[Herramientas_hidráulicas]],
    COUNTIF(EPP_2367111154[SPCC], B457) &gt; 0, EPP_2367111154[[#Headers],[SPCC]],
   COUNTIF(Herramientas_de_izaje2468112155[Herramientas_de_izaje], B457) &gt; 0, Herramientas_de_izaje2468112155[[#Headers],[Herramientas_de_izaje]],
COUNTIF(Tabla162670114157[Equipos], B457) &gt; 0, Tabla162670114157[[#Headers],[Equipos]],
    TRUE, "Sin clasificación"
)</f>
        <v>Sin clasificación</v>
      </c>
      <c r="I457" s="15"/>
      <c r="J457" s="47"/>
      <c r="K457" s="76"/>
      <c r="L457" s="76"/>
      <c r="M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N457" s="77"/>
      <c r="O457" s="32"/>
      <c r="P457" s="32"/>
      <c r="Q457" s="32"/>
      <c r="R457" s="32"/>
    </row>
    <row r="458" spans="3:18" x14ac:dyDescent="0.3">
      <c r="C458" s="11"/>
      <c r="D458" s="32"/>
      <c r="E458" s="11" t="str" cm="1">
        <f t="array" ref="E458">_xlfn.IFS(
    COUNTIF(Herramientas_eléctricas1862106149[Herramientas_eléctricas], B458) &gt; 0, Herramientas_eléctricas1862106149[[#Headers],[Herramientas_eléctricas]],
    COUNTIF(Herramientas_neumáticas1963107150[Herramientas_neumáticas], B458) &gt; 0, Herramientas_neumáticas1963107150[[#Headers],[Herramientas_neumáticas]],
    COUNTIF(Herramientas_de_medición2064108151[Herramientas_de_medición], B458) &gt; 0, Herramientas_de_medición2064108151[[#Headers],[Herramientas_de_medición]],
    COUNTIF(Herrramientas_mecánicas2165109152[Herramientas_mecánicas], B458) &gt; 0, Herrramientas_mecánicas2165109152[[#Headers],[Herramientas_mecánicas]],
    COUNTIF(AH458:AH464, B458) &gt; 0, Herramientas_hidráulicas2266110153[[#Headers],[Herramientas_hidráulicas]],
    COUNTIF(EPP_2367111154[SPCC], B458) &gt; 0, EPP_2367111154[[#Headers],[SPCC]],
   COUNTIF(Herramientas_de_izaje2468112155[Herramientas_de_izaje], B458) &gt; 0, Herramientas_de_izaje2468112155[[#Headers],[Herramientas_de_izaje]],
COUNTIF(Tabla162670114157[Equipos], B458) &gt; 0, Tabla162670114157[[#Headers],[Equipos]],
    TRUE, "Sin clasificación"
)</f>
        <v>Sin clasificación</v>
      </c>
      <c r="I458" s="15"/>
      <c r="J458" s="47"/>
      <c r="K458" s="76"/>
      <c r="L458" s="76"/>
      <c r="M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N458" s="77"/>
      <c r="O458" s="32"/>
      <c r="P458" s="32"/>
      <c r="Q458" s="32"/>
      <c r="R458" s="32"/>
    </row>
    <row r="459" spans="3:18" x14ac:dyDescent="0.3">
      <c r="C459" s="11"/>
      <c r="D459" s="32"/>
      <c r="E459" s="11" t="str" cm="1">
        <f t="array" ref="E459">_xlfn.IFS(
    COUNTIF(Herramientas_eléctricas1862106149[Herramientas_eléctricas], B459) &gt; 0, Herramientas_eléctricas1862106149[[#Headers],[Herramientas_eléctricas]],
    COUNTIF(Herramientas_neumáticas1963107150[Herramientas_neumáticas], B459) &gt; 0, Herramientas_neumáticas1963107150[[#Headers],[Herramientas_neumáticas]],
    COUNTIF(Herramientas_de_medición2064108151[Herramientas_de_medición], B459) &gt; 0, Herramientas_de_medición2064108151[[#Headers],[Herramientas_de_medición]],
    COUNTIF(Herrramientas_mecánicas2165109152[Herramientas_mecánicas], B459) &gt; 0, Herrramientas_mecánicas2165109152[[#Headers],[Herramientas_mecánicas]],
    COUNTIF(AH459:AH465, B459) &gt; 0, Herramientas_hidráulicas2266110153[[#Headers],[Herramientas_hidráulicas]],
    COUNTIF(EPP_2367111154[SPCC], B459) &gt; 0, EPP_2367111154[[#Headers],[SPCC]],
   COUNTIF(Herramientas_de_izaje2468112155[Herramientas_de_izaje], B459) &gt; 0, Herramientas_de_izaje2468112155[[#Headers],[Herramientas_de_izaje]],
COUNTIF(Tabla162670114157[Equipos], B459) &gt; 0, Tabla162670114157[[#Headers],[Equipos]],
    TRUE, "Sin clasificación"
)</f>
        <v>Sin clasificación</v>
      </c>
      <c r="I459" s="15"/>
      <c r="J459" s="47"/>
      <c r="K459" s="76"/>
      <c r="L459" s="76"/>
      <c r="M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N459" s="77"/>
      <c r="O459" s="32"/>
      <c r="P459" s="32"/>
      <c r="Q459" s="32"/>
      <c r="R459" s="32"/>
    </row>
    <row r="460" spans="3:18" x14ac:dyDescent="0.3">
      <c r="C460" s="11"/>
      <c r="D460" s="32"/>
      <c r="E460" s="11" t="str" cm="1">
        <f t="array" ref="E460">_xlfn.IFS(
    COUNTIF(Herramientas_eléctricas1862106149[Herramientas_eléctricas], B460) &gt; 0, Herramientas_eléctricas1862106149[[#Headers],[Herramientas_eléctricas]],
    COUNTIF(Herramientas_neumáticas1963107150[Herramientas_neumáticas], B460) &gt; 0, Herramientas_neumáticas1963107150[[#Headers],[Herramientas_neumáticas]],
    COUNTIF(Herramientas_de_medición2064108151[Herramientas_de_medición], B460) &gt; 0, Herramientas_de_medición2064108151[[#Headers],[Herramientas_de_medición]],
    COUNTIF(Herrramientas_mecánicas2165109152[Herramientas_mecánicas], B460) &gt; 0, Herrramientas_mecánicas2165109152[[#Headers],[Herramientas_mecánicas]],
    COUNTIF(AH460:AH466, B460) &gt; 0, Herramientas_hidráulicas2266110153[[#Headers],[Herramientas_hidráulicas]],
    COUNTIF(EPP_2367111154[SPCC], B460) &gt; 0, EPP_2367111154[[#Headers],[SPCC]],
   COUNTIF(Herramientas_de_izaje2468112155[Herramientas_de_izaje], B460) &gt; 0, Herramientas_de_izaje2468112155[[#Headers],[Herramientas_de_izaje]],
COUNTIF(Tabla162670114157[Equipos], B460) &gt; 0, Tabla162670114157[[#Headers],[Equipos]],
    TRUE, "Sin clasificación"
)</f>
        <v>Sin clasificación</v>
      </c>
      <c r="I460" s="15"/>
      <c r="J460" s="47"/>
      <c r="K460" s="76"/>
      <c r="L460" s="76"/>
      <c r="M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N460" s="77"/>
      <c r="O460" s="32"/>
      <c r="P460" s="32"/>
      <c r="Q460" s="32"/>
      <c r="R460" s="32"/>
    </row>
    <row r="461" spans="3:18" x14ac:dyDescent="0.3">
      <c r="C461" s="11"/>
      <c r="D461" s="32"/>
      <c r="E461" s="11" t="str" cm="1">
        <f t="array" ref="E461">_xlfn.IFS(
    COUNTIF(Herramientas_eléctricas1862106149[Herramientas_eléctricas], B461) &gt; 0, Herramientas_eléctricas1862106149[[#Headers],[Herramientas_eléctricas]],
    COUNTIF(Herramientas_neumáticas1963107150[Herramientas_neumáticas], B461) &gt; 0, Herramientas_neumáticas1963107150[[#Headers],[Herramientas_neumáticas]],
    COUNTIF(Herramientas_de_medición2064108151[Herramientas_de_medición], B461) &gt; 0, Herramientas_de_medición2064108151[[#Headers],[Herramientas_de_medición]],
    COUNTIF(Herrramientas_mecánicas2165109152[Herramientas_mecánicas], B461) &gt; 0, Herrramientas_mecánicas2165109152[[#Headers],[Herramientas_mecánicas]],
    COUNTIF(AH461:AH467, B461) &gt; 0, Herramientas_hidráulicas2266110153[[#Headers],[Herramientas_hidráulicas]],
    COUNTIF(EPP_2367111154[SPCC], B461) &gt; 0, EPP_2367111154[[#Headers],[SPCC]],
   COUNTIF(Herramientas_de_izaje2468112155[Herramientas_de_izaje], B461) &gt; 0, Herramientas_de_izaje2468112155[[#Headers],[Herramientas_de_izaje]],
COUNTIF(Tabla162670114157[Equipos], B461) &gt; 0, Tabla162670114157[[#Headers],[Equipos]],
    TRUE, "Sin clasificación"
)</f>
        <v>Sin clasificación</v>
      </c>
      <c r="I461" s="15"/>
      <c r="J461" s="47"/>
      <c r="K461" s="76"/>
      <c r="L461" s="76"/>
      <c r="M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N461" s="77"/>
      <c r="O461" s="32"/>
      <c r="P461" s="32"/>
      <c r="Q461" s="32"/>
      <c r="R461" s="32"/>
    </row>
    <row r="462" spans="3:18" x14ac:dyDescent="0.3">
      <c r="C462" s="11"/>
      <c r="D462" s="32"/>
      <c r="E462" s="11" t="str" cm="1">
        <f t="array" ref="E462">_xlfn.IFS(
    COUNTIF(Herramientas_eléctricas1862106149[Herramientas_eléctricas], B462) &gt; 0, Herramientas_eléctricas1862106149[[#Headers],[Herramientas_eléctricas]],
    COUNTIF(Herramientas_neumáticas1963107150[Herramientas_neumáticas], B462) &gt; 0, Herramientas_neumáticas1963107150[[#Headers],[Herramientas_neumáticas]],
    COUNTIF(Herramientas_de_medición2064108151[Herramientas_de_medición], B462) &gt; 0, Herramientas_de_medición2064108151[[#Headers],[Herramientas_de_medición]],
    COUNTIF(Herrramientas_mecánicas2165109152[Herramientas_mecánicas], B462) &gt; 0, Herrramientas_mecánicas2165109152[[#Headers],[Herramientas_mecánicas]],
    COUNTIF(AH462:AH468, B462) &gt; 0, Herramientas_hidráulicas2266110153[[#Headers],[Herramientas_hidráulicas]],
    COUNTIF(EPP_2367111154[SPCC], B462) &gt; 0, EPP_2367111154[[#Headers],[SPCC]],
   COUNTIF(Herramientas_de_izaje2468112155[Herramientas_de_izaje], B462) &gt; 0, Herramientas_de_izaje2468112155[[#Headers],[Herramientas_de_izaje]],
COUNTIF(Tabla162670114157[Equipos], B462) &gt; 0, Tabla162670114157[[#Headers],[Equipos]],
    TRUE, "Sin clasificación"
)</f>
        <v>Sin clasificación</v>
      </c>
      <c r="I462" s="15"/>
      <c r="J462" s="47"/>
      <c r="K462" s="76"/>
      <c r="L462" s="76"/>
      <c r="M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N462" s="77"/>
      <c r="O462" s="32"/>
      <c r="P462" s="32"/>
      <c r="Q462" s="32"/>
      <c r="R462" s="32"/>
    </row>
    <row r="463" spans="3:18" x14ac:dyDescent="0.3">
      <c r="C463" s="11"/>
      <c r="D463" s="32"/>
      <c r="E463" s="11" t="str" cm="1">
        <f t="array" ref="E463">_xlfn.IFS(
    COUNTIF(Herramientas_eléctricas1862106149[Herramientas_eléctricas], B463) &gt; 0, Herramientas_eléctricas1862106149[[#Headers],[Herramientas_eléctricas]],
    COUNTIF(Herramientas_neumáticas1963107150[Herramientas_neumáticas], B463) &gt; 0, Herramientas_neumáticas1963107150[[#Headers],[Herramientas_neumáticas]],
    COUNTIF(Herramientas_de_medición2064108151[Herramientas_de_medición], B463) &gt; 0, Herramientas_de_medición2064108151[[#Headers],[Herramientas_de_medición]],
    COUNTIF(Herrramientas_mecánicas2165109152[Herramientas_mecánicas], B463) &gt; 0, Herrramientas_mecánicas2165109152[[#Headers],[Herramientas_mecánicas]],
    COUNTIF(AH463:AH469, B463) &gt; 0, Herramientas_hidráulicas2266110153[[#Headers],[Herramientas_hidráulicas]],
    COUNTIF(EPP_2367111154[SPCC], B463) &gt; 0, EPP_2367111154[[#Headers],[SPCC]],
   COUNTIF(Herramientas_de_izaje2468112155[Herramientas_de_izaje], B463) &gt; 0, Herramientas_de_izaje2468112155[[#Headers],[Herramientas_de_izaje]],
COUNTIF(Tabla162670114157[Equipos], B463) &gt; 0, Tabla162670114157[[#Headers],[Equipos]],
    TRUE, "Sin clasificación"
)</f>
        <v>Sin clasificación</v>
      </c>
      <c r="I463" s="15"/>
      <c r="J463" s="47"/>
      <c r="K463" s="76"/>
      <c r="L463" s="76"/>
      <c r="M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N463" s="77"/>
      <c r="O463" s="32"/>
      <c r="P463" s="32"/>
      <c r="Q463" s="32"/>
      <c r="R463" s="32"/>
    </row>
    <row r="464" spans="3:18" x14ac:dyDescent="0.3">
      <c r="C464" s="11"/>
      <c r="D464" s="32"/>
      <c r="E464" s="11" t="str" cm="1">
        <f t="array" ref="E464">_xlfn.IFS(
    COUNTIF(Herramientas_eléctricas1862106149[Herramientas_eléctricas], B464) &gt; 0, Herramientas_eléctricas1862106149[[#Headers],[Herramientas_eléctricas]],
    COUNTIF(Herramientas_neumáticas1963107150[Herramientas_neumáticas], B464) &gt; 0, Herramientas_neumáticas1963107150[[#Headers],[Herramientas_neumáticas]],
    COUNTIF(Herramientas_de_medición2064108151[Herramientas_de_medición], B464) &gt; 0, Herramientas_de_medición2064108151[[#Headers],[Herramientas_de_medición]],
    COUNTIF(Herrramientas_mecánicas2165109152[Herramientas_mecánicas], B464) &gt; 0, Herrramientas_mecánicas2165109152[[#Headers],[Herramientas_mecánicas]],
    COUNTIF(AH464:AH470, B464) &gt; 0, Herramientas_hidráulicas2266110153[[#Headers],[Herramientas_hidráulicas]],
    COUNTIF(EPP_2367111154[SPCC], B464) &gt; 0, EPP_2367111154[[#Headers],[SPCC]],
   COUNTIF(Herramientas_de_izaje2468112155[Herramientas_de_izaje], B464) &gt; 0, Herramientas_de_izaje2468112155[[#Headers],[Herramientas_de_izaje]],
COUNTIF(Tabla162670114157[Equipos], B464) &gt; 0, Tabla162670114157[[#Headers],[Equipos]],
    TRUE, "Sin clasificación"
)</f>
        <v>Sin clasificación</v>
      </c>
      <c r="I464" s="15"/>
      <c r="J464" s="47"/>
      <c r="K464" s="76"/>
      <c r="L464" s="76"/>
      <c r="M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N464" s="77"/>
      <c r="O464" s="32"/>
      <c r="P464" s="32"/>
      <c r="Q464" s="32"/>
      <c r="R464" s="32"/>
    </row>
    <row r="465" spans="3:18" x14ac:dyDescent="0.3">
      <c r="C465" s="11"/>
      <c r="D465" s="32"/>
      <c r="E465" s="11" t="str" cm="1">
        <f t="array" ref="E465">_xlfn.IFS(
    COUNTIF(Herramientas_eléctricas1862106149[Herramientas_eléctricas], B465) &gt; 0, Herramientas_eléctricas1862106149[[#Headers],[Herramientas_eléctricas]],
    COUNTIF(Herramientas_neumáticas1963107150[Herramientas_neumáticas], B465) &gt; 0, Herramientas_neumáticas1963107150[[#Headers],[Herramientas_neumáticas]],
    COUNTIF(Herramientas_de_medición2064108151[Herramientas_de_medición], B465) &gt; 0, Herramientas_de_medición2064108151[[#Headers],[Herramientas_de_medición]],
    COUNTIF(Herrramientas_mecánicas2165109152[Herramientas_mecánicas], B465) &gt; 0, Herrramientas_mecánicas2165109152[[#Headers],[Herramientas_mecánicas]],
    COUNTIF(AH465:AH471, B465) &gt; 0, Herramientas_hidráulicas2266110153[[#Headers],[Herramientas_hidráulicas]],
    COUNTIF(EPP_2367111154[SPCC], B465) &gt; 0, EPP_2367111154[[#Headers],[SPCC]],
   COUNTIF(Herramientas_de_izaje2468112155[Herramientas_de_izaje], B465) &gt; 0, Herramientas_de_izaje2468112155[[#Headers],[Herramientas_de_izaje]],
COUNTIF(Tabla162670114157[Equipos], B465) &gt; 0, Tabla162670114157[[#Headers],[Equipos]],
    TRUE, "Sin clasificación"
)</f>
        <v>Sin clasificación</v>
      </c>
      <c r="I465" s="15"/>
      <c r="J465" s="47"/>
      <c r="K465" s="76"/>
      <c r="L465" s="76"/>
      <c r="M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N465" s="77"/>
      <c r="O465" s="32"/>
      <c r="P465" s="32"/>
      <c r="Q465" s="32"/>
      <c r="R465" s="32"/>
    </row>
    <row r="466" spans="3:18" x14ac:dyDescent="0.3">
      <c r="C466" s="11"/>
      <c r="D466" s="32"/>
      <c r="E466" s="11" t="str" cm="1">
        <f t="array" ref="E466">_xlfn.IFS(
    COUNTIF(Herramientas_eléctricas1862106149[Herramientas_eléctricas], B466) &gt; 0, Herramientas_eléctricas1862106149[[#Headers],[Herramientas_eléctricas]],
    COUNTIF(Herramientas_neumáticas1963107150[Herramientas_neumáticas], B466) &gt; 0, Herramientas_neumáticas1963107150[[#Headers],[Herramientas_neumáticas]],
    COUNTIF(Herramientas_de_medición2064108151[Herramientas_de_medición], B466) &gt; 0, Herramientas_de_medición2064108151[[#Headers],[Herramientas_de_medición]],
    COUNTIF(Herrramientas_mecánicas2165109152[Herramientas_mecánicas], B466) &gt; 0, Herrramientas_mecánicas2165109152[[#Headers],[Herramientas_mecánicas]],
    COUNTIF(AH466:AH472, B466) &gt; 0, Herramientas_hidráulicas2266110153[[#Headers],[Herramientas_hidráulicas]],
    COUNTIF(EPP_2367111154[SPCC], B466) &gt; 0, EPP_2367111154[[#Headers],[SPCC]],
   COUNTIF(Herramientas_de_izaje2468112155[Herramientas_de_izaje], B466) &gt; 0, Herramientas_de_izaje2468112155[[#Headers],[Herramientas_de_izaje]],
COUNTIF(Tabla162670114157[Equipos], B466) &gt; 0, Tabla162670114157[[#Headers],[Equipos]],
    TRUE, "Sin clasificación"
)</f>
        <v>Sin clasificación</v>
      </c>
      <c r="I466" s="15"/>
      <c r="J466" s="47"/>
      <c r="K466" s="76"/>
      <c r="L466" s="76"/>
      <c r="M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N466" s="77"/>
      <c r="O466" s="32"/>
      <c r="P466" s="32"/>
      <c r="Q466" s="32"/>
      <c r="R466" s="32"/>
    </row>
    <row r="467" spans="3:18" x14ac:dyDescent="0.3">
      <c r="C467" s="11"/>
      <c r="D467" s="32"/>
      <c r="E467" s="11" t="str" cm="1">
        <f t="array" ref="E467">_xlfn.IFS(
    COUNTIF(Herramientas_eléctricas1862106149[Herramientas_eléctricas], B467) &gt; 0, Herramientas_eléctricas1862106149[[#Headers],[Herramientas_eléctricas]],
    COUNTIF(Herramientas_neumáticas1963107150[Herramientas_neumáticas], B467) &gt; 0, Herramientas_neumáticas1963107150[[#Headers],[Herramientas_neumáticas]],
    COUNTIF(Herramientas_de_medición2064108151[Herramientas_de_medición], B467) &gt; 0, Herramientas_de_medición2064108151[[#Headers],[Herramientas_de_medición]],
    COUNTIF(Herrramientas_mecánicas2165109152[Herramientas_mecánicas], B467) &gt; 0, Herrramientas_mecánicas2165109152[[#Headers],[Herramientas_mecánicas]],
    COUNTIF(AH467:AH473, B467) &gt; 0, Herramientas_hidráulicas2266110153[[#Headers],[Herramientas_hidráulicas]],
    COUNTIF(EPP_2367111154[SPCC], B467) &gt; 0, EPP_2367111154[[#Headers],[SPCC]],
   COUNTIF(Herramientas_de_izaje2468112155[Herramientas_de_izaje], B467) &gt; 0, Herramientas_de_izaje2468112155[[#Headers],[Herramientas_de_izaje]],
COUNTIF(Tabla162670114157[Equipos], B467) &gt; 0, Tabla162670114157[[#Headers],[Equipos]],
    TRUE, "Sin clasificación"
)</f>
        <v>Sin clasificación</v>
      </c>
      <c r="I467" s="15"/>
      <c r="J467" s="47"/>
      <c r="K467" s="76"/>
      <c r="L467" s="76"/>
      <c r="M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N467" s="77"/>
      <c r="O467" s="32"/>
      <c r="P467" s="32"/>
      <c r="Q467" s="32"/>
      <c r="R467" s="32"/>
    </row>
    <row r="468" spans="3:18" x14ac:dyDescent="0.3">
      <c r="C468" s="11"/>
      <c r="D468" s="32"/>
      <c r="E468" s="11" t="str" cm="1">
        <f t="array" ref="E468">_xlfn.IFS(
    COUNTIF(Herramientas_eléctricas1862106149[Herramientas_eléctricas], B468) &gt; 0, Herramientas_eléctricas1862106149[[#Headers],[Herramientas_eléctricas]],
    COUNTIF(Herramientas_neumáticas1963107150[Herramientas_neumáticas], B468) &gt; 0, Herramientas_neumáticas1963107150[[#Headers],[Herramientas_neumáticas]],
    COUNTIF(Herramientas_de_medición2064108151[Herramientas_de_medición], B468) &gt; 0, Herramientas_de_medición2064108151[[#Headers],[Herramientas_de_medición]],
    COUNTIF(Herrramientas_mecánicas2165109152[Herramientas_mecánicas], B468) &gt; 0, Herrramientas_mecánicas2165109152[[#Headers],[Herramientas_mecánicas]],
    COUNTIF(AH468:AH474, B468) &gt; 0, Herramientas_hidráulicas2266110153[[#Headers],[Herramientas_hidráulicas]],
    COUNTIF(EPP_2367111154[SPCC], B468) &gt; 0, EPP_2367111154[[#Headers],[SPCC]],
   COUNTIF(Herramientas_de_izaje2468112155[Herramientas_de_izaje], B468) &gt; 0, Herramientas_de_izaje2468112155[[#Headers],[Herramientas_de_izaje]],
COUNTIF(Tabla162670114157[Equipos], B468) &gt; 0, Tabla162670114157[[#Headers],[Equipos]],
    TRUE, "Sin clasificación"
)</f>
        <v>Sin clasificación</v>
      </c>
      <c r="I468" s="15"/>
      <c r="J468" s="47"/>
      <c r="K468" s="76"/>
      <c r="L468" s="76"/>
      <c r="M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N468" s="77"/>
      <c r="O468" s="32"/>
      <c r="P468" s="32"/>
      <c r="Q468" s="32"/>
      <c r="R468" s="32"/>
    </row>
    <row r="469" spans="3:18" x14ac:dyDescent="0.3">
      <c r="C469" s="11"/>
      <c r="D469" s="32"/>
      <c r="E469" s="11" t="str" cm="1">
        <f t="array" ref="E469">_xlfn.IFS(
    COUNTIF(Herramientas_eléctricas1862106149[Herramientas_eléctricas], B469) &gt; 0, Herramientas_eléctricas1862106149[[#Headers],[Herramientas_eléctricas]],
    COUNTIF(Herramientas_neumáticas1963107150[Herramientas_neumáticas], B469) &gt; 0, Herramientas_neumáticas1963107150[[#Headers],[Herramientas_neumáticas]],
    COUNTIF(Herramientas_de_medición2064108151[Herramientas_de_medición], B469) &gt; 0, Herramientas_de_medición2064108151[[#Headers],[Herramientas_de_medición]],
    COUNTIF(Herrramientas_mecánicas2165109152[Herramientas_mecánicas], B469) &gt; 0, Herrramientas_mecánicas2165109152[[#Headers],[Herramientas_mecánicas]],
    COUNTIF(AH469:AH475, B469) &gt; 0, Herramientas_hidráulicas2266110153[[#Headers],[Herramientas_hidráulicas]],
    COUNTIF(EPP_2367111154[SPCC], B469) &gt; 0, EPP_2367111154[[#Headers],[SPCC]],
   COUNTIF(Herramientas_de_izaje2468112155[Herramientas_de_izaje], B469) &gt; 0, Herramientas_de_izaje2468112155[[#Headers],[Herramientas_de_izaje]],
COUNTIF(Tabla162670114157[Equipos], B469) &gt; 0, Tabla162670114157[[#Headers],[Equipos]],
    TRUE, "Sin clasificación"
)</f>
        <v>Sin clasificación</v>
      </c>
      <c r="I469" s="15"/>
      <c r="J469" s="47"/>
      <c r="K469" s="76"/>
      <c r="L469" s="76"/>
      <c r="M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N469" s="77"/>
      <c r="O469" s="32"/>
      <c r="P469" s="32"/>
      <c r="Q469" s="32"/>
      <c r="R469" s="32"/>
    </row>
    <row r="470" spans="3:18" x14ac:dyDescent="0.3">
      <c r="C470" s="11"/>
      <c r="D470" s="32"/>
      <c r="E470" s="11" t="str" cm="1">
        <f t="array" ref="E470">_xlfn.IFS(
    COUNTIF(Herramientas_eléctricas1862106149[Herramientas_eléctricas], B470) &gt; 0, Herramientas_eléctricas1862106149[[#Headers],[Herramientas_eléctricas]],
    COUNTIF(Herramientas_neumáticas1963107150[Herramientas_neumáticas], B470) &gt; 0, Herramientas_neumáticas1963107150[[#Headers],[Herramientas_neumáticas]],
    COUNTIF(Herramientas_de_medición2064108151[Herramientas_de_medición], B470) &gt; 0, Herramientas_de_medición2064108151[[#Headers],[Herramientas_de_medición]],
    COUNTIF(Herrramientas_mecánicas2165109152[Herramientas_mecánicas], B470) &gt; 0, Herrramientas_mecánicas2165109152[[#Headers],[Herramientas_mecánicas]],
    COUNTIF(AH470:AH476, B470) &gt; 0, Herramientas_hidráulicas2266110153[[#Headers],[Herramientas_hidráulicas]],
    COUNTIF(EPP_2367111154[SPCC], B470) &gt; 0, EPP_2367111154[[#Headers],[SPCC]],
   COUNTIF(Herramientas_de_izaje2468112155[Herramientas_de_izaje], B470) &gt; 0, Herramientas_de_izaje2468112155[[#Headers],[Herramientas_de_izaje]],
COUNTIF(Tabla162670114157[Equipos], B470) &gt; 0, Tabla162670114157[[#Headers],[Equipos]],
    TRUE, "Sin clasificación"
)</f>
        <v>Sin clasificación</v>
      </c>
      <c r="I470" s="15"/>
      <c r="J470" s="47"/>
      <c r="K470" s="76"/>
      <c r="L470" s="76"/>
      <c r="M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N470" s="77"/>
      <c r="O470" s="32"/>
      <c r="P470" s="32"/>
      <c r="Q470" s="32"/>
      <c r="R470" s="32"/>
    </row>
    <row r="471" spans="3:18" x14ac:dyDescent="0.3">
      <c r="C471" s="11"/>
      <c r="D471" s="32"/>
      <c r="E471" s="11" t="str" cm="1">
        <f t="array" ref="E471">_xlfn.IFS(
    COUNTIF(Herramientas_eléctricas1862106149[Herramientas_eléctricas], B471) &gt; 0, Herramientas_eléctricas1862106149[[#Headers],[Herramientas_eléctricas]],
    COUNTIF(Herramientas_neumáticas1963107150[Herramientas_neumáticas], B471) &gt; 0, Herramientas_neumáticas1963107150[[#Headers],[Herramientas_neumáticas]],
    COUNTIF(Herramientas_de_medición2064108151[Herramientas_de_medición], B471) &gt; 0, Herramientas_de_medición2064108151[[#Headers],[Herramientas_de_medición]],
    COUNTIF(Herrramientas_mecánicas2165109152[Herramientas_mecánicas], B471) &gt; 0, Herrramientas_mecánicas2165109152[[#Headers],[Herramientas_mecánicas]],
    COUNTIF(AH471:AH477, B471) &gt; 0, Herramientas_hidráulicas2266110153[[#Headers],[Herramientas_hidráulicas]],
    COUNTIF(EPP_2367111154[SPCC], B471) &gt; 0, EPP_2367111154[[#Headers],[SPCC]],
   COUNTIF(Herramientas_de_izaje2468112155[Herramientas_de_izaje], B471) &gt; 0, Herramientas_de_izaje2468112155[[#Headers],[Herramientas_de_izaje]],
COUNTIF(Tabla162670114157[Equipos], B471) &gt; 0, Tabla162670114157[[#Headers],[Equipos]],
    TRUE, "Sin clasificación"
)</f>
        <v>Sin clasificación</v>
      </c>
      <c r="I471" s="15"/>
      <c r="J471" s="47"/>
      <c r="K471" s="76"/>
      <c r="L471" s="76"/>
      <c r="M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N471" s="77"/>
      <c r="O471" s="32"/>
      <c r="P471" s="32"/>
      <c r="Q471" s="32"/>
      <c r="R471" s="32"/>
    </row>
    <row r="472" spans="3:18" x14ac:dyDescent="0.3">
      <c r="C472" s="11"/>
      <c r="D472" s="32"/>
      <c r="E472" s="11" t="str" cm="1">
        <f t="array" ref="E472">_xlfn.IFS(
    COUNTIF(Herramientas_eléctricas1862106149[Herramientas_eléctricas], B472) &gt; 0, Herramientas_eléctricas1862106149[[#Headers],[Herramientas_eléctricas]],
    COUNTIF(Herramientas_neumáticas1963107150[Herramientas_neumáticas], B472) &gt; 0, Herramientas_neumáticas1963107150[[#Headers],[Herramientas_neumáticas]],
    COUNTIF(Herramientas_de_medición2064108151[Herramientas_de_medición], B472) &gt; 0, Herramientas_de_medición2064108151[[#Headers],[Herramientas_de_medición]],
    COUNTIF(Herrramientas_mecánicas2165109152[Herramientas_mecánicas], B472) &gt; 0, Herrramientas_mecánicas2165109152[[#Headers],[Herramientas_mecánicas]],
    COUNTIF(AH472:AH478, B472) &gt; 0, Herramientas_hidráulicas2266110153[[#Headers],[Herramientas_hidráulicas]],
    COUNTIF(EPP_2367111154[SPCC], B472) &gt; 0, EPP_2367111154[[#Headers],[SPCC]],
   COUNTIF(Herramientas_de_izaje2468112155[Herramientas_de_izaje], B472) &gt; 0, Herramientas_de_izaje2468112155[[#Headers],[Herramientas_de_izaje]],
COUNTIF(Tabla162670114157[Equipos], B472) &gt; 0, Tabla162670114157[[#Headers],[Equipos]],
    TRUE, "Sin clasificación"
)</f>
        <v>Sin clasificación</v>
      </c>
      <c r="I472" s="15"/>
      <c r="J472" s="47"/>
      <c r="K472" s="76"/>
      <c r="L472" s="76"/>
      <c r="M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N472" s="77"/>
      <c r="O472" s="32"/>
      <c r="P472" s="32"/>
      <c r="Q472" s="32"/>
      <c r="R472" s="32"/>
    </row>
    <row r="473" spans="3:18" x14ac:dyDescent="0.3">
      <c r="C473" s="11"/>
      <c r="D473" s="32"/>
      <c r="E473" s="11" t="str" cm="1">
        <f t="array" ref="E473">_xlfn.IFS(
    COUNTIF(Herramientas_eléctricas1862106149[Herramientas_eléctricas], B473) &gt; 0, Herramientas_eléctricas1862106149[[#Headers],[Herramientas_eléctricas]],
    COUNTIF(Herramientas_neumáticas1963107150[Herramientas_neumáticas], B473) &gt; 0, Herramientas_neumáticas1963107150[[#Headers],[Herramientas_neumáticas]],
    COUNTIF(Herramientas_de_medición2064108151[Herramientas_de_medición], B473) &gt; 0, Herramientas_de_medición2064108151[[#Headers],[Herramientas_de_medición]],
    COUNTIF(Herrramientas_mecánicas2165109152[Herramientas_mecánicas], B473) &gt; 0, Herrramientas_mecánicas2165109152[[#Headers],[Herramientas_mecánicas]],
    COUNTIF(AH473:AH479, B473) &gt; 0, Herramientas_hidráulicas2266110153[[#Headers],[Herramientas_hidráulicas]],
    COUNTIF(EPP_2367111154[SPCC], B473) &gt; 0, EPP_2367111154[[#Headers],[SPCC]],
   COUNTIF(Herramientas_de_izaje2468112155[Herramientas_de_izaje], B473) &gt; 0, Herramientas_de_izaje2468112155[[#Headers],[Herramientas_de_izaje]],
COUNTIF(Tabla162670114157[Equipos], B473) &gt; 0, Tabla162670114157[[#Headers],[Equipos]],
    TRUE, "Sin clasificación"
)</f>
        <v>Sin clasificación</v>
      </c>
      <c r="I473" s="15"/>
      <c r="J473" s="47"/>
      <c r="K473" s="76"/>
      <c r="L473" s="76"/>
      <c r="M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N473" s="77"/>
      <c r="O473" s="32"/>
      <c r="P473" s="32"/>
      <c r="Q473" s="32"/>
      <c r="R473" s="32"/>
    </row>
    <row r="474" spans="3:18" x14ac:dyDescent="0.3">
      <c r="C474" s="11"/>
      <c r="D474" s="32"/>
      <c r="E474" s="11" t="str" cm="1">
        <f t="array" ref="E474">_xlfn.IFS(
    COUNTIF(Herramientas_eléctricas1862106149[Herramientas_eléctricas], B474) &gt; 0, Herramientas_eléctricas1862106149[[#Headers],[Herramientas_eléctricas]],
    COUNTIF(Herramientas_neumáticas1963107150[Herramientas_neumáticas], B474) &gt; 0, Herramientas_neumáticas1963107150[[#Headers],[Herramientas_neumáticas]],
    COUNTIF(Herramientas_de_medición2064108151[Herramientas_de_medición], B474) &gt; 0, Herramientas_de_medición2064108151[[#Headers],[Herramientas_de_medición]],
    COUNTIF(Herrramientas_mecánicas2165109152[Herramientas_mecánicas], B474) &gt; 0, Herrramientas_mecánicas2165109152[[#Headers],[Herramientas_mecánicas]],
    COUNTIF(AH474:AH480, B474) &gt; 0, Herramientas_hidráulicas2266110153[[#Headers],[Herramientas_hidráulicas]],
    COUNTIF(EPP_2367111154[SPCC], B474) &gt; 0, EPP_2367111154[[#Headers],[SPCC]],
   COUNTIF(Herramientas_de_izaje2468112155[Herramientas_de_izaje], B474) &gt; 0, Herramientas_de_izaje2468112155[[#Headers],[Herramientas_de_izaje]],
COUNTIF(Tabla162670114157[Equipos], B474) &gt; 0, Tabla162670114157[[#Headers],[Equipos]],
    TRUE, "Sin clasificación"
)</f>
        <v>Sin clasificación</v>
      </c>
      <c r="I474" s="15"/>
      <c r="J474" s="47"/>
      <c r="K474" s="76"/>
      <c r="L474" s="76"/>
      <c r="M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N474" s="77"/>
      <c r="O474" s="32"/>
      <c r="P474" s="32"/>
      <c r="Q474" s="32"/>
      <c r="R474" s="32"/>
    </row>
    <row r="475" spans="3:18" x14ac:dyDescent="0.3">
      <c r="C475" s="11"/>
      <c r="D475" s="32"/>
      <c r="E475" s="11" t="str" cm="1">
        <f t="array" ref="E475">_xlfn.IFS(
    COUNTIF(Herramientas_eléctricas1862106149[Herramientas_eléctricas], B475) &gt; 0, Herramientas_eléctricas1862106149[[#Headers],[Herramientas_eléctricas]],
    COUNTIF(Herramientas_neumáticas1963107150[Herramientas_neumáticas], B475) &gt; 0, Herramientas_neumáticas1963107150[[#Headers],[Herramientas_neumáticas]],
    COUNTIF(Herramientas_de_medición2064108151[Herramientas_de_medición], B475) &gt; 0, Herramientas_de_medición2064108151[[#Headers],[Herramientas_de_medición]],
    COUNTIF(Herrramientas_mecánicas2165109152[Herramientas_mecánicas], B475) &gt; 0, Herrramientas_mecánicas2165109152[[#Headers],[Herramientas_mecánicas]],
    COUNTIF(AH475:AH481, B475) &gt; 0, Herramientas_hidráulicas2266110153[[#Headers],[Herramientas_hidráulicas]],
    COUNTIF(EPP_2367111154[SPCC], B475) &gt; 0, EPP_2367111154[[#Headers],[SPCC]],
   COUNTIF(Herramientas_de_izaje2468112155[Herramientas_de_izaje], B475) &gt; 0, Herramientas_de_izaje2468112155[[#Headers],[Herramientas_de_izaje]],
COUNTIF(Tabla162670114157[Equipos], B475) &gt; 0, Tabla162670114157[[#Headers],[Equipos]],
    TRUE, "Sin clasificación"
)</f>
        <v>Sin clasificación</v>
      </c>
      <c r="I475" s="15"/>
      <c r="J475" s="47"/>
      <c r="K475" s="76"/>
      <c r="L475" s="76"/>
      <c r="M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N475" s="77"/>
      <c r="O475" s="32"/>
      <c r="P475" s="32"/>
      <c r="Q475" s="32"/>
      <c r="R475" s="32"/>
    </row>
    <row r="476" spans="3:18" x14ac:dyDescent="0.3">
      <c r="C476" s="11"/>
      <c r="D476" s="32"/>
      <c r="E476" s="11" t="str" cm="1">
        <f t="array" ref="E476">_xlfn.IFS(
    COUNTIF(Herramientas_eléctricas1862106149[Herramientas_eléctricas], B476) &gt; 0, Herramientas_eléctricas1862106149[[#Headers],[Herramientas_eléctricas]],
    COUNTIF(Herramientas_neumáticas1963107150[Herramientas_neumáticas], B476) &gt; 0, Herramientas_neumáticas1963107150[[#Headers],[Herramientas_neumáticas]],
    COUNTIF(Herramientas_de_medición2064108151[Herramientas_de_medición], B476) &gt; 0, Herramientas_de_medición2064108151[[#Headers],[Herramientas_de_medición]],
    COUNTIF(Herrramientas_mecánicas2165109152[Herramientas_mecánicas], B476) &gt; 0, Herrramientas_mecánicas2165109152[[#Headers],[Herramientas_mecánicas]],
    COUNTIF(AH476:AH482, B476) &gt; 0, Herramientas_hidráulicas2266110153[[#Headers],[Herramientas_hidráulicas]],
    COUNTIF(EPP_2367111154[SPCC], B476) &gt; 0, EPP_2367111154[[#Headers],[SPCC]],
   COUNTIF(Herramientas_de_izaje2468112155[Herramientas_de_izaje], B476) &gt; 0, Herramientas_de_izaje2468112155[[#Headers],[Herramientas_de_izaje]],
COUNTIF(Tabla162670114157[Equipos], B476) &gt; 0, Tabla162670114157[[#Headers],[Equipos]],
    TRUE, "Sin clasificación"
)</f>
        <v>Sin clasificación</v>
      </c>
      <c r="I476" s="15"/>
      <c r="J476" s="47"/>
      <c r="K476" s="76"/>
      <c r="L476" s="76"/>
      <c r="M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N476" s="77"/>
      <c r="O476" s="32"/>
      <c r="P476" s="32"/>
      <c r="Q476" s="32"/>
      <c r="R476" s="32"/>
    </row>
    <row r="477" spans="3:18" x14ac:dyDescent="0.3">
      <c r="C477" s="11"/>
      <c r="D477" s="32"/>
      <c r="E477" s="11" t="str" cm="1">
        <f t="array" ref="E477">_xlfn.IFS(
    COUNTIF(Herramientas_eléctricas1862106149[Herramientas_eléctricas], B477) &gt; 0, Herramientas_eléctricas1862106149[[#Headers],[Herramientas_eléctricas]],
    COUNTIF(Herramientas_neumáticas1963107150[Herramientas_neumáticas], B477) &gt; 0, Herramientas_neumáticas1963107150[[#Headers],[Herramientas_neumáticas]],
    COUNTIF(Herramientas_de_medición2064108151[Herramientas_de_medición], B477) &gt; 0, Herramientas_de_medición2064108151[[#Headers],[Herramientas_de_medición]],
    COUNTIF(Herrramientas_mecánicas2165109152[Herramientas_mecánicas], B477) &gt; 0, Herrramientas_mecánicas2165109152[[#Headers],[Herramientas_mecánicas]],
    COUNTIF(AH477:AH483, B477) &gt; 0, Herramientas_hidráulicas2266110153[[#Headers],[Herramientas_hidráulicas]],
    COUNTIF(EPP_2367111154[SPCC], B477) &gt; 0, EPP_2367111154[[#Headers],[SPCC]],
   COUNTIF(Herramientas_de_izaje2468112155[Herramientas_de_izaje], B477) &gt; 0, Herramientas_de_izaje2468112155[[#Headers],[Herramientas_de_izaje]],
COUNTIF(Tabla162670114157[Equipos], B477) &gt; 0, Tabla162670114157[[#Headers],[Equipos]],
    TRUE, "Sin clasificación"
)</f>
        <v>Sin clasificación</v>
      </c>
      <c r="I477" s="15"/>
      <c r="J477" s="47"/>
      <c r="K477" s="76"/>
      <c r="L477" s="76"/>
      <c r="M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N477" s="77"/>
      <c r="O477" s="32"/>
      <c r="P477" s="32"/>
      <c r="Q477" s="32"/>
      <c r="R477" s="32"/>
    </row>
    <row r="478" spans="3:18" x14ac:dyDescent="0.3">
      <c r="C478" s="11"/>
      <c r="D478" s="32"/>
      <c r="E478" s="11" t="str" cm="1">
        <f t="array" ref="E478">_xlfn.IFS(
    COUNTIF(Herramientas_eléctricas1862106149[Herramientas_eléctricas], B478) &gt; 0, Herramientas_eléctricas1862106149[[#Headers],[Herramientas_eléctricas]],
    COUNTIF(Herramientas_neumáticas1963107150[Herramientas_neumáticas], B478) &gt; 0, Herramientas_neumáticas1963107150[[#Headers],[Herramientas_neumáticas]],
    COUNTIF(Herramientas_de_medición2064108151[Herramientas_de_medición], B478) &gt; 0, Herramientas_de_medición2064108151[[#Headers],[Herramientas_de_medición]],
    COUNTIF(Herrramientas_mecánicas2165109152[Herramientas_mecánicas], B478) &gt; 0, Herrramientas_mecánicas2165109152[[#Headers],[Herramientas_mecánicas]],
    COUNTIF(AH478:AH484, B478) &gt; 0, Herramientas_hidráulicas2266110153[[#Headers],[Herramientas_hidráulicas]],
    COUNTIF(EPP_2367111154[SPCC], B478) &gt; 0, EPP_2367111154[[#Headers],[SPCC]],
   COUNTIF(Herramientas_de_izaje2468112155[Herramientas_de_izaje], B478) &gt; 0, Herramientas_de_izaje2468112155[[#Headers],[Herramientas_de_izaje]],
COUNTIF(Tabla162670114157[Equipos], B478) &gt; 0, Tabla162670114157[[#Headers],[Equipos]],
    TRUE, "Sin clasificación"
)</f>
        <v>Sin clasificación</v>
      </c>
      <c r="I478" s="15"/>
      <c r="J478" s="47"/>
      <c r="K478" s="76"/>
      <c r="L478" s="76"/>
      <c r="M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N478" s="77"/>
      <c r="O478" s="32"/>
      <c r="P478" s="32"/>
      <c r="Q478" s="32"/>
      <c r="R478" s="32"/>
    </row>
    <row r="479" spans="3:18" x14ac:dyDescent="0.3">
      <c r="C479" s="11"/>
      <c r="D479" s="32"/>
      <c r="E479" s="11" t="str" cm="1">
        <f t="array" ref="E479">_xlfn.IFS(
    COUNTIF(Herramientas_eléctricas1862106149[Herramientas_eléctricas], B479) &gt; 0, Herramientas_eléctricas1862106149[[#Headers],[Herramientas_eléctricas]],
    COUNTIF(Herramientas_neumáticas1963107150[Herramientas_neumáticas], B479) &gt; 0, Herramientas_neumáticas1963107150[[#Headers],[Herramientas_neumáticas]],
    COUNTIF(Herramientas_de_medición2064108151[Herramientas_de_medición], B479) &gt; 0, Herramientas_de_medición2064108151[[#Headers],[Herramientas_de_medición]],
    COUNTIF(Herrramientas_mecánicas2165109152[Herramientas_mecánicas], B479) &gt; 0, Herrramientas_mecánicas2165109152[[#Headers],[Herramientas_mecánicas]],
    COUNTIF(AH479:AH485, B479) &gt; 0, Herramientas_hidráulicas2266110153[[#Headers],[Herramientas_hidráulicas]],
    COUNTIF(EPP_2367111154[SPCC], B479) &gt; 0, EPP_2367111154[[#Headers],[SPCC]],
   COUNTIF(Herramientas_de_izaje2468112155[Herramientas_de_izaje], B479) &gt; 0, Herramientas_de_izaje2468112155[[#Headers],[Herramientas_de_izaje]],
COUNTIF(Tabla162670114157[Equipos], B479) &gt; 0, Tabla162670114157[[#Headers],[Equipos]],
    TRUE, "Sin clasificación"
)</f>
        <v>Sin clasificación</v>
      </c>
      <c r="I479" s="15"/>
      <c r="J479" s="47"/>
      <c r="K479" s="76"/>
      <c r="L479" s="76"/>
      <c r="M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N479" s="77"/>
      <c r="O479" s="32"/>
      <c r="P479" s="32"/>
      <c r="Q479" s="32"/>
      <c r="R479" s="32"/>
    </row>
    <row r="480" spans="3:18" x14ac:dyDescent="0.3">
      <c r="C480" s="11"/>
      <c r="D480" s="32"/>
      <c r="E480" s="11" t="str" cm="1">
        <f t="array" ref="E480">_xlfn.IFS(
    COUNTIF(Herramientas_eléctricas1862106149[Herramientas_eléctricas], B480) &gt; 0, Herramientas_eléctricas1862106149[[#Headers],[Herramientas_eléctricas]],
    COUNTIF(Herramientas_neumáticas1963107150[Herramientas_neumáticas], B480) &gt; 0, Herramientas_neumáticas1963107150[[#Headers],[Herramientas_neumáticas]],
    COUNTIF(Herramientas_de_medición2064108151[Herramientas_de_medición], B480) &gt; 0, Herramientas_de_medición2064108151[[#Headers],[Herramientas_de_medición]],
    COUNTIF(Herrramientas_mecánicas2165109152[Herramientas_mecánicas], B480) &gt; 0, Herrramientas_mecánicas2165109152[[#Headers],[Herramientas_mecánicas]],
    COUNTIF(AH480:AH486, B480) &gt; 0, Herramientas_hidráulicas2266110153[[#Headers],[Herramientas_hidráulicas]],
    COUNTIF(EPP_2367111154[SPCC], B480) &gt; 0, EPP_2367111154[[#Headers],[SPCC]],
   COUNTIF(Herramientas_de_izaje2468112155[Herramientas_de_izaje], B480) &gt; 0, Herramientas_de_izaje2468112155[[#Headers],[Herramientas_de_izaje]],
COUNTIF(Tabla162670114157[Equipos], B480) &gt; 0, Tabla162670114157[[#Headers],[Equipos]],
    TRUE, "Sin clasificación"
)</f>
        <v>Sin clasificación</v>
      </c>
      <c r="I480" s="15"/>
      <c r="J480" s="47"/>
      <c r="K480" s="76"/>
      <c r="L480" s="76"/>
      <c r="M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N480" s="77"/>
      <c r="O480" s="32"/>
      <c r="P480" s="32"/>
      <c r="Q480" s="32"/>
      <c r="R480" s="32"/>
    </row>
    <row r="481" spans="3:18" x14ac:dyDescent="0.3">
      <c r="C481" s="11"/>
      <c r="D481" s="32"/>
      <c r="E481" s="11" t="str" cm="1">
        <f t="array" ref="E481">_xlfn.IFS(
    COUNTIF(Herramientas_eléctricas1862106149[Herramientas_eléctricas], B481) &gt; 0, Herramientas_eléctricas1862106149[[#Headers],[Herramientas_eléctricas]],
    COUNTIF(Herramientas_neumáticas1963107150[Herramientas_neumáticas], B481) &gt; 0, Herramientas_neumáticas1963107150[[#Headers],[Herramientas_neumáticas]],
    COUNTIF(Herramientas_de_medición2064108151[Herramientas_de_medición], B481) &gt; 0, Herramientas_de_medición2064108151[[#Headers],[Herramientas_de_medición]],
    COUNTIF(Herrramientas_mecánicas2165109152[Herramientas_mecánicas], B481) &gt; 0, Herrramientas_mecánicas2165109152[[#Headers],[Herramientas_mecánicas]],
    COUNTIF(AH481:AH487, B481) &gt; 0, Herramientas_hidráulicas2266110153[[#Headers],[Herramientas_hidráulicas]],
    COUNTIF(EPP_2367111154[SPCC], B481) &gt; 0, EPP_2367111154[[#Headers],[SPCC]],
   COUNTIF(Herramientas_de_izaje2468112155[Herramientas_de_izaje], B481) &gt; 0, Herramientas_de_izaje2468112155[[#Headers],[Herramientas_de_izaje]],
COUNTIF(Tabla162670114157[Equipos], B481) &gt; 0, Tabla162670114157[[#Headers],[Equipos]],
    TRUE, "Sin clasificación"
)</f>
        <v>Sin clasificación</v>
      </c>
      <c r="I481" s="15"/>
      <c r="J481" s="47"/>
      <c r="K481" s="76"/>
      <c r="L481" s="76"/>
      <c r="M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N481" s="77"/>
      <c r="O481" s="32"/>
      <c r="P481" s="32"/>
      <c r="Q481" s="32"/>
      <c r="R481" s="32"/>
    </row>
    <row r="482" spans="3:18" x14ac:dyDescent="0.3">
      <c r="C482" s="11"/>
      <c r="D482" s="32"/>
      <c r="E482" s="11" t="str" cm="1">
        <f t="array" ref="E482">_xlfn.IFS(
    COUNTIF(Herramientas_eléctricas1862106149[Herramientas_eléctricas], B482) &gt; 0, Herramientas_eléctricas1862106149[[#Headers],[Herramientas_eléctricas]],
    COUNTIF(Herramientas_neumáticas1963107150[Herramientas_neumáticas], B482) &gt; 0, Herramientas_neumáticas1963107150[[#Headers],[Herramientas_neumáticas]],
    COUNTIF(Herramientas_de_medición2064108151[Herramientas_de_medición], B482) &gt; 0, Herramientas_de_medición2064108151[[#Headers],[Herramientas_de_medición]],
    COUNTIF(Herrramientas_mecánicas2165109152[Herramientas_mecánicas], B482) &gt; 0, Herrramientas_mecánicas2165109152[[#Headers],[Herramientas_mecánicas]],
    COUNTIF(AH482:AH488, B482) &gt; 0, Herramientas_hidráulicas2266110153[[#Headers],[Herramientas_hidráulicas]],
    COUNTIF(EPP_2367111154[SPCC], B482) &gt; 0, EPP_2367111154[[#Headers],[SPCC]],
   COUNTIF(Herramientas_de_izaje2468112155[Herramientas_de_izaje], B482) &gt; 0, Herramientas_de_izaje2468112155[[#Headers],[Herramientas_de_izaje]],
COUNTIF(Tabla162670114157[Equipos], B482) &gt; 0, Tabla162670114157[[#Headers],[Equipos]],
    TRUE, "Sin clasificación"
)</f>
        <v>Sin clasificación</v>
      </c>
      <c r="I482" s="15"/>
      <c r="J482" s="47"/>
      <c r="K482" s="76"/>
      <c r="L482" s="76"/>
      <c r="M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N482" s="77"/>
      <c r="O482" s="32"/>
      <c r="P482" s="32"/>
      <c r="Q482" s="32"/>
      <c r="R482" s="32"/>
    </row>
    <row r="483" spans="3:18" x14ac:dyDescent="0.3">
      <c r="C483" s="11"/>
      <c r="D483" s="32"/>
      <c r="E483" s="11" t="str" cm="1">
        <f t="array" ref="E483">_xlfn.IFS(
    COUNTIF(Herramientas_eléctricas1862106149[Herramientas_eléctricas], B483) &gt; 0, Herramientas_eléctricas1862106149[[#Headers],[Herramientas_eléctricas]],
    COUNTIF(Herramientas_neumáticas1963107150[Herramientas_neumáticas], B483) &gt; 0, Herramientas_neumáticas1963107150[[#Headers],[Herramientas_neumáticas]],
    COUNTIF(Herramientas_de_medición2064108151[Herramientas_de_medición], B483) &gt; 0, Herramientas_de_medición2064108151[[#Headers],[Herramientas_de_medición]],
    COUNTIF(Herrramientas_mecánicas2165109152[Herramientas_mecánicas], B483) &gt; 0, Herrramientas_mecánicas2165109152[[#Headers],[Herramientas_mecánicas]],
    COUNTIF(AH483:AH489, B483) &gt; 0, Herramientas_hidráulicas2266110153[[#Headers],[Herramientas_hidráulicas]],
    COUNTIF(EPP_2367111154[SPCC], B483) &gt; 0, EPP_2367111154[[#Headers],[SPCC]],
   COUNTIF(Herramientas_de_izaje2468112155[Herramientas_de_izaje], B483) &gt; 0, Herramientas_de_izaje2468112155[[#Headers],[Herramientas_de_izaje]],
COUNTIF(Tabla162670114157[Equipos], B483) &gt; 0, Tabla162670114157[[#Headers],[Equipos]],
    TRUE, "Sin clasificación"
)</f>
        <v>Sin clasificación</v>
      </c>
      <c r="I483" s="15"/>
      <c r="J483" s="47"/>
      <c r="K483" s="76"/>
      <c r="L483" s="76"/>
      <c r="M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N483" s="77"/>
      <c r="O483" s="32"/>
      <c r="P483" s="32"/>
      <c r="Q483" s="32"/>
      <c r="R483" s="32"/>
    </row>
    <row r="484" spans="3:18" x14ac:dyDescent="0.3">
      <c r="C484" s="11"/>
      <c r="D484" s="32"/>
      <c r="E484" s="11" t="str" cm="1">
        <f t="array" ref="E484">_xlfn.IFS(
    COUNTIF(Herramientas_eléctricas1862106149[Herramientas_eléctricas], B484) &gt; 0, Herramientas_eléctricas1862106149[[#Headers],[Herramientas_eléctricas]],
    COUNTIF(Herramientas_neumáticas1963107150[Herramientas_neumáticas], B484) &gt; 0, Herramientas_neumáticas1963107150[[#Headers],[Herramientas_neumáticas]],
    COUNTIF(Herramientas_de_medición2064108151[Herramientas_de_medición], B484) &gt; 0, Herramientas_de_medición2064108151[[#Headers],[Herramientas_de_medición]],
    COUNTIF(Herrramientas_mecánicas2165109152[Herramientas_mecánicas], B484) &gt; 0, Herrramientas_mecánicas2165109152[[#Headers],[Herramientas_mecánicas]],
    COUNTIF(AH484:AH490, B484) &gt; 0, Herramientas_hidráulicas2266110153[[#Headers],[Herramientas_hidráulicas]],
    COUNTIF(EPP_2367111154[SPCC], B484) &gt; 0, EPP_2367111154[[#Headers],[SPCC]],
   COUNTIF(Herramientas_de_izaje2468112155[Herramientas_de_izaje], B484) &gt; 0, Herramientas_de_izaje2468112155[[#Headers],[Herramientas_de_izaje]],
COUNTIF(Tabla162670114157[Equipos], B484) &gt; 0, Tabla162670114157[[#Headers],[Equipos]],
    TRUE, "Sin clasificación"
)</f>
        <v>Sin clasificación</v>
      </c>
      <c r="I484" s="15"/>
      <c r="J484" s="47"/>
      <c r="K484" s="76"/>
      <c r="L484" s="76"/>
      <c r="M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N484" s="77"/>
      <c r="O484" s="32"/>
      <c r="P484" s="32"/>
      <c r="Q484" s="32"/>
      <c r="R484" s="32"/>
    </row>
    <row r="485" spans="3:18" x14ac:dyDescent="0.3">
      <c r="C485" s="11"/>
      <c r="D485" s="32"/>
      <c r="E485" s="11" t="str" cm="1">
        <f t="array" ref="E485">_xlfn.IFS(
    COUNTIF(Herramientas_eléctricas1862106149[Herramientas_eléctricas], B485) &gt; 0, Herramientas_eléctricas1862106149[[#Headers],[Herramientas_eléctricas]],
    COUNTIF(Herramientas_neumáticas1963107150[Herramientas_neumáticas], B485) &gt; 0, Herramientas_neumáticas1963107150[[#Headers],[Herramientas_neumáticas]],
    COUNTIF(Herramientas_de_medición2064108151[Herramientas_de_medición], B485) &gt; 0, Herramientas_de_medición2064108151[[#Headers],[Herramientas_de_medición]],
    COUNTIF(Herrramientas_mecánicas2165109152[Herramientas_mecánicas], B485) &gt; 0, Herrramientas_mecánicas2165109152[[#Headers],[Herramientas_mecánicas]],
    COUNTIF(AH485:AH491, B485) &gt; 0, Herramientas_hidráulicas2266110153[[#Headers],[Herramientas_hidráulicas]],
    COUNTIF(EPP_2367111154[SPCC], B485) &gt; 0, EPP_2367111154[[#Headers],[SPCC]],
   COUNTIF(Herramientas_de_izaje2468112155[Herramientas_de_izaje], B485) &gt; 0, Herramientas_de_izaje2468112155[[#Headers],[Herramientas_de_izaje]],
COUNTIF(Tabla162670114157[Equipos], B485) &gt; 0, Tabla162670114157[[#Headers],[Equipos]],
    TRUE, "Sin clasificación"
)</f>
        <v>Sin clasificación</v>
      </c>
      <c r="I485" s="15"/>
      <c r="J485" s="47"/>
      <c r="K485" s="76"/>
      <c r="L485" s="76"/>
      <c r="M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N485" s="77"/>
      <c r="O485" s="32"/>
      <c r="P485" s="32"/>
      <c r="Q485" s="32"/>
      <c r="R485" s="32"/>
    </row>
    <row r="486" spans="3:18" x14ac:dyDescent="0.3">
      <c r="C486" s="11"/>
      <c r="D486" s="32"/>
      <c r="E486" s="11" t="str" cm="1">
        <f t="array" ref="E486">_xlfn.IFS(
    COUNTIF(Herramientas_eléctricas1862106149[Herramientas_eléctricas], B486) &gt; 0, Herramientas_eléctricas1862106149[[#Headers],[Herramientas_eléctricas]],
    COUNTIF(Herramientas_neumáticas1963107150[Herramientas_neumáticas], B486) &gt; 0, Herramientas_neumáticas1963107150[[#Headers],[Herramientas_neumáticas]],
    COUNTIF(Herramientas_de_medición2064108151[Herramientas_de_medición], B486) &gt; 0, Herramientas_de_medición2064108151[[#Headers],[Herramientas_de_medición]],
    COUNTIF(Herrramientas_mecánicas2165109152[Herramientas_mecánicas], B486) &gt; 0, Herrramientas_mecánicas2165109152[[#Headers],[Herramientas_mecánicas]],
    COUNTIF(AH486:AH492, B486) &gt; 0, Herramientas_hidráulicas2266110153[[#Headers],[Herramientas_hidráulicas]],
    COUNTIF(EPP_2367111154[SPCC], B486) &gt; 0, EPP_2367111154[[#Headers],[SPCC]],
   COUNTIF(Herramientas_de_izaje2468112155[Herramientas_de_izaje], B486) &gt; 0, Herramientas_de_izaje2468112155[[#Headers],[Herramientas_de_izaje]],
COUNTIF(Tabla162670114157[Equipos], B486) &gt; 0, Tabla162670114157[[#Headers],[Equipos]],
    TRUE, "Sin clasificación"
)</f>
        <v>Sin clasificación</v>
      </c>
      <c r="I486" s="15"/>
      <c r="J486" s="47"/>
      <c r="K486" s="76"/>
      <c r="L486" s="76"/>
      <c r="M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N486" s="77"/>
      <c r="O486" s="32"/>
      <c r="P486" s="32"/>
      <c r="Q486" s="32"/>
      <c r="R486" s="32"/>
    </row>
    <row r="487" spans="3:18" x14ac:dyDescent="0.3">
      <c r="C487" s="11"/>
      <c r="D487" s="32"/>
      <c r="E487" s="11" t="str" cm="1">
        <f t="array" ref="E487">_xlfn.IFS(
    COUNTIF(Herramientas_eléctricas1862106149[Herramientas_eléctricas], B487) &gt; 0, Herramientas_eléctricas1862106149[[#Headers],[Herramientas_eléctricas]],
    COUNTIF(Herramientas_neumáticas1963107150[Herramientas_neumáticas], B487) &gt; 0, Herramientas_neumáticas1963107150[[#Headers],[Herramientas_neumáticas]],
    COUNTIF(Herramientas_de_medición2064108151[Herramientas_de_medición], B487) &gt; 0, Herramientas_de_medición2064108151[[#Headers],[Herramientas_de_medición]],
    COUNTIF(Herrramientas_mecánicas2165109152[Herramientas_mecánicas], B487) &gt; 0, Herrramientas_mecánicas2165109152[[#Headers],[Herramientas_mecánicas]],
    COUNTIF(AH487:AH493, B487) &gt; 0, Herramientas_hidráulicas2266110153[[#Headers],[Herramientas_hidráulicas]],
    COUNTIF(EPP_2367111154[SPCC], B487) &gt; 0, EPP_2367111154[[#Headers],[SPCC]],
   COUNTIF(Herramientas_de_izaje2468112155[Herramientas_de_izaje], B487) &gt; 0, Herramientas_de_izaje2468112155[[#Headers],[Herramientas_de_izaje]],
COUNTIF(Tabla162670114157[Equipos], B487) &gt; 0, Tabla162670114157[[#Headers],[Equipos]],
    TRUE, "Sin clasificación"
)</f>
        <v>Sin clasificación</v>
      </c>
      <c r="I487" s="15"/>
      <c r="J487" s="47"/>
      <c r="K487" s="76"/>
      <c r="L487" s="76"/>
      <c r="M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N487" s="77"/>
      <c r="O487" s="32"/>
      <c r="P487" s="32"/>
      <c r="Q487" s="32"/>
      <c r="R487" s="32"/>
    </row>
    <row r="488" spans="3:18" x14ac:dyDescent="0.3">
      <c r="C488" s="11"/>
      <c r="D488" s="32"/>
      <c r="E488" s="11" t="str" cm="1">
        <f t="array" ref="E488">_xlfn.IFS(
    COUNTIF(Herramientas_eléctricas1862106149[Herramientas_eléctricas], B488) &gt; 0, Herramientas_eléctricas1862106149[[#Headers],[Herramientas_eléctricas]],
    COUNTIF(Herramientas_neumáticas1963107150[Herramientas_neumáticas], B488) &gt; 0, Herramientas_neumáticas1963107150[[#Headers],[Herramientas_neumáticas]],
    COUNTIF(Herramientas_de_medición2064108151[Herramientas_de_medición], B488) &gt; 0, Herramientas_de_medición2064108151[[#Headers],[Herramientas_de_medición]],
    COUNTIF(Herrramientas_mecánicas2165109152[Herramientas_mecánicas], B488) &gt; 0, Herrramientas_mecánicas2165109152[[#Headers],[Herramientas_mecánicas]],
    COUNTIF(AH488:AH494, B488) &gt; 0, Herramientas_hidráulicas2266110153[[#Headers],[Herramientas_hidráulicas]],
    COUNTIF(EPP_2367111154[SPCC], B488) &gt; 0, EPP_2367111154[[#Headers],[SPCC]],
   COUNTIF(Herramientas_de_izaje2468112155[Herramientas_de_izaje], B488) &gt; 0, Herramientas_de_izaje2468112155[[#Headers],[Herramientas_de_izaje]],
COUNTIF(Tabla162670114157[Equipos], B488) &gt; 0, Tabla162670114157[[#Headers],[Equipos]],
    TRUE, "Sin clasificación"
)</f>
        <v>Sin clasificación</v>
      </c>
      <c r="I488" s="15"/>
      <c r="J488" s="47"/>
      <c r="K488" s="76"/>
      <c r="L488" s="76"/>
      <c r="M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N488" s="77"/>
      <c r="O488" s="32"/>
      <c r="P488" s="32"/>
      <c r="Q488" s="32"/>
      <c r="R488" s="32"/>
    </row>
    <row r="489" spans="3:18" x14ac:dyDescent="0.3">
      <c r="C489" s="11"/>
      <c r="D489" s="32"/>
      <c r="E489" s="11" t="str" cm="1">
        <f t="array" ref="E489">_xlfn.IFS(
    COUNTIF(Herramientas_eléctricas1862106149[Herramientas_eléctricas], B489) &gt; 0, Herramientas_eléctricas1862106149[[#Headers],[Herramientas_eléctricas]],
    COUNTIF(Herramientas_neumáticas1963107150[Herramientas_neumáticas], B489) &gt; 0, Herramientas_neumáticas1963107150[[#Headers],[Herramientas_neumáticas]],
    COUNTIF(Herramientas_de_medición2064108151[Herramientas_de_medición], B489) &gt; 0, Herramientas_de_medición2064108151[[#Headers],[Herramientas_de_medición]],
    COUNTIF(Herrramientas_mecánicas2165109152[Herramientas_mecánicas], B489) &gt; 0, Herrramientas_mecánicas2165109152[[#Headers],[Herramientas_mecánicas]],
    COUNTIF(AH489:AH495, B489) &gt; 0, Herramientas_hidráulicas2266110153[[#Headers],[Herramientas_hidráulicas]],
    COUNTIF(EPP_2367111154[SPCC], B489) &gt; 0, EPP_2367111154[[#Headers],[SPCC]],
   COUNTIF(Herramientas_de_izaje2468112155[Herramientas_de_izaje], B489) &gt; 0, Herramientas_de_izaje2468112155[[#Headers],[Herramientas_de_izaje]],
COUNTIF(Tabla162670114157[Equipos], B489) &gt; 0, Tabla162670114157[[#Headers],[Equipos]],
    TRUE, "Sin clasificación"
)</f>
        <v>Sin clasificación</v>
      </c>
      <c r="I489" s="15"/>
      <c r="J489" s="47"/>
      <c r="K489" s="76"/>
      <c r="L489" s="76"/>
      <c r="M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N489" s="77"/>
      <c r="O489" s="32"/>
      <c r="P489" s="32"/>
      <c r="Q489" s="32"/>
      <c r="R489" s="32"/>
    </row>
    <row r="490" spans="3:18" x14ac:dyDescent="0.3">
      <c r="C490" s="11"/>
      <c r="D490" s="32"/>
      <c r="E490" s="11" t="str" cm="1">
        <f t="array" ref="E490">_xlfn.IFS(
    COUNTIF(Herramientas_eléctricas1862106149[Herramientas_eléctricas], B490) &gt; 0, Herramientas_eléctricas1862106149[[#Headers],[Herramientas_eléctricas]],
    COUNTIF(Herramientas_neumáticas1963107150[Herramientas_neumáticas], B490) &gt; 0, Herramientas_neumáticas1963107150[[#Headers],[Herramientas_neumáticas]],
    COUNTIF(Herramientas_de_medición2064108151[Herramientas_de_medición], B490) &gt; 0, Herramientas_de_medición2064108151[[#Headers],[Herramientas_de_medición]],
    COUNTIF(Herrramientas_mecánicas2165109152[Herramientas_mecánicas], B490) &gt; 0, Herrramientas_mecánicas2165109152[[#Headers],[Herramientas_mecánicas]],
    COUNTIF(AH490:AH496, B490) &gt; 0, Herramientas_hidráulicas2266110153[[#Headers],[Herramientas_hidráulicas]],
    COUNTIF(EPP_2367111154[SPCC], B490) &gt; 0, EPP_2367111154[[#Headers],[SPCC]],
   COUNTIF(Herramientas_de_izaje2468112155[Herramientas_de_izaje], B490) &gt; 0, Herramientas_de_izaje2468112155[[#Headers],[Herramientas_de_izaje]],
COUNTIF(Tabla162670114157[Equipos], B490) &gt; 0, Tabla162670114157[[#Headers],[Equipos]],
    TRUE, "Sin clasificación"
)</f>
        <v>Sin clasificación</v>
      </c>
      <c r="I490" s="15"/>
      <c r="J490" s="47"/>
      <c r="K490" s="76"/>
      <c r="L490" s="76"/>
      <c r="M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N490" s="77"/>
      <c r="O490" s="32"/>
      <c r="P490" s="32"/>
      <c r="Q490" s="32"/>
      <c r="R490" s="32"/>
    </row>
    <row r="491" spans="3:18" x14ac:dyDescent="0.3">
      <c r="C491" s="11"/>
      <c r="D491" s="32"/>
      <c r="E491" s="11" t="str" cm="1">
        <f t="array" ref="E491">_xlfn.IFS(
    COUNTIF(Herramientas_eléctricas1862106149[Herramientas_eléctricas], B491) &gt; 0, Herramientas_eléctricas1862106149[[#Headers],[Herramientas_eléctricas]],
    COUNTIF(Herramientas_neumáticas1963107150[Herramientas_neumáticas], B491) &gt; 0, Herramientas_neumáticas1963107150[[#Headers],[Herramientas_neumáticas]],
    COUNTIF(Herramientas_de_medición2064108151[Herramientas_de_medición], B491) &gt; 0, Herramientas_de_medición2064108151[[#Headers],[Herramientas_de_medición]],
    COUNTIF(Herrramientas_mecánicas2165109152[Herramientas_mecánicas], B491) &gt; 0, Herrramientas_mecánicas2165109152[[#Headers],[Herramientas_mecánicas]],
    COUNTIF(AH491:AH497, B491) &gt; 0, Herramientas_hidráulicas2266110153[[#Headers],[Herramientas_hidráulicas]],
    COUNTIF(EPP_2367111154[SPCC], B491) &gt; 0, EPP_2367111154[[#Headers],[SPCC]],
   COUNTIF(Herramientas_de_izaje2468112155[Herramientas_de_izaje], B491) &gt; 0, Herramientas_de_izaje2468112155[[#Headers],[Herramientas_de_izaje]],
COUNTIF(Tabla162670114157[Equipos], B491) &gt; 0, Tabla162670114157[[#Headers],[Equipos]],
    TRUE, "Sin clasificación"
)</f>
        <v>Sin clasificación</v>
      </c>
      <c r="I491" s="15"/>
      <c r="J491" s="47"/>
      <c r="K491" s="76"/>
      <c r="L491" s="76"/>
      <c r="M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N491" s="77"/>
      <c r="O491" s="32"/>
      <c r="P491" s="32"/>
      <c r="Q491" s="32"/>
      <c r="R491" s="32"/>
    </row>
    <row r="492" spans="3:18" x14ac:dyDescent="0.3">
      <c r="C492" s="11"/>
      <c r="D492" s="32"/>
      <c r="E492" s="11" t="str" cm="1">
        <f t="array" ref="E492">_xlfn.IFS(
    COUNTIF(Herramientas_eléctricas1862106149[Herramientas_eléctricas], B492) &gt; 0, Herramientas_eléctricas1862106149[[#Headers],[Herramientas_eléctricas]],
    COUNTIF(Herramientas_neumáticas1963107150[Herramientas_neumáticas], B492) &gt; 0, Herramientas_neumáticas1963107150[[#Headers],[Herramientas_neumáticas]],
    COUNTIF(Herramientas_de_medición2064108151[Herramientas_de_medición], B492) &gt; 0, Herramientas_de_medición2064108151[[#Headers],[Herramientas_de_medición]],
    COUNTIF(Herrramientas_mecánicas2165109152[Herramientas_mecánicas], B492) &gt; 0, Herrramientas_mecánicas2165109152[[#Headers],[Herramientas_mecánicas]],
    COUNTIF(AH492:AH498, B492) &gt; 0, Herramientas_hidráulicas2266110153[[#Headers],[Herramientas_hidráulicas]],
    COUNTIF(EPP_2367111154[SPCC], B492) &gt; 0, EPP_2367111154[[#Headers],[SPCC]],
   COUNTIF(Herramientas_de_izaje2468112155[Herramientas_de_izaje], B492) &gt; 0, Herramientas_de_izaje2468112155[[#Headers],[Herramientas_de_izaje]],
COUNTIF(Tabla162670114157[Equipos], B492) &gt; 0, Tabla162670114157[[#Headers],[Equipos]],
    TRUE, "Sin clasificación"
)</f>
        <v>Sin clasificación</v>
      </c>
      <c r="I492" s="15"/>
      <c r="J492" s="47"/>
      <c r="K492" s="76"/>
      <c r="L492" s="76"/>
      <c r="M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N492" s="77"/>
      <c r="O492" s="32"/>
      <c r="P492" s="32"/>
      <c r="Q492" s="32"/>
      <c r="R492" s="32"/>
    </row>
    <row r="493" spans="3:18" x14ac:dyDescent="0.3">
      <c r="C493" s="11"/>
      <c r="D493" s="32"/>
      <c r="E493" s="11" t="str" cm="1">
        <f t="array" ref="E493">_xlfn.IFS(
    COUNTIF(Herramientas_eléctricas1862106149[Herramientas_eléctricas], B493) &gt; 0, Herramientas_eléctricas1862106149[[#Headers],[Herramientas_eléctricas]],
    COUNTIF(Herramientas_neumáticas1963107150[Herramientas_neumáticas], B493) &gt; 0, Herramientas_neumáticas1963107150[[#Headers],[Herramientas_neumáticas]],
    COUNTIF(Herramientas_de_medición2064108151[Herramientas_de_medición], B493) &gt; 0, Herramientas_de_medición2064108151[[#Headers],[Herramientas_de_medición]],
    COUNTIF(Herrramientas_mecánicas2165109152[Herramientas_mecánicas], B493) &gt; 0, Herrramientas_mecánicas2165109152[[#Headers],[Herramientas_mecánicas]],
    COUNTIF(AH493:AH499, B493) &gt; 0, Herramientas_hidráulicas2266110153[[#Headers],[Herramientas_hidráulicas]],
    COUNTIF(EPP_2367111154[SPCC], B493) &gt; 0, EPP_2367111154[[#Headers],[SPCC]],
   COUNTIF(Herramientas_de_izaje2468112155[Herramientas_de_izaje], B493) &gt; 0, Herramientas_de_izaje2468112155[[#Headers],[Herramientas_de_izaje]],
COUNTIF(Tabla162670114157[Equipos], B493) &gt; 0, Tabla162670114157[[#Headers],[Equipos]],
    TRUE, "Sin clasificación"
)</f>
        <v>Sin clasificación</v>
      </c>
      <c r="I493" s="15"/>
      <c r="J493" s="47"/>
      <c r="K493" s="76"/>
      <c r="L493" s="76"/>
      <c r="M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N493" s="77"/>
      <c r="O493" s="32"/>
      <c r="P493" s="32"/>
      <c r="Q493" s="32"/>
      <c r="R493" s="32"/>
    </row>
    <row r="494" spans="3:18" x14ac:dyDescent="0.3">
      <c r="C494" s="11"/>
      <c r="D494" s="32"/>
      <c r="E494" s="11" t="str" cm="1">
        <f t="array" ref="E494">_xlfn.IFS(
    COUNTIF(Herramientas_eléctricas1862106149[Herramientas_eléctricas], B494) &gt; 0, Herramientas_eléctricas1862106149[[#Headers],[Herramientas_eléctricas]],
    COUNTIF(Herramientas_neumáticas1963107150[Herramientas_neumáticas], B494) &gt; 0, Herramientas_neumáticas1963107150[[#Headers],[Herramientas_neumáticas]],
    COUNTIF(Herramientas_de_medición2064108151[Herramientas_de_medición], B494) &gt; 0, Herramientas_de_medición2064108151[[#Headers],[Herramientas_de_medición]],
    COUNTIF(Herrramientas_mecánicas2165109152[Herramientas_mecánicas], B494) &gt; 0, Herrramientas_mecánicas2165109152[[#Headers],[Herramientas_mecánicas]],
    COUNTIF(AH494:AH500, B494) &gt; 0, Herramientas_hidráulicas2266110153[[#Headers],[Herramientas_hidráulicas]],
    COUNTIF(EPP_2367111154[SPCC], B494) &gt; 0, EPP_2367111154[[#Headers],[SPCC]],
   COUNTIF(Herramientas_de_izaje2468112155[Herramientas_de_izaje], B494) &gt; 0, Herramientas_de_izaje2468112155[[#Headers],[Herramientas_de_izaje]],
COUNTIF(Tabla162670114157[Equipos], B494) &gt; 0, Tabla162670114157[[#Headers],[Equipos]],
    TRUE, "Sin clasificación"
)</f>
        <v>Sin clasificación</v>
      </c>
      <c r="I494" s="15"/>
      <c r="J494" s="47"/>
      <c r="K494" s="76"/>
      <c r="L494" s="76"/>
      <c r="M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N494" s="77"/>
      <c r="O494" s="32"/>
      <c r="P494" s="32"/>
      <c r="Q494" s="32"/>
      <c r="R494" s="32"/>
    </row>
    <row r="495" spans="3:18" x14ac:dyDescent="0.3">
      <c r="C495" s="11"/>
      <c r="D495" s="32"/>
      <c r="E495" s="11" t="str" cm="1">
        <f t="array" ref="E495">_xlfn.IFS(
    COUNTIF(Herramientas_eléctricas1862106149[Herramientas_eléctricas], B495) &gt; 0, Herramientas_eléctricas1862106149[[#Headers],[Herramientas_eléctricas]],
    COUNTIF(Herramientas_neumáticas1963107150[Herramientas_neumáticas], B495) &gt; 0, Herramientas_neumáticas1963107150[[#Headers],[Herramientas_neumáticas]],
    COUNTIF(Herramientas_de_medición2064108151[Herramientas_de_medición], B495) &gt; 0, Herramientas_de_medición2064108151[[#Headers],[Herramientas_de_medición]],
    COUNTIF(Herrramientas_mecánicas2165109152[Herramientas_mecánicas], B495) &gt; 0, Herrramientas_mecánicas2165109152[[#Headers],[Herramientas_mecánicas]],
    COUNTIF(AH495:AH501, B495) &gt; 0, Herramientas_hidráulicas2266110153[[#Headers],[Herramientas_hidráulicas]],
    COUNTIF(EPP_2367111154[SPCC], B495) &gt; 0, EPP_2367111154[[#Headers],[SPCC]],
   COUNTIF(Herramientas_de_izaje2468112155[Herramientas_de_izaje], B495) &gt; 0, Herramientas_de_izaje2468112155[[#Headers],[Herramientas_de_izaje]],
COUNTIF(Tabla162670114157[Equipos], B495) &gt; 0, Tabla162670114157[[#Headers],[Equipos]],
    TRUE, "Sin clasificación"
)</f>
        <v>Sin clasificación</v>
      </c>
      <c r="I495" s="15"/>
      <c r="J495" s="47"/>
      <c r="K495" s="76"/>
      <c r="L495" s="76"/>
      <c r="M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N495" s="77"/>
      <c r="O495" s="32"/>
      <c r="P495" s="32"/>
      <c r="Q495" s="32"/>
      <c r="R495" s="32"/>
    </row>
    <row r="496" spans="3:18" x14ac:dyDescent="0.3">
      <c r="C496" s="11"/>
      <c r="D496" s="32"/>
      <c r="E496" s="11" t="str" cm="1">
        <f t="array" ref="E496">_xlfn.IFS(
    COUNTIF(Herramientas_eléctricas1862106149[Herramientas_eléctricas], B496) &gt; 0, Herramientas_eléctricas1862106149[[#Headers],[Herramientas_eléctricas]],
    COUNTIF(Herramientas_neumáticas1963107150[Herramientas_neumáticas], B496) &gt; 0, Herramientas_neumáticas1963107150[[#Headers],[Herramientas_neumáticas]],
    COUNTIF(Herramientas_de_medición2064108151[Herramientas_de_medición], B496) &gt; 0, Herramientas_de_medición2064108151[[#Headers],[Herramientas_de_medición]],
    COUNTIF(Herrramientas_mecánicas2165109152[Herramientas_mecánicas], B496) &gt; 0, Herrramientas_mecánicas2165109152[[#Headers],[Herramientas_mecánicas]],
    COUNTIF(AH496:AH502, B496) &gt; 0, Herramientas_hidráulicas2266110153[[#Headers],[Herramientas_hidráulicas]],
    COUNTIF(EPP_2367111154[SPCC], B496) &gt; 0, EPP_2367111154[[#Headers],[SPCC]],
   COUNTIF(Herramientas_de_izaje2468112155[Herramientas_de_izaje], B496) &gt; 0, Herramientas_de_izaje2468112155[[#Headers],[Herramientas_de_izaje]],
COUNTIF(Tabla162670114157[Equipos], B496) &gt; 0, Tabla162670114157[[#Headers],[Equipos]],
    TRUE, "Sin clasificación"
)</f>
        <v>Sin clasificación</v>
      </c>
      <c r="I496" s="15"/>
      <c r="J496" s="47"/>
      <c r="K496" s="76"/>
      <c r="L496" s="76"/>
      <c r="M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N496" s="77"/>
      <c r="O496" s="32"/>
      <c r="P496" s="32"/>
      <c r="Q496" s="32"/>
      <c r="R496" s="32"/>
    </row>
    <row r="497" spans="3:18" x14ac:dyDescent="0.3">
      <c r="C497" s="11"/>
      <c r="D497" s="32"/>
      <c r="E497" s="11" t="str" cm="1">
        <f t="array" ref="E497">_xlfn.IFS(
    COUNTIF(Herramientas_eléctricas1862106149[Herramientas_eléctricas], B497) &gt; 0, Herramientas_eléctricas1862106149[[#Headers],[Herramientas_eléctricas]],
    COUNTIF(Herramientas_neumáticas1963107150[Herramientas_neumáticas], B497) &gt; 0, Herramientas_neumáticas1963107150[[#Headers],[Herramientas_neumáticas]],
    COUNTIF(Herramientas_de_medición2064108151[Herramientas_de_medición], B497) &gt; 0, Herramientas_de_medición2064108151[[#Headers],[Herramientas_de_medición]],
    COUNTIF(Herrramientas_mecánicas2165109152[Herramientas_mecánicas], B497) &gt; 0, Herrramientas_mecánicas2165109152[[#Headers],[Herramientas_mecánicas]],
    COUNTIF(AH497:AH503, B497) &gt; 0, Herramientas_hidráulicas2266110153[[#Headers],[Herramientas_hidráulicas]],
    COUNTIF(EPP_2367111154[SPCC], B497) &gt; 0, EPP_2367111154[[#Headers],[SPCC]],
   COUNTIF(Herramientas_de_izaje2468112155[Herramientas_de_izaje], B497) &gt; 0, Herramientas_de_izaje2468112155[[#Headers],[Herramientas_de_izaje]],
COUNTIF(Tabla162670114157[Equipos], B497) &gt; 0, Tabla162670114157[[#Headers],[Equipos]],
    TRUE, "Sin clasificación"
)</f>
        <v>Sin clasificación</v>
      </c>
      <c r="I497" s="15"/>
      <c r="J497" s="47"/>
      <c r="K497" s="76"/>
      <c r="L497" s="76"/>
      <c r="M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N497" s="77"/>
      <c r="O497" s="32"/>
      <c r="P497" s="32"/>
      <c r="Q497" s="32"/>
      <c r="R497" s="32"/>
    </row>
    <row r="498" spans="3:18" x14ac:dyDescent="0.3">
      <c r="C498" s="11"/>
      <c r="D498" s="32"/>
      <c r="E498" s="11" t="str" cm="1">
        <f t="array" ref="E498">_xlfn.IFS(
    COUNTIF(Herramientas_eléctricas1862106149[Herramientas_eléctricas], B498) &gt; 0, Herramientas_eléctricas1862106149[[#Headers],[Herramientas_eléctricas]],
    COUNTIF(Herramientas_neumáticas1963107150[Herramientas_neumáticas], B498) &gt; 0, Herramientas_neumáticas1963107150[[#Headers],[Herramientas_neumáticas]],
    COUNTIF(Herramientas_de_medición2064108151[Herramientas_de_medición], B498) &gt; 0, Herramientas_de_medición2064108151[[#Headers],[Herramientas_de_medición]],
    COUNTIF(Herrramientas_mecánicas2165109152[Herramientas_mecánicas], B498) &gt; 0, Herrramientas_mecánicas2165109152[[#Headers],[Herramientas_mecánicas]],
    COUNTIF(AH498:AH504, B498) &gt; 0, Herramientas_hidráulicas2266110153[[#Headers],[Herramientas_hidráulicas]],
    COUNTIF(EPP_2367111154[SPCC], B498) &gt; 0, EPP_2367111154[[#Headers],[SPCC]],
   COUNTIF(Herramientas_de_izaje2468112155[Herramientas_de_izaje], B498) &gt; 0, Herramientas_de_izaje2468112155[[#Headers],[Herramientas_de_izaje]],
COUNTIF(Tabla162670114157[Equipos], B498) &gt; 0, Tabla162670114157[[#Headers],[Equipos]],
    TRUE, "Sin clasificación"
)</f>
        <v>Sin clasificación</v>
      </c>
      <c r="I498" s="15"/>
      <c r="J498" s="47"/>
      <c r="K498" s="76"/>
      <c r="L498" s="76"/>
      <c r="M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N498" s="77"/>
      <c r="O498" s="32"/>
      <c r="P498" s="32"/>
      <c r="Q498" s="32"/>
      <c r="R498" s="32"/>
    </row>
    <row r="499" spans="3:18" x14ac:dyDescent="0.3">
      <c r="C499" s="11"/>
      <c r="D499" s="32"/>
      <c r="E499" s="11" t="str" cm="1">
        <f t="array" ref="E499">_xlfn.IFS(
    COUNTIF(Herramientas_eléctricas1862106149[Herramientas_eléctricas], B499) &gt; 0, Herramientas_eléctricas1862106149[[#Headers],[Herramientas_eléctricas]],
    COUNTIF(Herramientas_neumáticas1963107150[Herramientas_neumáticas], B499) &gt; 0, Herramientas_neumáticas1963107150[[#Headers],[Herramientas_neumáticas]],
    COUNTIF(Herramientas_de_medición2064108151[Herramientas_de_medición], B499) &gt; 0, Herramientas_de_medición2064108151[[#Headers],[Herramientas_de_medición]],
    COUNTIF(Herrramientas_mecánicas2165109152[Herramientas_mecánicas], B499) &gt; 0, Herrramientas_mecánicas2165109152[[#Headers],[Herramientas_mecánicas]],
    COUNTIF(AH499:AH505, B499) &gt; 0, Herramientas_hidráulicas2266110153[[#Headers],[Herramientas_hidráulicas]],
    COUNTIF(EPP_2367111154[SPCC], B499) &gt; 0, EPP_2367111154[[#Headers],[SPCC]],
   COUNTIF(Herramientas_de_izaje2468112155[Herramientas_de_izaje], B499) &gt; 0, Herramientas_de_izaje2468112155[[#Headers],[Herramientas_de_izaje]],
COUNTIF(Tabla162670114157[Equipos], B499) &gt; 0, Tabla162670114157[[#Headers],[Equipos]],
    TRUE, "Sin clasificación"
)</f>
        <v>Sin clasificación</v>
      </c>
      <c r="I499" s="15"/>
      <c r="J499" s="47"/>
      <c r="K499" s="76"/>
      <c r="L499" s="76"/>
      <c r="M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N499" s="77"/>
      <c r="O499" s="32"/>
      <c r="P499" s="32"/>
      <c r="Q499" s="32"/>
      <c r="R499" s="32"/>
    </row>
    <row r="500" spans="3:18" x14ac:dyDescent="0.3">
      <c r="C500" s="11"/>
      <c r="D500" s="32"/>
      <c r="E500" s="11" t="str" cm="1">
        <f t="array" ref="E500">_xlfn.IFS(
    COUNTIF(Herramientas_eléctricas1862106149[Herramientas_eléctricas], B500) &gt; 0, Herramientas_eléctricas1862106149[[#Headers],[Herramientas_eléctricas]],
    COUNTIF(Herramientas_neumáticas1963107150[Herramientas_neumáticas], B500) &gt; 0, Herramientas_neumáticas1963107150[[#Headers],[Herramientas_neumáticas]],
    COUNTIF(Herramientas_de_medición2064108151[Herramientas_de_medición], B500) &gt; 0, Herramientas_de_medición2064108151[[#Headers],[Herramientas_de_medición]],
    COUNTIF(Herrramientas_mecánicas2165109152[Herramientas_mecánicas], B500) &gt; 0, Herrramientas_mecánicas2165109152[[#Headers],[Herramientas_mecánicas]],
    COUNTIF(AH500:AH506, B500) &gt; 0, Herramientas_hidráulicas2266110153[[#Headers],[Herramientas_hidráulicas]],
    COUNTIF(EPP_2367111154[SPCC], B500) &gt; 0, EPP_2367111154[[#Headers],[SPCC]],
   COUNTIF(Herramientas_de_izaje2468112155[Herramientas_de_izaje], B500) &gt; 0, Herramientas_de_izaje2468112155[[#Headers],[Herramientas_de_izaje]],
COUNTIF(Tabla162670114157[Equipos], B500) &gt; 0, Tabla162670114157[[#Headers],[Equipos]],
    TRUE, "Sin clasificación"
)</f>
        <v>Sin clasificación</v>
      </c>
      <c r="I500" s="15"/>
      <c r="J500" s="47"/>
      <c r="K500" s="76"/>
      <c r="L500" s="76"/>
      <c r="M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N500" s="77"/>
      <c r="O500" s="32"/>
      <c r="P500" s="32"/>
      <c r="Q500" s="32"/>
      <c r="R500" s="32"/>
    </row>
    <row r="501" spans="3:18" x14ac:dyDescent="0.3">
      <c r="C501" s="11"/>
      <c r="D501" s="32"/>
      <c r="E501" s="11" t="str" cm="1">
        <f t="array" ref="E501">_xlfn.IFS(
    COUNTIF(Herramientas_eléctricas1862106149[Herramientas_eléctricas], B501) &gt; 0, Herramientas_eléctricas1862106149[[#Headers],[Herramientas_eléctricas]],
    COUNTIF(Herramientas_neumáticas1963107150[Herramientas_neumáticas], B501) &gt; 0, Herramientas_neumáticas1963107150[[#Headers],[Herramientas_neumáticas]],
    COUNTIF(Herramientas_de_medición2064108151[Herramientas_de_medición], B501) &gt; 0, Herramientas_de_medición2064108151[[#Headers],[Herramientas_de_medición]],
    COUNTIF(Herrramientas_mecánicas2165109152[Herramientas_mecánicas], B501) &gt; 0, Herrramientas_mecánicas2165109152[[#Headers],[Herramientas_mecánicas]],
    COUNTIF(AH501:AH507, B501) &gt; 0, Herramientas_hidráulicas2266110153[[#Headers],[Herramientas_hidráulicas]],
    COUNTIF(EPP_2367111154[SPCC], B501) &gt; 0, EPP_2367111154[[#Headers],[SPCC]],
   COUNTIF(Herramientas_de_izaje2468112155[Herramientas_de_izaje], B501) &gt; 0, Herramientas_de_izaje2468112155[[#Headers],[Herramientas_de_izaje]],
COUNTIF(Tabla162670114157[Equipos], B501) &gt; 0, Tabla162670114157[[#Headers],[Equipos]],
    TRUE, "Sin clasificación"
)</f>
        <v>Sin clasificación</v>
      </c>
      <c r="I501" s="15"/>
      <c r="J501" s="47"/>
      <c r="K501" s="76"/>
      <c r="L501" s="76"/>
      <c r="M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N501" s="77"/>
      <c r="O501" s="32"/>
      <c r="P501" s="32"/>
      <c r="Q501" s="32"/>
      <c r="R501" s="32"/>
    </row>
    <row r="502" spans="3:18" x14ac:dyDescent="0.3">
      <c r="C502" s="11"/>
      <c r="D502" s="32"/>
      <c r="E502" s="11" t="str" cm="1">
        <f t="array" ref="E502">_xlfn.IFS(
    COUNTIF(Herramientas_eléctricas1862106149[Herramientas_eléctricas], B502) &gt; 0, Herramientas_eléctricas1862106149[[#Headers],[Herramientas_eléctricas]],
    COUNTIF(Herramientas_neumáticas1963107150[Herramientas_neumáticas], B502) &gt; 0, Herramientas_neumáticas1963107150[[#Headers],[Herramientas_neumáticas]],
    COUNTIF(Herramientas_de_medición2064108151[Herramientas_de_medición], B502) &gt; 0, Herramientas_de_medición2064108151[[#Headers],[Herramientas_de_medición]],
    COUNTIF(Herrramientas_mecánicas2165109152[Herramientas_mecánicas], B502) &gt; 0, Herrramientas_mecánicas2165109152[[#Headers],[Herramientas_mecánicas]],
    COUNTIF(AH502:AH508, B502) &gt; 0, Herramientas_hidráulicas2266110153[[#Headers],[Herramientas_hidráulicas]],
    COUNTIF(EPP_2367111154[SPCC], B502) &gt; 0, EPP_2367111154[[#Headers],[SPCC]],
   COUNTIF(Herramientas_de_izaje2468112155[Herramientas_de_izaje], B502) &gt; 0, Herramientas_de_izaje2468112155[[#Headers],[Herramientas_de_izaje]],
COUNTIF(Tabla162670114157[Equipos], B502) &gt; 0, Tabla162670114157[[#Headers],[Equipos]],
    TRUE, "Sin clasificación"
)</f>
        <v>Sin clasificación</v>
      </c>
      <c r="I502" s="15"/>
      <c r="J502" s="47"/>
      <c r="K502" s="76"/>
      <c r="L502" s="76"/>
      <c r="M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N502" s="77"/>
      <c r="O502" s="32"/>
      <c r="P502" s="32"/>
      <c r="Q502" s="32"/>
      <c r="R502" s="32"/>
    </row>
    <row r="503" spans="3:18" x14ac:dyDescent="0.3">
      <c r="C503" s="11"/>
      <c r="D503" s="32"/>
      <c r="E503" s="11" t="str" cm="1">
        <f t="array" ref="E503">_xlfn.IFS(
    COUNTIF(Herramientas_eléctricas1862106149[Herramientas_eléctricas], B503) &gt; 0, Herramientas_eléctricas1862106149[[#Headers],[Herramientas_eléctricas]],
    COUNTIF(Herramientas_neumáticas1963107150[Herramientas_neumáticas], B503) &gt; 0, Herramientas_neumáticas1963107150[[#Headers],[Herramientas_neumáticas]],
    COUNTIF(Herramientas_de_medición2064108151[Herramientas_de_medición], B503) &gt; 0, Herramientas_de_medición2064108151[[#Headers],[Herramientas_de_medición]],
    COUNTIF(Herrramientas_mecánicas2165109152[Herramientas_mecánicas], B503) &gt; 0, Herrramientas_mecánicas2165109152[[#Headers],[Herramientas_mecánicas]],
    COUNTIF(AH503:AH509, B503) &gt; 0, Herramientas_hidráulicas2266110153[[#Headers],[Herramientas_hidráulicas]],
    COUNTIF(EPP_2367111154[SPCC], B503) &gt; 0, EPP_2367111154[[#Headers],[SPCC]],
   COUNTIF(Herramientas_de_izaje2468112155[Herramientas_de_izaje], B503) &gt; 0, Herramientas_de_izaje2468112155[[#Headers],[Herramientas_de_izaje]],
COUNTIF(Tabla162670114157[Equipos], B503) &gt; 0, Tabla162670114157[[#Headers],[Equipos]],
    TRUE, "Sin clasificación"
)</f>
        <v>Sin clasificación</v>
      </c>
      <c r="I503" s="15"/>
      <c r="J503" s="47"/>
      <c r="K503" s="76"/>
      <c r="L503" s="76"/>
      <c r="M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N503" s="77"/>
      <c r="O503" s="32"/>
      <c r="P503" s="32"/>
      <c r="Q503" s="32"/>
      <c r="R503" s="32"/>
    </row>
    <row r="504" spans="3:18" x14ac:dyDescent="0.3">
      <c r="C504" s="11"/>
      <c r="D504" s="32"/>
      <c r="E504" s="11" t="str" cm="1">
        <f t="array" ref="E504">_xlfn.IFS(
    COUNTIF(Herramientas_eléctricas1862106149[Herramientas_eléctricas], B504) &gt; 0, Herramientas_eléctricas1862106149[[#Headers],[Herramientas_eléctricas]],
    COUNTIF(Herramientas_neumáticas1963107150[Herramientas_neumáticas], B504) &gt; 0, Herramientas_neumáticas1963107150[[#Headers],[Herramientas_neumáticas]],
    COUNTIF(Herramientas_de_medición2064108151[Herramientas_de_medición], B504) &gt; 0, Herramientas_de_medición2064108151[[#Headers],[Herramientas_de_medición]],
    COUNTIF(Herrramientas_mecánicas2165109152[Herramientas_mecánicas], B504) &gt; 0, Herrramientas_mecánicas2165109152[[#Headers],[Herramientas_mecánicas]],
    COUNTIF(AH504:AH510, B504) &gt; 0, Herramientas_hidráulicas2266110153[[#Headers],[Herramientas_hidráulicas]],
    COUNTIF(EPP_2367111154[SPCC], B504) &gt; 0, EPP_2367111154[[#Headers],[SPCC]],
   COUNTIF(Herramientas_de_izaje2468112155[Herramientas_de_izaje], B504) &gt; 0, Herramientas_de_izaje2468112155[[#Headers],[Herramientas_de_izaje]],
COUNTIF(Tabla162670114157[Equipos], B504) &gt; 0, Tabla162670114157[[#Headers],[Equipos]],
    TRUE, "Sin clasificación"
)</f>
        <v>Sin clasificación</v>
      </c>
      <c r="I504" s="15"/>
      <c r="J504" s="47"/>
      <c r="K504" s="76"/>
      <c r="L504" s="76"/>
      <c r="M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N504" s="77"/>
      <c r="O504" s="32"/>
      <c r="P504" s="32"/>
      <c r="Q504" s="32"/>
      <c r="R504" s="32"/>
    </row>
    <row r="505" spans="3:18" x14ac:dyDescent="0.3">
      <c r="C505" s="11"/>
      <c r="D505" s="32"/>
      <c r="E505" s="11" t="str" cm="1">
        <f t="array" ref="E505">_xlfn.IFS(
    COUNTIF(Herramientas_eléctricas1862106149[Herramientas_eléctricas], B505) &gt; 0, Herramientas_eléctricas1862106149[[#Headers],[Herramientas_eléctricas]],
    COUNTIF(Herramientas_neumáticas1963107150[Herramientas_neumáticas], B505) &gt; 0, Herramientas_neumáticas1963107150[[#Headers],[Herramientas_neumáticas]],
    COUNTIF(Herramientas_de_medición2064108151[Herramientas_de_medición], B505) &gt; 0, Herramientas_de_medición2064108151[[#Headers],[Herramientas_de_medición]],
    COUNTIF(Herrramientas_mecánicas2165109152[Herramientas_mecánicas], B505) &gt; 0, Herrramientas_mecánicas2165109152[[#Headers],[Herramientas_mecánicas]],
    COUNTIF(AH505:AH511, B505) &gt; 0, Herramientas_hidráulicas2266110153[[#Headers],[Herramientas_hidráulicas]],
    COUNTIF(EPP_2367111154[SPCC], B505) &gt; 0, EPP_2367111154[[#Headers],[SPCC]],
   COUNTIF(Herramientas_de_izaje2468112155[Herramientas_de_izaje], B505) &gt; 0, Herramientas_de_izaje2468112155[[#Headers],[Herramientas_de_izaje]],
COUNTIF(Tabla162670114157[Equipos], B505) &gt; 0, Tabla162670114157[[#Headers],[Equipos]],
    TRUE, "Sin clasificación"
)</f>
        <v>Sin clasificación</v>
      </c>
      <c r="I505" s="15"/>
      <c r="J505" s="47"/>
      <c r="K505" s="76"/>
      <c r="L505" s="76"/>
      <c r="M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N505" s="77"/>
      <c r="O505" s="32"/>
      <c r="P505" s="32"/>
      <c r="Q505" s="32"/>
      <c r="R505" s="32"/>
    </row>
    <row r="506" spans="3:18" x14ac:dyDescent="0.3">
      <c r="C506" s="11"/>
      <c r="D506" s="32"/>
      <c r="E506" s="11" t="str" cm="1">
        <f t="array" ref="E506">_xlfn.IFS(
    COUNTIF(Herramientas_eléctricas1862106149[Herramientas_eléctricas], B506) &gt; 0, Herramientas_eléctricas1862106149[[#Headers],[Herramientas_eléctricas]],
    COUNTIF(Herramientas_neumáticas1963107150[Herramientas_neumáticas], B506) &gt; 0, Herramientas_neumáticas1963107150[[#Headers],[Herramientas_neumáticas]],
    COUNTIF(Herramientas_de_medición2064108151[Herramientas_de_medición], B506) &gt; 0, Herramientas_de_medición2064108151[[#Headers],[Herramientas_de_medición]],
    COUNTIF(Herrramientas_mecánicas2165109152[Herramientas_mecánicas], B506) &gt; 0, Herrramientas_mecánicas2165109152[[#Headers],[Herramientas_mecánicas]],
    COUNTIF(AH506:AH512, B506) &gt; 0, Herramientas_hidráulicas2266110153[[#Headers],[Herramientas_hidráulicas]],
    COUNTIF(EPP_2367111154[SPCC], B506) &gt; 0, EPP_2367111154[[#Headers],[SPCC]],
   COUNTIF(Herramientas_de_izaje2468112155[Herramientas_de_izaje], B506) &gt; 0, Herramientas_de_izaje2468112155[[#Headers],[Herramientas_de_izaje]],
COUNTIF(Tabla162670114157[Equipos], B506) &gt; 0, Tabla162670114157[[#Headers],[Equipos]],
    TRUE, "Sin clasificación"
)</f>
        <v>Sin clasificación</v>
      </c>
      <c r="I506" s="15"/>
      <c r="J506" s="47"/>
      <c r="K506" s="76"/>
      <c r="L506" s="76"/>
      <c r="M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N506" s="77"/>
      <c r="O506" s="32"/>
      <c r="P506" s="32"/>
      <c r="Q506" s="32"/>
      <c r="R506" s="32"/>
    </row>
    <row r="507" spans="3:18" x14ac:dyDescent="0.3">
      <c r="C507" s="11"/>
      <c r="D507" s="32"/>
      <c r="E507" s="11" t="str" cm="1">
        <f t="array" ref="E507">_xlfn.IFS(
    COUNTIF(Herramientas_eléctricas1862106149[Herramientas_eléctricas], B507) &gt; 0, Herramientas_eléctricas1862106149[[#Headers],[Herramientas_eléctricas]],
    COUNTIF(Herramientas_neumáticas1963107150[Herramientas_neumáticas], B507) &gt; 0, Herramientas_neumáticas1963107150[[#Headers],[Herramientas_neumáticas]],
    COUNTIF(Herramientas_de_medición2064108151[Herramientas_de_medición], B507) &gt; 0, Herramientas_de_medición2064108151[[#Headers],[Herramientas_de_medición]],
    COUNTIF(Herrramientas_mecánicas2165109152[Herramientas_mecánicas], B507) &gt; 0, Herrramientas_mecánicas2165109152[[#Headers],[Herramientas_mecánicas]],
    COUNTIF(AH507:AH513, B507) &gt; 0, Herramientas_hidráulicas2266110153[[#Headers],[Herramientas_hidráulicas]],
    COUNTIF(EPP_2367111154[SPCC], B507) &gt; 0, EPP_2367111154[[#Headers],[SPCC]],
   COUNTIF(Herramientas_de_izaje2468112155[Herramientas_de_izaje], B507) &gt; 0, Herramientas_de_izaje2468112155[[#Headers],[Herramientas_de_izaje]],
COUNTIF(Tabla162670114157[Equipos], B507) &gt; 0, Tabla162670114157[[#Headers],[Equipos]],
    TRUE, "Sin clasificación"
)</f>
        <v>Sin clasificación</v>
      </c>
      <c r="I507" s="15"/>
      <c r="J507" s="47"/>
      <c r="K507" s="76"/>
      <c r="L507" s="76"/>
      <c r="M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N507" s="77"/>
      <c r="O507" s="32"/>
      <c r="P507" s="32"/>
      <c r="Q507" s="32"/>
      <c r="R507" s="32"/>
    </row>
    <row r="508" spans="3:18" x14ac:dyDescent="0.3">
      <c r="C508" s="11"/>
      <c r="D508" s="32"/>
      <c r="E508" s="11" t="str" cm="1">
        <f t="array" ref="E508">_xlfn.IFS(
    COUNTIF(Herramientas_eléctricas1862106149[Herramientas_eléctricas], B508) &gt; 0, Herramientas_eléctricas1862106149[[#Headers],[Herramientas_eléctricas]],
    COUNTIF(Herramientas_neumáticas1963107150[Herramientas_neumáticas], B508) &gt; 0, Herramientas_neumáticas1963107150[[#Headers],[Herramientas_neumáticas]],
    COUNTIF(Herramientas_de_medición2064108151[Herramientas_de_medición], B508) &gt; 0, Herramientas_de_medición2064108151[[#Headers],[Herramientas_de_medición]],
    COUNTIF(Herrramientas_mecánicas2165109152[Herramientas_mecánicas], B508) &gt; 0, Herrramientas_mecánicas2165109152[[#Headers],[Herramientas_mecánicas]],
    COUNTIF(AH508:AH514, B508) &gt; 0, Herramientas_hidráulicas2266110153[[#Headers],[Herramientas_hidráulicas]],
    COUNTIF(EPP_2367111154[SPCC], B508) &gt; 0, EPP_2367111154[[#Headers],[SPCC]],
   COUNTIF(Herramientas_de_izaje2468112155[Herramientas_de_izaje], B508) &gt; 0, Herramientas_de_izaje2468112155[[#Headers],[Herramientas_de_izaje]],
COUNTIF(Tabla162670114157[Equipos], B508) &gt; 0, Tabla162670114157[[#Headers],[Equipos]],
    TRUE, "Sin clasificación"
)</f>
        <v>Sin clasificación</v>
      </c>
      <c r="I508" s="15"/>
      <c r="J508" s="47"/>
      <c r="K508" s="76"/>
      <c r="L508" s="76"/>
      <c r="M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N508" s="77"/>
      <c r="O508" s="32"/>
      <c r="P508" s="32"/>
      <c r="Q508" s="32"/>
      <c r="R508" s="32"/>
    </row>
    <row r="509" spans="3:18" x14ac:dyDescent="0.3">
      <c r="C509" s="11"/>
      <c r="D509" s="32"/>
      <c r="E509" s="11" t="str" cm="1">
        <f t="array" ref="E509">_xlfn.IFS(
    COUNTIF(Herramientas_eléctricas1862106149[Herramientas_eléctricas], B509) &gt; 0, Herramientas_eléctricas1862106149[[#Headers],[Herramientas_eléctricas]],
    COUNTIF(Herramientas_neumáticas1963107150[Herramientas_neumáticas], B509) &gt; 0, Herramientas_neumáticas1963107150[[#Headers],[Herramientas_neumáticas]],
    COUNTIF(Herramientas_de_medición2064108151[Herramientas_de_medición], B509) &gt; 0, Herramientas_de_medición2064108151[[#Headers],[Herramientas_de_medición]],
    COUNTIF(Herrramientas_mecánicas2165109152[Herramientas_mecánicas], B509) &gt; 0, Herrramientas_mecánicas2165109152[[#Headers],[Herramientas_mecánicas]],
    COUNTIF(AH509:AH515, B509) &gt; 0, Herramientas_hidráulicas2266110153[[#Headers],[Herramientas_hidráulicas]],
    COUNTIF(EPP_2367111154[SPCC], B509) &gt; 0, EPP_2367111154[[#Headers],[SPCC]],
   COUNTIF(Herramientas_de_izaje2468112155[Herramientas_de_izaje], B509) &gt; 0, Herramientas_de_izaje2468112155[[#Headers],[Herramientas_de_izaje]],
COUNTIF(Tabla162670114157[Equipos], B509) &gt; 0, Tabla162670114157[[#Headers],[Equipos]],
    TRUE, "Sin clasificación"
)</f>
        <v>Sin clasificación</v>
      </c>
      <c r="I509" s="15"/>
      <c r="J509" s="47"/>
      <c r="K509" s="76"/>
      <c r="L509" s="76"/>
      <c r="M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N509" s="77"/>
      <c r="O509" s="32"/>
      <c r="P509" s="32"/>
      <c r="Q509" s="32"/>
      <c r="R509" s="32"/>
    </row>
    <row r="510" spans="3:18" x14ac:dyDescent="0.3">
      <c r="C510" s="11"/>
      <c r="D510" s="32"/>
      <c r="E510" s="11" t="str" cm="1">
        <f t="array" ref="E510">_xlfn.IFS(
    COUNTIF(Herramientas_eléctricas1862106149[Herramientas_eléctricas], B510) &gt; 0, Herramientas_eléctricas1862106149[[#Headers],[Herramientas_eléctricas]],
    COUNTIF(Herramientas_neumáticas1963107150[Herramientas_neumáticas], B510) &gt; 0, Herramientas_neumáticas1963107150[[#Headers],[Herramientas_neumáticas]],
    COUNTIF(Herramientas_de_medición2064108151[Herramientas_de_medición], B510) &gt; 0, Herramientas_de_medición2064108151[[#Headers],[Herramientas_de_medición]],
    COUNTIF(Herrramientas_mecánicas2165109152[Herramientas_mecánicas], B510) &gt; 0, Herrramientas_mecánicas2165109152[[#Headers],[Herramientas_mecánicas]],
    COUNTIF(AH510:AH516, B510) &gt; 0, Herramientas_hidráulicas2266110153[[#Headers],[Herramientas_hidráulicas]],
    COUNTIF(EPP_2367111154[SPCC], B510) &gt; 0, EPP_2367111154[[#Headers],[SPCC]],
   COUNTIF(Herramientas_de_izaje2468112155[Herramientas_de_izaje], B510) &gt; 0, Herramientas_de_izaje2468112155[[#Headers],[Herramientas_de_izaje]],
COUNTIF(Tabla162670114157[Equipos], B510) &gt; 0, Tabla162670114157[[#Headers],[Equipos]],
    TRUE, "Sin clasificación"
)</f>
        <v>Sin clasificación</v>
      </c>
      <c r="I510" s="15"/>
      <c r="J510" s="47"/>
      <c r="K510" s="76"/>
      <c r="L510" s="76"/>
      <c r="M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N510" s="77"/>
      <c r="O510" s="32"/>
      <c r="P510" s="32"/>
      <c r="Q510" s="32"/>
      <c r="R510" s="32"/>
    </row>
    <row r="511" spans="3:18" x14ac:dyDescent="0.3">
      <c r="C511" s="11"/>
      <c r="D511" s="32"/>
      <c r="E511" s="11" t="str" cm="1">
        <f t="array" ref="E511">_xlfn.IFS(
    COUNTIF(Herramientas_eléctricas1862106149[Herramientas_eléctricas], B511) &gt; 0, Herramientas_eléctricas1862106149[[#Headers],[Herramientas_eléctricas]],
    COUNTIF(Herramientas_neumáticas1963107150[Herramientas_neumáticas], B511) &gt; 0, Herramientas_neumáticas1963107150[[#Headers],[Herramientas_neumáticas]],
    COUNTIF(Herramientas_de_medición2064108151[Herramientas_de_medición], B511) &gt; 0, Herramientas_de_medición2064108151[[#Headers],[Herramientas_de_medición]],
    COUNTIF(Herrramientas_mecánicas2165109152[Herramientas_mecánicas], B511) &gt; 0, Herrramientas_mecánicas2165109152[[#Headers],[Herramientas_mecánicas]],
    COUNTIF(AH511:AH517, B511) &gt; 0, Herramientas_hidráulicas2266110153[[#Headers],[Herramientas_hidráulicas]],
    COUNTIF(EPP_2367111154[SPCC], B511) &gt; 0, EPP_2367111154[[#Headers],[SPCC]],
   COUNTIF(Herramientas_de_izaje2468112155[Herramientas_de_izaje], B511) &gt; 0, Herramientas_de_izaje2468112155[[#Headers],[Herramientas_de_izaje]],
COUNTIF(Tabla162670114157[Equipos], B511) &gt; 0, Tabla162670114157[[#Headers],[Equipos]],
    TRUE, "Sin clasificación"
)</f>
        <v>Sin clasificación</v>
      </c>
      <c r="I511" s="15"/>
      <c r="J511" s="47"/>
      <c r="K511" s="76"/>
      <c r="L511" s="76"/>
      <c r="M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N511" s="77"/>
      <c r="O511" s="32"/>
      <c r="P511" s="32"/>
      <c r="Q511" s="32"/>
      <c r="R511" s="32"/>
    </row>
    <row r="512" spans="3:18" x14ac:dyDescent="0.3">
      <c r="C512" s="11"/>
      <c r="D512" s="32"/>
      <c r="E512" s="11" t="str" cm="1">
        <f t="array" ref="E512">_xlfn.IFS(
    COUNTIF(Herramientas_eléctricas1862106149[Herramientas_eléctricas], B512) &gt; 0, Herramientas_eléctricas1862106149[[#Headers],[Herramientas_eléctricas]],
    COUNTIF(Herramientas_neumáticas1963107150[Herramientas_neumáticas], B512) &gt; 0, Herramientas_neumáticas1963107150[[#Headers],[Herramientas_neumáticas]],
    COUNTIF(Herramientas_de_medición2064108151[Herramientas_de_medición], B512) &gt; 0, Herramientas_de_medición2064108151[[#Headers],[Herramientas_de_medición]],
    COUNTIF(Herrramientas_mecánicas2165109152[Herramientas_mecánicas], B512) &gt; 0, Herrramientas_mecánicas2165109152[[#Headers],[Herramientas_mecánicas]],
    COUNTIF(AH512:AH518, B512) &gt; 0, Herramientas_hidráulicas2266110153[[#Headers],[Herramientas_hidráulicas]],
    COUNTIF(EPP_2367111154[SPCC], B512) &gt; 0, EPP_2367111154[[#Headers],[SPCC]],
   COUNTIF(Herramientas_de_izaje2468112155[Herramientas_de_izaje], B512) &gt; 0, Herramientas_de_izaje2468112155[[#Headers],[Herramientas_de_izaje]],
COUNTIF(Tabla162670114157[Equipos], B512) &gt; 0, Tabla162670114157[[#Headers],[Equipos]],
    TRUE, "Sin clasificación"
)</f>
        <v>Sin clasificación</v>
      </c>
      <c r="I512" s="15"/>
      <c r="J512" s="47"/>
      <c r="K512" s="76"/>
      <c r="L512" s="76"/>
      <c r="M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N512" s="77"/>
      <c r="O512" s="32"/>
      <c r="P512" s="32"/>
      <c r="Q512" s="32"/>
      <c r="R512" s="32"/>
    </row>
    <row r="513" spans="3:18" x14ac:dyDescent="0.3">
      <c r="C513" s="11"/>
      <c r="D513" s="32"/>
      <c r="E513" s="11" t="str" cm="1">
        <f t="array" ref="E513">_xlfn.IFS(
    COUNTIF(Herramientas_eléctricas1862106149[Herramientas_eléctricas], B513) &gt; 0, Herramientas_eléctricas1862106149[[#Headers],[Herramientas_eléctricas]],
    COUNTIF(Herramientas_neumáticas1963107150[Herramientas_neumáticas], B513) &gt; 0, Herramientas_neumáticas1963107150[[#Headers],[Herramientas_neumáticas]],
    COUNTIF(Herramientas_de_medición2064108151[Herramientas_de_medición], B513) &gt; 0, Herramientas_de_medición2064108151[[#Headers],[Herramientas_de_medición]],
    COUNTIF(Herrramientas_mecánicas2165109152[Herramientas_mecánicas], B513) &gt; 0, Herrramientas_mecánicas2165109152[[#Headers],[Herramientas_mecánicas]],
    COUNTIF(AH513:AH519, B513) &gt; 0, Herramientas_hidráulicas2266110153[[#Headers],[Herramientas_hidráulicas]],
    COUNTIF(EPP_2367111154[SPCC], B513) &gt; 0, EPP_2367111154[[#Headers],[SPCC]],
   COUNTIF(Herramientas_de_izaje2468112155[Herramientas_de_izaje], B513) &gt; 0, Herramientas_de_izaje2468112155[[#Headers],[Herramientas_de_izaje]],
COUNTIF(Tabla162670114157[Equipos], B513) &gt; 0, Tabla162670114157[[#Headers],[Equipos]],
    TRUE, "Sin clasificación"
)</f>
        <v>Sin clasificación</v>
      </c>
      <c r="I513" s="15"/>
      <c r="J513" s="47"/>
      <c r="K513" s="76"/>
      <c r="L513" s="76"/>
      <c r="M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N513" s="77"/>
      <c r="O513" s="32"/>
      <c r="P513" s="32"/>
      <c r="Q513" s="32"/>
      <c r="R513" s="32"/>
    </row>
    <row r="514" spans="3:18" x14ac:dyDescent="0.3">
      <c r="C514" s="11"/>
      <c r="D514" s="32"/>
      <c r="E514" s="11" t="str" cm="1">
        <f t="array" ref="E514">_xlfn.IFS(
    COUNTIF(Herramientas_eléctricas1862106149[Herramientas_eléctricas], B514) &gt; 0, Herramientas_eléctricas1862106149[[#Headers],[Herramientas_eléctricas]],
    COUNTIF(Herramientas_neumáticas1963107150[Herramientas_neumáticas], B514) &gt; 0, Herramientas_neumáticas1963107150[[#Headers],[Herramientas_neumáticas]],
    COUNTIF(Herramientas_de_medición2064108151[Herramientas_de_medición], B514) &gt; 0, Herramientas_de_medición2064108151[[#Headers],[Herramientas_de_medición]],
    COUNTIF(Herrramientas_mecánicas2165109152[Herramientas_mecánicas], B514) &gt; 0, Herrramientas_mecánicas2165109152[[#Headers],[Herramientas_mecánicas]],
    COUNTIF(AH514:AH520, B514) &gt; 0, Herramientas_hidráulicas2266110153[[#Headers],[Herramientas_hidráulicas]],
    COUNTIF(EPP_2367111154[SPCC], B514) &gt; 0, EPP_2367111154[[#Headers],[SPCC]],
   COUNTIF(Herramientas_de_izaje2468112155[Herramientas_de_izaje], B514) &gt; 0, Herramientas_de_izaje2468112155[[#Headers],[Herramientas_de_izaje]],
COUNTIF(Tabla162670114157[Equipos], B514) &gt; 0, Tabla162670114157[[#Headers],[Equipos]],
    TRUE, "Sin clasificación"
)</f>
        <v>Sin clasificación</v>
      </c>
      <c r="I514" s="15"/>
      <c r="J514" s="47"/>
      <c r="K514" s="76"/>
      <c r="L514" s="76"/>
      <c r="M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N514" s="77"/>
      <c r="O514" s="32"/>
      <c r="P514" s="32"/>
      <c r="Q514" s="32"/>
      <c r="R514" s="32"/>
    </row>
    <row r="515" spans="3:18" x14ac:dyDescent="0.3">
      <c r="C515" s="11"/>
      <c r="D515" s="32"/>
      <c r="E515" s="11" t="str" cm="1">
        <f t="array" ref="E515">_xlfn.IFS(
    COUNTIF(Herramientas_eléctricas1862106149[Herramientas_eléctricas], B515) &gt; 0, Herramientas_eléctricas1862106149[[#Headers],[Herramientas_eléctricas]],
    COUNTIF(Herramientas_neumáticas1963107150[Herramientas_neumáticas], B515) &gt; 0, Herramientas_neumáticas1963107150[[#Headers],[Herramientas_neumáticas]],
    COUNTIF(Herramientas_de_medición2064108151[Herramientas_de_medición], B515) &gt; 0, Herramientas_de_medición2064108151[[#Headers],[Herramientas_de_medición]],
    COUNTIF(Herrramientas_mecánicas2165109152[Herramientas_mecánicas], B515) &gt; 0, Herrramientas_mecánicas2165109152[[#Headers],[Herramientas_mecánicas]],
    COUNTIF(AH515:AH521, B515) &gt; 0, Herramientas_hidráulicas2266110153[[#Headers],[Herramientas_hidráulicas]],
    COUNTIF(EPP_2367111154[SPCC], B515) &gt; 0, EPP_2367111154[[#Headers],[SPCC]],
   COUNTIF(Herramientas_de_izaje2468112155[Herramientas_de_izaje], B515) &gt; 0, Herramientas_de_izaje2468112155[[#Headers],[Herramientas_de_izaje]],
COUNTIF(Tabla162670114157[Equipos], B515) &gt; 0, Tabla162670114157[[#Headers],[Equipos]],
    TRUE, "Sin clasificación"
)</f>
        <v>Sin clasificación</v>
      </c>
      <c r="I515" s="15"/>
      <c r="J515" s="47"/>
      <c r="K515" s="76"/>
      <c r="L515" s="76"/>
      <c r="M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N515" s="77"/>
      <c r="O515" s="32"/>
      <c r="P515" s="32"/>
      <c r="Q515" s="32"/>
      <c r="R515" s="32"/>
    </row>
    <row r="516" spans="3:18" x14ac:dyDescent="0.3">
      <c r="C516" s="11"/>
      <c r="D516" s="32"/>
      <c r="E516" s="11" t="str" cm="1">
        <f t="array" ref="E516">_xlfn.IFS(
    COUNTIF(Herramientas_eléctricas1862106149[Herramientas_eléctricas], B516) &gt; 0, Herramientas_eléctricas1862106149[[#Headers],[Herramientas_eléctricas]],
    COUNTIF(Herramientas_neumáticas1963107150[Herramientas_neumáticas], B516) &gt; 0, Herramientas_neumáticas1963107150[[#Headers],[Herramientas_neumáticas]],
    COUNTIF(Herramientas_de_medición2064108151[Herramientas_de_medición], B516) &gt; 0, Herramientas_de_medición2064108151[[#Headers],[Herramientas_de_medición]],
    COUNTIF(Herrramientas_mecánicas2165109152[Herramientas_mecánicas], B516) &gt; 0, Herrramientas_mecánicas2165109152[[#Headers],[Herramientas_mecánicas]],
    COUNTIF(AH516:AH522, B516) &gt; 0, Herramientas_hidráulicas2266110153[[#Headers],[Herramientas_hidráulicas]],
    COUNTIF(EPP_2367111154[SPCC], B516) &gt; 0, EPP_2367111154[[#Headers],[SPCC]],
   COUNTIF(Herramientas_de_izaje2468112155[Herramientas_de_izaje], B516) &gt; 0, Herramientas_de_izaje2468112155[[#Headers],[Herramientas_de_izaje]],
COUNTIF(Tabla162670114157[Equipos], B516) &gt; 0, Tabla162670114157[[#Headers],[Equipos]],
    TRUE, "Sin clasificación"
)</f>
        <v>Sin clasificación</v>
      </c>
      <c r="I516" s="15"/>
      <c r="J516" s="47"/>
      <c r="K516" s="76"/>
      <c r="L516" s="76"/>
      <c r="M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N516" s="77"/>
      <c r="O516" s="32"/>
      <c r="P516" s="32"/>
      <c r="Q516" s="32"/>
      <c r="R516" s="32"/>
    </row>
    <row r="517" spans="3:18" x14ac:dyDescent="0.3">
      <c r="C517" s="11"/>
      <c r="D517" s="32"/>
      <c r="E517" s="11" t="str" cm="1">
        <f t="array" ref="E517">_xlfn.IFS(
    COUNTIF(Herramientas_eléctricas1862106149[Herramientas_eléctricas], B517) &gt; 0, Herramientas_eléctricas1862106149[[#Headers],[Herramientas_eléctricas]],
    COUNTIF(Herramientas_neumáticas1963107150[Herramientas_neumáticas], B517) &gt; 0, Herramientas_neumáticas1963107150[[#Headers],[Herramientas_neumáticas]],
    COUNTIF(Herramientas_de_medición2064108151[Herramientas_de_medición], B517) &gt; 0, Herramientas_de_medición2064108151[[#Headers],[Herramientas_de_medición]],
    COUNTIF(Herrramientas_mecánicas2165109152[Herramientas_mecánicas], B517) &gt; 0, Herrramientas_mecánicas2165109152[[#Headers],[Herramientas_mecánicas]],
    COUNTIF(AH517:AH523, B517) &gt; 0, Herramientas_hidráulicas2266110153[[#Headers],[Herramientas_hidráulicas]],
    COUNTIF(EPP_2367111154[SPCC], B517) &gt; 0, EPP_2367111154[[#Headers],[SPCC]],
   COUNTIF(Herramientas_de_izaje2468112155[Herramientas_de_izaje], B517) &gt; 0, Herramientas_de_izaje2468112155[[#Headers],[Herramientas_de_izaje]],
COUNTIF(Tabla162670114157[Equipos], B517) &gt; 0, Tabla162670114157[[#Headers],[Equipos]],
    TRUE, "Sin clasificación"
)</f>
        <v>Sin clasificación</v>
      </c>
      <c r="I517" s="15"/>
      <c r="J517" s="47"/>
      <c r="K517" s="76"/>
      <c r="L517" s="76"/>
      <c r="M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N517" s="77"/>
      <c r="O517" s="32"/>
      <c r="P517" s="32"/>
      <c r="Q517" s="32"/>
      <c r="R517" s="32"/>
    </row>
    <row r="518" spans="3:18" x14ac:dyDescent="0.3">
      <c r="C518" s="11"/>
      <c r="D518" s="32"/>
      <c r="E518" s="11" t="str" cm="1">
        <f t="array" ref="E518">_xlfn.IFS(
    COUNTIF(Herramientas_eléctricas1862106149[Herramientas_eléctricas], B518) &gt; 0, Herramientas_eléctricas1862106149[[#Headers],[Herramientas_eléctricas]],
    COUNTIF(Herramientas_neumáticas1963107150[Herramientas_neumáticas], B518) &gt; 0, Herramientas_neumáticas1963107150[[#Headers],[Herramientas_neumáticas]],
    COUNTIF(Herramientas_de_medición2064108151[Herramientas_de_medición], B518) &gt; 0, Herramientas_de_medición2064108151[[#Headers],[Herramientas_de_medición]],
    COUNTIF(Herrramientas_mecánicas2165109152[Herramientas_mecánicas], B518) &gt; 0, Herrramientas_mecánicas2165109152[[#Headers],[Herramientas_mecánicas]],
    COUNTIF(AH518:AH524, B518) &gt; 0, Herramientas_hidráulicas2266110153[[#Headers],[Herramientas_hidráulicas]],
    COUNTIF(EPP_2367111154[SPCC], B518) &gt; 0, EPP_2367111154[[#Headers],[SPCC]],
   COUNTIF(Herramientas_de_izaje2468112155[Herramientas_de_izaje], B518) &gt; 0, Herramientas_de_izaje2468112155[[#Headers],[Herramientas_de_izaje]],
COUNTIF(Tabla162670114157[Equipos], B518) &gt; 0, Tabla162670114157[[#Headers],[Equipos]],
    TRUE, "Sin clasificación"
)</f>
        <v>Sin clasificación</v>
      </c>
      <c r="I518" s="15"/>
      <c r="J518" s="47"/>
      <c r="K518" s="76"/>
      <c r="L518" s="76"/>
      <c r="M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N518" s="77"/>
      <c r="O518" s="32"/>
      <c r="P518" s="32"/>
      <c r="Q518" s="32"/>
      <c r="R518" s="32"/>
    </row>
    <row r="519" spans="3:18" x14ac:dyDescent="0.3">
      <c r="C519" s="11"/>
      <c r="D519" s="32"/>
      <c r="E519" s="11" t="str" cm="1">
        <f t="array" ref="E519">_xlfn.IFS(
    COUNTIF(Herramientas_eléctricas1862106149[Herramientas_eléctricas], B519) &gt; 0, Herramientas_eléctricas1862106149[[#Headers],[Herramientas_eléctricas]],
    COUNTIF(Herramientas_neumáticas1963107150[Herramientas_neumáticas], B519) &gt; 0, Herramientas_neumáticas1963107150[[#Headers],[Herramientas_neumáticas]],
    COUNTIF(Herramientas_de_medición2064108151[Herramientas_de_medición], B519) &gt; 0, Herramientas_de_medición2064108151[[#Headers],[Herramientas_de_medición]],
    COUNTIF(Herrramientas_mecánicas2165109152[Herramientas_mecánicas], B519) &gt; 0, Herrramientas_mecánicas2165109152[[#Headers],[Herramientas_mecánicas]],
    COUNTIF(AH519:AH525, B519) &gt; 0, Herramientas_hidráulicas2266110153[[#Headers],[Herramientas_hidráulicas]],
    COUNTIF(EPP_2367111154[SPCC], B519) &gt; 0, EPP_2367111154[[#Headers],[SPCC]],
   COUNTIF(Herramientas_de_izaje2468112155[Herramientas_de_izaje], B519) &gt; 0, Herramientas_de_izaje2468112155[[#Headers],[Herramientas_de_izaje]],
COUNTIF(Tabla162670114157[Equipos], B519) &gt; 0, Tabla162670114157[[#Headers],[Equipos]],
    TRUE, "Sin clasificación"
)</f>
        <v>Sin clasificación</v>
      </c>
      <c r="I519" s="15"/>
      <c r="J519" s="47"/>
      <c r="K519" s="76"/>
      <c r="L519" s="76"/>
      <c r="M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N519" s="77"/>
      <c r="O519" s="32"/>
      <c r="P519" s="32"/>
      <c r="Q519" s="32"/>
      <c r="R519" s="32"/>
    </row>
    <row r="520" spans="3:18" x14ac:dyDescent="0.3">
      <c r="C520" s="11"/>
      <c r="D520" s="32"/>
      <c r="E520" s="11" t="str" cm="1">
        <f t="array" ref="E520">_xlfn.IFS(
    COUNTIF(Herramientas_eléctricas1862106149[Herramientas_eléctricas], B520) &gt; 0, Herramientas_eléctricas1862106149[[#Headers],[Herramientas_eléctricas]],
    COUNTIF(Herramientas_neumáticas1963107150[Herramientas_neumáticas], B520) &gt; 0, Herramientas_neumáticas1963107150[[#Headers],[Herramientas_neumáticas]],
    COUNTIF(Herramientas_de_medición2064108151[Herramientas_de_medición], B520) &gt; 0, Herramientas_de_medición2064108151[[#Headers],[Herramientas_de_medición]],
    COUNTIF(Herrramientas_mecánicas2165109152[Herramientas_mecánicas], B520) &gt; 0, Herrramientas_mecánicas2165109152[[#Headers],[Herramientas_mecánicas]],
    COUNTIF(AH520:AH526, B520) &gt; 0, Herramientas_hidráulicas2266110153[[#Headers],[Herramientas_hidráulicas]],
    COUNTIF(EPP_2367111154[SPCC], B520) &gt; 0, EPP_2367111154[[#Headers],[SPCC]],
   COUNTIF(Herramientas_de_izaje2468112155[Herramientas_de_izaje], B520) &gt; 0, Herramientas_de_izaje2468112155[[#Headers],[Herramientas_de_izaje]],
COUNTIF(Tabla162670114157[Equipos], B520) &gt; 0, Tabla162670114157[[#Headers],[Equipos]],
    TRUE, "Sin clasificación"
)</f>
        <v>Sin clasificación</v>
      </c>
      <c r="I520" s="15"/>
      <c r="J520" s="47"/>
      <c r="K520" s="76"/>
      <c r="L520" s="76"/>
      <c r="M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N520" s="77"/>
      <c r="O520" s="32"/>
      <c r="P520" s="32"/>
      <c r="Q520" s="32"/>
      <c r="R520" s="32"/>
    </row>
    <row r="521" spans="3:18" x14ac:dyDescent="0.3">
      <c r="C521" s="11"/>
      <c r="D521" s="32"/>
      <c r="E521" s="11" t="str" cm="1">
        <f t="array" ref="E521">_xlfn.IFS(
    COUNTIF(Herramientas_eléctricas1862106149[Herramientas_eléctricas], B521) &gt; 0, Herramientas_eléctricas1862106149[[#Headers],[Herramientas_eléctricas]],
    COUNTIF(Herramientas_neumáticas1963107150[Herramientas_neumáticas], B521) &gt; 0, Herramientas_neumáticas1963107150[[#Headers],[Herramientas_neumáticas]],
    COUNTIF(Herramientas_de_medición2064108151[Herramientas_de_medición], B521) &gt; 0, Herramientas_de_medición2064108151[[#Headers],[Herramientas_de_medición]],
    COUNTIF(Herrramientas_mecánicas2165109152[Herramientas_mecánicas], B521) &gt; 0, Herrramientas_mecánicas2165109152[[#Headers],[Herramientas_mecánicas]],
    COUNTIF(AH521:AH527, B521) &gt; 0, Herramientas_hidráulicas2266110153[[#Headers],[Herramientas_hidráulicas]],
    COUNTIF(EPP_2367111154[SPCC], B521) &gt; 0, EPP_2367111154[[#Headers],[SPCC]],
   COUNTIF(Herramientas_de_izaje2468112155[Herramientas_de_izaje], B521) &gt; 0, Herramientas_de_izaje2468112155[[#Headers],[Herramientas_de_izaje]],
COUNTIF(Tabla162670114157[Equipos], B521) &gt; 0, Tabla162670114157[[#Headers],[Equipos]],
    TRUE, "Sin clasificación"
)</f>
        <v>Sin clasificación</v>
      </c>
      <c r="I521" s="15"/>
      <c r="J521" s="47"/>
      <c r="K521" s="76"/>
      <c r="L521" s="76"/>
      <c r="M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N521" s="77"/>
      <c r="O521" s="32"/>
      <c r="P521" s="32"/>
      <c r="Q521" s="32"/>
      <c r="R521" s="32"/>
    </row>
    <row r="522" spans="3:18" x14ac:dyDescent="0.3">
      <c r="C522" s="11"/>
      <c r="D522" s="32"/>
      <c r="E522" s="11" t="str" cm="1">
        <f t="array" ref="E522">_xlfn.IFS(
    COUNTIF(Herramientas_eléctricas1862106149[Herramientas_eléctricas], B522) &gt; 0, Herramientas_eléctricas1862106149[[#Headers],[Herramientas_eléctricas]],
    COUNTIF(Herramientas_neumáticas1963107150[Herramientas_neumáticas], B522) &gt; 0, Herramientas_neumáticas1963107150[[#Headers],[Herramientas_neumáticas]],
    COUNTIF(Herramientas_de_medición2064108151[Herramientas_de_medición], B522) &gt; 0, Herramientas_de_medición2064108151[[#Headers],[Herramientas_de_medición]],
    COUNTIF(Herrramientas_mecánicas2165109152[Herramientas_mecánicas], B522) &gt; 0, Herrramientas_mecánicas2165109152[[#Headers],[Herramientas_mecánicas]],
    COUNTIF(AH522:AH528, B522) &gt; 0, Herramientas_hidráulicas2266110153[[#Headers],[Herramientas_hidráulicas]],
    COUNTIF(EPP_2367111154[SPCC], B522) &gt; 0, EPP_2367111154[[#Headers],[SPCC]],
   COUNTIF(Herramientas_de_izaje2468112155[Herramientas_de_izaje], B522) &gt; 0, Herramientas_de_izaje2468112155[[#Headers],[Herramientas_de_izaje]],
COUNTIF(Tabla162670114157[Equipos], B522) &gt; 0, Tabla162670114157[[#Headers],[Equipos]],
    TRUE, "Sin clasificación"
)</f>
        <v>Sin clasificación</v>
      </c>
      <c r="I522" s="15"/>
      <c r="J522" s="47"/>
      <c r="K522" s="76"/>
      <c r="L522" s="76"/>
      <c r="M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N522" s="77"/>
      <c r="O522" s="32"/>
      <c r="P522" s="32"/>
      <c r="Q522" s="32"/>
      <c r="R522" s="32"/>
    </row>
    <row r="523" spans="3:18" x14ac:dyDescent="0.3">
      <c r="C523" s="11"/>
      <c r="D523" s="32"/>
      <c r="E523" s="11" t="str" cm="1">
        <f t="array" ref="E523">_xlfn.IFS(
    COUNTIF(Herramientas_eléctricas1862106149[Herramientas_eléctricas], B523) &gt; 0, Herramientas_eléctricas1862106149[[#Headers],[Herramientas_eléctricas]],
    COUNTIF(Herramientas_neumáticas1963107150[Herramientas_neumáticas], B523) &gt; 0, Herramientas_neumáticas1963107150[[#Headers],[Herramientas_neumáticas]],
    COUNTIF(Herramientas_de_medición2064108151[Herramientas_de_medición], B523) &gt; 0, Herramientas_de_medición2064108151[[#Headers],[Herramientas_de_medición]],
    COUNTIF(Herrramientas_mecánicas2165109152[Herramientas_mecánicas], B523) &gt; 0, Herrramientas_mecánicas2165109152[[#Headers],[Herramientas_mecánicas]],
    COUNTIF(AH523:AH529, B523) &gt; 0, Herramientas_hidráulicas2266110153[[#Headers],[Herramientas_hidráulicas]],
    COUNTIF(EPP_2367111154[SPCC], B523) &gt; 0, EPP_2367111154[[#Headers],[SPCC]],
   COUNTIF(Herramientas_de_izaje2468112155[Herramientas_de_izaje], B523) &gt; 0, Herramientas_de_izaje2468112155[[#Headers],[Herramientas_de_izaje]],
COUNTIF(Tabla162670114157[Equipos], B523) &gt; 0, Tabla162670114157[[#Headers],[Equipos]],
    TRUE, "Sin clasificación"
)</f>
        <v>Sin clasificación</v>
      </c>
      <c r="I523" s="15"/>
      <c r="J523" s="47"/>
      <c r="K523" s="76"/>
      <c r="L523" s="76"/>
      <c r="M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N523" s="77"/>
      <c r="O523" s="32"/>
      <c r="P523" s="32"/>
      <c r="Q523" s="32"/>
      <c r="R523" s="32"/>
    </row>
    <row r="524" spans="3:18" x14ac:dyDescent="0.3">
      <c r="C524" s="11"/>
      <c r="D524" s="32"/>
      <c r="E524" s="11" t="str" cm="1">
        <f t="array" ref="E524">_xlfn.IFS(
    COUNTIF(Herramientas_eléctricas1862106149[Herramientas_eléctricas], B524) &gt; 0, Herramientas_eléctricas1862106149[[#Headers],[Herramientas_eléctricas]],
    COUNTIF(Herramientas_neumáticas1963107150[Herramientas_neumáticas], B524) &gt; 0, Herramientas_neumáticas1963107150[[#Headers],[Herramientas_neumáticas]],
    COUNTIF(Herramientas_de_medición2064108151[Herramientas_de_medición], B524) &gt; 0, Herramientas_de_medición2064108151[[#Headers],[Herramientas_de_medición]],
    COUNTIF(Herrramientas_mecánicas2165109152[Herramientas_mecánicas], B524) &gt; 0, Herrramientas_mecánicas2165109152[[#Headers],[Herramientas_mecánicas]],
    COUNTIF(AH524:AH530, B524) &gt; 0, Herramientas_hidráulicas2266110153[[#Headers],[Herramientas_hidráulicas]],
    COUNTIF(EPP_2367111154[SPCC], B524) &gt; 0, EPP_2367111154[[#Headers],[SPCC]],
   COUNTIF(Herramientas_de_izaje2468112155[Herramientas_de_izaje], B524) &gt; 0, Herramientas_de_izaje2468112155[[#Headers],[Herramientas_de_izaje]],
COUNTIF(Tabla162670114157[Equipos], B524) &gt; 0, Tabla162670114157[[#Headers],[Equipos]],
    TRUE, "Sin clasificación"
)</f>
        <v>Sin clasificación</v>
      </c>
      <c r="I524" s="15"/>
      <c r="J524" s="47"/>
      <c r="K524" s="76"/>
      <c r="L524" s="76"/>
      <c r="M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N524" s="77"/>
      <c r="O524" s="32"/>
      <c r="P524" s="32"/>
      <c r="Q524" s="32"/>
      <c r="R524" s="32"/>
    </row>
    <row r="525" spans="3:18" x14ac:dyDescent="0.3">
      <c r="C525" s="11"/>
      <c r="D525" s="32"/>
      <c r="E525" s="11" t="str" cm="1">
        <f t="array" ref="E525">_xlfn.IFS(
    COUNTIF(Herramientas_eléctricas1862106149[Herramientas_eléctricas], B525) &gt; 0, Herramientas_eléctricas1862106149[[#Headers],[Herramientas_eléctricas]],
    COUNTIF(Herramientas_neumáticas1963107150[Herramientas_neumáticas], B525) &gt; 0, Herramientas_neumáticas1963107150[[#Headers],[Herramientas_neumáticas]],
    COUNTIF(Herramientas_de_medición2064108151[Herramientas_de_medición], B525) &gt; 0, Herramientas_de_medición2064108151[[#Headers],[Herramientas_de_medición]],
    COUNTIF(Herrramientas_mecánicas2165109152[Herramientas_mecánicas], B525) &gt; 0, Herrramientas_mecánicas2165109152[[#Headers],[Herramientas_mecánicas]],
    COUNTIF(AH525:AH531, B525) &gt; 0, Herramientas_hidráulicas2266110153[[#Headers],[Herramientas_hidráulicas]],
    COUNTIF(EPP_2367111154[SPCC], B525) &gt; 0, EPP_2367111154[[#Headers],[SPCC]],
   COUNTIF(Herramientas_de_izaje2468112155[Herramientas_de_izaje], B525) &gt; 0, Herramientas_de_izaje2468112155[[#Headers],[Herramientas_de_izaje]],
COUNTIF(Tabla162670114157[Equipos], B525) &gt; 0, Tabla162670114157[[#Headers],[Equipos]],
    TRUE, "Sin clasificación"
)</f>
        <v>Sin clasificación</v>
      </c>
      <c r="I525" s="15"/>
      <c r="J525" s="47"/>
      <c r="K525" s="76"/>
      <c r="L525" s="76"/>
      <c r="M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N525" s="77"/>
      <c r="O525" s="32"/>
      <c r="P525" s="32"/>
      <c r="Q525" s="32"/>
      <c r="R525" s="32"/>
    </row>
    <row r="526" spans="3:18" x14ac:dyDescent="0.3">
      <c r="C526" s="11"/>
      <c r="D526" s="32"/>
      <c r="E526" s="11" t="str" cm="1">
        <f t="array" ref="E526">_xlfn.IFS(
    COUNTIF(Herramientas_eléctricas1862106149[Herramientas_eléctricas], B526) &gt; 0, Herramientas_eléctricas1862106149[[#Headers],[Herramientas_eléctricas]],
    COUNTIF(Herramientas_neumáticas1963107150[Herramientas_neumáticas], B526) &gt; 0, Herramientas_neumáticas1963107150[[#Headers],[Herramientas_neumáticas]],
    COUNTIF(Herramientas_de_medición2064108151[Herramientas_de_medición], B526) &gt; 0, Herramientas_de_medición2064108151[[#Headers],[Herramientas_de_medición]],
    COUNTIF(Herrramientas_mecánicas2165109152[Herramientas_mecánicas], B526) &gt; 0, Herrramientas_mecánicas2165109152[[#Headers],[Herramientas_mecánicas]],
    COUNTIF(AH526:AH532, B526) &gt; 0, Herramientas_hidráulicas2266110153[[#Headers],[Herramientas_hidráulicas]],
    COUNTIF(EPP_2367111154[SPCC], B526) &gt; 0, EPP_2367111154[[#Headers],[SPCC]],
   COUNTIF(Herramientas_de_izaje2468112155[Herramientas_de_izaje], B526) &gt; 0, Herramientas_de_izaje2468112155[[#Headers],[Herramientas_de_izaje]],
COUNTIF(Tabla162670114157[Equipos], B526) &gt; 0, Tabla162670114157[[#Headers],[Equipos]],
    TRUE, "Sin clasificación"
)</f>
        <v>Sin clasificación</v>
      </c>
      <c r="I526" s="15"/>
      <c r="J526" s="47"/>
      <c r="K526" s="76"/>
      <c r="L526" s="76"/>
      <c r="M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N526" s="77"/>
      <c r="O526" s="32"/>
      <c r="P526" s="32"/>
      <c r="Q526" s="32"/>
      <c r="R526" s="32"/>
    </row>
    <row r="527" spans="3:18" x14ac:dyDescent="0.3">
      <c r="C527" s="11"/>
      <c r="D527" s="32"/>
      <c r="E527" s="11" t="str" cm="1">
        <f t="array" ref="E527">_xlfn.IFS(
    COUNTIF(Herramientas_eléctricas1862106149[Herramientas_eléctricas], B527) &gt; 0, Herramientas_eléctricas1862106149[[#Headers],[Herramientas_eléctricas]],
    COUNTIF(Herramientas_neumáticas1963107150[Herramientas_neumáticas], B527) &gt; 0, Herramientas_neumáticas1963107150[[#Headers],[Herramientas_neumáticas]],
    COUNTIF(Herramientas_de_medición2064108151[Herramientas_de_medición], B527) &gt; 0, Herramientas_de_medición2064108151[[#Headers],[Herramientas_de_medición]],
    COUNTIF(Herrramientas_mecánicas2165109152[Herramientas_mecánicas], B527) &gt; 0, Herrramientas_mecánicas2165109152[[#Headers],[Herramientas_mecánicas]],
    COUNTIF(AH527:AH533, B527) &gt; 0, Herramientas_hidráulicas2266110153[[#Headers],[Herramientas_hidráulicas]],
    COUNTIF(EPP_2367111154[SPCC], B527) &gt; 0, EPP_2367111154[[#Headers],[SPCC]],
   COUNTIF(Herramientas_de_izaje2468112155[Herramientas_de_izaje], B527) &gt; 0, Herramientas_de_izaje2468112155[[#Headers],[Herramientas_de_izaje]],
COUNTIF(Tabla162670114157[Equipos], B527) &gt; 0, Tabla162670114157[[#Headers],[Equipos]],
    TRUE, "Sin clasificación"
)</f>
        <v>Sin clasificación</v>
      </c>
      <c r="I527" s="15"/>
      <c r="J527" s="47"/>
      <c r="K527" s="76"/>
      <c r="L527" s="76"/>
      <c r="M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N527" s="77"/>
      <c r="O527" s="32"/>
      <c r="P527" s="32"/>
      <c r="Q527" s="32"/>
      <c r="R527" s="32"/>
    </row>
    <row r="528" spans="3:18" x14ac:dyDescent="0.3">
      <c r="C528" s="11"/>
      <c r="D528" s="32"/>
      <c r="E528" s="11" t="str" cm="1">
        <f t="array" ref="E528">_xlfn.IFS(
    COUNTIF(Herramientas_eléctricas1862106149[Herramientas_eléctricas], B528) &gt; 0, Herramientas_eléctricas1862106149[[#Headers],[Herramientas_eléctricas]],
    COUNTIF(Herramientas_neumáticas1963107150[Herramientas_neumáticas], B528) &gt; 0, Herramientas_neumáticas1963107150[[#Headers],[Herramientas_neumáticas]],
    COUNTIF(Herramientas_de_medición2064108151[Herramientas_de_medición], B528) &gt; 0, Herramientas_de_medición2064108151[[#Headers],[Herramientas_de_medición]],
    COUNTIF(Herrramientas_mecánicas2165109152[Herramientas_mecánicas], B528) &gt; 0, Herrramientas_mecánicas2165109152[[#Headers],[Herramientas_mecánicas]],
    COUNTIF(AH528:AH534, B528) &gt; 0, Herramientas_hidráulicas2266110153[[#Headers],[Herramientas_hidráulicas]],
    COUNTIF(EPP_2367111154[SPCC], B528) &gt; 0, EPP_2367111154[[#Headers],[SPCC]],
   COUNTIF(Herramientas_de_izaje2468112155[Herramientas_de_izaje], B528) &gt; 0, Herramientas_de_izaje2468112155[[#Headers],[Herramientas_de_izaje]],
COUNTIF(Tabla162670114157[Equipos], B528) &gt; 0, Tabla162670114157[[#Headers],[Equipos]],
    TRUE, "Sin clasificación"
)</f>
        <v>Sin clasificación</v>
      </c>
      <c r="I528" s="15"/>
      <c r="J528" s="47"/>
      <c r="K528" s="76"/>
      <c r="L528" s="76"/>
      <c r="M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N528" s="77"/>
      <c r="O528" s="32"/>
      <c r="P528" s="32"/>
      <c r="Q528" s="32"/>
      <c r="R528" s="32"/>
    </row>
    <row r="529" spans="3:18" x14ac:dyDescent="0.3">
      <c r="C529" s="11"/>
      <c r="D529" s="32"/>
      <c r="E529" s="11" t="str" cm="1">
        <f t="array" ref="E529">_xlfn.IFS(
    COUNTIF(Herramientas_eléctricas1862106149[Herramientas_eléctricas], B529) &gt; 0, Herramientas_eléctricas1862106149[[#Headers],[Herramientas_eléctricas]],
    COUNTIF(Herramientas_neumáticas1963107150[Herramientas_neumáticas], B529) &gt; 0, Herramientas_neumáticas1963107150[[#Headers],[Herramientas_neumáticas]],
    COUNTIF(Herramientas_de_medición2064108151[Herramientas_de_medición], B529) &gt; 0, Herramientas_de_medición2064108151[[#Headers],[Herramientas_de_medición]],
    COUNTIF(Herrramientas_mecánicas2165109152[Herramientas_mecánicas], B529) &gt; 0, Herrramientas_mecánicas2165109152[[#Headers],[Herramientas_mecánicas]],
    COUNTIF(AH529:AH535, B529) &gt; 0, Herramientas_hidráulicas2266110153[[#Headers],[Herramientas_hidráulicas]],
    COUNTIF(EPP_2367111154[SPCC], B529) &gt; 0, EPP_2367111154[[#Headers],[SPCC]],
   COUNTIF(Herramientas_de_izaje2468112155[Herramientas_de_izaje], B529) &gt; 0, Herramientas_de_izaje2468112155[[#Headers],[Herramientas_de_izaje]],
COUNTIF(Tabla162670114157[Equipos], B529) &gt; 0, Tabla162670114157[[#Headers],[Equipos]],
    TRUE, "Sin clasificación"
)</f>
        <v>Sin clasificación</v>
      </c>
      <c r="I529" s="15"/>
      <c r="J529" s="47"/>
      <c r="K529" s="76"/>
      <c r="L529" s="76"/>
      <c r="M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N529" s="77"/>
      <c r="O529" s="32"/>
      <c r="P529" s="32"/>
      <c r="Q529" s="32"/>
      <c r="R529" s="32"/>
    </row>
    <row r="530" spans="3:18" x14ac:dyDescent="0.3">
      <c r="C530" s="11"/>
      <c r="D530" s="32"/>
      <c r="E530" s="11" t="str" cm="1">
        <f t="array" ref="E530">_xlfn.IFS(
    COUNTIF(Herramientas_eléctricas1862106149[Herramientas_eléctricas], B530) &gt; 0, Herramientas_eléctricas1862106149[[#Headers],[Herramientas_eléctricas]],
    COUNTIF(Herramientas_neumáticas1963107150[Herramientas_neumáticas], B530) &gt; 0, Herramientas_neumáticas1963107150[[#Headers],[Herramientas_neumáticas]],
    COUNTIF(Herramientas_de_medición2064108151[Herramientas_de_medición], B530) &gt; 0, Herramientas_de_medición2064108151[[#Headers],[Herramientas_de_medición]],
    COUNTIF(Herrramientas_mecánicas2165109152[Herramientas_mecánicas], B530) &gt; 0, Herrramientas_mecánicas2165109152[[#Headers],[Herramientas_mecánicas]],
    COUNTIF(AH530:AH536, B530) &gt; 0, Herramientas_hidráulicas2266110153[[#Headers],[Herramientas_hidráulicas]],
    COUNTIF(EPP_2367111154[SPCC], B530) &gt; 0, EPP_2367111154[[#Headers],[SPCC]],
   COUNTIF(Herramientas_de_izaje2468112155[Herramientas_de_izaje], B530) &gt; 0, Herramientas_de_izaje2468112155[[#Headers],[Herramientas_de_izaje]],
COUNTIF(Tabla162670114157[Equipos], B530) &gt; 0, Tabla162670114157[[#Headers],[Equipos]],
    TRUE, "Sin clasificación"
)</f>
        <v>Sin clasificación</v>
      </c>
      <c r="I530" s="15"/>
      <c r="J530" s="47"/>
      <c r="K530" s="76"/>
      <c r="L530" s="76"/>
      <c r="M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N530" s="77"/>
      <c r="O530" s="32"/>
      <c r="P530" s="32"/>
      <c r="Q530" s="32"/>
      <c r="R530" s="32"/>
    </row>
    <row r="531" spans="3:18" x14ac:dyDescent="0.3">
      <c r="C531" s="11"/>
      <c r="D531" s="32"/>
      <c r="E531" s="11" t="str" cm="1">
        <f t="array" ref="E531">_xlfn.IFS(
    COUNTIF(Herramientas_eléctricas1862106149[Herramientas_eléctricas], B531) &gt; 0, Herramientas_eléctricas1862106149[[#Headers],[Herramientas_eléctricas]],
    COUNTIF(Herramientas_neumáticas1963107150[Herramientas_neumáticas], B531) &gt; 0, Herramientas_neumáticas1963107150[[#Headers],[Herramientas_neumáticas]],
    COUNTIF(Herramientas_de_medición2064108151[Herramientas_de_medición], B531) &gt; 0, Herramientas_de_medición2064108151[[#Headers],[Herramientas_de_medición]],
    COUNTIF(Herrramientas_mecánicas2165109152[Herramientas_mecánicas], B531) &gt; 0, Herrramientas_mecánicas2165109152[[#Headers],[Herramientas_mecánicas]],
    COUNTIF(AH531:AH537, B531) &gt; 0, Herramientas_hidráulicas2266110153[[#Headers],[Herramientas_hidráulicas]],
    COUNTIF(EPP_2367111154[SPCC], B531) &gt; 0, EPP_2367111154[[#Headers],[SPCC]],
   COUNTIF(Herramientas_de_izaje2468112155[Herramientas_de_izaje], B531) &gt; 0, Herramientas_de_izaje2468112155[[#Headers],[Herramientas_de_izaje]],
COUNTIF(Tabla162670114157[Equipos], B531) &gt; 0, Tabla162670114157[[#Headers],[Equipos]],
    TRUE, "Sin clasificación"
)</f>
        <v>Sin clasificación</v>
      </c>
      <c r="I531" s="15"/>
      <c r="J531" s="47"/>
      <c r="K531" s="76"/>
      <c r="L531" s="76"/>
      <c r="M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N531" s="77"/>
      <c r="O531" s="32"/>
      <c r="P531" s="32"/>
      <c r="Q531" s="32"/>
      <c r="R531" s="32"/>
    </row>
    <row r="532" spans="3:18" x14ac:dyDescent="0.3">
      <c r="C532" s="11"/>
      <c r="D532" s="32"/>
      <c r="E532" s="11" t="str" cm="1">
        <f t="array" ref="E532">_xlfn.IFS(
    COUNTIF(Herramientas_eléctricas1862106149[Herramientas_eléctricas], B532) &gt; 0, Herramientas_eléctricas1862106149[[#Headers],[Herramientas_eléctricas]],
    COUNTIF(Herramientas_neumáticas1963107150[Herramientas_neumáticas], B532) &gt; 0, Herramientas_neumáticas1963107150[[#Headers],[Herramientas_neumáticas]],
    COUNTIF(Herramientas_de_medición2064108151[Herramientas_de_medición], B532) &gt; 0, Herramientas_de_medición2064108151[[#Headers],[Herramientas_de_medición]],
    COUNTIF(Herrramientas_mecánicas2165109152[Herramientas_mecánicas], B532) &gt; 0, Herrramientas_mecánicas2165109152[[#Headers],[Herramientas_mecánicas]],
    COUNTIF(AH532:AH538, B532) &gt; 0, Herramientas_hidráulicas2266110153[[#Headers],[Herramientas_hidráulicas]],
    COUNTIF(EPP_2367111154[SPCC], B532) &gt; 0, EPP_2367111154[[#Headers],[SPCC]],
   COUNTIF(Herramientas_de_izaje2468112155[Herramientas_de_izaje], B532) &gt; 0, Herramientas_de_izaje2468112155[[#Headers],[Herramientas_de_izaje]],
COUNTIF(Tabla162670114157[Equipos], B532) &gt; 0, Tabla162670114157[[#Headers],[Equipos]],
    TRUE, "Sin clasificación"
)</f>
        <v>Sin clasificación</v>
      </c>
      <c r="I532" s="15"/>
      <c r="J532" s="47"/>
      <c r="K532" s="76"/>
      <c r="L532" s="76"/>
      <c r="M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N532" s="77"/>
      <c r="O532" s="32"/>
      <c r="P532" s="32"/>
      <c r="Q532" s="32"/>
      <c r="R532" s="32"/>
    </row>
    <row r="533" spans="3:18" x14ac:dyDescent="0.3">
      <c r="C533" s="11"/>
      <c r="D533" s="32"/>
      <c r="E533" s="11" t="str" cm="1">
        <f t="array" ref="E533">_xlfn.IFS(
    COUNTIF(Herramientas_eléctricas1862106149[Herramientas_eléctricas], B533) &gt; 0, Herramientas_eléctricas1862106149[[#Headers],[Herramientas_eléctricas]],
    COUNTIF(Herramientas_neumáticas1963107150[Herramientas_neumáticas], B533) &gt; 0, Herramientas_neumáticas1963107150[[#Headers],[Herramientas_neumáticas]],
    COUNTIF(Herramientas_de_medición2064108151[Herramientas_de_medición], B533) &gt; 0, Herramientas_de_medición2064108151[[#Headers],[Herramientas_de_medición]],
    COUNTIF(Herrramientas_mecánicas2165109152[Herramientas_mecánicas], B533) &gt; 0, Herrramientas_mecánicas2165109152[[#Headers],[Herramientas_mecánicas]],
    COUNTIF(AH533:AH539, B533) &gt; 0, Herramientas_hidráulicas2266110153[[#Headers],[Herramientas_hidráulicas]],
    COUNTIF(EPP_2367111154[SPCC], B533) &gt; 0, EPP_2367111154[[#Headers],[SPCC]],
   COUNTIF(Herramientas_de_izaje2468112155[Herramientas_de_izaje], B533) &gt; 0, Herramientas_de_izaje2468112155[[#Headers],[Herramientas_de_izaje]],
COUNTIF(Tabla162670114157[Equipos], B533) &gt; 0, Tabla162670114157[[#Headers],[Equipos]],
    TRUE, "Sin clasificación"
)</f>
        <v>Sin clasificación</v>
      </c>
      <c r="I533" s="15"/>
      <c r="J533" s="47"/>
      <c r="K533" s="76"/>
      <c r="L533" s="76"/>
      <c r="M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N533" s="77"/>
      <c r="O533" s="32"/>
      <c r="P533" s="32"/>
      <c r="Q533" s="32"/>
      <c r="R533" s="32"/>
    </row>
    <row r="534" spans="3:18" x14ac:dyDescent="0.3">
      <c r="C534" s="11"/>
      <c r="D534" s="32"/>
      <c r="E534" s="11" t="str" cm="1">
        <f t="array" ref="E534">_xlfn.IFS(
    COUNTIF(Herramientas_eléctricas1862106149[Herramientas_eléctricas], B534) &gt; 0, Herramientas_eléctricas1862106149[[#Headers],[Herramientas_eléctricas]],
    COUNTIF(Herramientas_neumáticas1963107150[Herramientas_neumáticas], B534) &gt; 0, Herramientas_neumáticas1963107150[[#Headers],[Herramientas_neumáticas]],
    COUNTIF(Herramientas_de_medición2064108151[Herramientas_de_medición], B534) &gt; 0, Herramientas_de_medición2064108151[[#Headers],[Herramientas_de_medición]],
    COUNTIF(Herrramientas_mecánicas2165109152[Herramientas_mecánicas], B534) &gt; 0, Herrramientas_mecánicas2165109152[[#Headers],[Herramientas_mecánicas]],
    COUNTIF(AH534:AH540, B534) &gt; 0, Herramientas_hidráulicas2266110153[[#Headers],[Herramientas_hidráulicas]],
    COUNTIF(EPP_2367111154[SPCC], B534) &gt; 0, EPP_2367111154[[#Headers],[SPCC]],
   COUNTIF(Herramientas_de_izaje2468112155[Herramientas_de_izaje], B534) &gt; 0, Herramientas_de_izaje2468112155[[#Headers],[Herramientas_de_izaje]],
COUNTIF(Tabla162670114157[Equipos], B534) &gt; 0, Tabla162670114157[[#Headers],[Equipos]],
    TRUE, "Sin clasificación"
)</f>
        <v>Sin clasificación</v>
      </c>
      <c r="I534" s="15"/>
      <c r="J534" s="78"/>
      <c r="K534" s="76"/>
      <c r="L534" s="76"/>
      <c r="M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N534" s="77"/>
      <c r="O534" s="32"/>
      <c r="P534" s="32"/>
      <c r="Q534" s="32"/>
      <c r="R534" s="32"/>
    </row>
    <row r="535" spans="3:18" x14ac:dyDescent="0.3">
      <c r="C535" s="11"/>
      <c r="D535" s="32"/>
      <c r="E535" s="11" t="str" cm="1">
        <f t="array" ref="E535">_xlfn.IFS(
    COUNTIF(Herramientas_eléctricas1862106149[Herramientas_eléctricas], B535) &gt; 0, Herramientas_eléctricas1862106149[[#Headers],[Herramientas_eléctricas]],
    COUNTIF(Herramientas_neumáticas1963107150[Herramientas_neumáticas], B535) &gt; 0, Herramientas_neumáticas1963107150[[#Headers],[Herramientas_neumáticas]],
    COUNTIF(Herramientas_de_medición2064108151[Herramientas_de_medición], B535) &gt; 0, Herramientas_de_medición2064108151[[#Headers],[Herramientas_de_medición]],
    COUNTIF(Herrramientas_mecánicas2165109152[Herramientas_mecánicas], B535) &gt; 0, Herrramientas_mecánicas2165109152[[#Headers],[Herramientas_mecánicas]],
    COUNTIF(AH535:AH541, B535) &gt; 0, Herramientas_hidráulicas2266110153[[#Headers],[Herramientas_hidráulicas]],
    COUNTIF(EPP_2367111154[SPCC], B535) &gt; 0, EPP_2367111154[[#Headers],[SPCC]],
   COUNTIF(Herramientas_de_izaje2468112155[Herramientas_de_izaje], B535) &gt; 0, Herramientas_de_izaje2468112155[[#Headers],[Herramientas_de_izaje]],
COUNTIF(Tabla162670114157[Equipos], B535) &gt; 0, Tabla162670114157[[#Headers],[Equipos]],
    TRUE, "Sin clasificación"
)</f>
        <v>Sin clasificación</v>
      </c>
      <c r="I535" s="15"/>
      <c r="J535" s="47"/>
      <c r="K535" s="76"/>
      <c r="L535" s="76"/>
      <c r="M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N535" s="77"/>
      <c r="O535" s="32"/>
      <c r="P535" s="32"/>
      <c r="Q535" s="32"/>
      <c r="R535" s="32"/>
    </row>
    <row r="536" spans="3:18" x14ac:dyDescent="0.3">
      <c r="C536" s="11"/>
      <c r="D536" s="32"/>
      <c r="E536" s="11" t="str" cm="1">
        <f t="array" ref="E536">_xlfn.IFS(
    COUNTIF(Herramientas_eléctricas1862106149[Herramientas_eléctricas], B536) &gt; 0, Herramientas_eléctricas1862106149[[#Headers],[Herramientas_eléctricas]],
    COUNTIF(Herramientas_neumáticas1963107150[Herramientas_neumáticas], B536) &gt; 0, Herramientas_neumáticas1963107150[[#Headers],[Herramientas_neumáticas]],
    COUNTIF(Herramientas_de_medición2064108151[Herramientas_de_medición], B536) &gt; 0, Herramientas_de_medición2064108151[[#Headers],[Herramientas_de_medición]],
    COUNTIF(Herrramientas_mecánicas2165109152[Herramientas_mecánicas], B536) &gt; 0, Herrramientas_mecánicas2165109152[[#Headers],[Herramientas_mecánicas]],
    COUNTIF(AH536:AH542, B536) &gt; 0, Herramientas_hidráulicas2266110153[[#Headers],[Herramientas_hidráulicas]],
    COUNTIF(EPP_2367111154[SPCC], B536) &gt; 0, EPP_2367111154[[#Headers],[SPCC]],
   COUNTIF(Herramientas_de_izaje2468112155[Herramientas_de_izaje], B536) &gt; 0, Herramientas_de_izaje2468112155[[#Headers],[Herramientas_de_izaje]],
COUNTIF(Tabla162670114157[Equipos], B536) &gt; 0, Tabla162670114157[[#Headers],[Equipos]],
    TRUE, "Sin clasificación"
)</f>
        <v>Sin clasificación</v>
      </c>
      <c r="I536" s="15"/>
      <c r="J536" s="47"/>
      <c r="K536" s="76"/>
      <c r="L536" s="76"/>
      <c r="M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N536" s="77"/>
      <c r="O536" s="32"/>
      <c r="P536" s="32"/>
      <c r="Q536" s="32"/>
      <c r="R536" s="32"/>
    </row>
    <row r="537" spans="3:18" x14ac:dyDescent="0.3">
      <c r="C537" s="11"/>
      <c r="D537" s="32"/>
      <c r="E537" s="11" t="str" cm="1">
        <f t="array" ref="E537">_xlfn.IFS(
    COUNTIF(Herramientas_eléctricas1862106149[Herramientas_eléctricas], B537) &gt; 0, Herramientas_eléctricas1862106149[[#Headers],[Herramientas_eléctricas]],
    COUNTIF(Herramientas_neumáticas1963107150[Herramientas_neumáticas], B537) &gt; 0, Herramientas_neumáticas1963107150[[#Headers],[Herramientas_neumáticas]],
    COUNTIF(Herramientas_de_medición2064108151[Herramientas_de_medición], B537) &gt; 0, Herramientas_de_medición2064108151[[#Headers],[Herramientas_de_medición]],
    COUNTIF(Herrramientas_mecánicas2165109152[Herramientas_mecánicas], B537) &gt; 0, Herrramientas_mecánicas2165109152[[#Headers],[Herramientas_mecánicas]],
    COUNTIF(AH537:AH543, B537) &gt; 0, Herramientas_hidráulicas2266110153[[#Headers],[Herramientas_hidráulicas]],
    COUNTIF(EPP_2367111154[SPCC], B537) &gt; 0, EPP_2367111154[[#Headers],[SPCC]],
   COUNTIF(Herramientas_de_izaje2468112155[Herramientas_de_izaje], B537) &gt; 0, Herramientas_de_izaje2468112155[[#Headers],[Herramientas_de_izaje]],
COUNTIF(Tabla162670114157[Equipos], B537) &gt; 0, Tabla162670114157[[#Headers],[Equipos]],
    TRUE, "Sin clasificación"
)</f>
        <v>Sin clasificación</v>
      </c>
      <c r="I537" s="15"/>
      <c r="J537" s="47"/>
      <c r="K537" s="76"/>
      <c r="L537" s="76"/>
      <c r="M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N537" s="77"/>
      <c r="O537" s="32"/>
      <c r="P537" s="32"/>
      <c r="Q537" s="32"/>
      <c r="R537" s="32"/>
    </row>
    <row r="538" spans="3:18" x14ac:dyDescent="0.3">
      <c r="C538" s="11"/>
      <c r="D538" s="32"/>
      <c r="E538" s="11" t="str" cm="1">
        <f t="array" ref="E538">_xlfn.IFS(
    COUNTIF(Herramientas_eléctricas1862106149[Herramientas_eléctricas], B538) &gt; 0, Herramientas_eléctricas1862106149[[#Headers],[Herramientas_eléctricas]],
    COUNTIF(Herramientas_neumáticas1963107150[Herramientas_neumáticas], B538) &gt; 0, Herramientas_neumáticas1963107150[[#Headers],[Herramientas_neumáticas]],
    COUNTIF(Herramientas_de_medición2064108151[Herramientas_de_medición], B538) &gt; 0, Herramientas_de_medición2064108151[[#Headers],[Herramientas_de_medición]],
    COUNTIF(Herrramientas_mecánicas2165109152[Herramientas_mecánicas], B538) &gt; 0, Herrramientas_mecánicas2165109152[[#Headers],[Herramientas_mecánicas]],
    COUNTIF(AH538:AH544, B538) &gt; 0, Herramientas_hidráulicas2266110153[[#Headers],[Herramientas_hidráulicas]],
    COUNTIF(EPP_2367111154[SPCC], B538) &gt; 0, EPP_2367111154[[#Headers],[SPCC]],
   COUNTIF(Herramientas_de_izaje2468112155[Herramientas_de_izaje], B538) &gt; 0, Herramientas_de_izaje2468112155[[#Headers],[Herramientas_de_izaje]],
COUNTIF(Tabla162670114157[Equipos], B538) &gt; 0, Tabla162670114157[[#Headers],[Equipos]],
    TRUE, "Sin clasificación"
)</f>
        <v>Sin clasificación</v>
      </c>
      <c r="I538" s="15"/>
      <c r="J538" s="47"/>
      <c r="K538" s="76"/>
      <c r="L538" s="76"/>
      <c r="M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N538" s="77"/>
      <c r="O538" s="32"/>
      <c r="P538" s="32"/>
      <c r="Q538" s="32"/>
      <c r="R538" s="32"/>
    </row>
    <row r="539" spans="3:18" x14ac:dyDescent="0.3">
      <c r="C539" s="11"/>
      <c r="D539" s="32"/>
      <c r="E539" s="11" t="str" cm="1">
        <f t="array" ref="E539">_xlfn.IFS(
    COUNTIF(Herramientas_eléctricas1862106149[Herramientas_eléctricas], B539) &gt; 0, Herramientas_eléctricas1862106149[[#Headers],[Herramientas_eléctricas]],
    COUNTIF(Herramientas_neumáticas1963107150[Herramientas_neumáticas], B539) &gt; 0, Herramientas_neumáticas1963107150[[#Headers],[Herramientas_neumáticas]],
    COUNTIF(Herramientas_de_medición2064108151[Herramientas_de_medición], B539) &gt; 0, Herramientas_de_medición2064108151[[#Headers],[Herramientas_de_medición]],
    COUNTIF(Herrramientas_mecánicas2165109152[Herramientas_mecánicas], B539) &gt; 0, Herrramientas_mecánicas2165109152[[#Headers],[Herramientas_mecánicas]],
    COUNTIF(AH539:AH545, B539) &gt; 0, Herramientas_hidráulicas2266110153[[#Headers],[Herramientas_hidráulicas]],
    COUNTIF(EPP_2367111154[SPCC], B539) &gt; 0, EPP_2367111154[[#Headers],[SPCC]],
   COUNTIF(Herramientas_de_izaje2468112155[Herramientas_de_izaje], B539) &gt; 0, Herramientas_de_izaje2468112155[[#Headers],[Herramientas_de_izaje]],
COUNTIF(Tabla162670114157[Equipos], B539) &gt; 0, Tabla162670114157[[#Headers],[Equipos]],
    TRUE, "Sin clasificación"
)</f>
        <v>Sin clasificación</v>
      </c>
      <c r="I539" s="15"/>
      <c r="J539" s="47"/>
      <c r="K539" s="76"/>
      <c r="L539" s="76"/>
      <c r="M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N539" s="77"/>
      <c r="O539" s="32"/>
      <c r="P539" s="32"/>
      <c r="Q539" s="32"/>
      <c r="R539" s="32"/>
    </row>
    <row r="540" spans="3:18" x14ac:dyDescent="0.3">
      <c r="C540" s="11"/>
      <c r="D540" s="32"/>
      <c r="E540" s="11" t="str" cm="1">
        <f t="array" ref="E540">_xlfn.IFS(
    COUNTIF(Herramientas_eléctricas1862106149[Herramientas_eléctricas], B540) &gt; 0, Herramientas_eléctricas1862106149[[#Headers],[Herramientas_eléctricas]],
    COUNTIF(Herramientas_neumáticas1963107150[Herramientas_neumáticas], B540) &gt; 0, Herramientas_neumáticas1963107150[[#Headers],[Herramientas_neumáticas]],
    COUNTIF(Herramientas_de_medición2064108151[Herramientas_de_medición], B540) &gt; 0, Herramientas_de_medición2064108151[[#Headers],[Herramientas_de_medición]],
    COUNTIF(Herrramientas_mecánicas2165109152[Herramientas_mecánicas], B540) &gt; 0, Herrramientas_mecánicas2165109152[[#Headers],[Herramientas_mecánicas]],
    COUNTIF(AH540:AH546, B540) &gt; 0, Herramientas_hidráulicas2266110153[[#Headers],[Herramientas_hidráulicas]],
    COUNTIF(EPP_2367111154[SPCC], B540) &gt; 0, EPP_2367111154[[#Headers],[SPCC]],
   COUNTIF(Herramientas_de_izaje2468112155[Herramientas_de_izaje], B540) &gt; 0, Herramientas_de_izaje2468112155[[#Headers],[Herramientas_de_izaje]],
COUNTIF(Tabla162670114157[Equipos], B540) &gt; 0, Tabla162670114157[[#Headers],[Equipos]],
    TRUE, "Sin clasificación"
)</f>
        <v>Sin clasificación</v>
      </c>
      <c r="I540" s="15"/>
      <c r="J540" s="47"/>
      <c r="K540" s="76"/>
      <c r="L540" s="76"/>
      <c r="M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N540" s="77"/>
      <c r="O540" s="32"/>
      <c r="P540" s="32"/>
      <c r="Q540" s="32"/>
      <c r="R540" s="32"/>
    </row>
    <row r="541" spans="3:18" x14ac:dyDescent="0.3">
      <c r="C541" s="11"/>
      <c r="D541" s="32"/>
      <c r="E541" s="11" t="str" cm="1">
        <f t="array" ref="E541">_xlfn.IFS(
    COUNTIF(Herramientas_eléctricas1862106149[Herramientas_eléctricas], B541) &gt; 0, Herramientas_eléctricas1862106149[[#Headers],[Herramientas_eléctricas]],
    COUNTIF(Herramientas_neumáticas1963107150[Herramientas_neumáticas], B541) &gt; 0, Herramientas_neumáticas1963107150[[#Headers],[Herramientas_neumáticas]],
    COUNTIF(Herramientas_de_medición2064108151[Herramientas_de_medición], B541) &gt; 0, Herramientas_de_medición2064108151[[#Headers],[Herramientas_de_medición]],
    COUNTIF(Herrramientas_mecánicas2165109152[Herramientas_mecánicas], B541) &gt; 0, Herrramientas_mecánicas2165109152[[#Headers],[Herramientas_mecánicas]],
    COUNTIF(AH541:AH547, B541) &gt; 0, Herramientas_hidráulicas2266110153[[#Headers],[Herramientas_hidráulicas]],
    COUNTIF(EPP_2367111154[SPCC], B541) &gt; 0, EPP_2367111154[[#Headers],[SPCC]],
   COUNTIF(Herramientas_de_izaje2468112155[Herramientas_de_izaje], B541) &gt; 0, Herramientas_de_izaje2468112155[[#Headers],[Herramientas_de_izaje]],
COUNTIF(Tabla162670114157[Equipos], B541) &gt; 0, Tabla162670114157[[#Headers],[Equipos]],
    TRUE, "Sin clasificación"
)</f>
        <v>Sin clasificación</v>
      </c>
      <c r="I541" s="15"/>
      <c r="J541" s="47"/>
      <c r="K541" s="76"/>
      <c r="L541" s="76"/>
      <c r="M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N541" s="77"/>
      <c r="O541" s="32"/>
      <c r="P541" s="32"/>
      <c r="Q541" s="32"/>
      <c r="R541" s="32"/>
    </row>
    <row r="542" spans="3:18" x14ac:dyDescent="0.3">
      <c r="C542" s="11"/>
      <c r="D542" s="32"/>
      <c r="E542" s="11" t="str" cm="1">
        <f t="array" ref="E542">_xlfn.IFS(
    COUNTIF(Herramientas_eléctricas1862106149[Herramientas_eléctricas], B542) &gt; 0, Herramientas_eléctricas1862106149[[#Headers],[Herramientas_eléctricas]],
    COUNTIF(Herramientas_neumáticas1963107150[Herramientas_neumáticas], B542) &gt; 0, Herramientas_neumáticas1963107150[[#Headers],[Herramientas_neumáticas]],
    COUNTIF(Herramientas_de_medición2064108151[Herramientas_de_medición], B542) &gt; 0, Herramientas_de_medición2064108151[[#Headers],[Herramientas_de_medición]],
    COUNTIF(Herrramientas_mecánicas2165109152[Herramientas_mecánicas], B542) &gt; 0, Herrramientas_mecánicas2165109152[[#Headers],[Herramientas_mecánicas]],
    COUNTIF(AH542:AH548, B542) &gt; 0, Herramientas_hidráulicas2266110153[[#Headers],[Herramientas_hidráulicas]],
    COUNTIF(EPP_2367111154[SPCC], B542) &gt; 0, EPP_2367111154[[#Headers],[SPCC]],
   COUNTIF(Herramientas_de_izaje2468112155[Herramientas_de_izaje], B542) &gt; 0, Herramientas_de_izaje2468112155[[#Headers],[Herramientas_de_izaje]],
COUNTIF(Tabla162670114157[Equipos], B542) &gt; 0, Tabla162670114157[[#Headers],[Equipos]],
    TRUE, "Sin clasificación"
)</f>
        <v>Sin clasificación</v>
      </c>
      <c r="I542" s="15"/>
      <c r="J542" s="47"/>
      <c r="K542" s="76"/>
      <c r="L542" s="76"/>
      <c r="M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N542" s="77"/>
      <c r="O542" s="32"/>
      <c r="P542" s="32"/>
      <c r="Q542" s="32"/>
      <c r="R542" s="32"/>
    </row>
    <row r="543" spans="3:18" x14ac:dyDescent="0.3">
      <c r="C543" s="11"/>
      <c r="D543" s="32"/>
      <c r="E543" s="11" t="str" cm="1">
        <f t="array" ref="E543">_xlfn.IFS(
    COUNTIF(Herramientas_eléctricas1862106149[Herramientas_eléctricas], B543) &gt; 0, Herramientas_eléctricas1862106149[[#Headers],[Herramientas_eléctricas]],
    COUNTIF(Herramientas_neumáticas1963107150[Herramientas_neumáticas], B543) &gt; 0, Herramientas_neumáticas1963107150[[#Headers],[Herramientas_neumáticas]],
    COUNTIF(Herramientas_de_medición2064108151[Herramientas_de_medición], B543) &gt; 0, Herramientas_de_medición2064108151[[#Headers],[Herramientas_de_medición]],
    COUNTIF(Herrramientas_mecánicas2165109152[Herramientas_mecánicas], B543) &gt; 0, Herrramientas_mecánicas2165109152[[#Headers],[Herramientas_mecánicas]],
    COUNTIF(AH543:AH549, B543) &gt; 0, Herramientas_hidráulicas2266110153[[#Headers],[Herramientas_hidráulicas]],
    COUNTIF(EPP_2367111154[SPCC], B543) &gt; 0, EPP_2367111154[[#Headers],[SPCC]],
   COUNTIF(Herramientas_de_izaje2468112155[Herramientas_de_izaje], B543) &gt; 0, Herramientas_de_izaje2468112155[[#Headers],[Herramientas_de_izaje]],
COUNTIF(Tabla162670114157[Equipos], B543) &gt; 0, Tabla162670114157[[#Headers],[Equipos]],
    TRUE, "Sin clasificación"
)</f>
        <v>Sin clasificación</v>
      </c>
      <c r="I543" s="15"/>
      <c r="J543" s="47"/>
      <c r="K543" s="76"/>
      <c r="L543" s="76"/>
      <c r="M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N543" s="77"/>
      <c r="O543" s="32"/>
      <c r="P543" s="32"/>
      <c r="Q543" s="32"/>
      <c r="R543" s="32"/>
    </row>
    <row r="544" spans="3:18" x14ac:dyDescent="0.3">
      <c r="C544" s="11"/>
      <c r="D544" s="32"/>
      <c r="E544" s="11" t="str" cm="1">
        <f t="array" ref="E544">_xlfn.IFS(
    COUNTIF(Herramientas_eléctricas1862106149[Herramientas_eléctricas], B544) &gt; 0, Herramientas_eléctricas1862106149[[#Headers],[Herramientas_eléctricas]],
    COUNTIF(Herramientas_neumáticas1963107150[Herramientas_neumáticas], B544) &gt; 0, Herramientas_neumáticas1963107150[[#Headers],[Herramientas_neumáticas]],
    COUNTIF(Herramientas_de_medición2064108151[Herramientas_de_medición], B544) &gt; 0, Herramientas_de_medición2064108151[[#Headers],[Herramientas_de_medición]],
    COUNTIF(Herrramientas_mecánicas2165109152[Herramientas_mecánicas], B544) &gt; 0, Herrramientas_mecánicas2165109152[[#Headers],[Herramientas_mecánicas]],
    COUNTIF(AH544:AH550, B544) &gt; 0, Herramientas_hidráulicas2266110153[[#Headers],[Herramientas_hidráulicas]],
    COUNTIF(EPP_2367111154[SPCC], B544) &gt; 0, EPP_2367111154[[#Headers],[SPCC]],
   COUNTIF(Herramientas_de_izaje2468112155[Herramientas_de_izaje], B544) &gt; 0, Herramientas_de_izaje2468112155[[#Headers],[Herramientas_de_izaje]],
COUNTIF(Tabla162670114157[Equipos], B544) &gt; 0, Tabla162670114157[[#Headers],[Equipos]],
    TRUE, "Sin clasificación"
)</f>
        <v>Sin clasificación</v>
      </c>
      <c r="I544" s="15"/>
      <c r="J544" s="47"/>
      <c r="K544" s="76"/>
      <c r="L544" s="76"/>
      <c r="M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N544" s="77"/>
      <c r="O544" s="32"/>
      <c r="P544" s="32"/>
      <c r="Q544" s="32"/>
      <c r="R544" s="32"/>
    </row>
    <row r="545" spans="3:18" x14ac:dyDescent="0.3">
      <c r="C545" s="11"/>
      <c r="D545" s="32"/>
      <c r="E545" s="11" t="str" cm="1">
        <f t="array" ref="E545">_xlfn.IFS(
    COUNTIF(Herramientas_eléctricas1862106149[Herramientas_eléctricas], B545) &gt; 0, Herramientas_eléctricas1862106149[[#Headers],[Herramientas_eléctricas]],
    COUNTIF(Herramientas_neumáticas1963107150[Herramientas_neumáticas], B545) &gt; 0, Herramientas_neumáticas1963107150[[#Headers],[Herramientas_neumáticas]],
    COUNTIF(Herramientas_de_medición2064108151[Herramientas_de_medición], B545) &gt; 0, Herramientas_de_medición2064108151[[#Headers],[Herramientas_de_medición]],
    COUNTIF(Herrramientas_mecánicas2165109152[Herramientas_mecánicas], B545) &gt; 0, Herrramientas_mecánicas2165109152[[#Headers],[Herramientas_mecánicas]],
    COUNTIF(AH545:AH551, B545) &gt; 0, Herramientas_hidráulicas2266110153[[#Headers],[Herramientas_hidráulicas]],
    COUNTIF(EPP_2367111154[SPCC], B545) &gt; 0, EPP_2367111154[[#Headers],[SPCC]],
   COUNTIF(Herramientas_de_izaje2468112155[Herramientas_de_izaje], B545) &gt; 0, Herramientas_de_izaje2468112155[[#Headers],[Herramientas_de_izaje]],
COUNTIF(Tabla162670114157[Equipos], B545) &gt; 0, Tabla162670114157[[#Headers],[Equipos]],
    TRUE, "Sin clasificación"
)</f>
        <v>Sin clasificación</v>
      </c>
      <c r="I545" s="15"/>
      <c r="J545" s="47"/>
      <c r="K545" s="76"/>
      <c r="L545" s="76"/>
      <c r="M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N545" s="77"/>
      <c r="O545" s="32"/>
      <c r="P545" s="32"/>
      <c r="Q545" s="32"/>
      <c r="R545" s="32"/>
    </row>
    <row r="546" spans="3:18" x14ac:dyDescent="0.3">
      <c r="C546" s="11"/>
      <c r="D546" s="32"/>
      <c r="E546" s="11" t="str" cm="1">
        <f t="array" ref="E546">_xlfn.IFS(
    COUNTIF(Herramientas_eléctricas1862106149[Herramientas_eléctricas], B546) &gt; 0, Herramientas_eléctricas1862106149[[#Headers],[Herramientas_eléctricas]],
    COUNTIF(Herramientas_neumáticas1963107150[Herramientas_neumáticas], B546) &gt; 0, Herramientas_neumáticas1963107150[[#Headers],[Herramientas_neumáticas]],
    COUNTIF(Herramientas_de_medición2064108151[Herramientas_de_medición], B546) &gt; 0, Herramientas_de_medición2064108151[[#Headers],[Herramientas_de_medición]],
    COUNTIF(Herrramientas_mecánicas2165109152[Herramientas_mecánicas], B546) &gt; 0, Herrramientas_mecánicas2165109152[[#Headers],[Herramientas_mecánicas]],
    COUNTIF(AH546:AH552, B546) &gt; 0, Herramientas_hidráulicas2266110153[[#Headers],[Herramientas_hidráulicas]],
    COUNTIF(EPP_2367111154[SPCC], B546) &gt; 0, EPP_2367111154[[#Headers],[SPCC]],
   COUNTIF(Herramientas_de_izaje2468112155[Herramientas_de_izaje], B546) &gt; 0, Herramientas_de_izaje2468112155[[#Headers],[Herramientas_de_izaje]],
COUNTIF(Tabla162670114157[Equipos], B546) &gt; 0, Tabla162670114157[[#Headers],[Equipos]],
    TRUE, "Sin clasificación"
)</f>
        <v>Sin clasificación</v>
      </c>
      <c r="I546" s="15"/>
      <c r="J546" s="47"/>
      <c r="K546" s="76"/>
      <c r="L546" s="76"/>
      <c r="M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N546" s="77"/>
      <c r="O546" s="32"/>
      <c r="P546" s="32"/>
      <c r="Q546" s="32"/>
      <c r="R546" s="32"/>
    </row>
    <row r="547" spans="3:18" x14ac:dyDescent="0.3">
      <c r="C547" s="11"/>
      <c r="D547" s="32"/>
      <c r="E547" s="11" t="str" cm="1">
        <f t="array" ref="E547">_xlfn.IFS(
    COUNTIF(Herramientas_eléctricas1862106149[Herramientas_eléctricas], B547) &gt; 0, Herramientas_eléctricas1862106149[[#Headers],[Herramientas_eléctricas]],
    COUNTIF(Herramientas_neumáticas1963107150[Herramientas_neumáticas], B547) &gt; 0, Herramientas_neumáticas1963107150[[#Headers],[Herramientas_neumáticas]],
    COUNTIF(Herramientas_de_medición2064108151[Herramientas_de_medición], B547) &gt; 0, Herramientas_de_medición2064108151[[#Headers],[Herramientas_de_medición]],
    COUNTIF(Herrramientas_mecánicas2165109152[Herramientas_mecánicas], B547) &gt; 0, Herrramientas_mecánicas2165109152[[#Headers],[Herramientas_mecánicas]],
    COUNTIF(AH547:AH553, B547) &gt; 0, Herramientas_hidráulicas2266110153[[#Headers],[Herramientas_hidráulicas]],
    COUNTIF(EPP_2367111154[SPCC], B547) &gt; 0, EPP_2367111154[[#Headers],[SPCC]],
   COUNTIF(Herramientas_de_izaje2468112155[Herramientas_de_izaje], B547) &gt; 0, Herramientas_de_izaje2468112155[[#Headers],[Herramientas_de_izaje]],
COUNTIF(Tabla162670114157[Equipos], B547) &gt; 0, Tabla162670114157[[#Headers],[Equipos]],
    TRUE, "Sin clasificación"
)</f>
        <v>Sin clasificación</v>
      </c>
      <c r="I547" s="15"/>
      <c r="J547" s="47"/>
      <c r="K547" s="76"/>
      <c r="L547" s="76"/>
      <c r="M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N547" s="77"/>
      <c r="O547" s="32"/>
      <c r="P547" s="32"/>
      <c r="Q547" s="32"/>
      <c r="R547" s="32"/>
    </row>
    <row r="548" spans="3:18" x14ac:dyDescent="0.3">
      <c r="C548" s="11"/>
      <c r="D548" s="32"/>
      <c r="E548" s="11" t="str" cm="1">
        <f t="array" ref="E548">_xlfn.IFS(
    COUNTIF(Herramientas_eléctricas1862106149[Herramientas_eléctricas], B548) &gt; 0, Herramientas_eléctricas1862106149[[#Headers],[Herramientas_eléctricas]],
    COUNTIF(Herramientas_neumáticas1963107150[Herramientas_neumáticas], B548) &gt; 0, Herramientas_neumáticas1963107150[[#Headers],[Herramientas_neumáticas]],
    COUNTIF(Herramientas_de_medición2064108151[Herramientas_de_medición], B548) &gt; 0, Herramientas_de_medición2064108151[[#Headers],[Herramientas_de_medición]],
    COUNTIF(Herrramientas_mecánicas2165109152[Herramientas_mecánicas], B548) &gt; 0, Herrramientas_mecánicas2165109152[[#Headers],[Herramientas_mecánicas]],
    COUNTIF(AH548:AH554, B548) &gt; 0, Herramientas_hidráulicas2266110153[[#Headers],[Herramientas_hidráulicas]],
    COUNTIF(EPP_2367111154[SPCC], B548) &gt; 0, EPP_2367111154[[#Headers],[SPCC]],
   COUNTIF(Herramientas_de_izaje2468112155[Herramientas_de_izaje], B548) &gt; 0, Herramientas_de_izaje2468112155[[#Headers],[Herramientas_de_izaje]],
COUNTIF(Tabla162670114157[Equipos], B548) &gt; 0, Tabla162670114157[[#Headers],[Equipos]],
    TRUE, "Sin clasificación"
)</f>
        <v>Sin clasificación</v>
      </c>
      <c r="I548" s="15"/>
      <c r="J548" s="47"/>
      <c r="K548" s="76"/>
      <c r="L548" s="76"/>
      <c r="M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N548" s="77"/>
      <c r="O548" s="32"/>
      <c r="P548" s="32"/>
      <c r="Q548" s="32"/>
      <c r="R548" s="32"/>
    </row>
    <row r="549" spans="3:18" x14ac:dyDescent="0.3">
      <c r="C549" s="11"/>
      <c r="D549" s="32"/>
      <c r="E549" s="11" t="str" cm="1">
        <f t="array" ref="E549">_xlfn.IFS(
    COUNTIF(Herramientas_eléctricas1862106149[Herramientas_eléctricas], B549) &gt; 0, Herramientas_eléctricas1862106149[[#Headers],[Herramientas_eléctricas]],
    COUNTIF(Herramientas_neumáticas1963107150[Herramientas_neumáticas], B549) &gt; 0, Herramientas_neumáticas1963107150[[#Headers],[Herramientas_neumáticas]],
    COUNTIF(Herramientas_de_medición2064108151[Herramientas_de_medición], B549) &gt; 0, Herramientas_de_medición2064108151[[#Headers],[Herramientas_de_medición]],
    COUNTIF(Herrramientas_mecánicas2165109152[Herramientas_mecánicas], B549) &gt; 0, Herrramientas_mecánicas2165109152[[#Headers],[Herramientas_mecánicas]],
    COUNTIF(AH549:AH555, B549) &gt; 0, Herramientas_hidráulicas2266110153[[#Headers],[Herramientas_hidráulicas]],
    COUNTIF(EPP_2367111154[SPCC], B549) &gt; 0, EPP_2367111154[[#Headers],[SPCC]],
   COUNTIF(Herramientas_de_izaje2468112155[Herramientas_de_izaje], B549) &gt; 0, Herramientas_de_izaje2468112155[[#Headers],[Herramientas_de_izaje]],
COUNTIF(Tabla162670114157[Equipos], B549) &gt; 0, Tabla162670114157[[#Headers],[Equipos]],
    TRUE, "Sin clasificación"
)</f>
        <v>Sin clasificación</v>
      </c>
      <c r="I549" s="15"/>
      <c r="J549" s="47"/>
      <c r="K549" s="76"/>
      <c r="L549" s="76"/>
      <c r="M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N549" s="77"/>
      <c r="O549" s="32"/>
      <c r="P549" s="32"/>
      <c r="Q549" s="32"/>
      <c r="R549" s="32"/>
    </row>
    <row r="550" spans="3:18" x14ac:dyDescent="0.3">
      <c r="C550" s="11"/>
      <c r="D550" s="32"/>
      <c r="E550" s="11" t="str" cm="1">
        <f t="array" ref="E550">_xlfn.IFS(
    COUNTIF(Herramientas_eléctricas1862106149[Herramientas_eléctricas], B550) &gt; 0, Herramientas_eléctricas1862106149[[#Headers],[Herramientas_eléctricas]],
    COUNTIF(Herramientas_neumáticas1963107150[Herramientas_neumáticas], B550) &gt; 0, Herramientas_neumáticas1963107150[[#Headers],[Herramientas_neumáticas]],
    COUNTIF(Herramientas_de_medición2064108151[Herramientas_de_medición], B550) &gt; 0, Herramientas_de_medición2064108151[[#Headers],[Herramientas_de_medición]],
    COUNTIF(Herrramientas_mecánicas2165109152[Herramientas_mecánicas], B550) &gt; 0, Herrramientas_mecánicas2165109152[[#Headers],[Herramientas_mecánicas]],
    COUNTIF(AH550:AH556, B550) &gt; 0, Herramientas_hidráulicas2266110153[[#Headers],[Herramientas_hidráulicas]],
    COUNTIF(EPP_2367111154[SPCC], B550) &gt; 0, EPP_2367111154[[#Headers],[SPCC]],
   COUNTIF(Herramientas_de_izaje2468112155[Herramientas_de_izaje], B550) &gt; 0, Herramientas_de_izaje2468112155[[#Headers],[Herramientas_de_izaje]],
COUNTIF(Tabla162670114157[Equipos], B550) &gt; 0, Tabla162670114157[[#Headers],[Equipos]],
    TRUE, "Sin clasificación"
)</f>
        <v>Sin clasificación</v>
      </c>
      <c r="I550" s="15"/>
      <c r="J550" s="47"/>
      <c r="K550" s="76"/>
      <c r="L550" s="76"/>
      <c r="M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N550" s="77"/>
      <c r="O550" s="32"/>
      <c r="P550" s="32"/>
      <c r="Q550" s="32"/>
      <c r="R550" s="32"/>
    </row>
    <row r="551" spans="3:18" x14ac:dyDescent="0.3">
      <c r="C551" s="11"/>
      <c r="D551" s="32"/>
      <c r="E551" s="11" t="str" cm="1">
        <f t="array" ref="E551">_xlfn.IFS(
    COUNTIF(Herramientas_eléctricas1862106149[Herramientas_eléctricas], B551) &gt; 0, Herramientas_eléctricas1862106149[[#Headers],[Herramientas_eléctricas]],
    COUNTIF(Herramientas_neumáticas1963107150[Herramientas_neumáticas], B551) &gt; 0, Herramientas_neumáticas1963107150[[#Headers],[Herramientas_neumáticas]],
    COUNTIF(Herramientas_de_medición2064108151[Herramientas_de_medición], B551) &gt; 0, Herramientas_de_medición2064108151[[#Headers],[Herramientas_de_medición]],
    COUNTIF(Herrramientas_mecánicas2165109152[Herramientas_mecánicas], B551) &gt; 0, Herrramientas_mecánicas2165109152[[#Headers],[Herramientas_mecánicas]],
    COUNTIF(AH551:AH557, B551) &gt; 0, Herramientas_hidráulicas2266110153[[#Headers],[Herramientas_hidráulicas]],
    COUNTIF(EPP_2367111154[SPCC], B551) &gt; 0, EPP_2367111154[[#Headers],[SPCC]],
   COUNTIF(Herramientas_de_izaje2468112155[Herramientas_de_izaje], B551) &gt; 0, Herramientas_de_izaje2468112155[[#Headers],[Herramientas_de_izaje]],
COUNTIF(Tabla162670114157[Equipos], B551) &gt; 0, Tabla162670114157[[#Headers],[Equipos]],
    TRUE, "Sin clasificación"
)</f>
        <v>Sin clasificación</v>
      </c>
      <c r="I551" s="15"/>
      <c r="J551" s="47"/>
      <c r="K551" s="76"/>
      <c r="L551" s="76"/>
      <c r="M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N551" s="77"/>
      <c r="O551" s="32"/>
      <c r="P551" s="32"/>
      <c r="Q551" s="32"/>
      <c r="R551" s="32"/>
    </row>
    <row r="552" spans="3:18" x14ac:dyDescent="0.3">
      <c r="C552" s="11"/>
      <c r="D552" s="32"/>
      <c r="E552" s="11" t="str" cm="1">
        <f t="array" ref="E552">_xlfn.IFS(
    COUNTIF(Herramientas_eléctricas1862106149[Herramientas_eléctricas], B552) &gt; 0, Herramientas_eléctricas1862106149[[#Headers],[Herramientas_eléctricas]],
    COUNTIF(Herramientas_neumáticas1963107150[Herramientas_neumáticas], B552) &gt; 0, Herramientas_neumáticas1963107150[[#Headers],[Herramientas_neumáticas]],
    COUNTIF(Herramientas_de_medición2064108151[Herramientas_de_medición], B552) &gt; 0, Herramientas_de_medición2064108151[[#Headers],[Herramientas_de_medición]],
    COUNTIF(Herrramientas_mecánicas2165109152[Herramientas_mecánicas], B552) &gt; 0, Herrramientas_mecánicas2165109152[[#Headers],[Herramientas_mecánicas]],
    COUNTIF(AH552:AH558, B552) &gt; 0, Herramientas_hidráulicas2266110153[[#Headers],[Herramientas_hidráulicas]],
    COUNTIF(EPP_2367111154[SPCC], B552) &gt; 0, EPP_2367111154[[#Headers],[SPCC]],
   COUNTIF(Herramientas_de_izaje2468112155[Herramientas_de_izaje], B552) &gt; 0, Herramientas_de_izaje2468112155[[#Headers],[Herramientas_de_izaje]],
COUNTIF(Tabla162670114157[Equipos], B552) &gt; 0, Tabla162670114157[[#Headers],[Equipos]],
    TRUE, "Sin clasificación"
)</f>
        <v>Sin clasificación</v>
      </c>
      <c r="I552" s="15"/>
      <c r="J552" s="47"/>
      <c r="K552" s="76"/>
      <c r="L552" s="76"/>
      <c r="M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N552" s="77"/>
      <c r="O552" s="32"/>
      <c r="P552" s="32"/>
      <c r="Q552" s="32"/>
      <c r="R552" s="32"/>
    </row>
    <row r="553" spans="3:18" x14ac:dyDescent="0.3">
      <c r="C553" s="11"/>
      <c r="D553" s="32"/>
      <c r="E553" s="11" t="str" cm="1">
        <f t="array" ref="E553">_xlfn.IFS(
    COUNTIF(Herramientas_eléctricas1862106149[Herramientas_eléctricas], B553) &gt; 0, Herramientas_eléctricas1862106149[[#Headers],[Herramientas_eléctricas]],
    COUNTIF(Herramientas_neumáticas1963107150[Herramientas_neumáticas], B553) &gt; 0, Herramientas_neumáticas1963107150[[#Headers],[Herramientas_neumáticas]],
    COUNTIF(Herramientas_de_medición2064108151[Herramientas_de_medición], B553) &gt; 0, Herramientas_de_medición2064108151[[#Headers],[Herramientas_de_medición]],
    COUNTIF(Herrramientas_mecánicas2165109152[Herramientas_mecánicas], B553) &gt; 0, Herrramientas_mecánicas2165109152[[#Headers],[Herramientas_mecánicas]],
    COUNTIF(AH553:AH559, B553) &gt; 0, Herramientas_hidráulicas2266110153[[#Headers],[Herramientas_hidráulicas]],
    COUNTIF(EPP_2367111154[SPCC], B553) &gt; 0, EPP_2367111154[[#Headers],[SPCC]],
   COUNTIF(Herramientas_de_izaje2468112155[Herramientas_de_izaje], B553) &gt; 0, Herramientas_de_izaje2468112155[[#Headers],[Herramientas_de_izaje]],
COUNTIF(Tabla162670114157[Equipos], B553) &gt; 0, Tabla162670114157[[#Headers],[Equipos]],
    TRUE, "Sin clasificación"
)</f>
        <v>Sin clasificación</v>
      </c>
      <c r="I553" s="15"/>
      <c r="J553" s="47"/>
      <c r="K553" s="76"/>
      <c r="L553" s="76"/>
      <c r="M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N553" s="77"/>
      <c r="O553" s="32"/>
      <c r="P553" s="32"/>
      <c r="Q553" s="32"/>
      <c r="R553" s="32"/>
    </row>
    <row r="554" spans="3:18" x14ac:dyDescent="0.3">
      <c r="C554" s="11"/>
      <c r="D554" s="32"/>
      <c r="E554" s="11" t="str" cm="1">
        <f t="array" ref="E554">_xlfn.IFS(
    COUNTIF(Herramientas_eléctricas1862106149[Herramientas_eléctricas], B554) &gt; 0, Herramientas_eléctricas1862106149[[#Headers],[Herramientas_eléctricas]],
    COUNTIF(Herramientas_neumáticas1963107150[Herramientas_neumáticas], B554) &gt; 0, Herramientas_neumáticas1963107150[[#Headers],[Herramientas_neumáticas]],
    COUNTIF(Herramientas_de_medición2064108151[Herramientas_de_medición], B554) &gt; 0, Herramientas_de_medición2064108151[[#Headers],[Herramientas_de_medición]],
    COUNTIF(Herrramientas_mecánicas2165109152[Herramientas_mecánicas], B554) &gt; 0, Herrramientas_mecánicas2165109152[[#Headers],[Herramientas_mecánicas]],
    COUNTIF(AH554:AH560, B554) &gt; 0, Herramientas_hidráulicas2266110153[[#Headers],[Herramientas_hidráulicas]],
    COUNTIF(EPP_2367111154[SPCC], B554) &gt; 0, EPP_2367111154[[#Headers],[SPCC]],
   COUNTIF(Herramientas_de_izaje2468112155[Herramientas_de_izaje], B554) &gt; 0, Herramientas_de_izaje2468112155[[#Headers],[Herramientas_de_izaje]],
COUNTIF(Tabla162670114157[Equipos], B554) &gt; 0, Tabla162670114157[[#Headers],[Equipos]],
    TRUE, "Sin clasificación"
)</f>
        <v>Sin clasificación</v>
      </c>
      <c r="I554" s="15"/>
      <c r="J554" s="47"/>
      <c r="K554" s="76"/>
      <c r="L554" s="76"/>
      <c r="M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N554" s="77"/>
      <c r="O554" s="32"/>
      <c r="P554" s="32"/>
      <c r="Q554" s="32"/>
      <c r="R554" s="32"/>
    </row>
    <row r="555" spans="3:18" x14ac:dyDescent="0.3">
      <c r="C555" s="11"/>
      <c r="D555" s="32"/>
      <c r="E555" s="11" t="str" cm="1">
        <f t="array" ref="E555">_xlfn.IFS(
    COUNTIF(Herramientas_eléctricas1862106149[Herramientas_eléctricas], B555) &gt; 0, Herramientas_eléctricas1862106149[[#Headers],[Herramientas_eléctricas]],
    COUNTIF(Herramientas_neumáticas1963107150[Herramientas_neumáticas], B555) &gt; 0, Herramientas_neumáticas1963107150[[#Headers],[Herramientas_neumáticas]],
    COUNTIF(Herramientas_de_medición2064108151[Herramientas_de_medición], B555) &gt; 0, Herramientas_de_medición2064108151[[#Headers],[Herramientas_de_medición]],
    COUNTIF(Herrramientas_mecánicas2165109152[Herramientas_mecánicas], B555) &gt; 0, Herrramientas_mecánicas2165109152[[#Headers],[Herramientas_mecánicas]],
    COUNTIF(AH555:AH561, B555) &gt; 0, Herramientas_hidráulicas2266110153[[#Headers],[Herramientas_hidráulicas]],
    COUNTIF(EPP_2367111154[SPCC], B555) &gt; 0, EPP_2367111154[[#Headers],[SPCC]],
   COUNTIF(Herramientas_de_izaje2468112155[Herramientas_de_izaje], B555) &gt; 0, Herramientas_de_izaje2468112155[[#Headers],[Herramientas_de_izaje]],
COUNTIF(Tabla162670114157[Equipos], B555) &gt; 0, Tabla162670114157[[#Headers],[Equipos]],
    TRUE, "Sin clasificación"
)</f>
        <v>Sin clasificación</v>
      </c>
      <c r="I555" s="15"/>
      <c r="J555" s="47"/>
      <c r="K555" s="76"/>
      <c r="L555" s="76"/>
      <c r="M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N555" s="77"/>
      <c r="O555" s="32"/>
      <c r="P555" s="32"/>
      <c r="Q555" s="32"/>
      <c r="R555" s="32"/>
    </row>
    <row r="556" spans="3:18" x14ac:dyDescent="0.3">
      <c r="C556" s="11"/>
      <c r="D556" s="32"/>
      <c r="E556" s="11" t="str" cm="1">
        <f t="array" ref="E556">_xlfn.IFS(
    COUNTIF(Herramientas_eléctricas1862106149[Herramientas_eléctricas], B556) &gt; 0, Herramientas_eléctricas1862106149[[#Headers],[Herramientas_eléctricas]],
    COUNTIF(Herramientas_neumáticas1963107150[Herramientas_neumáticas], B556) &gt; 0, Herramientas_neumáticas1963107150[[#Headers],[Herramientas_neumáticas]],
    COUNTIF(Herramientas_de_medición2064108151[Herramientas_de_medición], B556) &gt; 0, Herramientas_de_medición2064108151[[#Headers],[Herramientas_de_medición]],
    COUNTIF(Herrramientas_mecánicas2165109152[Herramientas_mecánicas], B556) &gt; 0, Herrramientas_mecánicas2165109152[[#Headers],[Herramientas_mecánicas]],
    COUNTIF(AH556:AH562, B556) &gt; 0, Herramientas_hidráulicas2266110153[[#Headers],[Herramientas_hidráulicas]],
    COUNTIF(EPP_2367111154[SPCC], B556) &gt; 0, EPP_2367111154[[#Headers],[SPCC]],
   COUNTIF(Herramientas_de_izaje2468112155[Herramientas_de_izaje], B556) &gt; 0, Herramientas_de_izaje2468112155[[#Headers],[Herramientas_de_izaje]],
COUNTIF(Tabla162670114157[Equipos], B556) &gt; 0, Tabla162670114157[[#Headers],[Equipos]],
    TRUE, "Sin clasificación"
)</f>
        <v>Sin clasificación</v>
      </c>
      <c r="I556" s="15"/>
      <c r="J556" s="47"/>
      <c r="K556" s="76"/>
      <c r="L556" s="76"/>
      <c r="M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N556" s="77"/>
      <c r="O556" s="32"/>
      <c r="P556" s="32"/>
      <c r="Q556" s="32"/>
      <c r="R556" s="32"/>
    </row>
    <row r="557" spans="3:18" x14ac:dyDescent="0.3">
      <c r="C557" s="11"/>
      <c r="D557" s="32"/>
      <c r="E557" s="11" t="str" cm="1">
        <f t="array" ref="E557">_xlfn.IFS(
    COUNTIF(Herramientas_eléctricas1862106149[Herramientas_eléctricas], B557) &gt; 0, Herramientas_eléctricas1862106149[[#Headers],[Herramientas_eléctricas]],
    COUNTIF(Herramientas_neumáticas1963107150[Herramientas_neumáticas], B557) &gt; 0, Herramientas_neumáticas1963107150[[#Headers],[Herramientas_neumáticas]],
    COUNTIF(Herramientas_de_medición2064108151[Herramientas_de_medición], B557) &gt; 0, Herramientas_de_medición2064108151[[#Headers],[Herramientas_de_medición]],
    COUNTIF(Herrramientas_mecánicas2165109152[Herramientas_mecánicas], B557) &gt; 0, Herrramientas_mecánicas2165109152[[#Headers],[Herramientas_mecánicas]],
    COUNTIF(AH557:AH563, B557) &gt; 0, Herramientas_hidráulicas2266110153[[#Headers],[Herramientas_hidráulicas]],
    COUNTIF(EPP_2367111154[SPCC], B557) &gt; 0, EPP_2367111154[[#Headers],[SPCC]],
   COUNTIF(Herramientas_de_izaje2468112155[Herramientas_de_izaje], B557) &gt; 0, Herramientas_de_izaje2468112155[[#Headers],[Herramientas_de_izaje]],
COUNTIF(Tabla162670114157[Equipos], B557) &gt; 0, Tabla162670114157[[#Headers],[Equipos]],
    TRUE, "Sin clasificación"
)</f>
        <v>Sin clasificación</v>
      </c>
      <c r="I557" s="15"/>
      <c r="J557" s="47"/>
      <c r="K557" s="76"/>
      <c r="L557" s="76"/>
      <c r="M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N557" s="77"/>
      <c r="O557" s="32"/>
      <c r="P557" s="32"/>
      <c r="Q557" s="32"/>
      <c r="R557" s="32"/>
    </row>
    <row r="558" spans="3:18" x14ac:dyDescent="0.3">
      <c r="C558" s="11"/>
      <c r="D558" s="32"/>
      <c r="E558" s="11" t="str" cm="1">
        <f t="array" ref="E558">_xlfn.IFS(
    COUNTIF(Herramientas_eléctricas1862106149[Herramientas_eléctricas], B558) &gt; 0, Herramientas_eléctricas1862106149[[#Headers],[Herramientas_eléctricas]],
    COUNTIF(Herramientas_neumáticas1963107150[Herramientas_neumáticas], B558) &gt; 0, Herramientas_neumáticas1963107150[[#Headers],[Herramientas_neumáticas]],
    COUNTIF(Herramientas_de_medición2064108151[Herramientas_de_medición], B558) &gt; 0, Herramientas_de_medición2064108151[[#Headers],[Herramientas_de_medición]],
    COUNTIF(Herrramientas_mecánicas2165109152[Herramientas_mecánicas], B558) &gt; 0, Herrramientas_mecánicas2165109152[[#Headers],[Herramientas_mecánicas]],
    COUNTIF(AH558:AH564, B558) &gt; 0, Herramientas_hidráulicas2266110153[[#Headers],[Herramientas_hidráulicas]],
    COUNTIF(EPP_2367111154[SPCC], B558) &gt; 0, EPP_2367111154[[#Headers],[SPCC]],
   COUNTIF(Herramientas_de_izaje2468112155[Herramientas_de_izaje], B558) &gt; 0, Herramientas_de_izaje2468112155[[#Headers],[Herramientas_de_izaje]],
COUNTIF(Tabla162670114157[Equipos], B558) &gt; 0, Tabla162670114157[[#Headers],[Equipos]],
    TRUE, "Sin clasificación"
)</f>
        <v>Sin clasificación</v>
      </c>
      <c r="I558" s="15"/>
      <c r="J558" s="47"/>
      <c r="K558" s="76"/>
      <c r="L558" s="76"/>
      <c r="M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N558" s="77"/>
      <c r="O558" s="32"/>
      <c r="P558" s="32"/>
      <c r="Q558" s="32"/>
      <c r="R558" s="32"/>
    </row>
    <row r="559" spans="3:18" x14ac:dyDescent="0.3">
      <c r="C559" s="11"/>
      <c r="D559" s="32"/>
      <c r="E559" s="11" t="str" cm="1">
        <f t="array" ref="E559">_xlfn.IFS(
    COUNTIF(Herramientas_eléctricas1862106149[Herramientas_eléctricas], B559) &gt; 0, Herramientas_eléctricas1862106149[[#Headers],[Herramientas_eléctricas]],
    COUNTIF(Herramientas_neumáticas1963107150[Herramientas_neumáticas], B559) &gt; 0, Herramientas_neumáticas1963107150[[#Headers],[Herramientas_neumáticas]],
    COUNTIF(Herramientas_de_medición2064108151[Herramientas_de_medición], B559) &gt; 0, Herramientas_de_medición2064108151[[#Headers],[Herramientas_de_medición]],
    COUNTIF(Herrramientas_mecánicas2165109152[Herramientas_mecánicas], B559) &gt; 0, Herrramientas_mecánicas2165109152[[#Headers],[Herramientas_mecánicas]],
    COUNTIF(AH559:AH565, B559) &gt; 0, Herramientas_hidráulicas2266110153[[#Headers],[Herramientas_hidráulicas]],
    COUNTIF(EPP_2367111154[SPCC], B559) &gt; 0, EPP_2367111154[[#Headers],[SPCC]],
   COUNTIF(Herramientas_de_izaje2468112155[Herramientas_de_izaje], B559) &gt; 0, Herramientas_de_izaje2468112155[[#Headers],[Herramientas_de_izaje]],
COUNTIF(Tabla162670114157[Equipos], B559) &gt; 0, Tabla162670114157[[#Headers],[Equipos]],
    TRUE, "Sin clasificación"
)</f>
        <v>Sin clasificación</v>
      </c>
      <c r="I559" s="15"/>
      <c r="J559" s="47"/>
      <c r="K559" s="76"/>
      <c r="L559" s="76"/>
      <c r="M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N559" s="77"/>
      <c r="O559" s="32"/>
      <c r="P559" s="32"/>
      <c r="Q559" s="32"/>
      <c r="R559" s="32"/>
    </row>
    <row r="560" spans="3:18" x14ac:dyDescent="0.3">
      <c r="C560" s="11"/>
      <c r="D560" s="32"/>
      <c r="E560" s="11" t="str" cm="1">
        <f t="array" ref="E560">_xlfn.IFS(
    COUNTIF(Herramientas_eléctricas1862106149[Herramientas_eléctricas], B560) &gt; 0, Herramientas_eléctricas1862106149[[#Headers],[Herramientas_eléctricas]],
    COUNTIF(Herramientas_neumáticas1963107150[Herramientas_neumáticas], B560) &gt; 0, Herramientas_neumáticas1963107150[[#Headers],[Herramientas_neumáticas]],
    COUNTIF(Herramientas_de_medición2064108151[Herramientas_de_medición], B560) &gt; 0, Herramientas_de_medición2064108151[[#Headers],[Herramientas_de_medición]],
    COUNTIF(Herrramientas_mecánicas2165109152[Herramientas_mecánicas], B560) &gt; 0, Herrramientas_mecánicas2165109152[[#Headers],[Herramientas_mecánicas]],
    COUNTIF(AH560:AH566, B560) &gt; 0, Herramientas_hidráulicas2266110153[[#Headers],[Herramientas_hidráulicas]],
    COUNTIF(EPP_2367111154[SPCC], B560) &gt; 0, EPP_2367111154[[#Headers],[SPCC]],
   COUNTIF(Herramientas_de_izaje2468112155[Herramientas_de_izaje], B560) &gt; 0, Herramientas_de_izaje2468112155[[#Headers],[Herramientas_de_izaje]],
COUNTIF(Tabla162670114157[Equipos], B560) &gt; 0, Tabla162670114157[[#Headers],[Equipos]],
    TRUE, "Sin clasificación"
)</f>
        <v>Sin clasificación</v>
      </c>
      <c r="I560" s="15"/>
      <c r="J560" s="47"/>
      <c r="K560" s="76"/>
      <c r="L560" s="76"/>
      <c r="M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N560" s="77"/>
      <c r="O560" s="32"/>
      <c r="P560" s="32"/>
      <c r="Q560" s="32"/>
      <c r="R560" s="32"/>
    </row>
    <row r="561" spans="3:18" x14ac:dyDescent="0.3">
      <c r="C561" s="11"/>
      <c r="D561" s="32"/>
      <c r="E561" s="11" t="str" cm="1">
        <f t="array" ref="E561">_xlfn.IFS(
    COUNTIF(Herramientas_eléctricas1862106149[Herramientas_eléctricas], B561) &gt; 0, Herramientas_eléctricas1862106149[[#Headers],[Herramientas_eléctricas]],
    COUNTIF(Herramientas_neumáticas1963107150[Herramientas_neumáticas], B561) &gt; 0, Herramientas_neumáticas1963107150[[#Headers],[Herramientas_neumáticas]],
    COUNTIF(Herramientas_de_medición2064108151[Herramientas_de_medición], B561) &gt; 0, Herramientas_de_medición2064108151[[#Headers],[Herramientas_de_medición]],
    COUNTIF(Herrramientas_mecánicas2165109152[Herramientas_mecánicas], B561) &gt; 0, Herrramientas_mecánicas2165109152[[#Headers],[Herramientas_mecánicas]],
    COUNTIF(AH561:AH567, B561) &gt; 0, Herramientas_hidráulicas2266110153[[#Headers],[Herramientas_hidráulicas]],
    COUNTIF(EPP_2367111154[SPCC], B561) &gt; 0, EPP_2367111154[[#Headers],[SPCC]],
   COUNTIF(Herramientas_de_izaje2468112155[Herramientas_de_izaje], B561) &gt; 0, Herramientas_de_izaje2468112155[[#Headers],[Herramientas_de_izaje]],
COUNTIF(Tabla162670114157[Equipos], B561) &gt; 0, Tabla162670114157[[#Headers],[Equipos]],
    TRUE, "Sin clasificación"
)</f>
        <v>Sin clasificación</v>
      </c>
      <c r="I561" s="15"/>
      <c r="J561" s="47"/>
      <c r="K561" s="76"/>
      <c r="L561" s="76"/>
      <c r="M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N561" s="77"/>
      <c r="O561" s="32"/>
      <c r="P561" s="32"/>
      <c r="Q561" s="32"/>
      <c r="R561" s="32"/>
    </row>
    <row r="562" spans="3:18" x14ac:dyDescent="0.3">
      <c r="C562" s="11"/>
      <c r="D562" s="32"/>
      <c r="E562" s="11" t="str" cm="1">
        <f t="array" ref="E562">_xlfn.IFS(
    COUNTIF(Herramientas_eléctricas1862106149[Herramientas_eléctricas], B562) &gt; 0, Herramientas_eléctricas1862106149[[#Headers],[Herramientas_eléctricas]],
    COUNTIF(Herramientas_neumáticas1963107150[Herramientas_neumáticas], B562) &gt; 0, Herramientas_neumáticas1963107150[[#Headers],[Herramientas_neumáticas]],
    COUNTIF(Herramientas_de_medición2064108151[Herramientas_de_medición], B562) &gt; 0, Herramientas_de_medición2064108151[[#Headers],[Herramientas_de_medición]],
    COUNTIF(Herrramientas_mecánicas2165109152[Herramientas_mecánicas], B562) &gt; 0, Herrramientas_mecánicas2165109152[[#Headers],[Herramientas_mecánicas]],
    COUNTIF(AH562:AH568, B562) &gt; 0, Herramientas_hidráulicas2266110153[[#Headers],[Herramientas_hidráulicas]],
    COUNTIF(EPP_2367111154[SPCC], B562) &gt; 0, EPP_2367111154[[#Headers],[SPCC]],
   COUNTIF(Herramientas_de_izaje2468112155[Herramientas_de_izaje], B562) &gt; 0, Herramientas_de_izaje2468112155[[#Headers],[Herramientas_de_izaje]],
COUNTIF(Tabla162670114157[Equipos], B562) &gt; 0, Tabla162670114157[[#Headers],[Equipos]],
    TRUE, "Sin clasificación"
)</f>
        <v>Sin clasificación</v>
      </c>
      <c r="I562" s="15"/>
      <c r="J562" s="47"/>
      <c r="K562" s="76"/>
      <c r="L562" s="76"/>
      <c r="M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N562" s="77"/>
      <c r="O562" s="32"/>
      <c r="P562" s="32"/>
      <c r="Q562" s="32"/>
      <c r="R562" s="32"/>
    </row>
    <row r="563" spans="3:18" x14ac:dyDescent="0.3">
      <c r="C563" s="11"/>
      <c r="D563" s="32"/>
      <c r="E563" s="11" t="str" cm="1">
        <f t="array" ref="E563">_xlfn.IFS(
    COUNTIF(Herramientas_eléctricas1862106149[Herramientas_eléctricas], B563) &gt; 0, Herramientas_eléctricas1862106149[[#Headers],[Herramientas_eléctricas]],
    COUNTIF(Herramientas_neumáticas1963107150[Herramientas_neumáticas], B563) &gt; 0, Herramientas_neumáticas1963107150[[#Headers],[Herramientas_neumáticas]],
    COUNTIF(Herramientas_de_medición2064108151[Herramientas_de_medición], B563) &gt; 0, Herramientas_de_medición2064108151[[#Headers],[Herramientas_de_medición]],
    COUNTIF(Herrramientas_mecánicas2165109152[Herramientas_mecánicas], B563) &gt; 0, Herrramientas_mecánicas2165109152[[#Headers],[Herramientas_mecánicas]],
    COUNTIF(AH563:AH569, B563) &gt; 0, Herramientas_hidráulicas2266110153[[#Headers],[Herramientas_hidráulicas]],
    COUNTIF(EPP_2367111154[SPCC], B563) &gt; 0, EPP_2367111154[[#Headers],[SPCC]],
   COUNTIF(Herramientas_de_izaje2468112155[Herramientas_de_izaje], B563) &gt; 0, Herramientas_de_izaje2468112155[[#Headers],[Herramientas_de_izaje]],
COUNTIF(Tabla162670114157[Equipos], B563) &gt; 0, Tabla162670114157[[#Headers],[Equipos]],
    TRUE, "Sin clasificación"
)</f>
        <v>Sin clasificación</v>
      </c>
      <c r="I563" s="15"/>
      <c r="J563" s="47"/>
      <c r="K563" s="76"/>
      <c r="L563" s="76"/>
      <c r="M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N563" s="77"/>
      <c r="O563" s="32"/>
      <c r="P563" s="32"/>
      <c r="Q563" s="32"/>
      <c r="R563" s="32"/>
    </row>
    <row r="564" spans="3:18" x14ac:dyDescent="0.3">
      <c r="C564" s="11"/>
      <c r="D564" s="32"/>
      <c r="E564" s="11" t="str" cm="1">
        <f t="array" ref="E564">_xlfn.IFS(
    COUNTIF(Herramientas_eléctricas1862106149[Herramientas_eléctricas], B564) &gt; 0, Herramientas_eléctricas1862106149[[#Headers],[Herramientas_eléctricas]],
    COUNTIF(Herramientas_neumáticas1963107150[Herramientas_neumáticas], B564) &gt; 0, Herramientas_neumáticas1963107150[[#Headers],[Herramientas_neumáticas]],
    COUNTIF(Herramientas_de_medición2064108151[Herramientas_de_medición], B564) &gt; 0, Herramientas_de_medición2064108151[[#Headers],[Herramientas_de_medición]],
    COUNTIF(Herrramientas_mecánicas2165109152[Herramientas_mecánicas], B564) &gt; 0, Herrramientas_mecánicas2165109152[[#Headers],[Herramientas_mecánicas]],
    COUNTIF(AH564:AH570, B564) &gt; 0, Herramientas_hidráulicas2266110153[[#Headers],[Herramientas_hidráulicas]],
    COUNTIF(EPP_2367111154[SPCC], B564) &gt; 0, EPP_2367111154[[#Headers],[SPCC]],
   COUNTIF(Herramientas_de_izaje2468112155[Herramientas_de_izaje], B564) &gt; 0, Herramientas_de_izaje2468112155[[#Headers],[Herramientas_de_izaje]],
COUNTIF(Tabla162670114157[Equipos], B564) &gt; 0, Tabla162670114157[[#Headers],[Equipos]],
    TRUE, "Sin clasificación"
)</f>
        <v>Sin clasificación</v>
      </c>
      <c r="I564" s="15"/>
      <c r="J564" s="47"/>
      <c r="K564" s="76"/>
      <c r="L564" s="76"/>
      <c r="M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N564" s="77"/>
      <c r="O564" s="32"/>
      <c r="P564" s="32"/>
      <c r="Q564" s="32"/>
      <c r="R564" s="32"/>
    </row>
    <row r="565" spans="3:18" x14ac:dyDescent="0.3">
      <c r="C565" s="11"/>
      <c r="D565" s="32"/>
      <c r="E565" s="11" t="str" cm="1">
        <f t="array" ref="E565">_xlfn.IFS(
    COUNTIF(Herramientas_eléctricas1862106149[Herramientas_eléctricas], B565) &gt; 0, Herramientas_eléctricas1862106149[[#Headers],[Herramientas_eléctricas]],
    COUNTIF(Herramientas_neumáticas1963107150[Herramientas_neumáticas], B565) &gt; 0, Herramientas_neumáticas1963107150[[#Headers],[Herramientas_neumáticas]],
    COUNTIF(Herramientas_de_medición2064108151[Herramientas_de_medición], B565) &gt; 0, Herramientas_de_medición2064108151[[#Headers],[Herramientas_de_medición]],
    COUNTIF(Herrramientas_mecánicas2165109152[Herramientas_mecánicas], B565) &gt; 0, Herrramientas_mecánicas2165109152[[#Headers],[Herramientas_mecánicas]],
    COUNTIF(AH565:AH571, B565) &gt; 0, Herramientas_hidráulicas2266110153[[#Headers],[Herramientas_hidráulicas]],
    COUNTIF(EPP_2367111154[SPCC], B565) &gt; 0, EPP_2367111154[[#Headers],[SPCC]],
   COUNTIF(Herramientas_de_izaje2468112155[Herramientas_de_izaje], B565) &gt; 0, Herramientas_de_izaje2468112155[[#Headers],[Herramientas_de_izaje]],
COUNTIF(Tabla162670114157[Equipos], B565) &gt; 0, Tabla162670114157[[#Headers],[Equipos]],
    TRUE, "Sin clasificación"
)</f>
        <v>Sin clasificación</v>
      </c>
      <c r="I565" s="15"/>
      <c r="J565" s="47"/>
      <c r="K565" s="76"/>
      <c r="L565" s="76"/>
      <c r="M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N565" s="77"/>
      <c r="O565" s="32"/>
      <c r="P565" s="32"/>
      <c r="Q565" s="32"/>
      <c r="R565" s="32"/>
    </row>
    <row r="566" spans="3:18" x14ac:dyDescent="0.3">
      <c r="C566" s="11"/>
      <c r="D566" s="32"/>
      <c r="E566" s="11" t="str" cm="1">
        <f t="array" ref="E566">_xlfn.IFS(
    COUNTIF(Herramientas_eléctricas1862106149[Herramientas_eléctricas], B566) &gt; 0, Herramientas_eléctricas1862106149[[#Headers],[Herramientas_eléctricas]],
    COUNTIF(Herramientas_neumáticas1963107150[Herramientas_neumáticas], B566) &gt; 0, Herramientas_neumáticas1963107150[[#Headers],[Herramientas_neumáticas]],
    COUNTIF(Herramientas_de_medición2064108151[Herramientas_de_medición], B566) &gt; 0, Herramientas_de_medición2064108151[[#Headers],[Herramientas_de_medición]],
    COUNTIF(Herrramientas_mecánicas2165109152[Herramientas_mecánicas], B566) &gt; 0, Herrramientas_mecánicas2165109152[[#Headers],[Herramientas_mecánicas]],
    COUNTIF(AH566:AH572, B566) &gt; 0, Herramientas_hidráulicas2266110153[[#Headers],[Herramientas_hidráulicas]],
    COUNTIF(EPP_2367111154[SPCC], B566) &gt; 0, EPP_2367111154[[#Headers],[SPCC]],
   COUNTIF(Herramientas_de_izaje2468112155[Herramientas_de_izaje], B566) &gt; 0, Herramientas_de_izaje2468112155[[#Headers],[Herramientas_de_izaje]],
COUNTIF(Tabla162670114157[Equipos], B566) &gt; 0, Tabla162670114157[[#Headers],[Equipos]],
    TRUE, "Sin clasificación"
)</f>
        <v>Sin clasificación</v>
      </c>
      <c r="I566" s="15"/>
      <c r="J566" s="47"/>
      <c r="K566" s="76"/>
      <c r="L566" s="76"/>
      <c r="M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N566" s="77"/>
      <c r="O566" s="32"/>
      <c r="P566" s="32"/>
      <c r="Q566" s="32"/>
      <c r="R566" s="32"/>
    </row>
    <row r="567" spans="3:18" x14ac:dyDescent="0.3">
      <c r="C567" s="11"/>
      <c r="D567" s="32"/>
      <c r="E567" s="11" t="str" cm="1">
        <f t="array" ref="E567">_xlfn.IFS(
    COUNTIF(Herramientas_eléctricas1862106149[Herramientas_eléctricas], B567) &gt; 0, Herramientas_eléctricas1862106149[[#Headers],[Herramientas_eléctricas]],
    COUNTIF(Herramientas_neumáticas1963107150[Herramientas_neumáticas], B567) &gt; 0, Herramientas_neumáticas1963107150[[#Headers],[Herramientas_neumáticas]],
    COUNTIF(Herramientas_de_medición2064108151[Herramientas_de_medición], B567) &gt; 0, Herramientas_de_medición2064108151[[#Headers],[Herramientas_de_medición]],
    COUNTIF(Herrramientas_mecánicas2165109152[Herramientas_mecánicas], B567) &gt; 0, Herrramientas_mecánicas2165109152[[#Headers],[Herramientas_mecánicas]],
    COUNTIF(AH567:AH573, B567) &gt; 0, Herramientas_hidráulicas2266110153[[#Headers],[Herramientas_hidráulicas]],
    COUNTIF(EPP_2367111154[SPCC], B567) &gt; 0, EPP_2367111154[[#Headers],[SPCC]],
   COUNTIF(Herramientas_de_izaje2468112155[Herramientas_de_izaje], B567) &gt; 0, Herramientas_de_izaje2468112155[[#Headers],[Herramientas_de_izaje]],
COUNTIF(Tabla162670114157[Equipos], B567) &gt; 0, Tabla162670114157[[#Headers],[Equipos]],
    TRUE, "Sin clasificación"
)</f>
        <v>Sin clasificación</v>
      </c>
      <c r="I567" s="15"/>
      <c r="J567" s="47"/>
      <c r="K567" s="76"/>
      <c r="L567" s="76"/>
      <c r="M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N567" s="77"/>
      <c r="O567" s="32"/>
      <c r="P567" s="32"/>
      <c r="Q567" s="32"/>
      <c r="R567" s="32"/>
    </row>
    <row r="568" spans="3:18" x14ac:dyDescent="0.3">
      <c r="C568" s="11"/>
      <c r="D568" s="32"/>
      <c r="E568" s="11" t="str" cm="1">
        <f t="array" ref="E568">_xlfn.IFS(
    COUNTIF(Herramientas_eléctricas1862106149[Herramientas_eléctricas], B568) &gt; 0, Herramientas_eléctricas1862106149[[#Headers],[Herramientas_eléctricas]],
    COUNTIF(Herramientas_neumáticas1963107150[Herramientas_neumáticas], B568) &gt; 0, Herramientas_neumáticas1963107150[[#Headers],[Herramientas_neumáticas]],
    COUNTIF(Herramientas_de_medición2064108151[Herramientas_de_medición], B568) &gt; 0, Herramientas_de_medición2064108151[[#Headers],[Herramientas_de_medición]],
    COUNTIF(Herrramientas_mecánicas2165109152[Herramientas_mecánicas], B568) &gt; 0, Herrramientas_mecánicas2165109152[[#Headers],[Herramientas_mecánicas]],
    COUNTIF(AH568:AH574, B568) &gt; 0, Herramientas_hidráulicas2266110153[[#Headers],[Herramientas_hidráulicas]],
    COUNTIF(EPP_2367111154[SPCC], B568) &gt; 0, EPP_2367111154[[#Headers],[SPCC]],
   COUNTIF(Herramientas_de_izaje2468112155[Herramientas_de_izaje], B568) &gt; 0, Herramientas_de_izaje2468112155[[#Headers],[Herramientas_de_izaje]],
COUNTIF(Tabla162670114157[Equipos], B568) &gt; 0, Tabla162670114157[[#Headers],[Equipos]],
    TRUE, "Sin clasificación"
)</f>
        <v>Sin clasificación</v>
      </c>
      <c r="I568" s="15"/>
      <c r="J568" s="47"/>
      <c r="K568" s="76"/>
      <c r="L568" s="76"/>
      <c r="M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N568" s="77"/>
      <c r="O568" s="32"/>
      <c r="P568" s="32"/>
      <c r="Q568" s="32"/>
      <c r="R568" s="32"/>
    </row>
    <row r="569" spans="3:18" x14ac:dyDescent="0.3">
      <c r="C569" s="11"/>
      <c r="D569" s="32"/>
      <c r="E569" s="11" t="str" cm="1">
        <f t="array" ref="E569">_xlfn.IFS(
    COUNTIF(Herramientas_eléctricas1862106149[Herramientas_eléctricas], B569) &gt; 0, Herramientas_eléctricas1862106149[[#Headers],[Herramientas_eléctricas]],
    COUNTIF(Herramientas_neumáticas1963107150[Herramientas_neumáticas], B569) &gt; 0, Herramientas_neumáticas1963107150[[#Headers],[Herramientas_neumáticas]],
    COUNTIF(Herramientas_de_medición2064108151[Herramientas_de_medición], B569) &gt; 0, Herramientas_de_medición2064108151[[#Headers],[Herramientas_de_medición]],
    COUNTIF(Herrramientas_mecánicas2165109152[Herramientas_mecánicas], B569) &gt; 0, Herrramientas_mecánicas2165109152[[#Headers],[Herramientas_mecánicas]],
    COUNTIF(AH569:AH575, B569) &gt; 0, Herramientas_hidráulicas2266110153[[#Headers],[Herramientas_hidráulicas]],
    COUNTIF(EPP_2367111154[SPCC], B569) &gt; 0, EPP_2367111154[[#Headers],[SPCC]],
   COUNTIF(Herramientas_de_izaje2468112155[Herramientas_de_izaje], B569) &gt; 0, Herramientas_de_izaje2468112155[[#Headers],[Herramientas_de_izaje]],
COUNTIF(Tabla162670114157[Equipos], B569) &gt; 0, Tabla162670114157[[#Headers],[Equipos]],
    TRUE, "Sin clasificación"
)</f>
        <v>Sin clasificación</v>
      </c>
      <c r="I569" s="15"/>
      <c r="J569" s="47"/>
      <c r="K569" s="76"/>
      <c r="L569" s="76"/>
      <c r="M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N569" s="77"/>
      <c r="O569" s="32"/>
      <c r="P569" s="32"/>
      <c r="Q569" s="32"/>
      <c r="R569" s="32"/>
    </row>
    <row r="570" spans="3:18" x14ac:dyDescent="0.3">
      <c r="C570" s="11"/>
      <c r="D570" s="32"/>
      <c r="E570" s="11" t="str" cm="1">
        <f t="array" ref="E570">_xlfn.IFS(
    COUNTIF(Herramientas_eléctricas1862106149[Herramientas_eléctricas], B570) &gt; 0, Herramientas_eléctricas1862106149[[#Headers],[Herramientas_eléctricas]],
    COUNTIF(Herramientas_neumáticas1963107150[Herramientas_neumáticas], B570) &gt; 0, Herramientas_neumáticas1963107150[[#Headers],[Herramientas_neumáticas]],
    COUNTIF(Herramientas_de_medición2064108151[Herramientas_de_medición], B570) &gt; 0, Herramientas_de_medición2064108151[[#Headers],[Herramientas_de_medición]],
    COUNTIF(Herrramientas_mecánicas2165109152[Herramientas_mecánicas], B570) &gt; 0, Herrramientas_mecánicas2165109152[[#Headers],[Herramientas_mecánicas]],
    COUNTIF(AH570:AH576, B570) &gt; 0, Herramientas_hidráulicas2266110153[[#Headers],[Herramientas_hidráulicas]],
    COUNTIF(EPP_2367111154[SPCC], B570) &gt; 0, EPP_2367111154[[#Headers],[SPCC]],
   COUNTIF(Herramientas_de_izaje2468112155[Herramientas_de_izaje], B570) &gt; 0, Herramientas_de_izaje2468112155[[#Headers],[Herramientas_de_izaje]],
COUNTIF(Tabla162670114157[Equipos], B570) &gt; 0, Tabla162670114157[[#Headers],[Equipos]],
    TRUE, "Sin clasificación"
)</f>
        <v>Sin clasificación</v>
      </c>
      <c r="I570" s="15"/>
      <c r="J570" s="47"/>
      <c r="K570" s="76"/>
      <c r="L570" s="76"/>
      <c r="M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N570" s="77"/>
      <c r="O570" s="32"/>
      <c r="P570" s="32"/>
      <c r="Q570" s="32"/>
      <c r="R570" s="32"/>
    </row>
    <row r="571" spans="3:18" x14ac:dyDescent="0.3">
      <c r="C571" s="11"/>
      <c r="D571" s="32"/>
      <c r="E571" s="11" t="str" cm="1">
        <f t="array" ref="E571">_xlfn.IFS(
    COUNTIF(Herramientas_eléctricas1862106149[Herramientas_eléctricas], B571) &gt; 0, Herramientas_eléctricas1862106149[[#Headers],[Herramientas_eléctricas]],
    COUNTIF(Herramientas_neumáticas1963107150[Herramientas_neumáticas], B571) &gt; 0, Herramientas_neumáticas1963107150[[#Headers],[Herramientas_neumáticas]],
    COUNTIF(Herramientas_de_medición2064108151[Herramientas_de_medición], B571) &gt; 0, Herramientas_de_medición2064108151[[#Headers],[Herramientas_de_medición]],
    COUNTIF(Herrramientas_mecánicas2165109152[Herramientas_mecánicas], B571) &gt; 0, Herrramientas_mecánicas2165109152[[#Headers],[Herramientas_mecánicas]],
    COUNTIF(AH571:AH577, B571) &gt; 0, Herramientas_hidráulicas2266110153[[#Headers],[Herramientas_hidráulicas]],
    COUNTIF(EPP_2367111154[SPCC], B571) &gt; 0, EPP_2367111154[[#Headers],[SPCC]],
   COUNTIF(Herramientas_de_izaje2468112155[Herramientas_de_izaje], B571) &gt; 0, Herramientas_de_izaje2468112155[[#Headers],[Herramientas_de_izaje]],
COUNTIF(Tabla162670114157[Equipos], B571) &gt; 0, Tabla162670114157[[#Headers],[Equipos]],
    TRUE, "Sin clasificación"
)</f>
        <v>Sin clasificación</v>
      </c>
      <c r="I571" s="15"/>
      <c r="J571" s="47"/>
      <c r="K571" s="76"/>
      <c r="L571" s="76"/>
      <c r="M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N571" s="77"/>
      <c r="O571" s="32"/>
      <c r="P571" s="32"/>
      <c r="Q571" s="32"/>
      <c r="R571" s="32"/>
    </row>
    <row r="572" spans="3:18" x14ac:dyDescent="0.3">
      <c r="C572" s="11"/>
      <c r="D572" s="32"/>
      <c r="E572" s="11" t="str" cm="1">
        <f t="array" ref="E572">_xlfn.IFS(
    COUNTIF(Herramientas_eléctricas1862106149[Herramientas_eléctricas], B572) &gt; 0, Herramientas_eléctricas1862106149[[#Headers],[Herramientas_eléctricas]],
    COUNTIF(Herramientas_neumáticas1963107150[Herramientas_neumáticas], B572) &gt; 0, Herramientas_neumáticas1963107150[[#Headers],[Herramientas_neumáticas]],
    COUNTIF(Herramientas_de_medición2064108151[Herramientas_de_medición], B572) &gt; 0, Herramientas_de_medición2064108151[[#Headers],[Herramientas_de_medición]],
    COUNTIF(Herrramientas_mecánicas2165109152[Herramientas_mecánicas], B572) &gt; 0, Herrramientas_mecánicas2165109152[[#Headers],[Herramientas_mecánicas]],
    COUNTIF(AH572:AH578, B572) &gt; 0, Herramientas_hidráulicas2266110153[[#Headers],[Herramientas_hidráulicas]],
    COUNTIF(EPP_2367111154[SPCC], B572) &gt; 0, EPP_2367111154[[#Headers],[SPCC]],
   COUNTIF(Herramientas_de_izaje2468112155[Herramientas_de_izaje], B572) &gt; 0, Herramientas_de_izaje2468112155[[#Headers],[Herramientas_de_izaje]],
COUNTIF(Tabla162670114157[Equipos], B572) &gt; 0, Tabla162670114157[[#Headers],[Equipos]],
    TRUE, "Sin clasificación"
)</f>
        <v>Sin clasificación</v>
      </c>
      <c r="I572" s="15"/>
      <c r="J572" s="47"/>
      <c r="K572" s="76"/>
      <c r="L572" s="76"/>
      <c r="M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N572" s="77"/>
      <c r="O572" s="32"/>
      <c r="P572" s="32"/>
      <c r="Q572" s="32"/>
      <c r="R572" s="32"/>
    </row>
    <row r="573" spans="3:18" x14ac:dyDescent="0.3">
      <c r="C573" s="11"/>
      <c r="D573" s="32"/>
      <c r="E573" s="11" t="str" cm="1">
        <f t="array" ref="E573">_xlfn.IFS(
    COUNTIF(Herramientas_eléctricas1862106149[Herramientas_eléctricas], B573) &gt; 0, Herramientas_eléctricas1862106149[[#Headers],[Herramientas_eléctricas]],
    COUNTIF(Herramientas_neumáticas1963107150[Herramientas_neumáticas], B573) &gt; 0, Herramientas_neumáticas1963107150[[#Headers],[Herramientas_neumáticas]],
    COUNTIF(Herramientas_de_medición2064108151[Herramientas_de_medición], B573) &gt; 0, Herramientas_de_medición2064108151[[#Headers],[Herramientas_de_medición]],
    COUNTIF(Herrramientas_mecánicas2165109152[Herramientas_mecánicas], B573) &gt; 0, Herrramientas_mecánicas2165109152[[#Headers],[Herramientas_mecánicas]],
    COUNTIF(AH573:AH579, B573) &gt; 0, Herramientas_hidráulicas2266110153[[#Headers],[Herramientas_hidráulicas]],
    COUNTIF(EPP_2367111154[SPCC], B573) &gt; 0, EPP_2367111154[[#Headers],[SPCC]],
   COUNTIF(Herramientas_de_izaje2468112155[Herramientas_de_izaje], B573) &gt; 0, Herramientas_de_izaje2468112155[[#Headers],[Herramientas_de_izaje]],
COUNTIF(Tabla162670114157[Equipos], B573) &gt; 0, Tabla162670114157[[#Headers],[Equipos]],
    TRUE, "Sin clasificación"
)</f>
        <v>Sin clasificación</v>
      </c>
      <c r="I573" s="15"/>
      <c r="J573" s="47"/>
      <c r="K573" s="76"/>
      <c r="L573" s="76"/>
      <c r="M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N573" s="77"/>
      <c r="O573" s="32"/>
      <c r="P573" s="32"/>
      <c r="Q573" s="32"/>
      <c r="R573" s="32"/>
    </row>
    <row r="574" spans="3:18" x14ac:dyDescent="0.3">
      <c r="C574" s="11"/>
      <c r="D574" s="32"/>
      <c r="E574" s="11" t="str" cm="1">
        <f t="array" ref="E574">_xlfn.IFS(
    COUNTIF(Herramientas_eléctricas1862106149[Herramientas_eléctricas], B574) &gt; 0, Herramientas_eléctricas1862106149[[#Headers],[Herramientas_eléctricas]],
    COUNTIF(Herramientas_neumáticas1963107150[Herramientas_neumáticas], B574) &gt; 0, Herramientas_neumáticas1963107150[[#Headers],[Herramientas_neumáticas]],
    COUNTIF(Herramientas_de_medición2064108151[Herramientas_de_medición], B574) &gt; 0, Herramientas_de_medición2064108151[[#Headers],[Herramientas_de_medición]],
    COUNTIF(Herrramientas_mecánicas2165109152[Herramientas_mecánicas], B574) &gt; 0, Herrramientas_mecánicas2165109152[[#Headers],[Herramientas_mecánicas]],
    COUNTIF(AH574:AH580, B574) &gt; 0, Herramientas_hidráulicas2266110153[[#Headers],[Herramientas_hidráulicas]],
    COUNTIF(EPP_2367111154[SPCC], B574) &gt; 0, EPP_2367111154[[#Headers],[SPCC]],
   COUNTIF(Herramientas_de_izaje2468112155[Herramientas_de_izaje], B574) &gt; 0, Herramientas_de_izaje2468112155[[#Headers],[Herramientas_de_izaje]],
COUNTIF(Tabla162670114157[Equipos], B574) &gt; 0, Tabla162670114157[[#Headers],[Equipos]],
    TRUE, "Sin clasificación"
)</f>
        <v>Sin clasificación</v>
      </c>
      <c r="I574" s="15"/>
      <c r="J574" s="47"/>
      <c r="K574" s="76"/>
      <c r="L574" s="76"/>
      <c r="M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N574" s="77"/>
      <c r="O574" s="32"/>
      <c r="P574" s="32"/>
      <c r="Q574" s="32"/>
      <c r="R574" s="32"/>
    </row>
    <row r="575" spans="3:18" x14ac:dyDescent="0.3">
      <c r="C575" s="11"/>
      <c r="D575" s="32"/>
      <c r="E575" s="11" t="str" cm="1">
        <f t="array" ref="E575">_xlfn.IFS(
    COUNTIF(Herramientas_eléctricas1862106149[Herramientas_eléctricas], B575) &gt; 0, Herramientas_eléctricas1862106149[[#Headers],[Herramientas_eléctricas]],
    COUNTIF(Herramientas_neumáticas1963107150[Herramientas_neumáticas], B575) &gt; 0, Herramientas_neumáticas1963107150[[#Headers],[Herramientas_neumáticas]],
    COUNTIF(Herramientas_de_medición2064108151[Herramientas_de_medición], B575) &gt; 0, Herramientas_de_medición2064108151[[#Headers],[Herramientas_de_medición]],
    COUNTIF(Herrramientas_mecánicas2165109152[Herramientas_mecánicas], B575) &gt; 0, Herrramientas_mecánicas2165109152[[#Headers],[Herramientas_mecánicas]],
    COUNTIF(AH575:AH581, B575) &gt; 0, Herramientas_hidráulicas2266110153[[#Headers],[Herramientas_hidráulicas]],
    COUNTIF(EPP_2367111154[SPCC], B575) &gt; 0, EPP_2367111154[[#Headers],[SPCC]],
   COUNTIF(Herramientas_de_izaje2468112155[Herramientas_de_izaje], B575) &gt; 0, Herramientas_de_izaje2468112155[[#Headers],[Herramientas_de_izaje]],
COUNTIF(Tabla162670114157[Equipos], B575) &gt; 0, Tabla162670114157[[#Headers],[Equipos]],
    TRUE, "Sin clasificación"
)</f>
        <v>Sin clasificación</v>
      </c>
      <c r="I575" s="15"/>
      <c r="J575" s="47"/>
      <c r="K575" s="76"/>
      <c r="L575" s="76"/>
      <c r="M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N575" s="77"/>
      <c r="O575" s="32"/>
      <c r="P575" s="32"/>
      <c r="Q575" s="32"/>
      <c r="R575" s="32"/>
    </row>
    <row r="576" spans="3:18" x14ac:dyDescent="0.3">
      <c r="C576" s="11"/>
      <c r="D576" s="32"/>
      <c r="E576" s="11" t="str" cm="1">
        <f t="array" ref="E576">_xlfn.IFS(
    COUNTIF(Herramientas_eléctricas1862106149[Herramientas_eléctricas], B576) &gt; 0, Herramientas_eléctricas1862106149[[#Headers],[Herramientas_eléctricas]],
    COUNTIF(Herramientas_neumáticas1963107150[Herramientas_neumáticas], B576) &gt; 0, Herramientas_neumáticas1963107150[[#Headers],[Herramientas_neumáticas]],
    COUNTIF(Herramientas_de_medición2064108151[Herramientas_de_medición], B576) &gt; 0, Herramientas_de_medición2064108151[[#Headers],[Herramientas_de_medición]],
    COUNTIF(Herrramientas_mecánicas2165109152[Herramientas_mecánicas], B576) &gt; 0, Herrramientas_mecánicas2165109152[[#Headers],[Herramientas_mecánicas]],
    COUNTIF(AH576:AH582, B576) &gt; 0, Herramientas_hidráulicas2266110153[[#Headers],[Herramientas_hidráulicas]],
    COUNTIF(EPP_2367111154[SPCC], B576) &gt; 0, EPP_2367111154[[#Headers],[SPCC]],
   COUNTIF(Herramientas_de_izaje2468112155[Herramientas_de_izaje], B576) &gt; 0, Herramientas_de_izaje2468112155[[#Headers],[Herramientas_de_izaje]],
COUNTIF(Tabla162670114157[Equipos], B576) &gt; 0, Tabla162670114157[[#Headers],[Equipos]],
    TRUE, "Sin clasificación"
)</f>
        <v>Sin clasificación</v>
      </c>
      <c r="I576" s="15"/>
      <c r="J576" s="47"/>
      <c r="K576" s="76"/>
      <c r="L576" s="76"/>
      <c r="M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N576" s="77"/>
      <c r="O576" s="32"/>
      <c r="P576" s="32"/>
      <c r="Q576" s="32"/>
      <c r="R576" s="32"/>
    </row>
    <row r="577" spans="3:18" x14ac:dyDescent="0.3">
      <c r="C577" s="11"/>
      <c r="D577" s="32"/>
      <c r="E577" s="11" t="str" cm="1">
        <f t="array" ref="E577">_xlfn.IFS(
    COUNTIF(Herramientas_eléctricas1862106149[Herramientas_eléctricas], B577) &gt; 0, Herramientas_eléctricas1862106149[[#Headers],[Herramientas_eléctricas]],
    COUNTIF(Herramientas_neumáticas1963107150[Herramientas_neumáticas], B577) &gt; 0, Herramientas_neumáticas1963107150[[#Headers],[Herramientas_neumáticas]],
    COUNTIF(Herramientas_de_medición2064108151[Herramientas_de_medición], B577) &gt; 0, Herramientas_de_medición2064108151[[#Headers],[Herramientas_de_medición]],
    COUNTIF(Herrramientas_mecánicas2165109152[Herramientas_mecánicas], B577) &gt; 0, Herrramientas_mecánicas2165109152[[#Headers],[Herramientas_mecánicas]],
    COUNTIF(AH577:AH583, B577) &gt; 0, Herramientas_hidráulicas2266110153[[#Headers],[Herramientas_hidráulicas]],
    COUNTIF(EPP_2367111154[SPCC], B577) &gt; 0, EPP_2367111154[[#Headers],[SPCC]],
   COUNTIF(Herramientas_de_izaje2468112155[Herramientas_de_izaje], B577) &gt; 0, Herramientas_de_izaje2468112155[[#Headers],[Herramientas_de_izaje]],
COUNTIF(Tabla162670114157[Equipos], B577) &gt; 0, Tabla162670114157[[#Headers],[Equipos]],
    TRUE, "Sin clasificación"
)</f>
        <v>Sin clasificación</v>
      </c>
      <c r="I577" s="15"/>
      <c r="J577" s="47"/>
      <c r="K577" s="76"/>
      <c r="L577" s="76"/>
      <c r="M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N577" s="77"/>
      <c r="O577" s="32"/>
      <c r="P577" s="32"/>
      <c r="Q577" s="32"/>
      <c r="R577" s="32"/>
    </row>
    <row r="578" spans="3:18" x14ac:dyDescent="0.3">
      <c r="C578" s="11"/>
      <c r="D578" s="32"/>
      <c r="E578" s="11" t="str" cm="1">
        <f t="array" ref="E578">_xlfn.IFS(
    COUNTIF(Herramientas_eléctricas1862106149[Herramientas_eléctricas], B578) &gt; 0, Herramientas_eléctricas1862106149[[#Headers],[Herramientas_eléctricas]],
    COUNTIF(Herramientas_neumáticas1963107150[Herramientas_neumáticas], B578) &gt; 0, Herramientas_neumáticas1963107150[[#Headers],[Herramientas_neumáticas]],
    COUNTIF(Herramientas_de_medición2064108151[Herramientas_de_medición], B578) &gt; 0, Herramientas_de_medición2064108151[[#Headers],[Herramientas_de_medición]],
    COUNTIF(Herrramientas_mecánicas2165109152[Herramientas_mecánicas], B578) &gt; 0, Herrramientas_mecánicas2165109152[[#Headers],[Herramientas_mecánicas]],
    COUNTIF(AH578:AH584, B578) &gt; 0, Herramientas_hidráulicas2266110153[[#Headers],[Herramientas_hidráulicas]],
    COUNTIF(EPP_2367111154[SPCC], B578) &gt; 0, EPP_2367111154[[#Headers],[SPCC]],
   COUNTIF(Herramientas_de_izaje2468112155[Herramientas_de_izaje], B578) &gt; 0, Herramientas_de_izaje2468112155[[#Headers],[Herramientas_de_izaje]],
COUNTIF(Tabla162670114157[Equipos], B578) &gt; 0, Tabla162670114157[[#Headers],[Equipos]],
    TRUE, "Sin clasificación"
)</f>
        <v>Sin clasificación</v>
      </c>
      <c r="I578" s="15"/>
      <c r="J578" s="47"/>
      <c r="K578" s="76"/>
      <c r="L578" s="76"/>
      <c r="M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N578" s="77"/>
      <c r="O578" s="32"/>
      <c r="P578" s="32"/>
      <c r="Q578" s="32"/>
      <c r="R578" s="32"/>
    </row>
    <row r="579" spans="3:18" x14ac:dyDescent="0.3">
      <c r="C579" s="11"/>
      <c r="D579" s="32"/>
      <c r="E579" s="11" t="str" cm="1">
        <f t="array" ref="E579">_xlfn.IFS(
    COUNTIF(Herramientas_eléctricas1862106149[Herramientas_eléctricas], B579) &gt; 0, Herramientas_eléctricas1862106149[[#Headers],[Herramientas_eléctricas]],
    COUNTIF(Herramientas_neumáticas1963107150[Herramientas_neumáticas], B579) &gt; 0, Herramientas_neumáticas1963107150[[#Headers],[Herramientas_neumáticas]],
    COUNTIF(Herramientas_de_medición2064108151[Herramientas_de_medición], B579) &gt; 0, Herramientas_de_medición2064108151[[#Headers],[Herramientas_de_medición]],
    COUNTIF(Herrramientas_mecánicas2165109152[Herramientas_mecánicas], B579) &gt; 0, Herrramientas_mecánicas2165109152[[#Headers],[Herramientas_mecánicas]],
    COUNTIF(AH579:AH585, B579) &gt; 0, Herramientas_hidráulicas2266110153[[#Headers],[Herramientas_hidráulicas]],
    COUNTIF(EPP_2367111154[SPCC], B579) &gt; 0, EPP_2367111154[[#Headers],[SPCC]],
   COUNTIF(Herramientas_de_izaje2468112155[Herramientas_de_izaje], B579) &gt; 0, Herramientas_de_izaje2468112155[[#Headers],[Herramientas_de_izaje]],
COUNTIF(Tabla162670114157[Equipos], B579) &gt; 0, Tabla162670114157[[#Headers],[Equipos]],
    TRUE, "Sin clasificación"
)</f>
        <v>Sin clasificación</v>
      </c>
      <c r="I579" s="15"/>
      <c r="J579" s="47"/>
      <c r="K579" s="76"/>
      <c r="L579" s="76"/>
      <c r="M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N579" s="77"/>
      <c r="O579" s="32"/>
      <c r="P579" s="32"/>
      <c r="Q579" s="32"/>
      <c r="R579" s="32"/>
    </row>
    <row r="580" spans="3:18" x14ac:dyDescent="0.3">
      <c r="C580" s="11"/>
      <c r="D580" s="32"/>
      <c r="E580" s="11" t="str" cm="1">
        <f t="array" ref="E580">_xlfn.IFS(
    COUNTIF(Herramientas_eléctricas1862106149[Herramientas_eléctricas], B580) &gt; 0, Herramientas_eléctricas1862106149[[#Headers],[Herramientas_eléctricas]],
    COUNTIF(Herramientas_neumáticas1963107150[Herramientas_neumáticas], B580) &gt; 0, Herramientas_neumáticas1963107150[[#Headers],[Herramientas_neumáticas]],
    COUNTIF(Herramientas_de_medición2064108151[Herramientas_de_medición], B580) &gt; 0, Herramientas_de_medición2064108151[[#Headers],[Herramientas_de_medición]],
    COUNTIF(Herrramientas_mecánicas2165109152[Herramientas_mecánicas], B580) &gt; 0, Herrramientas_mecánicas2165109152[[#Headers],[Herramientas_mecánicas]],
    COUNTIF(AH580:AH586, B580) &gt; 0, Herramientas_hidráulicas2266110153[[#Headers],[Herramientas_hidráulicas]],
    COUNTIF(EPP_2367111154[SPCC], B580) &gt; 0, EPP_2367111154[[#Headers],[SPCC]],
   COUNTIF(Herramientas_de_izaje2468112155[Herramientas_de_izaje], B580) &gt; 0, Herramientas_de_izaje2468112155[[#Headers],[Herramientas_de_izaje]],
COUNTIF(Tabla162670114157[Equipos], B580) &gt; 0, Tabla162670114157[[#Headers],[Equipos]],
    TRUE, "Sin clasificación"
)</f>
        <v>Sin clasificación</v>
      </c>
      <c r="I580" s="15"/>
      <c r="J580" s="47"/>
      <c r="K580" s="76"/>
      <c r="L580" s="76"/>
      <c r="M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N580" s="77"/>
      <c r="O580" s="32"/>
      <c r="P580" s="32"/>
      <c r="Q580" s="32"/>
      <c r="R580" s="32"/>
    </row>
    <row r="581" spans="3:18" x14ac:dyDescent="0.3">
      <c r="C581" s="11"/>
      <c r="D581" s="32"/>
      <c r="E581" s="11" t="str" cm="1">
        <f t="array" ref="E581">_xlfn.IFS(
    COUNTIF(Herramientas_eléctricas1862106149[Herramientas_eléctricas], B581) &gt; 0, Herramientas_eléctricas1862106149[[#Headers],[Herramientas_eléctricas]],
    COUNTIF(Herramientas_neumáticas1963107150[Herramientas_neumáticas], B581) &gt; 0, Herramientas_neumáticas1963107150[[#Headers],[Herramientas_neumáticas]],
    COUNTIF(Herramientas_de_medición2064108151[Herramientas_de_medición], B581) &gt; 0, Herramientas_de_medición2064108151[[#Headers],[Herramientas_de_medición]],
    COUNTIF(Herrramientas_mecánicas2165109152[Herramientas_mecánicas], B581) &gt; 0, Herrramientas_mecánicas2165109152[[#Headers],[Herramientas_mecánicas]],
    COUNTIF(AH581:AH587, B581) &gt; 0, Herramientas_hidráulicas2266110153[[#Headers],[Herramientas_hidráulicas]],
    COUNTIF(EPP_2367111154[SPCC], B581) &gt; 0, EPP_2367111154[[#Headers],[SPCC]],
   COUNTIF(Herramientas_de_izaje2468112155[Herramientas_de_izaje], B581) &gt; 0, Herramientas_de_izaje2468112155[[#Headers],[Herramientas_de_izaje]],
COUNTIF(Tabla162670114157[Equipos], B581) &gt; 0, Tabla162670114157[[#Headers],[Equipos]],
    TRUE, "Sin clasificación"
)</f>
        <v>Sin clasificación</v>
      </c>
      <c r="I581" s="15"/>
      <c r="J581" s="47"/>
      <c r="K581" s="76"/>
      <c r="L581" s="76"/>
      <c r="M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N581" s="77"/>
      <c r="O581" s="32"/>
      <c r="P581" s="32"/>
      <c r="Q581" s="32"/>
      <c r="R581" s="32"/>
    </row>
    <row r="582" spans="3:18" x14ac:dyDescent="0.3">
      <c r="C582" s="11"/>
      <c r="D582" s="32"/>
      <c r="E582" s="11" t="str" cm="1">
        <f t="array" ref="E582">_xlfn.IFS(
    COUNTIF(Herramientas_eléctricas1862106149[Herramientas_eléctricas], B582) &gt; 0, Herramientas_eléctricas1862106149[[#Headers],[Herramientas_eléctricas]],
    COUNTIF(Herramientas_neumáticas1963107150[Herramientas_neumáticas], B582) &gt; 0, Herramientas_neumáticas1963107150[[#Headers],[Herramientas_neumáticas]],
    COUNTIF(Herramientas_de_medición2064108151[Herramientas_de_medición], B582) &gt; 0, Herramientas_de_medición2064108151[[#Headers],[Herramientas_de_medición]],
    COUNTIF(Herrramientas_mecánicas2165109152[Herramientas_mecánicas], B582) &gt; 0, Herrramientas_mecánicas2165109152[[#Headers],[Herramientas_mecánicas]],
    COUNTIF(AH582:AH588, B582) &gt; 0, Herramientas_hidráulicas2266110153[[#Headers],[Herramientas_hidráulicas]],
    COUNTIF(EPP_2367111154[SPCC], B582) &gt; 0, EPP_2367111154[[#Headers],[SPCC]],
   COUNTIF(Herramientas_de_izaje2468112155[Herramientas_de_izaje], B582) &gt; 0, Herramientas_de_izaje2468112155[[#Headers],[Herramientas_de_izaje]],
COUNTIF(Tabla162670114157[Equipos], B582) &gt; 0, Tabla162670114157[[#Headers],[Equipos]],
    TRUE, "Sin clasificación"
)</f>
        <v>Sin clasificación</v>
      </c>
      <c r="I582" s="15"/>
      <c r="J582" s="47"/>
      <c r="K582" s="76"/>
      <c r="L582" s="76"/>
      <c r="M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N582" s="77"/>
      <c r="O582" s="32"/>
      <c r="P582" s="32"/>
      <c r="Q582" s="32"/>
      <c r="R582" s="32"/>
    </row>
    <row r="583" spans="3:18" x14ac:dyDescent="0.3">
      <c r="C583" s="11"/>
      <c r="D583" s="32"/>
      <c r="E583" s="11" t="str" cm="1">
        <f t="array" ref="E583">_xlfn.IFS(
    COUNTIF(Herramientas_eléctricas1862106149[Herramientas_eléctricas], B583) &gt; 0, Herramientas_eléctricas1862106149[[#Headers],[Herramientas_eléctricas]],
    COUNTIF(Herramientas_neumáticas1963107150[Herramientas_neumáticas], B583) &gt; 0, Herramientas_neumáticas1963107150[[#Headers],[Herramientas_neumáticas]],
    COUNTIF(Herramientas_de_medición2064108151[Herramientas_de_medición], B583) &gt; 0, Herramientas_de_medición2064108151[[#Headers],[Herramientas_de_medición]],
    COUNTIF(Herrramientas_mecánicas2165109152[Herramientas_mecánicas], B583) &gt; 0, Herrramientas_mecánicas2165109152[[#Headers],[Herramientas_mecánicas]],
    COUNTIF(AH583:AH589, B583) &gt; 0, Herramientas_hidráulicas2266110153[[#Headers],[Herramientas_hidráulicas]],
    COUNTIF(EPP_2367111154[SPCC], B583) &gt; 0, EPP_2367111154[[#Headers],[SPCC]],
   COUNTIF(Herramientas_de_izaje2468112155[Herramientas_de_izaje], B583) &gt; 0, Herramientas_de_izaje2468112155[[#Headers],[Herramientas_de_izaje]],
COUNTIF(Tabla162670114157[Equipos], B583) &gt; 0, Tabla162670114157[[#Headers],[Equipos]],
    TRUE, "Sin clasificación"
)</f>
        <v>Sin clasificación</v>
      </c>
      <c r="I583" s="15"/>
      <c r="J583" s="47"/>
      <c r="K583" s="76"/>
      <c r="L583" s="76"/>
      <c r="M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N583" s="77"/>
      <c r="O583" s="32"/>
      <c r="P583" s="32"/>
      <c r="Q583" s="32"/>
      <c r="R583" s="32"/>
    </row>
    <row r="584" spans="3:18" x14ac:dyDescent="0.3">
      <c r="C584" s="11"/>
      <c r="D584" s="32"/>
      <c r="E584" s="11" t="str" cm="1">
        <f t="array" ref="E584">_xlfn.IFS(
    COUNTIF(Herramientas_eléctricas1862106149[Herramientas_eléctricas], B584) &gt; 0, Herramientas_eléctricas1862106149[[#Headers],[Herramientas_eléctricas]],
    COUNTIF(Herramientas_neumáticas1963107150[Herramientas_neumáticas], B584) &gt; 0, Herramientas_neumáticas1963107150[[#Headers],[Herramientas_neumáticas]],
    COUNTIF(Herramientas_de_medición2064108151[Herramientas_de_medición], B584) &gt; 0, Herramientas_de_medición2064108151[[#Headers],[Herramientas_de_medición]],
    COUNTIF(Herrramientas_mecánicas2165109152[Herramientas_mecánicas], B584) &gt; 0, Herrramientas_mecánicas2165109152[[#Headers],[Herramientas_mecánicas]],
    COUNTIF(AH584:AH590, B584) &gt; 0, Herramientas_hidráulicas2266110153[[#Headers],[Herramientas_hidráulicas]],
    COUNTIF(EPP_2367111154[SPCC], B584) &gt; 0, EPP_2367111154[[#Headers],[SPCC]],
   COUNTIF(Herramientas_de_izaje2468112155[Herramientas_de_izaje], B584) &gt; 0, Herramientas_de_izaje2468112155[[#Headers],[Herramientas_de_izaje]],
COUNTIF(Tabla162670114157[Equipos], B584) &gt; 0, Tabla162670114157[[#Headers],[Equipos]],
    TRUE, "Sin clasificación"
)</f>
        <v>Sin clasificación</v>
      </c>
      <c r="I584" s="15"/>
      <c r="J584" s="47"/>
      <c r="K584" s="76"/>
      <c r="L584" s="76"/>
      <c r="M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N584" s="77"/>
      <c r="O584" s="32"/>
      <c r="P584" s="32"/>
      <c r="Q584" s="32"/>
      <c r="R584" s="32"/>
    </row>
    <row r="585" spans="3:18" x14ac:dyDescent="0.3">
      <c r="C585" s="11"/>
      <c r="D585" s="32"/>
      <c r="E585" s="11" t="str" cm="1">
        <f t="array" ref="E585">_xlfn.IFS(
    COUNTIF(Herramientas_eléctricas1862106149[Herramientas_eléctricas], B585) &gt; 0, Herramientas_eléctricas1862106149[[#Headers],[Herramientas_eléctricas]],
    COUNTIF(Herramientas_neumáticas1963107150[Herramientas_neumáticas], B585) &gt; 0, Herramientas_neumáticas1963107150[[#Headers],[Herramientas_neumáticas]],
    COUNTIF(Herramientas_de_medición2064108151[Herramientas_de_medición], B585) &gt; 0, Herramientas_de_medición2064108151[[#Headers],[Herramientas_de_medición]],
    COUNTIF(Herrramientas_mecánicas2165109152[Herramientas_mecánicas], B585) &gt; 0, Herrramientas_mecánicas2165109152[[#Headers],[Herramientas_mecánicas]],
    COUNTIF(AH585:AH591, B585) &gt; 0, Herramientas_hidráulicas2266110153[[#Headers],[Herramientas_hidráulicas]],
    COUNTIF(EPP_2367111154[SPCC], B585) &gt; 0, EPP_2367111154[[#Headers],[SPCC]],
   COUNTIF(Herramientas_de_izaje2468112155[Herramientas_de_izaje], B585) &gt; 0, Herramientas_de_izaje2468112155[[#Headers],[Herramientas_de_izaje]],
COUNTIF(Tabla162670114157[Equipos], B585) &gt; 0, Tabla162670114157[[#Headers],[Equipos]],
    TRUE, "Sin clasificación"
)</f>
        <v>Sin clasificación</v>
      </c>
      <c r="I585" s="15"/>
      <c r="J585" s="47"/>
      <c r="K585" s="76"/>
      <c r="L585" s="76"/>
      <c r="M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N585" s="77"/>
      <c r="O585" s="32"/>
      <c r="P585" s="32"/>
      <c r="Q585" s="32"/>
      <c r="R585" s="32"/>
    </row>
    <row r="586" spans="3:18" x14ac:dyDescent="0.3">
      <c r="C586" s="11"/>
      <c r="D586" s="32"/>
      <c r="E586" s="11" t="str" cm="1">
        <f t="array" ref="E586">_xlfn.IFS(
    COUNTIF(Herramientas_eléctricas1862106149[Herramientas_eléctricas], B586) &gt; 0, Herramientas_eléctricas1862106149[[#Headers],[Herramientas_eléctricas]],
    COUNTIF(Herramientas_neumáticas1963107150[Herramientas_neumáticas], B586) &gt; 0, Herramientas_neumáticas1963107150[[#Headers],[Herramientas_neumáticas]],
    COUNTIF(Herramientas_de_medición2064108151[Herramientas_de_medición], B586) &gt; 0, Herramientas_de_medición2064108151[[#Headers],[Herramientas_de_medición]],
    COUNTIF(Herrramientas_mecánicas2165109152[Herramientas_mecánicas], B586) &gt; 0, Herrramientas_mecánicas2165109152[[#Headers],[Herramientas_mecánicas]],
    COUNTIF(AH586:AH592, B586) &gt; 0, Herramientas_hidráulicas2266110153[[#Headers],[Herramientas_hidráulicas]],
    COUNTIF(EPP_2367111154[SPCC], B586) &gt; 0, EPP_2367111154[[#Headers],[SPCC]],
   COUNTIF(Herramientas_de_izaje2468112155[Herramientas_de_izaje], B586) &gt; 0, Herramientas_de_izaje2468112155[[#Headers],[Herramientas_de_izaje]],
COUNTIF(Tabla162670114157[Equipos], B586) &gt; 0, Tabla162670114157[[#Headers],[Equipos]],
    TRUE, "Sin clasificación"
)</f>
        <v>Sin clasificación</v>
      </c>
      <c r="I586" s="15"/>
      <c r="J586" s="47"/>
      <c r="K586" s="76"/>
      <c r="L586" s="76"/>
      <c r="M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N586" s="77"/>
      <c r="O586" s="32"/>
      <c r="P586" s="32"/>
      <c r="Q586" s="32"/>
      <c r="R586" s="32"/>
    </row>
    <row r="587" spans="3:18" x14ac:dyDescent="0.3">
      <c r="C587" s="11"/>
      <c r="D587" s="32"/>
      <c r="E587" s="11" t="str" cm="1">
        <f t="array" ref="E587">_xlfn.IFS(
    COUNTIF(Herramientas_eléctricas1862106149[Herramientas_eléctricas], B587) &gt; 0, Herramientas_eléctricas1862106149[[#Headers],[Herramientas_eléctricas]],
    COUNTIF(Herramientas_neumáticas1963107150[Herramientas_neumáticas], B587) &gt; 0, Herramientas_neumáticas1963107150[[#Headers],[Herramientas_neumáticas]],
    COUNTIF(Herramientas_de_medición2064108151[Herramientas_de_medición], B587) &gt; 0, Herramientas_de_medición2064108151[[#Headers],[Herramientas_de_medición]],
    COUNTIF(Herrramientas_mecánicas2165109152[Herramientas_mecánicas], B587) &gt; 0, Herrramientas_mecánicas2165109152[[#Headers],[Herramientas_mecánicas]],
    COUNTIF(AH587:AH593, B587) &gt; 0, Herramientas_hidráulicas2266110153[[#Headers],[Herramientas_hidráulicas]],
    COUNTIF(EPP_2367111154[SPCC], B587) &gt; 0, EPP_2367111154[[#Headers],[SPCC]],
   COUNTIF(Herramientas_de_izaje2468112155[Herramientas_de_izaje], B587) &gt; 0, Herramientas_de_izaje2468112155[[#Headers],[Herramientas_de_izaje]],
COUNTIF(Tabla162670114157[Equipos], B587) &gt; 0, Tabla162670114157[[#Headers],[Equipos]],
    TRUE, "Sin clasificación"
)</f>
        <v>Sin clasificación</v>
      </c>
      <c r="I587" s="15"/>
      <c r="J587" s="47"/>
      <c r="K587" s="76"/>
      <c r="L587" s="76"/>
      <c r="M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N587" s="77"/>
      <c r="O587" s="32"/>
      <c r="P587" s="32"/>
      <c r="Q587" s="32"/>
      <c r="R587" s="32"/>
    </row>
    <row r="588" spans="3:18" x14ac:dyDescent="0.3">
      <c r="C588" s="11"/>
      <c r="D588" s="32"/>
      <c r="E588" s="11" t="str" cm="1">
        <f t="array" ref="E588">_xlfn.IFS(
    COUNTIF(Herramientas_eléctricas1862106149[Herramientas_eléctricas], B588) &gt; 0, Herramientas_eléctricas1862106149[[#Headers],[Herramientas_eléctricas]],
    COUNTIF(Herramientas_neumáticas1963107150[Herramientas_neumáticas], B588) &gt; 0, Herramientas_neumáticas1963107150[[#Headers],[Herramientas_neumáticas]],
    COUNTIF(Herramientas_de_medición2064108151[Herramientas_de_medición], B588) &gt; 0, Herramientas_de_medición2064108151[[#Headers],[Herramientas_de_medición]],
    COUNTIF(Herrramientas_mecánicas2165109152[Herramientas_mecánicas], B588) &gt; 0, Herrramientas_mecánicas2165109152[[#Headers],[Herramientas_mecánicas]],
    COUNTIF(AH588:AH594, B588) &gt; 0, Herramientas_hidráulicas2266110153[[#Headers],[Herramientas_hidráulicas]],
    COUNTIF(EPP_2367111154[SPCC], B588) &gt; 0, EPP_2367111154[[#Headers],[SPCC]],
   COUNTIF(Herramientas_de_izaje2468112155[Herramientas_de_izaje], B588) &gt; 0, Herramientas_de_izaje2468112155[[#Headers],[Herramientas_de_izaje]],
COUNTIF(Tabla162670114157[Equipos], B588) &gt; 0, Tabla162670114157[[#Headers],[Equipos]],
    TRUE, "Sin clasificación"
)</f>
        <v>Sin clasificación</v>
      </c>
      <c r="I588" s="15"/>
      <c r="J588" s="47"/>
      <c r="K588" s="76"/>
      <c r="L588" s="76"/>
      <c r="M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N588" s="77"/>
      <c r="O588" s="32"/>
      <c r="P588" s="32"/>
      <c r="Q588" s="32"/>
      <c r="R588" s="32"/>
    </row>
    <row r="589" spans="3:18" x14ac:dyDescent="0.3">
      <c r="C589" s="11"/>
      <c r="D589" s="32"/>
      <c r="E589" s="11" t="str" cm="1">
        <f t="array" ref="E589">_xlfn.IFS(
    COUNTIF(Herramientas_eléctricas1862106149[Herramientas_eléctricas], B589) &gt; 0, Herramientas_eléctricas1862106149[[#Headers],[Herramientas_eléctricas]],
    COUNTIF(Herramientas_neumáticas1963107150[Herramientas_neumáticas], B589) &gt; 0, Herramientas_neumáticas1963107150[[#Headers],[Herramientas_neumáticas]],
    COUNTIF(Herramientas_de_medición2064108151[Herramientas_de_medición], B589) &gt; 0, Herramientas_de_medición2064108151[[#Headers],[Herramientas_de_medición]],
    COUNTIF(Herrramientas_mecánicas2165109152[Herramientas_mecánicas], B589) &gt; 0, Herrramientas_mecánicas2165109152[[#Headers],[Herramientas_mecánicas]],
    COUNTIF(AH589:AH595, B589) &gt; 0, Herramientas_hidráulicas2266110153[[#Headers],[Herramientas_hidráulicas]],
    COUNTIF(EPP_2367111154[SPCC], B589) &gt; 0, EPP_2367111154[[#Headers],[SPCC]],
   COUNTIF(Herramientas_de_izaje2468112155[Herramientas_de_izaje], B589) &gt; 0, Herramientas_de_izaje2468112155[[#Headers],[Herramientas_de_izaje]],
COUNTIF(Tabla162670114157[Equipos], B589) &gt; 0, Tabla162670114157[[#Headers],[Equipos]],
    TRUE, "Sin clasificación"
)</f>
        <v>Sin clasificación</v>
      </c>
      <c r="I589" s="15"/>
      <c r="J589" s="47"/>
      <c r="K589" s="76"/>
      <c r="L589" s="76"/>
      <c r="M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N589" s="77"/>
      <c r="O589" s="32"/>
      <c r="P589" s="32"/>
      <c r="Q589" s="32"/>
      <c r="R589" s="32"/>
    </row>
    <row r="590" spans="3:18" x14ac:dyDescent="0.3">
      <c r="C590" s="11"/>
      <c r="D590" s="32"/>
      <c r="E590" s="11" t="str" cm="1">
        <f t="array" ref="E590">_xlfn.IFS(
    COUNTIF(Herramientas_eléctricas1862106149[Herramientas_eléctricas], B590) &gt; 0, Herramientas_eléctricas1862106149[[#Headers],[Herramientas_eléctricas]],
    COUNTIF(Herramientas_neumáticas1963107150[Herramientas_neumáticas], B590) &gt; 0, Herramientas_neumáticas1963107150[[#Headers],[Herramientas_neumáticas]],
    COUNTIF(Herramientas_de_medición2064108151[Herramientas_de_medición], B590) &gt; 0, Herramientas_de_medición2064108151[[#Headers],[Herramientas_de_medición]],
    COUNTIF(Herrramientas_mecánicas2165109152[Herramientas_mecánicas], B590) &gt; 0, Herrramientas_mecánicas2165109152[[#Headers],[Herramientas_mecánicas]],
    COUNTIF(AH590:AH596, B590) &gt; 0, Herramientas_hidráulicas2266110153[[#Headers],[Herramientas_hidráulicas]],
    COUNTIF(EPP_2367111154[SPCC], B590) &gt; 0, EPP_2367111154[[#Headers],[SPCC]],
   COUNTIF(Herramientas_de_izaje2468112155[Herramientas_de_izaje], B590) &gt; 0, Herramientas_de_izaje2468112155[[#Headers],[Herramientas_de_izaje]],
COUNTIF(Tabla162670114157[Equipos], B590) &gt; 0, Tabla162670114157[[#Headers],[Equipos]],
    TRUE, "Sin clasificación"
)</f>
        <v>Sin clasificación</v>
      </c>
      <c r="I590" s="15"/>
      <c r="J590" s="47"/>
      <c r="K590" s="76"/>
      <c r="L590" s="76"/>
      <c r="M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N590" s="77"/>
      <c r="O590" s="32"/>
      <c r="P590" s="32"/>
      <c r="Q590" s="32"/>
      <c r="R590" s="32"/>
    </row>
    <row r="591" spans="3:18" x14ac:dyDescent="0.3">
      <c r="C591" s="11"/>
      <c r="D591" s="32"/>
      <c r="E591" s="11" t="str" cm="1">
        <f t="array" ref="E591">_xlfn.IFS(
    COUNTIF(Herramientas_eléctricas1862106149[Herramientas_eléctricas], B591) &gt; 0, Herramientas_eléctricas1862106149[[#Headers],[Herramientas_eléctricas]],
    COUNTIF(Herramientas_neumáticas1963107150[Herramientas_neumáticas], B591) &gt; 0, Herramientas_neumáticas1963107150[[#Headers],[Herramientas_neumáticas]],
    COUNTIF(Herramientas_de_medición2064108151[Herramientas_de_medición], B591) &gt; 0, Herramientas_de_medición2064108151[[#Headers],[Herramientas_de_medición]],
    COUNTIF(Herrramientas_mecánicas2165109152[Herramientas_mecánicas], B591) &gt; 0, Herrramientas_mecánicas2165109152[[#Headers],[Herramientas_mecánicas]],
    COUNTIF(AH591:AH597, B591) &gt; 0, Herramientas_hidráulicas2266110153[[#Headers],[Herramientas_hidráulicas]],
    COUNTIF(EPP_2367111154[SPCC], B591) &gt; 0, EPP_2367111154[[#Headers],[SPCC]],
   COUNTIF(Herramientas_de_izaje2468112155[Herramientas_de_izaje], B591) &gt; 0, Herramientas_de_izaje2468112155[[#Headers],[Herramientas_de_izaje]],
COUNTIF(Tabla162670114157[Equipos], B591) &gt; 0, Tabla162670114157[[#Headers],[Equipos]],
    TRUE, "Sin clasificación"
)</f>
        <v>Sin clasificación</v>
      </c>
      <c r="I591" s="15"/>
      <c r="J591" s="47"/>
      <c r="K591" s="76"/>
      <c r="L591" s="76"/>
      <c r="M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N591" s="77"/>
      <c r="O591" s="32"/>
      <c r="P591" s="32"/>
      <c r="Q591" s="32"/>
      <c r="R591" s="32"/>
    </row>
    <row r="592" spans="3:18" x14ac:dyDescent="0.3">
      <c r="C592" s="11"/>
      <c r="D592" s="32"/>
      <c r="E592" s="11" t="str" cm="1">
        <f t="array" ref="E592">_xlfn.IFS(
    COUNTIF(Herramientas_eléctricas1862106149[Herramientas_eléctricas], B592) &gt; 0, Herramientas_eléctricas1862106149[[#Headers],[Herramientas_eléctricas]],
    COUNTIF(Herramientas_neumáticas1963107150[Herramientas_neumáticas], B592) &gt; 0, Herramientas_neumáticas1963107150[[#Headers],[Herramientas_neumáticas]],
    COUNTIF(Herramientas_de_medición2064108151[Herramientas_de_medición], B592) &gt; 0, Herramientas_de_medición2064108151[[#Headers],[Herramientas_de_medición]],
    COUNTIF(Herrramientas_mecánicas2165109152[Herramientas_mecánicas], B592) &gt; 0, Herrramientas_mecánicas2165109152[[#Headers],[Herramientas_mecánicas]],
    COUNTIF(AH592:AH598, B592) &gt; 0, Herramientas_hidráulicas2266110153[[#Headers],[Herramientas_hidráulicas]],
    COUNTIF(EPP_2367111154[SPCC], B592) &gt; 0, EPP_2367111154[[#Headers],[SPCC]],
   COUNTIF(Herramientas_de_izaje2468112155[Herramientas_de_izaje], B592) &gt; 0, Herramientas_de_izaje2468112155[[#Headers],[Herramientas_de_izaje]],
COUNTIF(Tabla162670114157[Equipos], B592) &gt; 0, Tabla162670114157[[#Headers],[Equipos]],
    TRUE, "Sin clasificación"
)</f>
        <v>Sin clasificación</v>
      </c>
      <c r="I592" s="15"/>
      <c r="J592" s="47"/>
      <c r="K592" s="76"/>
      <c r="L592" s="76"/>
      <c r="M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N592" s="77"/>
      <c r="O592" s="32"/>
      <c r="P592" s="32"/>
      <c r="Q592" s="32"/>
      <c r="R592" s="32"/>
    </row>
    <row r="593" spans="3:18" x14ac:dyDescent="0.3">
      <c r="C593" s="11"/>
      <c r="D593" s="32"/>
      <c r="E593" s="11" t="str" cm="1">
        <f t="array" ref="E593">_xlfn.IFS(
    COUNTIF(Herramientas_eléctricas1862106149[Herramientas_eléctricas], B593) &gt; 0, Herramientas_eléctricas1862106149[[#Headers],[Herramientas_eléctricas]],
    COUNTIF(Herramientas_neumáticas1963107150[Herramientas_neumáticas], B593) &gt; 0, Herramientas_neumáticas1963107150[[#Headers],[Herramientas_neumáticas]],
    COUNTIF(Herramientas_de_medición2064108151[Herramientas_de_medición], B593) &gt; 0, Herramientas_de_medición2064108151[[#Headers],[Herramientas_de_medición]],
    COUNTIF(Herrramientas_mecánicas2165109152[Herramientas_mecánicas], B593) &gt; 0, Herrramientas_mecánicas2165109152[[#Headers],[Herramientas_mecánicas]],
    COUNTIF(AH593:AH599, B593) &gt; 0, Herramientas_hidráulicas2266110153[[#Headers],[Herramientas_hidráulicas]],
    COUNTIF(EPP_2367111154[SPCC], B593) &gt; 0, EPP_2367111154[[#Headers],[SPCC]],
   COUNTIF(Herramientas_de_izaje2468112155[Herramientas_de_izaje], B593) &gt; 0, Herramientas_de_izaje2468112155[[#Headers],[Herramientas_de_izaje]],
COUNTIF(Tabla162670114157[Equipos], B593) &gt; 0, Tabla162670114157[[#Headers],[Equipos]],
    TRUE, "Sin clasificación"
)</f>
        <v>Sin clasificación</v>
      </c>
      <c r="I593" s="15"/>
      <c r="J593" s="47"/>
      <c r="K593" s="76"/>
      <c r="L593" s="76"/>
      <c r="M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N593" s="77"/>
      <c r="O593" s="32"/>
      <c r="P593" s="32"/>
      <c r="Q593" s="32"/>
      <c r="R593" s="32"/>
    </row>
    <row r="594" spans="3:18" x14ac:dyDescent="0.3">
      <c r="C594" s="11"/>
      <c r="D594" s="32"/>
      <c r="E594" s="11" t="str" cm="1">
        <f t="array" ref="E594">_xlfn.IFS(
    COUNTIF(Herramientas_eléctricas1862106149[Herramientas_eléctricas], B594) &gt; 0, Herramientas_eléctricas1862106149[[#Headers],[Herramientas_eléctricas]],
    COUNTIF(Herramientas_neumáticas1963107150[Herramientas_neumáticas], B594) &gt; 0, Herramientas_neumáticas1963107150[[#Headers],[Herramientas_neumáticas]],
    COUNTIF(Herramientas_de_medición2064108151[Herramientas_de_medición], B594) &gt; 0, Herramientas_de_medición2064108151[[#Headers],[Herramientas_de_medición]],
    COUNTIF(Herrramientas_mecánicas2165109152[Herramientas_mecánicas], B594) &gt; 0, Herrramientas_mecánicas2165109152[[#Headers],[Herramientas_mecánicas]],
    COUNTIF(AH594:AH600, B594) &gt; 0, Herramientas_hidráulicas2266110153[[#Headers],[Herramientas_hidráulicas]],
    COUNTIF(EPP_2367111154[SPCC], B594) &gt; 0, EPP_2367111154[[#Headers],[SPCC]],
   COUNTIF(Herramientas_de_izaje2468112155[Herramientas_de_izaje], B594) &gt; 0, Herramientas_de_izaje2468112155[[#Headers],[Herramientas_de_izaje]],
COUNTIF(Tabla162670114157[Equipos], B594) &gt; 0, Tabla162670114157[[#Headers],[Equipos]],
    TRUE, "Sin clasificación"
)</f>
        <v>Sin clasificación</v>
      </c>
      <c r="I594" s="15"/>
      <c r="J594" s="47"/>
      <c r="K594" s="76"/>
      <c r="L594" s="76"/>
      <c r="M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N594" s="77"/>
      <c r="O594" s="32"/>
      <c r="P594" s="32"/>
      <c r="Q594" s="32"/>
      <c r="R594" s="32"/>
    </row>
    <row r="595" spans="3:18" x14ac:dyDescent="0.3">
      <c r="C595" s="11"/>
      <c r="D595" s="32"/>
      <c r="E595" s="11" t="str" cm="1">
        <f t="array" ref="E595">_xlfn.IFS(
    COUNTIF(Herramientas_eléctricas1862106149[Herramientas_eléctricas], B595) &gt; 0, Herramientas_eléctricas1862106149[[#Headers],[Herramientas_eléctricas]],
    COUNTIF(Herramientas_neumáticas1963107150[Herramientas_neumáticas], B595) &gt; 0, Herramientas_neumáticas1963107150[[#Headers],[Herramientas_neumáticas]],
    COUNTIF(Herramientas_de_medición2064108151[Herramientas_de_medición], B595) &gt; 0, Herramientas_de_medición2064108151[[#Headers],[Herramientas_de_medición]],
    COUNTIF(Herrramientas_mecánicas2165109152[Herramientas_mecánicas], B595) &gt; 0, Herrramientas_mecánicas2165109152[[#Headers],[Herramientas_mecánicas]],
    COUNTIF(AH595:AH601, B595) &gt; 0, Herramientas_hidráulicas2266110153[[#Headers],[Herramientas_hidráulicas]],
    COUNTIF(EPP_2367111154[SPCC], B595) &gt; 0, EPP_2367111154[[#Headers],[SPCC]],
   COUNTIF(Herramientas_de_izaje2468112155[Herramientas_de_izaje], B595) &gt; 0, Herramientas_de_izaje2468112155[[#Headers],[Herramientas_de_izaje]],
COUNTIF(Tabla162670114157[Equipos], B595) &gt; 0, Tabla162670114157[[#Headers],[Equipos]],
    TRUE, "Sin clasificación"
)</f>
        <v>Sin clasificación</v>
      </c>
      <c r="I595" s="15"/>
      <c r="J595" s="47"/>
      <c r="K595" s="76"/>
      <c r="L595" s="76"/>
      <c r="M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N595" s="77"/>
      <c r="O595" s="32"/>
      <c r="P595" s="32"/>
      <c r="Q595" s="32"/>
      <c r="R595" s="32"/>
    </row>
    <row r="596" spans="3:18" x14ac:dyDescent="0.3">
      <c r="C596" s="11"/>
      <c r="D596" s="32"/>
      <c r="E596" s="11" t="str" cm="1">
        <f t="array" ref="E596">_xlfn.IFS(
    COUNTIF(Herramientas_eléctricas1862106149[Herramientas_eléctricas], B596) &gt; 0, Herramientas_eléctricas1862106149[[#Headers],[Herramientas_eléctricas]],
    COUNTIF(Herramientas_neumáticas1963107150[Herramientas_neumáticas], B596) &gt; 0, Herramientas_neumáticas1963107150[[#Headers],[Herramientas_neumáticas]],
    COUNTIF(Herramientas_de_medición2064108151[Herramientas_de_medición], B596) &gt; 0, Herramientas_de_medición2064108151[[#Headers],[Herramientas_de_medición]],
    COUNTIF(Herrramientas_mecánicas2165109152[Herramientas_mecánicas], B596) &gt; 0, Herrramientas_mecánicas2165109152[[#Headers],[Herramientas_mecánicas]],
    COUNTIF(AH596:AH602, B596) &gt; 0, Herramientas_hidráulicas2266110153[[#Headers],[Herramientas_hidráulicas]],
    COUNTIF(EPP_2367111154[SPCC], B596) &gt; 0, EPP_2367111154[[#Headers],[SPCC]],
   COUNTIF(Herramientas_de_izaje2468112155[Herramientas_de_izaje], B596) &gt; 0, Herramientas_de_izaje2468112155[[#Headers],[Herramientas_de_izaje]],
COUNTIF(Tabla162670114157[Equipos], B596) &gt; 0, Tabla162670114157[[#Headers],[Equipos]],
    TRUE, "Sin clasificación"
)</f>
        <v>Sin clasificación</v>
      </c>
      <c r="I596" s="15"/>
      <c r="J596" s="47"/>
      <c r="K596" s="76"/>
      <c r="L596" s="76"/>
      <c r="M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N596" s="77"/>
      <c r="O596" s="32"/>
      <c r="P596" s="32"/>
      <c r="Q596" s="32"/>
      <c r="R596" s="32"/>
    </row>
    <row r="597" spans="3:18" x14ac:dyDescent="0.3">
      <c r="C597" s="11"/>
      <c r="D597" s="32"/>
      <c r="E597" s="11" t="str" cm="1">
        <f t="array" ref="E597">_xlfn.IFS(
    COUNTIF(Herramientas_eléctricas1862106149[Herramientas_eléctricas], B597) &gt; 0, Herramientas_eléctricas1862106149[[#Headers],[Herramientas_eléctricas]],
    COUNTIF(Herramientas_neumáticas1963107150[Herramientas_neumáticas], B597) &gt; 0, Herramientas_neumáticas1963107150[[#Headers],[Herramientas_neumáticas]],
    COUNTIF(Herramientas_de_medición2064108151[Herramientas_de_medición], B597) &gt; 0, Herramientas_de_medición2064108151[[#Headers],[Herramientas_de_medición]],
    COUNTIF(Herrramientas_mecánicas2165109152[Herramientas_mecánicas], B597) &gt; 0, Herrramientas_mecánicas2165109152[[#Headers],[Herramientas_mecánicas]],
    COUNTIF(AH597:AH603, B597) &gt; 0, Herramientas_hidráulicas2266110153[[#Headers],[Herramientas_hidráulicas]],
    COUNTIF(EPP_2367111154[SPCC], B597) &gt; 0, EPP_2367111154[[#Headers],[SPCC]],
   COUNTIF(Herramientas_de_izaje2468112155[Herramientas_de_izaje], B597) &gt; 0, Herramientas_de_izaje2468112155[[#Headers],[Herramientas_de_izaje]],
COUNTIF(Tabla162670114157[Equipos], B597) &gt; 0, Tabla162670114157[[#Headers],[Equipos]],
    TRUE, "Sin clasificación"
)</f>
        <v>Sin clasificación</v>
      </c>
      <c r="I597" s="15"/>
      <c r="J597" s="47"/>
      <c r="K597" s="76"/>
      <c r="L597" s="76"/>
      <c r="M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N597" s="77"/>
      <c r="O597" s="32"/>
      <c r="P597" s="32"/>
      <c r="Q597" s="32"/>
      <c r="R597" s="32"/>
    </row>
    <row r="598" spans="3:18" x14ac:dyDescent="0.3">
      <c r="C598" s="11"/>
      <c r="D598" s="32"/>
      <c r="E598" s="11" t="str" cm="1">
        <f t="array" ref="E598">_xlfn.IFS(
    COUNTIF(Herramientas_eléctricas1862106149[Herramientas_eléctricas], B598) &gt; 0, Herramientas_eléctricas1862106149[[#Headers],[Herramientas_eléctricas]],
    COUNTIF(Herramientas_neumáticas1963107150[Herramientas_neumáticas], B598) &gt; 0, Herramientas_neumáticas1963107150[[#Headers],[Herramientas_neumáticas]],
    COUNTIF(Herramientas_de_medición2064108151[Herramientas_de_medición], B598) &gt; 0, Herramientas_de_medición2064108151[[#Headers],[Herramientas_de_medición]],
    COUNTIF(Herrramientas_mecánicas2165109152[Herramientas_mecánicas], B598) &gt; 0, Herrramientas_mecánicas2165109152[[#Headers],[Herramientas_mecánicas]],
    COUNTIF(AH598:AH604, B598) &gt; 0, Herramientas_hidráulicas2266110153[[#Headers],[Herramientas_hidráulicas]],
    COUNTIF(EPP_2367111154[SPCC], B598) &gt; 0, EPP_2367111154[[#Headers],[SPCC]],
   COUNTIF(Herramientas_de_izaje2468112155[Herramientas_de_izaje], B598) &gt; 0, Herramientas_de_izaje2468112155[[#Headers],[Herramientas_de_izaje]],
COUNTIF(Tabla162670114157[Equipos], B598) &gt; 0, Tabla162670114157[[#Headers],[Equipos]],
    TRUE, "Sin clasificación"
)</f>
        <v>Sin clasificación</v>
      </c>
      <c r="I598" s="15"/>
      <c r="J598" s="47"/>
      <c r="K598" s="76"/>
      <c r="L598" s="76"/>
      <c r="M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N598" s="77"/>
      <c r="O598" s="32"/>
      <c r="P598" s="32"/>
      <c r="Q598" s="32"/>
      <c r="R598" s="32"/>
    </row>
    <row r="599" spans="3:18" x14ac:dyDescent="0.3">
      <c r="C599" s="11"/>
      <c r="D599" s="32"/>
      <c r="E599" s="11" t="str" cm="1">
        <f t="array" ref="E599">_xlfn.IFS(
    COUNTIF(Herramientas_eléctricas1862106149[Herramientas_eléctricas], B599) &gt; 0, Herramientas_eléctricas1862106149[[#Headers],[Herramientas_eléctricas]],
    COUNTIF(Herramientas_neumáticas1963107150[Herramientas_neumáticas], B599) &gt; 0, Herramientas_neumáticas1963107150[[#Headers],[Herramientas_neumáticas]],
    COUNTIF(Herramientas_de_medición2064108151[Herramientas_de_medición], B599) &gt; 0, Herramientas_de_medición2064108151[[#Headers],[Herramientas_de_medición]],
    COUNTIF(Herrramientas_mecánicas2165109152[Herramientas_mecánicas], B599) &gt; 0, Herrramientas_mecánicas2165109152[[#Headers],[Herramientas_mecánicas]],
    COUNTIF(AH599:AH605, B599) &gt; 0, Herramientas_hidráulicas2266110153[[#Headers],[Herramientas_hidráulicas]],
    COUNTIF(EPP_2367111154[SPCC], B599) &gt; 0, EPP_2367111154[[#Headers],[SPCC]],
   COUNTIF(Herramientas_de_izaje2468112155[Herramientas_de_izaje], B599) &gt; 0, Herramientas_de_izaje2468112155[[#Headers],[Herramientas_de_izaje]],
COUNTIF(Tabla162670114157[Equipos], B599) &gt; 0, Tabla162670114157[[#Headers],[Equipos]],
    TRUE, "Sin clasificación"
)</f>
        <v>Sin clasificación</v>
      </c>
      <c r="I599" s="15"/>
      <c r="J599" s="47"/>
      <c r="K599" s="76"/>
      <c r="L599" s="76"/>
      <c r="M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N599" s="77"/>
      <c r="O599" s="32"/>
      <c r="P599" s="32"/>
      <c r="Q599" s="32"/>
      <c r="R599" s="32"/>
    </row>
    <row r="600" spans="3:18" x14ac:dyDescent="0.3">
      <c r="C600" s="11"/>
      <c r="D600" s="32"/>
      <c r="E600" s="11" t="str" cm="1">
        <f t="array" ref="E600">_xlfn.IFS(
    COUNTIF(Herramientas_eléctricas1862106149[Herramientas_eléctricas], B600) &gt; 0, Herramientas_eléctricas1862106149[[#Headers],[Herramientas_eléctricas]],
    COUNTIF(Herramientas_neumáticas1963107150[Herramientas_neumáticas], B600) &gt; 0, Herramientas_neumáticas1963107150[[#Headers],[Herramientas_neumáticas]],
    COUNTIF(Herramientas_de_medición2064108151[Herramientas_de_medición], B600) &gt; 0, Herramientas_de_medición2064108151[[#Headers],[Herramientas_de_medición]],
    COUNTIF(Herrramientas_mecánicas2165109152[Herramientas_mecánicas], B600) &gt; 0, Herrramientas_mecánicas2165109152[[#Headers],[Herramientas_mecánicas]],
    COUNTIF(AH600:AH606, B600) &gt; 0, Herramientas_hidráulicas2266110153[[#Headers],[Herramientas_hidráulicas]],
    COUNTIF(EPP_2367111154[SPCC], B600) &gt; 0, EPP_2367111154[[#Headers],[SPCC]],
   COUNTIF(Herramientas_de_izaje2468112155[Herramientas_de_izaje], B600) &gt; 0, Herramientas_de_izaje2468112155[[#Headers],[Herramientas_de_izaje]],
COUNTIF(Tabla162670114157[Equipos], B600) &gt; 0, Tabla162670114157[[#Headers],[Equipos]],
    TRUE, "Sin clasificación"
)</f>
        <v>Sin clasificación</v>
      </c>
      <c r="I600" s="15"/>
      <c r="J600" s="47"/>
      <c r="K600" s="76"/>
      <c r="L600" s="76"/>
      <c r="M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N600" s="77"/>
      <c r="O600" s="32"/>
      <c r="P600" s="32"/>
      <c r="Q600" s="32"/>
      <c r="R600" s="32"/>
    </row>
    <row r="601" spans="3:18" x14ac:dyDescent="0.3">
      <c r="C601" s="11"/>
      <c r="D601" s="32"/>
      <c r="E601" s="11" t="str" cm="1">
        <f t="array" ref="E601">_xlfn.IFS(
    COUNTIF(Herramientas_eléctricas1862106149[Herramientas_eléctricas], B601) &gt; 0, Herramientas_eléctricas1862106149[[#Headers],[Herramientas_eléctricas]],
    COUNTIF(Herramientas_neumáticas1963107150[Herramientas_neumáticas], B601) &gt; 0, Herramientas_neumáticas1963107150[[#Headers],[Herramientas_neumáticas]],
    COUNTIF(Herramientas_de_medición2064108151[Herramientas_de_medición], B601) &gt; 0, Herramientas_de_medición2064108151[[#Headers],[Herramientas_de_medición]],
    COUNTIF(Herrramientas_mecánicas2165109152[Herramientas_mecánicas], B601) &gt; 0, Herrramientas_mecánicas2165109152[[#Headers],[Herramientas_mecánicas]],
    COUNTIF(AH601:AH607, B601) &gt; 0, Herramientas_hidráulicas2266110153[[#Headers],[Herramientas_hidráulicas]],
    COUNTIF(EPP_2367111154[SPCC], B601) &gt; 0, EPP_2367111154[[#Headers],[SPCC]],
   COUNTIF(Herramientas_de_izaje2468112155[Herramientas_de_izaje], B601) &gt; 0, Herramientas_de_izaje2468112155[[#Headers],[Herramientas_de_izaje]],
COUNTIF(Tabla162670114157[Equipos], B601) &gt; 0, Tabla162670114157[[#Headers],[Equipos]],
    TRUE, "Sin clasificación"
)</f>
        <v>Sin clasificación</v>
      </c>
      <c r="I601" s="15"/>
      <c r="J601" s="47"/>
      <c r="K601" s="76"/>
      <c r="L601" s="76"/>
      <c r="M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N601" s="77"/>
      <c r="O601" s="32"/>
      <c r="P601" s="32"/>
      <c r="Q601" s="32"/>
      <c r="R601" s="32"/>
    </row>
    <row r="602" spans="3:18" x14ac:dyDescent="0.3">
      <c r="C602" s="11"/>
      <c r="D602" s="32"/>
      <c r="E602" s="11" t="str" cm="1">
        <f t="array" ref="E602">_xlfn.IFS(
    COUNTIF(Herramientas_eléctricas1862106149[Herramientas_eléctricas], B602) &gt; 0, Herramientas_eléctricas1862106149[[#Headers],[Herramientas_eléctricas]],
    COUNTIF(Herramientas_neumáticas1963107150[Herramientas_neumáticas], B602) &gt; 0, Herramientas_neumáticas1963107150[[#Headers],[Herramientas_neumáticas]],
    COUNTIF(Herramientas_de_medición2064108151[Herramientas_de_medición], B602) &gt; 0, Herramientas_de_medición2064108151[[#Headers],[Herramientas_de_medición]],
    COUNTIF(Herrramientas_mecánicas2165109152[Herramientas_mecánicas], B602) &gt; 0, Herrramientas_mecánicas2165109152[[#Headers],[Herramientas_mecánicas]],
    COUNTIF(AH602:AH608, B602) &gt; 0, Herramientas_hidráulicas2266110153[[#Headers],[Herramientas_hidráulicas]],
    COUNTIF(EPP_2367111154[SPCC], B602) &gt; 0, EPP_2367111154[[#Headers],[SPCC]],
   COUNTIF(Herramientas_de_izaje2468112155[Herramientas_de_izaje], B602) &gt; 0, Herramientas_de_izaje2468112155[[#Headers],[Herramientas_de_izaje]],
COUNTIF(Tabla162670114157[Equipos], B602) &gt; 0, Tabla162670114157[[#Headers],[Equipos]],
    TRUE, "Sin clasificación"
)</f>
        <v>Sin clasificación</v>
      </c>
      <c r="I602" s="15"/>
      <c r="J602" s="47"/>
      <c r="K602" s="76"/>
      <c r="L602" s="76"/>
      <c r="M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N602" s="77"/>
      <c r="O602" s="32"/>
      <c r="P602" s="32"/>
      <c r="Q602" s="32"/>
      <c r="R602" s="32"/>
    </row>
    <row r="603" spans="3:18" x14ac:dyDescent="0.3">
      <c r="C603" s="11"/>
      <c r="D603" s="32"/>
      <c r="E603" s="11" t="str" cm="1">
        <f t="array" ref="E603">_xlfn.IFS(
    COUNTIF(Herramientas_eléctricas1862106149[Herramientas_eléctricas], B603) &gt; 0, Herramientas_eléctricas1862106149[[#Headers],[Herramientas_eléctricas]],
    COUNTIF(Herramientas_neumáticas1963107150[Herramientas_neumáticas], B603) &gt; 0, Herramientas_neumáticas1963107150[[#Headers],[Herramientas_neumáticas]],
    COUNTIF(Herramientas_de_medición2064108151[Herramientas_de_medición], B603) &gt; 0, Herramientas_de_medición2064108151[[#Headers],[Herramientas_de_medición]],
    COUNTIF(Herrramientas_mecánicas2165109152[Herramientas_mecánicas], B603) &gt; 0, Herrramientas_mecánicas2165109152[[#Headers],[Herramientas_mecánicas]],
    COUNTIF(AH603:AH609, B603) &gt; 0, Herramientas_hidráulicas2266110153[[#Headers],[Herramientas_hidráulicas]],
    COUNTIF(EPP_2367111154[SPCC], B603) &gt; 0, EPP_2367111154[[#Headers],[SPCC]],
   COUNTIF(Herramientas_de_izaje2468112155[Herramientas_de_izaje], B603) &gt; 0, Herramientas_de_izaje2468112155[[#Headers],[Herramientas_de_izaje]],
COUNTIF(Tabla162670114157[Equipos], B603) &gt; 0, Tabla162670114157[[#Headers],[Equipos]],
    TRUE, "Sin clasificación"
)</f>
        <v>Sin clasificación</v>
      </c>
      <c r="I603" s="15"/>
      <c r="J603" s="47"/>
      <c r="K603" s="76"/>
      <c r="L603" s="76"/>
      <c r="M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N603" s="77"/>
      <c r="O603" s="32"/>
      <c r="P603" s="32"/>
      <c r="Q603" s="32"/>
      <c r="R603" s="32"/>
    </row>
    <row r="604" spans="3:18" x14ac:dyDescent="0.3">
      <c r="C604" s="11"/>
      <c r="D604" s="32"/>
      <c r="E604" s="11" t="str" cm="1">
        <f t="array" ref="E604">_xlfn.IFS(
    COUNTIF(Herramientas_eléctricas1862106149[Herramientas_eléctricas], B604) &gt; 0, Herramientas_eléctricas1862106149[[#Headers],[Herramientas_eléctricas]],
    COUNTIF(Herramientas_neumáticas1963107150[Herramientas_neumáticas], B604) &gt; 0, Herramientas_neumáticas1963107150[[#Headers],[Herramientas_neumáticas]],
    COUNTIF(Herramientas_de_medición2064108151[Herramientas_de_medición], B604) &gt; 0, Herramientas_de_medición2064108151[[#Headers],[Herramientas_de_medición]],
    COUNTIF(Herrramientas_mecánicas2165109152[Herramientas_mecánicas], B604) &gt; 0, Herrramientas_mecánicas2165109152[[#Headers],[Herramientas_mecánicas]],
    COUNTIF(AH604:AH610, B604) &gt; 0, Herramientas_hidráulicas2266110153[[#Headers],[Herramientas_hidráulicas]],
    COUNTIF(EPP_2367111154[SPCC], B604) &gt; 0, EPP_2367111154[[#Headers],[SPCC]],
   COUNTIF(Herramientas_de_izaje2468112155[Herramientas_de_izaje], B604) &gt; 0, Herramientas_de_izaje2468112155[[#Headers],[Herramientas_de_izaje]],
COUNTIF(Tabla162670114157[Equipos], B604) &gt; 0, Tabla162670114157[[#Headers],[Equipos]],
    TRUE, "Sin clasificación"
)</f>
        <v>Sin clasificación</v>
      </c>
      <c r="I604" s="15"/>
      <c r="J604" s="47"/>
      <c r="K604" s="76"/>
      <c r="L604" s="76"/>
      <c r="M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N604" s="77"/>
      <c r="O604" s="32"/>
      <c r="P604" s="32"/>
      <c r="Q604" s="32"/>
      <c r="R604" s="32"/>
    </row>
    <row r="605" spans="3:18" x14ac:dyDescent="0.3">
      <c r="C605" s="11"/>
      <c r="D605" s="32"/>
      <c r="E605" s="11" t="str" cm="1">
        <f t="array" ref="E605">_xlfn.IFS(
    COUNTIF(Herramientas_eléctricas1862106149[Herramientas_eléctricas], B605) &gt; 0, Herramientas_eléctricas1862106149[[#Headers],[Herramientas_eléctricas]],
    COUNTIF(Herramientas_neumáticas1963107150[Herramientas_neumáticas], B605) &gt; 0, Herramientas_neumáticas1963107150[[#Headers],[Herramientas_neumáticas]],
    COUNTIF(Herramientas_de_medición2064108151[Herramientas_de_medición], B605) &gt; 0, Herramientas_de_medición2064108151[[#Headers],[Herramientas_de_medición]],
    COUNTIF(Herrramientas_mecánicas2165109152[Herramientas_mecánicas], B605) &gt; 0, Herrramientas_mecánicas2165109152[[#Headers],[Herramientas_mecánicas]],
    COUNTIF(AH605:AH611, B605) &gt; 0, Herramientas_hidráulicas2266110153[[#Headers],[Herramientas_hidráulicas]],
    COUNTIF(EPP_2367111154[SPCC], B605) &gt; 0, EPP_2367111154[[#Headers],[SPCC]],
   COUNTIF(Herramientas_de_izaje2468112155[Herramientas_de_izaje], B605) &gt; 0, Herramientas_de_izaje2468112155[[#Headers],[Herramientas_de_izaje]],
COUNTIF(Tabla162670114157[Equipos], B605) &gt; 0, Tabla162670114157[[#Headers],[Equipos]],
    TRUE, "Sin clasificación"
)</f>
        <v>Sin clasificación</v>
      </c>
      <c r="I605" s="15"/>
      <c r="J605" s="47"/>
      <c r="K605" s="76"/>
      <c r="L605" s="76"/>
      <c r="M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N605" s="77"/>
      <c r="O605" s="32"/>
      <c r="P605" s="32"/>
      <c r="Q605" s="32"/>
      <c r="R605" s="32"/>
    </row>
    <row r="606" spans="3:18" x14ac:dyDescent="0.3">
      <c r="C606" s="11"/>
      <c r="D606" s="32"/>
      <c r="E606" s="11" t="str" cm="1">
        <f t="array" ref="E606">_xlfn.IFS(
    COUNTIF(Herramientas_eléctricas1862106149[Herramientas_eléctricas], B606) &gt; 0, Herramientas_eléctricas1862106149[[#Headers],[Herramientas_eléctricas]],
    COUNTIF(Herramientas_neumáticas1963107150[Herramientas_neumáticas], B606) &gt; 0, Herramientas_neumáticas1963107150[[#Headers],[Herramientas_neumáticas]],
    COUNTIF(Herramientas_de_medición2064108151[Herramientas_de_medición], B606) &gt; 0, Herramientas_de_medición2064108151[[#Headers],[Herramientas_de_medición]],
    COUNTIF(Herrramientas_mecánicas2165109152[Herramientas_mecánicas], B606) &gt; 0, Herrramientas_mecánicas2165109152[[#Headers],[Herramientas_mecánicas]],
    COUNTIF(AH606:AH612, B606) &gt; 0, Herramientas_hidráulicas2266110153[[#Headers],[Herramientas_hidráulicas]],
    COUNTIF(EPP_2367111154[SPCC], B606) &gt; 0, EPP_2367111154[[#Headers],[SPCC]],
   COUNTIF(Herramientas_de_izaje2468112155[Herramientas_de_izaje], B606) &gt; 0, Herramientas_de_izaje2468112155[[#Headers],[Herramientas_de_izaje]],
COUNTIF(Tabla162670114157[Equipos], B606) &gt; 0, Tabla162670114157[[#Headers],[Equipos]],
    TRUE, "Sin clasificación"
)</f>
        <v>Sin clasificación</v>
      </c>
      <c r="I606" s="15"/>
      <c r="J606" s="47"/>
      <c r="K606" s="76"/>
      <c r="L606" s="76"/>
      <c r="M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N606" s="77"/>
      <c r="O606" s="32"/>
      <c r="P606" s="32"/>
      <c r="Q606" s="32"/>
      <c r="R606" s="32"/>
    </row>
    <row r="607" spans="3:18" x14ac:dyDescent="0.3">
      <c r="C607" s="11"/>
      <c r="D607" s="32"/>
      <c r="E607" s="11" t="str" cm="1">
        <f t="array" ref="E607">_xlfn.IFS(
    COUNTIF(Herramientas_eléctricas1862106149[Herramientas_eléctricas], B607) &gt; 0, Herramientas_eléctricas1862106149[[#Headers],[Herramientas_eléctricas]],
    COUNTIF(Herramientas_neumáticas1963107150[Herramientas_neumáticas], B607) &gt; 0, Herramientas_neumáticas1963107150[[#Headers],[Herramientas_neumáticas]],
    COUNTIF(Herramientas_de_medición2064108151[Herramientas_de_medición], B607) &gt; 0, Herramientas_de_medición2064108151[[#Headers],[Herramientas_de_medición]],
    COUNTIF(Herrramientas_mecánicas2165109152[Herramientas_mecánicas], B607) &gt; 0, Herrramientas_mecánicas2165109152[[#Headers],[Herramientas_mecánicas]],
    COUNTIF(AH607:AH613, B607) &gt; 0, Herramientas_hidráulicas2266110153[[#Headers],[Herramientas_hidráulicas]],
    COUNTIF(EPP_2367111154[SPCC], B607) &gt; 0, EPP_2367111154[[#Headers],[SPCC]],
   COUNTIF(Herramientas_de_izaje2468112155[Herramientas_de_izaje], B607) &gt; 0, Herramientas_de_izaje2468112155[[#Headers],[Herramientas_de_izaje]],
COUNTIF(Tabla162670114157[Equipos], B607) &gt; 0, Tabla162670114157[[#Headers],[Equipos]],
    TRUE, "Sin clasificación"
)</f>
        <v>Sin clasificación</v>
      </c>
      <c r="I607" s="15"/>
      <c r="J607" s="47"/>
      <c r="K607" s="76"/>
      <c r="L607" s="76"/>
      <c r="M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N607" s="77"/>
      <c r="O607" s="32"/>
      <c r="P607" s="32"/>
      <c r="Q607" s="32"/>
      <c r="R607" s="32"/>
    </row>
    <row r="608" spans="3:18" x14ac:dyDescent="0.3">
      <c r="C608" s="11"/>
      <c r="D608" s="32"/>
      <c r="E608" s="11" t="str" cm="1">
        <f t="array" ref="E608">_xlfn.IFS(
    COUNTIF(Herramientas_eléctricas1862106149[Herramientas_eléctricas], B608) &gt; 0, Herramientas_eléctricas1862106149[[#Headers],[Herramientas_eléctricas]],
    COUNTIF(Herramientas_neumáticas1963107150[Herramientas_neumáticas], B608) &gt; 0, Herramientas_neumáticas1963107150[[#Headers],[Herramientas_neumáticas]],
    COUNTIF(Herramientas_de_medición2064108151[Herramientas_de_medición], B608) &gt; 0, Herramientas_de_medición2064108151[[#Headers],[Herramientas_de_medición]],
    COUNTIF(Herrramientas_mecánicas2165109152[Herramientas_mecánicas], B608) &gt; 0, Herrramientas_mecánicas2165109152[[#Headers],[Herramientas_mecánicas]],
    COUNTIF(AH608:AH614, B608) &gt; 0, Herramientas_hidráulicas2266110153[[#Headers],[Herramientas_hidráulicas]],
    COUNTIF(EPP_2367111154[SPCC], B608) &gt; 0, EPP_2367111154[[#Headers],[SPCC]],
   COUNTIF(Herramientas_de_izaje2468112155[Herramientas_de_izaje], B608) &gt; 0, Herramientas_de_izaje2468112155[[#Headers],[Herramientas_de_izaje]],
COUNTIF(Tabla162670114157[Equipos], B608) &gt; 0, Tabla162670114157[[#Headers],[Equipos]],
    TRUE, "Sin clasificación"
)</f>
        <v>Sin clasificación</v>
      </c>
      <c r="I608" s="15"/>
      <c r="J608" s="47"/>
      <c r="K608" s="76"/>
      <c r="L608" s="76"/>
      <c r="M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N608" s="77"/>
      <c r="O608" s="32"/>
      <c r="P608" s="32"/>
      <c r="Q608" s="32"/>
      <c r="R608" s="32"/>
    </row>
    <row r="609" spans="3:18" x14ac:dyDescent="0.3">
      <c r="C609" s="11"/>
      <c r="D609" s="32"/>
      <c r="E609" s="11" t="str" cm="1">
        <f t="array" ref="E609">_xlfn.IFS(
    COUNTIF(Herramientas_eléctricas1862106149[Herramientas_eléctricas], B609) &gt; 0, Herramientas_eléctricas1862106149[[#Headers],[Herramientas_eléctricas]],
    COUNTIF(Herramientas_neumáticas1963107150[Herramientas_neumáticas], B609) &gt; 0, Herramientas_neumáticas1963107150[[#Headers],[Herramientas_neumáticas]],
    COUNTIF(Herramientas_de_medición2064108151[Herramientas_de_medición], B609) &gt; 0, Herramientas_de_medición2064108151[[#Headers],[Herramientas_de_medición]],
    COUNTIF(Herrramientas_mecánicas2165109152[Herramientas_mecánicas], B609) &gt; 0, Herrramientas_mecánicas2165109152[[#Headers],[Herramientas_mecánicas]],
    COUNTIF(AH609:AH615, B609) &gt; 0, Herramientas_hidráulicas2266110153[[#Headers],[Herramientas_hidráulicas]],
    COUNTIF(EPP_2367111154[SPCC], B609) &gt; 0, EPP_2367111154[[#Headers],[SPCC]],
   COUNTIF(Herramientas_de_izaje2468112155[Herramientas_de_izaje], B609) &gt; 0, Herramientas_de_izaje2468112155[[#Headers],[Herramientas_de_izaje]],
COUNTIF(Tabla162670114157[Equipos], B609) &gt; 0, Tabla162670114157[[#Headers],[Equipos]],
    TRUE, "Sin clasificación"
)</f>
        <v>Sin clasificación</v>
      </c>
      <c r="I609" s="15"/>
      <c r="J609" s="47"/>
      <c r="K609" s="76"/>
      <c r="L609" s="76"/>
      <c r="M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N609" s="77"/>
      <c r="O609" s="32"/>
      <c r="P609" s="32"/>
      <c r="Q609" s="32"/>
      <c r="R609" s="32"/>
    </row>
    <row r="610" spans="3:18" x14ac:dyDescent="0.3">
      <c r="C610" s="11"/>
      <c r="D610" s="32"/>
      <c r="E610" s="11" t="str" cm="1">
        <f t="array" ref="E610">_xlfn.IFS(
    COUNTIF(Herramientas_eléctricas1862106149[Herramientas_eléctricas], B610) &gt; 0, Herramientas_eléctricas1862106149[[#Headers],[Herramientas_eléctricas]],
    COUNTIF(Herramientas_neumáticas1963107150[Herramientas_neumáticas], B610) &gt; 0, Herramientas_neumáticas1963107150[[#Headers],[Herramientas_neumáticas]],
    COUNTIF(Herramientas_de_medición2064108151[Herramientas_de_medición], B610) &gt; 0, Herramientas_de_medición2064108151[[#Headers],[Herramientas_de_medición]],
    COUNTIF(Herrramientas_mecánicas2165109152[Herramientas_mecánicas], B610) &gt; 0, Herrramientas_mecánicas2165109152[[#Headers],[Herramientas_mecánicas]],
    COUNTIF(AH610:AH616, B610) &gt; 0, Herramientas_hidráulicas2266110153[[#Headers],[Herramientas_hidráulicas]],
    COUNTIF(EPP_2367111154[SPCC], B610) &gt; 0, EPP_2367111154[[#Headers],[SPCC]],
   COUNTIF(Herramientas_de_izaje2468112155[Herramientas_de_izaje], B610) &gt; 0, Herramientas_de_izaje2468112155[[#Headers],[Herramientas_de_izaje]],
COUNTIF(Tabla162670114157[Equipos], B610) &gt; 0, Tabla162670114157[[#Headers],[Equipos]],
    TRUE, "Sin clasificación"
)</f>
        <v>Sin clasificación</v>
      </c>
      <c r="I610" s="15"/>
      <c r="J610" s="47"/>
      <c r="K610" s="76"/>
      <c r="L610" s="76"/>
      <c r="M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N610" s="77"/>
      <c r="O610" s="32"/>
      <c r="P610" s="32"/>
      <c r="Q610" s="32"/>
      <c r="R610" s="32"/>
    </row>
    <row r="611" spans="3:18" x14ac:dyDescent="0.3">
      <c r="C611" s="11"/>
      <c r="D611" s="32"/>
      <c r="E611" s="11" t="str" cm="1">
        <f t="array" ref="E611">_xlfn.IFS(
    COUNTIF(Herramientas_eléctricas1862106149[Herramientas_eléctricas], B611) &gt; 0, Herramientas_eléctricas1862106149[[#Headers],[Herramientas_eléctricas]],
    COUNTIF(Herramientas_neumáticas1963107150[Herramientas_neumáticas], B611) &gt; 0, Herramientas_neumáticas1963107150[[#Headers],[Herramientas_neumáticas]],
    COUNTIF(Herramientas_de_medición2064108151[Herramientas_de_medición], B611) &gt; 0, Herramientas_de_medición2064108151[[#Headers],[Herramientas_de_medición]],
    COUNTIF(Herrramientas_mecánicas2165109152[Herramientas_mecánicas], B611) &gt; 0, Herrramientas_mecánicas2165109152[[#Headers],[Herramientas_mecánicas]],
    COUNTIF(AH611:AH617, B611) &gt; 0, Herramientas_hidráulicas2266110153[[#Headers],[Herramientas_hidráulicas]],
    COUNTIF(EPP_2367111154[SPCC], B611) &gt; 0, EPP_2367111154[[#Headers],[SPCC]],
   COUNTIF(Herramientas_de_izaje2468112155[Herramientas_de_izaje], B611) &gt; 0, Herramientas_de_izaje2468112155[[#Headers],[Herramientas_de_izaje]],
COUNTIF(Tabla162670114157[Equipos], B611) &gt; 0, Tabla162670114157[[#Headers],[Equipos]],
    TRUE, "Sin clasificación"
)</f>
        <v>Sin clasificación</v>
      </c>
      <c r="I611" s="15"/>
      <c r="J611" s="47"/>
      <c r="K611" s="76"/>
      <c r="L611" s="76"/>
      <c r="M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N611" s="77"/>
      <c r="O611" s="32"/>
      <c r="P611" s="32"/>
      <c r="Q611" s="32"/>
      <c r="R611" s="32"/>
    </row>
    <row r="612" spans="3:18" x14ac:dyDescent="0.3">
      <c r="C612" s="11"/>
    </row>
    <row r="613" spans="3:18" x14ac:dyDescent="0.3">
      <c r="C613" s="11"/>
    </row>
    <row r="614" spans="3:18" x14ac:dyDescent="0.3">
      <c r="C614" s="11"/>
    </row>
    <row r="615" spans="3:18" x14ac:dyDescent="0.3">
      <c r="C615" s="11"/>
    </row>
    <row r="616" spans="3:18" x14ac:dyDescent="0.3">
      <c r="C616" s="11"/>
    </row>
    <row r="617" spans="3:18" x14ac:dyDescent="0.3">
      <c r="C617" s="11"/>
    </row>
    <row r="618" spans="3:18" x14ac:dyDescent="0.3">
      <c r="C618" s="11"/>
    </row>
  </sheetData>
  <phoneticPr fontId="15" type="noConversion"/>
  <dataValidations count="9">
    <dataValidation type="list" allowBlank="1" showInputMessage="1" showErrorMessage="1" sqref="E2:E611" xr:uid="{0A40D69D-F344-47E6-96B5-62520C461784}">
      <formula1>$AD$1:$AK$1</formula1>
    </dataValidation>
    <dataValidation type="list" allowBlank="1" showInputMessage="1" showErrorMessage="1" sqref="Q2:Q611" xr:uid="{070FB9D3-59CC-4AF5-AF4D-04E96A86B007}">
      <formula1>$X$2:$X$4</formula1>
    </dataValidation>
    <dataValidation type="whole" allowBlank="1" showInputMessage="1" showErrorMessage="1" sqref="D2:D139" xr:uid="{3CA3D61F-0179-47D4-958E-2BF165F44C6B}">
      <formula1>1</formula1>
      <formula2>100</formula2>
    </dataValidation>
    <dataValidation type="list" allowBlank="1" showInputMessage="1" promptTitle="Guia" prompt="Si tiene dudas sobre que dato colocar consulte las siguientes tablas y no olvide revisar los comentarios_x000a__x000a_" sqref="F2:H139" xr:uid="{147860FE-8AE0-4064-A9BE-F5D893052D13}">
      <formula1>INDIRECT($E$2:$E$611)</formula1>
    </dataValidation>
    <dataValidation type="list" allowBlank="1" showInputMessage="1" showErrorMessage="1" sqref="P2:P611" xr:uid="{A9D4855D-A702-4DC4-BD30-01D4AD663C4D}">
      <formula1>$Z$10:$Z$12</formula1>
    </dataValidation>
    <dataValidation allowBlank="1" showInputMessage="1" showErrorMessage="1" sqref="D140:D618" xr:uid="{1860200D-4B16-4BC0-BB78-B140011B0F1A}"/>
    <dataValidation type="list" allowBlank="1" showInputMessage="1" promptTitle="Guia" prompt="puede realizar Las siguientes opciones_x000a_si eligio electricos tiene las siguientes opciones de una posible sublista_x000a_" sqref="F140:H613" xr:uid="{E3B579B7-96F0-4DA8-8C9D-D3AC739B65D7}">
      <formula1>INDIRECT($E$2:$E$611)</formula1>
    </dataValidation>
    <dataValidation type="list" allowBlank="1" showInputMessage="1" showErrorMessage="1" sqref="C2:C618" xr:uid="{B89169B9-87D8-402F-A6BA-1E5ED5F34772}">
      <formula1>$U$2:$U$12</formula1>
    </dataValidation>
    <dataValidation type="list" allowBlank="1" showInputMessage="1" showErrorMessage="1" sqref="E612:E615" xr:uid="{9877EE5C-0DE1-4036-9377-F58586BBF3E9}">
      <formula1>$AA$2:$AA$7</formula1>
    </dataValidation>
  </dataValidations>
  <pageMargins left="0.7" right="0.7" top="0.75" bottom="0.75" header="0.3" footer="0.3"/>
  <legacyDrawing r:id="rId1"/>
  <tableParts count="4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DF3A5D7-8719-4590-97D7-41B7A9770471}">
          <x14:formula1>
            <xm:f>Hoja2!$B$3:$B$79</xm:f>
          </x14:formula1>
          <xm:sqref>B2:B34</xm:sqref>
        </x14:dataValidation>
        <x14:dataValidation type="list" allowBlank="1" showInputMessage="1" showErrorMessage="1" xr:uid="{91C5ADD1-4D78-4ED1-AA82-56CC4F32E2AD}">
          <x14:formula1>
            <xm:f>Hoja2!$B$3:$B$78</xm:f>
          </x14:formula1>
          <xm:sqref>B35:B611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A8C3-478A-4C52-AD7B-AB65C0EE6768}">
  <dimension ref="B1:BM618"/>
  <sheetViews>
    <sheetView zoomScale="85" zoomScaleNormal="85" workbookViewId="0">
      <pane xSplit="3" topLeftCell="D1" activePane="topRight" state="frozen"/>
      <selection pane="topRight" activeCell="I42" sqref="I42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6" width="36.33203125" customWidth="1"/>
    <col min="7" max="7" width="18.88671875" customWidth="1"/>
    <col min="8" max="8" width="13.88671875" customWidth="1"/>
    <col min="9" max="9" width="15.109375" customWidth="1"/>
    <col min="10" max="10" width="22.6640625" customWidth="1"/>
    <col min="11" max="11" width="21.33203125" customWidth="1"/>
    <col min="12" max="12" width="23.109375" customWidth="1"/>
    <col min="13" max="13" width="17.44140625" customWidth="1"/>
    <col min="14" max="14" width="24.109375" customWidth="1"/>
    <col min="15" max="15" width="18.6640625" customWidth="1"/>
    <col min="16" max="16" width="43.6640625" customWidth="1"/>
    <col min="17" max="17" width="15.6640625" customWidth="1"/>
    <col min="18" max="18" width="11.6640625" customWidth="1"/>
    <col min="19" max="19" width="18.6640625" customWidth="1"/>
    <col min="22" max="22" width="11.33203125" customWidth="1"/>
    <col min="24" max="24" width="19.5546875" customWidth="1"/>
    <col min="25" max="25" width="23.44140625" bestFit="1" customWidth="1"/>
    <col min="26" max="26" width="21.33203125" customWidth="1"/>
    <col min="27" max="27" width="22.33203125" customWidth="1"/>
    <col min="28" max="28" width="24" customWidth="1"/>
    <col min="29" max="29" width="24.44140625" customWidth="1"/>
    <col min="30" max="30" width="26.109375" customWidth="1"/>
    <col min="31" max="31" width="23.6640625" customWidth="1"/>
    <col min="32" max="32" width="24" customWidth="1"/>
    <col min="33" max="33" width="21.33203125" customWidth="1"/>
    <col min="34" max="34" width="21.109375" customWidth="1"/>
    <col min="35" max="35" width="19.44140625" bestFit="1" customWidth="1"/>
    <col min="36" max="36" width="22.5546875" customWidth="1"/>
    <col min="37" max="37" width="29.6640625" customWidth="1"/>
    <col min="38" max="38" width="25" customWidth="1"/>
    <col min="39" max="39" width="26.6640625" customWidth="1"/>
    <col min="40" max="40" width="28.33203125" customWidth="1"/>
    <col min="41" max="41" width="27.109375" customWidth="1"/>
    <col min="42" max="44" width="33.6640625" customWidth="1"/>
    <col min="45" max="45" width="22.5546875" customWidth="1"/>
    <col min="46" max="46" width="26.109375" customWidth="1"/>
    <col min="47" max="47" width="25.33203125" customWidth="1"/>
    <col min="48" max="48" width="21.109375" customWidth="1"/>
    <col min="49" max="49" width="19" customWidth="1"/>
    <col min="50" max="50" width="15.5546875" customWidth="1"/>
    <col min="51" max="51" width="18.33203125" customWidth="1"/>
    <col min="52" max="52" width="18.109375" customWidth="1"/>
  </cols>
  <sheetData>
    <row r="1" spans="2:65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6" t="s">
        <v>205</v>
      </c>
      <c r="H1" s="36" t="s">
        <v>206</v>
      </c>
      <c r="I1" s="36" t="s">
        <v>342</v>
      </c>
      <c r="J1" s="37" t="s">
        <v>207</v>
      </c>
      <c r="K1" s="37" t="s">
        <v>343</v>
      </c>
      <c r="L1" s="37" t="s">
        <v>208</v>
      </c>
      <c r="M1" s="37" t="s">
        <v>209</v>
      </c>
      <c r="N1" s="37" t="s">
        <v>210</v>
      </c>
      <c r="O1" s="38" t="s">
        <v>211</v>
      </c>
      <c r="P1" s="37" t="s">
        <v>212</v>
      </c>
      <c r="Q1" s="39"/>
      <c r="R1" s="40" t="s">
        <v>213</v>
      </c>
      <c r="S1" s="41" t="s">
        <v>201</v>
      </c>
      <c r="U1" s="42" t="s">
        <v>213</v>
      </c>
      <c r="V1" s="43" t="s">
        <v>211</v>
      </c>
      <c r="X1" s="44" t="s">
        <v>213</v>
      </c>
      <c r="Y1" s="45" t="s">
        <v>214</v>
      </c>
      <c r="AA1" s="46"/>
      <c r="AB1" s="1" t="s">
        <v>4</v>
      </c>
      <c r="AC1" s="2" t="s">
        <v>5</v>
      </c>
      <c r="AD1" s="3" t="s">
        <v>6</v>
      </c>
      <c r="AE1" s="2" t="s">
        <v>7</v>
      </c>
      <c r="AF1" s="3" t="s">
        <v>8</v>
      </c>
      <c r="AG1" s="3" t="s">
        <v>160</v>
      </c>
      <c r="AH1" s="2" t="s">
        <v>9</v>
      </c>
      <c r="AI1" s="4" t="s">
        <v>10</v>
      </c>
      <c r="AJ1" t="s">
        <v>11</v>
      </c>
      <c r="AK1" t="s">
        <v>12</v>
      </c>
      <c r="AN1" t="s">
        <v>215</v>
      </c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</row>
    <row r="2" spans="2:65" ht="26.4" customHeight="1" x14ac:dyDescent="0.3">
      <c r="C2" s="11"/>
      <c r="D2">
        <v>1</v>
      </c>
      <c r="E2" s="11" t="str" cm="1">
        <f t="array" ref="E2">_xlfn.IFS(
    COUNTIF(Herramientas_eléctricas1862106[Herramientas_eléctricas], B2) &gt; 0, Herramientas_eléctricas1862106[[#Headers],[Herramientas_eléctricas]],
    COUNTIF(Herramientas_neumáticas1963107[Herramientas_neumáticas], B2) &gt; 0, Herramientas_neumáticas1963107[[#Headers],[Herramientas_neumáticas]],
    COUNTIF(Herramientas_de_medición2064108[Herramientas_de_medición], B2) &gt; 0, Herramientas_de_medición2064108[[#Headers],[Herramientas_de_medición]],
    COUNTIF(Herrramientas_mecánicas2165109[Herramientas_mecánicas], B2) &gt; 0, Herrramientas_mecánicas2165109[[#Headers],[Herramientas_mecánicas]],
    COUNTIF(AF2:AF8, B2) &gt; 0, Herramientas_hidráulicas2266110[[#Headers],[Herramientas_hidráulicas]],
    COUNTIF(EPP_2367111[SPCC], B2) &gt; 0, EPP_2367111[[#Headers],[SPCC]],
   COUNTIF(Herramientas_de_izaje2468112[Herramientas_de_izaje], B2) &gt; 0, Herramientas_de_izaje2468112[[#Headers],[Herramientas_de_izaje]],
COUNTIF(Tabla162670114[Equipos], B2) &gt; 0, Tabla162670114[[#Headers],[Equipos]],
    TRUE, "Sin clasificación"
)</f>
        <v>Sin clasificación</v>
      </c>
      <c r="F2" s="15"/>
      <c r="G2" s="15"/>
      <c r="H2" s="47"/>
      <c r="J2" s="47"/>
      <c r="K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-SinArea-0000</v>
      </c>
      <c r="M2" s="15"/>
      <c r="O2" s="48"/>
      <c r="R2" s="49">
        <v>1</v>
      </c>
      <c r="S2" s="50" t="s">
        <v>171</v>
      </c>
      <c r="U2" s="51">
        <v>1</v>
      </c>
      <c r="V2" s="52" t="s">
        <v>216</v>
      </c>
      <c r="X2" s="51">
        <v>1</v>
      </c>
      <c r="Y2" s="52" t="s">
        <v>4</v>
      </c>
      <c r="AB2" s="5" t="s">
        <v>13</v>
      </c>
      <c r="AC2" t="s">
        <v>14</v>
      </c>
      <c r="AD2" t="s">
        <v>15</v>
      </c>
      <c r="AE2" t="s">
        <v>16</v>
      </c>
      <c r="AF2" s="6" t="s">
        <v>17</v>
      </c>
      <c r="AG2" t="s">
        <v>18</v>
      </c>
      <c r="AH2" t="s">
        <v>19</v>
      </c>
      <c r="AI2" s="6" t="s">
        <v>20</v>
      </c>
      <c r="AJ2" t="s">
        <v>21</v>
      </c>
      <c r="AK2" s="7" t="s">
        <v>22</v>
      </c>
      <c r="AN2" s="25" t="s">
        <v>217</v>
      </c>
      <c r="AO2" t="s">
        <v>218</v>
      </c>
      <c r="AP2" t="s">
        <v>219</v>
      </c>
      <c r="AQ2" s="25" t="s">
        <v>220</v>
      </c>
      <c r="AR2" t="s">
        <v>221</v>
      </c>
      <c r="AX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</row>
    <row r="3" spans="2:65" ht="29.25" customHeight="1" x14ac:dyDescent="0.3">
      <c r="C3" s="11"/>
      <c r="D3">
        <v>1</v>
      </c>
      <c r="E3" s="11" t="str" cm="1">
        <f t="array" ref="E3">_xlfn.IFS(
    COUNTIF(Herramientas_eléctricas1862106[Herramientas_eléctricas], B3) &gt; 0, Herramientas_eléctricas1862106[[#Headers],[Herramientas_eléctricas]],
    COUNTIF(Herramientas_neumáticas1963107[Herramientas_neumáticas], B3) &gt; 0, Herramientas_neumáticas1963107[[#Headers],[Herramientas_neumáticas]],
    COUNTIF(Herramientas_de_medición2064108[Herramientas_de_medición], B3) &gt; 0, Herramientas_de_medición2064108[[#Headers],[Herramientas_de_medición]],
    COUNTIF(Herrramientas_mecánicas2165109[Herramientas_mecánicas], B3) &gt; 0, Herrramientas_mecánicas2165109[[#Headers],[Herramientas_mecánicas]],
    COUNTIF(AF3:AF9, B3) &gt; 0, Herramientas_hidráulicas2266110[[#Headers],[Herramientas_hidráulicas]],
    COUNTIF(EPP_2367111[SPCC], B3) &gt; 0, EPP_2367111[[#Headers],[SPCC]],
   COUNTIF(Herramientas_de_izaje2468112[Herramientas_de_izaje], B3) &gt; 0, Herramientas_de_izaje2468112[[#Headers],[Herramientas_de_izaje]],
COUNTIF(Tabla162670114[Equipos], B3) &gt; 0, Tabla162670114[[#Headers],[Equipos]],
    TRUE, "Sin clasificación"
)</f>
        <v>Sin clasificación</v>
      </c>
      <c r="F3" s="15"/>
      <c r="G3" s="15"/>
      <c r="H3" s="47"/>
      <c r="J3" s="47"/>
      <c r="K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-SinArea-0000</v>
      </c>
      <c r="M3" s="15"/>
      <c r="O3" s="48"/>
      <c r="R3" s="49">
        <v>2</v>
      </c>
      <c r="S3" s="50" t="s">
        <v>172</v>
      </c>
      <c r="U3" s="51">
        <v>2</v>
      </c>
      <c r="V3" s="52" t="s">
        <v>222</v>
      </c>
      <c r="X3" s="51">
        <v>2</v>
      </c>
      <c r="Y3" s="53" t="s">
        <v>5</v>
      </c>
      <c r="AB3" s="6" t="s">
        <v>23</v>
      </c>
      <c r="AC3" t="s">
        <v>24</v>
      </c>
      <c r="AD3" t="s">
        <v>25</v>
      </c>
      <c r="AE3" t="s">
        <v>26</v>
      </c>
      <c r="AF3" s="6" t="s">
        <v>27</v>
      </c>
      <c r="AG3" t="s">
        <v>28</v>
      </c>
      <c r="AH3" t="s">
        <v>29</v>
      </c>
      <c r="AJ3" s="8" t="s">
        <v>30</v>
      </c>
      <c r="AK3" s="9" t="s">
        <v>31</v>
      </c>
      <c r="AN3" s="25" t="s">
        <v>223</v>
      </c>
      <c r="AO3" t="s">
        <v>70</v>
      </c>
      <c r="AX3" s="11"/>
      <c r="AY3" s="11"/>
      <c r="AZ3" s="11"/>
      <c r="BA3" s="11"/>
      <c r="BB3" s="11"/>
      <c r="BC3" s="11"/>
      <c r="BD3" s="11"/>
      <c r="BE3" s="11"/>
      <c r="BF3" s="54"/>
      <c r="BG3" s="54"/>
      <c r="BH3" s="11"/>
      <c r="BI3" s="11"/>
      <c r="BJ3" s="11"/>
      <c r="BK3" s="11"/>
      <c r="BL3" s="11"/>
      <c r="BM3" s="11"/>
    </row>
    <row r="4" spans="2:65" ht="33" customHeight="1" x14ac:dyDescent="0.3">
      <c r="C4" s="11"/>
      <c r="D4">
        <v>1</v>
      </c>
      <c r="E4" s="11" t="str" cm="1">
        <f t="array" ref="E4">_xlfn.IFS(
    COUNTIF(Herramientas_eléctricas1862106[Herramientas_eléctricas], B4) &gt; 0, Herramientas_eléctricas1862106[[#Headers],[Herramientas_eléctricas]],
    COUNTIF(Herramientas_neumáticas1963107[Herramientas_neumáticas], B4) &gt; 0, Herramientas_neumáticas1963107[[#Headers],[Herramientas_neumáticas]],
    COUNTIF(Herramientas_de_medición2064108[Herramientas_de_medición], B4) &gt; 0, Herramientas_de_medición2064108[[#Headers],[Herramientas_de_medición]],
    COUNTIF(Herrramientas_mecánicas2165109[Herramientas_mecánicas], B4) &gt; 0, Herrramientas_mecánicas2165109[[#Headers],[Herramientas_mecánicas]],
    COUNTIF(AF4:AF10, B4) &gt; 0, Herramientas_hidráulicas2266110[[#Headers],[Herramientas_hidráulicas]],
    COUNTIF(EPP_2367111[SPCC], B4) &gt; 0, EPP_2367111[[#Headers],[SPCC]],
   COUNTIF(Herramientas_de_izaje2468112[Herramientas_de_izaje], B4) &gt; 0, Herramientas_de_izaje2468112[[#Headers],[Herramientas_de_izaje]],
COUNTIF(Tabla162670114[Equipos], B4) &gt; 0, Tabla162670114[[#Headers],[Equipos]],
    TRUE, "Sin clasificación"
)</f>
        <v>Sin clasificación</v>
      </c>
      <c r="F4" s="15"/>
      <c r="G4" s="15"/>
      <c r="H4" s="47"/>
      <c r="J4" s="47"/>
      <c r="K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-SinArea-0000</v>
      </c>
      <c r="M4" s="15"/>
      <c r="O4" s="48"/>
      <c r="R4" s="49">
        <v>3</v>
      </c>
      <c r="S4" s="50" t="s">
        <v>173</v>
      </c>
      <c r="U4" s="55">
        <v>3</v>
      </c>
      <c r="V4" s="56" t="s">
        <v>224</v>
      </c>
      <c r="X4" s="51">
        <v>3</v>
      </c>
      <c r="Y4" s="53" t="s">
        <v>6</v>
      </c>
      <c r="AB4" s="10" t="s">
        <v>32</v>
      </c>
      <c r="AC4" t="s">
        <v>33</v>
      </c>
      <c r="AD4" t="s">
        <v>34</v>
      </c>
      <c r="AE4" t="s">
        <v>35</v>
      </c>
      <c r="AF4" s="5" t="s">
        <v>36</v>
      </c>
      <c r="AG4" s="11" t="s">
        <v>37</v>
      </c>
      <c r="AH4" t="s">
        <v>38</v>
      </c>
      <c r="AJ4" s="11" t="s">
        <v>39</v>
      </c>
      <c r="AK4" s="7" t="s">
        <v>40</v>
      </c>
      <c r="AN4" s="25" t="s">
        <v>225</v>
      </c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</row>
    <row r="5" spans="2:65" x14ac:dyDescent="0.3">
      <c r="C5" s="11"/>
      <c r="D5">
        <v>1</v>
      </c>
      <c r="E5" s="11" t="str" cm="1">
        <f t="array" ref="E5">_xlfn.IFS(
    COUNTIF(Herramientas_eléctricas1862106[Herramientas_eléctricas], B5) &gt; 0, Herramientas_eléctricas1862106[[#Headers],[Herramientas_eléctricas]],
    COUNTIF(Herramientas_neumáticas1963107[Herramientas_neumáticas], B5) &gt; 0, Herramientas_neumáticas1963107[[#Headers],[Herramientas_neumáticas]],
    COUNTIF(Herramientas_de_medición2064108[Herramientas_de_medición], B5) &gt; 0, Herramientas_de_medición2064108[[#Headers],[Herramientas_de_medición]],
    COUNTIF(Herrramientas_mecánicas2165109[Herramientas_mecánicas], B5) &gt; 0, Herrramientas_mecánicas2165109[[#Headers],[Herramientas_mecánicas]],
    COUNTIF(AF5:AF11, B5) &gt; 0, Herramientas_hidráulicas2266110[[#Headers],[Herramientas_hidráulicas]],
    COUNTIF(EPP_2367111[SPCC], B5) &gt; 0, EPP_2367111[[#Headers],[SPCC]],
   COUNTIF(Herramientas_de_izaje2468112[Herramientas_de_izaje], B5) &gt; 0, Herramientas_de_izaje2468112[[#Headers],[Herramientas_de_izaje]],
COUNTIF(Tabla162670114[Equipos], B5) &gt; 0, Tabla162670114[[#Headers],[Equipos]],
    TRUE, "Sin clasificación"
)</f>
        <v>Sin clasificación</v>
      </c>
      <c r="F5" s="15"/>
      <c r="G5" s="15"/>
      <c r="H5" s="47"/>
      <c r="J5" s="47"/>
      <c r="K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-SinArea-0000</v>
      </c>
      <c r="M5" s="15"/>
      <c r="O5" s="48"/>
      <c r="R5" s="49">
        <v>4</v>
      </c>
      <c r="S5" s="50" t="s">
        <v>174</v>
      </c>
      <c r="X5" s="51">
        <v>4</v>
      </c>
      <c r="Y5" s="53" t="s">
        <v>7</v>
      </c>
      <c r="AB5" t="s">
        <v>41</v>
      </c>
      <c r="AC5" t="s">
        <v>42</v>
      </c>
      <c r="AD5" t="s">
        <v>43</v>
      </c>
      <c r="AE5" t="s">
        <v>44</v>
      </c>
      <c r="AF5" s="5" t="s">
        <v>45</v>
      </c>
      <c r="AH5" t="s">
        <v>46</v>
      </c>
      <c r="AJ5" s="12" t="s">
        <v>47</v>
      </c>
      <c r="AK5" s="9" t="s">
        <v>48</v>
      </c>
      <c r="AN5" s="25" t="s">
        <v>226</v>
      </c>
      <c r="AO5" t="s">
        <v>80</v>
      </c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</row>
    <row r="6" spans="2:65" ht="30" customHeight="1" x14ac:dyDescent="0.3">
      <c r="C6" s="11"/>
      <c r="D6">
        <v>1</v>
      </c>
      <c r="E6" s="11" t="str" cm="1">
        <f t="array" ref="E6">_xlfn.IFS(
    COUNTIF(Herramientas_eléctricas1862106[Herramientas_eléctricas], B6) &gt; 0, Herramientas_eléctricas1862106[[#Headers],[Herramientas_eléctricas]],
    COUNTIF(Herramientas_neumáticas1963107[Herramientas_neumáticas], B6) &gt; 0, Herramientas_neumáticas1963107[[#Headers],[Herramientas_neumáticas]],
    COUNTIF(Herramientas_de_medición2064108[Herramientas_de_medición], B6) &gt; 0, Herramientas_de_medición2064108[[#Headers],[Herramientas_de_medición]],
    COUNTIF(Herrramientas_mecánicas2165109[Herramientas_mecánicas], B6) &gt; 0, Herrramientas_mecánicas2165109[[#Headers],[Herramientas_mecánicas]],
    COUNTIF(AF6:AF12, B6) &gt; 0, Herramientas_hidráulicas2266110[[#Headers],[Herramientas_hidráulicas]],
    COUNTIF(EPP_2367111[SPCC], B6) &gt; 0, EPP_2367111[[#Headers],[SPCC]],
   COUNTIF(Herramientas_de_izaje2468112[Herramientas_de_izaje], B6) &gt; 0, Herramientas_de_izaje2468112[[#Headers],[Herramientas_de_izaje]],
COUNTIF(Tabla162670114[Equipos], B6) &gt; 0, Tabla162670114[[#Headers],[Equipos]],
    TRUE, "Sin clasificación"
)</f>
        <v>Sin clasificación</v>
      </c>
      <c r="F6" s="15"/>
      <c r="G6" s="15"/>
      <c r="H6" s="47"/>
      <c r="J6" s="47"/>
      <c r="K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-SinArea-0000</v>
      </c>
      <c r="M6" s="15"/>
      <c r="O6" s="48"/>
      <c r="R6" s="49">
        <v>5</v>
      </c>
      <c r="S6" s="50" t="s">
        <v>175</v>
      </c>
      <c r="X6" s="51">
        <v>5</v>
      </c>
      <c r="Y6" s="53" t="s">
        <v>8</v>
      </c>
      <c r="AB6" t="s">
        <v>49</v>
      </c>
      <c r="AC6" t="s">
        <v>36</v>
      </c>
      <c r="AD6" t="s">
        <v>50</v>
      </c>
      <c r="AE6" t="s">
        <v>51</v>
      </c>
      <c r="AF6" s="5" t="s">
        <v>52</v>
      </c>
      <c r="AJ6" t="s">
        <v>53</v>
      </c>
      <c r="AK6" s="7" t="s">
        <v>54</v>
      </c>
      <c r="AN6" s="25" t="s">
        <v>227</v>
      </c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</row>
    <row r="7" spans="2:65" ht="30" customHeight="1" x14ac:dyDescent="0.3">
      <c r="C7" s="11"/>
      <c r="D7">
        <v>1</v>
      </c>
      <c r="E7" s="11" t="str" cm="1">
        <f t="array" ref="E7">_xlfn.IFS(
    COUNTIF(Herramientas_eléctricas1862106[Herramientas_eléctricas], B7) &gt; 0, Herramientas_eléctricas1862106[[#Headers],[Herramientas_eléctricas]],
    COUNTIF(Herramientas_neumáticas1963107[Herramientas_neumáticas], B7) &gt; 0, Herramientas_neumáticas1963107[[#Headers],[Herramientas_neumáticas]],
    COUNTIF(Herramientas_de_medición2064108[Herramientas_de_medición], B7) &gt; 0, Herramientas_de_medición2064108[[#Headers],[Herramientas_de_medición]],
    COUNTIF(Herrramientas_mecánicas2165109[Herramientas_mecánicas], B7) &gt; 0, Herrramientas_mecánicas2165109[[#Headers],[Herramientas_mecánicas]],
    COUNTIF(AF7:AF13, B7) &gt; 0, Herramientas_hidráulicas2266110[[#Headers],[Herramientas_hidráulicas]],
    COUNTIF(EPP_2367111[SPCC], B7) &gt; 0, EPP_2367111[[#Headers],[SPCC]],
   COUNTIF(Herramientas_de_izaje2468112[Herramientas_de_izaje], B7) &gt; 0, Herramientas_de_izaje2468112[[#Headers],[Herramientas_de_izaje]],
COUNTIF(Tabla162670114[Equipos], B7) &gt; 0, Tabla162670114[[#Headers],[Equipos]],
    TRUE, "Sin clasificación"
)</f>
        <v>Sin clasificación</v>
      </c>
      <c r="F7" s="15"/>
      <c r="G7" s="15"/>
      <c r="H7" s="47"/>
      <c r="J7" s="47"/>
      <c r="K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-SinArea-0000</v>
      </c>
      <c r="M7" s="15"/>
      <c r="O7" s="48"/>
      <c r="R7" s="49">
        <v>6</v>
      </c>
      <c r="S7" s="50" t="s">
        <v>176</v>
      </c>
      <c r="X7" s="55">
        <v>6</v>
      </c>
      <c r="Y7" s="56" t="s">
        <v>10</v>
      </c>
      <c r="AB7" t="s">
        <v>55</v>
      </c>
      <c r="AD7" s="11" t="s">
        <v>56</v>
      </c>
      <c r="AE7" s="5" t="s">
        <v>57</v>
      </c>
      <c r="AF7" t="s">
        <v>58</v>
      </c>
      <c r="AK7" s="13" t="s">
        <v>59</v>
      </c>
      <c r="AN7" s="15" t="s">
        <v>228</v>
      </c>
      <c r="AO7" s="15" t="s">
        <v>229</v>
      </c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</row>
    <row r="8" spans="2:65" ht="33.6" customHeight="1" x14ac:dyDescent="0.3">
      <c r="C8" s="11"/>
      <c r="D8">
        <v>1</v>
      </c>
      <c r="E8" s="11" t="str" cm="1">
        <f t="array" ref="E8">_xlfn.IFS(
    COUNTIF(Herramientas_eléctricas1862106[Herramientas_eléctricas], B8) &gt; 0, Herramientas_eléctricas1862106[[#Headers],[Herramientas_eléctricas]],
    COUNTIF(Herramientas_neumáticas1963107[Herramientas_neumáticas], B8) &gt; 0, Herramientas_neumáticas1963107[[#Headers],[Herramientas_neumáticas]],
    COUNTIF(Herramientas_de_medición2064108[Herramientas_de_medición], B8) &gt; 0, Herramientas_de_medición2064108[[#Headers],[Herramientas_de_medición]],
    COUNTIF(Herrramientas_mecánicas2165109[Herramientas_mecánicas], B8) &gt; 0, Herrramientas_mecánicas2165109[[#Headers],[Herramientas_mecánicas]],
    COUNTIF(AF8:AF14, B8) &gt; 0, Herramientas_hidráulicas2266110[[#Headers],[Herramientas_hidráulicas]],
    COUNTIF(EPP_2367111[SPCC], B8) &gt; 0, EPP_2367111[[#Headers],[SPCC]],
   COUNTIF(Herramientas_de_izaje2468112[Herramientas_de_izaje], B8) &gt; 0, Herramientas_de_izaje2468112[[#Headers],[Herramientas_de_izaje]],
COUNTIF(Tabla162670114[Equipos], B8) &gt; 0, Tabla162670114[[#Headers],[Equipos]],
    TRUE, "Sin clasificación"
)</f>
        <v>Sin clasificación</v>
      </c>
      <c r="F8" s="15"/>
      <c r="G8" s="15"/>
      <c r="H8" s="47"/>
      <c r="J8" s="47"/>
      <c r="K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-SinArea-0000</v>
      </c>
      <c r="M8" s="15"/>
      <c r="O8" s="48"/>
      <c r="R8" s="49">
        <v>7</v>
      </c>
      <c r="S8" s="50" t="s">
        <v>177</v>
      </c>
      <c r="AB8" t="s">
        <v>60</v>
      </c>
      <c r="AD8" s="11" t="s">
        <v>61</v>
      </c>
      <c r="AE8" t="s">
        <v>62</v>
      </c>
      <c r="AF8" t="s">
        <v>35</v>
      </c>
      <c r="AK8" s="14" t="s">
        <v>63</v>
      </c>
      <c r="AN8" s="25" t="s">
        <v>230</v>
      </c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</row>
    <row r="9" spans="2:65" ht="30" customHeight="1" x14ac:dyDescent="0.3">
      <c r="C9" s="11"/>
      <c r="D9">
        <v>1</v>
      </c>
      <c r="E9" s="11" t="str" cm="1">
        <f t="array" ref="E9">_xlfn.IFS(
    COUNTIF(Herramientas_eléctricas1862106[Herramientas_eléctricas], B9) &gt; 0, Herramientas_eléctricas1862106[[#Headers],[Herramientas_eléctricas]],
    COUNTIF(Herramientas_neumáticas1963107[Herramientas_neumáticas], B9) &gt; 0, Herramientas_neumáticas1963107[[#Headers],[Herramientas_neumáticas]],
    COUNTIF(Herramientas_de_medición2064108[Herramientas_de_medición], B9) &gt; 0, Herramientas_de_medición2064108[[#Headers],[Herramientas_de_medición]],
    COUNTIF(Herrramientas_mecánicas2165109[Herramientas_mecánicas], B9) &gt; 0, Herrramientas_mecánicas2165109[[#Headers],[Herramientas_mecánicas]],
    COUNTIF(AF9:AF15, B9) &gt; 0, Herramientas_hidráulicas2266110[[#Headers],[Herramientas_hidráulicas]],
    COUNTIF(EPP_2367111[SPCC], B9) &gt; 0, EPP_2367111[[#Headers],[SPCC]],
   COUNTIF(Herramientas_de_izaje2468112[Herramientas_de_izaje], B9) &gt; 0, Herramientas_de_izaje2468112[[#Headers],[Herramientas_de_izaje]],
COUNTIF(Tabla162670114[Equipos], B9) &gt; 0, Tabla162670114[[#Headers],[Equipos]],
    TRUE, "Sin clasificación"
)</f>
        <v>Sin clasificación</v>
      </c>
      <c r="F9" s="15"/>
      <c r="G9" s="15"/>
      <c r="H9" s="47"/>
      <c r="J9" s="47"/>
      <c r="K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-SinArea-0000</v>
      </c>
      <c r="M9" s="15"/>
      <c r="O9" s="48"/>
      <c r="R9" s="49">
        <v>8</v>
      </c>
      <c r="S9" s="57" t="s">
        <v>178</v>
      </c>
      <c r="X9" s="58" t="s">
        <v>210</v>
      </c>
      <c r="AB9" t="s">
        <v>64</v>
      </c>
      <c r="AD9" s="15" t="s">
        <v>65</v>
      </c>
      <c r="AE9" t="s">
        <v>66</v>
      </c>
      <c r="AF9" s="16"/>
      <c r="AK9" s="9" t="s">
        <v>67</v>
      </c>
      <c r="AN9" s="25" t="s">
        <v>231</v>
      </c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</row>
    <row r="10" spans="2:65" ht="26.4" customHeight="1" x14ac:dyDescent="0.3">
      <c r="C10" s="11"/>
      <c r="D10">
        <v>1</v>
      </c>
      <c r="E10" s="11" t="str" cm="1">
        <f t="array" ref="E10">_xlfn.IFS(
    COUNTIF(Herramientas_eléctricas1862106[Herramientas_eléctricas], B10) &gt; 0, Herramientas_eléctricas1862106[[#Headers],[Herramientas_eléctricas]],
    COUNTIF(Herramientas_neumáticas1963107[Herramientas_neumáticas], B10) &gt; 0, Herramientas_neumáticas1963107[[#Headers],[Herramientas_neumáticas]],
    COUNTIF(Herramientas_de_medición2064108[Herramientas_de_medición], B10) &gt; 0, Herramientas_de_medición2064108[[#Headers],[Herramientas_de_medición]],
    COUNTIF(Herrramientas_mecánicas2165109[Herramientas_mecánicas], B10) &gt; 0, Herrramientas_mecánicas2165109[[#Headers],[Herramientas_mecánicas]],
    COUNTIF(AF10:AF16, B10) &gt; 0, Herramientas_hidráulicas2266110[[#Headers],[Herramientas_hidráulicas]],
    COUNTIF(EPP_2367111[SPCC], B10) &gt; 0, EPP_2367111[[#Headers],[SPCC]],
   COUNTIF(Herramientas_de_izaje2468112[Herramientas_de_izaje], B10) &gt; 0, Herramientas_de_izaje2468112[[#Headers],[Herramientas_de_izaje]],
COUNTIF(Tabla162670114[Equipos], B10) &gt; 0, Tabla162670114[[#Headers],[Equipos]],
    TRUE, "Sin clasificación"
)</f>
        <v>Sin clasificación</v>
      </c>
      <c r="F10" s="15"/>
      <c r="G10" s="15"/>
      <c r="H10" s="47"/>
      <c r="J10" s="47"/>
      <c r="K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-SinArea-0000</v>
      </c>
      <c r="M10" s="15"/>
      <c r="O10" s="48"/>
      <c r="R10" s="49">
        <v>9</v>
      </c>
      <c r="S10" s="57" t="s">
        <v>179</v>
      </c>
      <c r="X10" s="59" t="s">
        <v>232</v>
      </c>
      <c r="AB10" s="17" t="s">
        <v>68</v>
      </c>
      <c r="AD10" s="15" t="s">
        <v>69</v>
      </c>
      <c r="AE10" t="s">
        <v>70</v>
      </c>
      <c r="AK10" s="18" t="s">
        <v>71</v>
      </c>
      <c r="AN10" s="15" t="s">
        <v>95</v>
      </c>
    </row>
    <row r="11" spans="2:65" ht="33.6" customHeight="1" x14ac:dyDescent="0.3">
      <c r="C11" s="11"/>
      <c r="E11" s="11" t="str" cm="1">
        <f t="array" ref="E11">_xlfn.IFS(
    COUNTIF(Herramientas_eléctricas1862106[Herramientas_eléctricas], B11) &gt; 0, Herramientas_eléctricas1862106[[#Headers],[Herramientas_eléctricas]],
    COUNTIF(Herramientas_neumáticas1963107[Herramientas_neumáticas], B11) &gt; 0, Herramientas_neumáticas1963107[[#Headers],[Herramientas_neumáticas]],
    COUNTIF(Herramientas_de_medición2064108[Herramientas_de_medición], B11) &gt; 0, Herramientas_de_medición2064108[[#Headers],[Herramientas_de_medición]],
    COUNTIF(Herrramientas_mecánicas2165109[Herramientas_mecánicas], B11) &gt; 0, Herrramientas_mecánicas2165109[[#Headers],[Herramientas_mecánicas]],
    COUNTIF(AF11:AF17, B11) &gt; 0, Herramientas_hidráulicas2266110[[#Headers],[Herramientas_hidráulicas]],
    COUNTIF(EPP_2367111[SPCC], B11) &gt; 0, EPP_2367111[[#Headers],[SPCC]],
   COUNTIF(Herramientas_de_izaje2468112[Herramientas_de_izaje], B11) &gt; 0, Herramientas_de_izaje2468112[[#Headers],[Herramientas_de_izaje]],
COUNTIF(Tabla162670114[Equipos], B11) &gt; 0, Tabla162670114[[#Headers],[Equipos]],
    TRUE, "Sin clasificación"
)</f>
        <v>Sin clasificación</v>
      </c>
      <c r="F11" s="15"/>
      <c r="G11" s="15"/>
      <c r="H11" s="85"/>
      <c r="J11" s="47"/>
      <c r="K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-SinArea-0000</v>
      </c>
      <c r="M11" s="15"/>
      <c r="O11" s="48"/>
      <c r="R11" s="60">
        <v>10</v>
      </c>
      <c r="S11" s="61" t="s">
        <v>180</v>
      </c>
      <c r="X11" s="59" t="s">
        <v>233</v>
      </c>
      <c r="AB11" s="8" t="s">
        <v>72</v>
      </c>
      <c r="AD11" s="15" t="s">
        <v>73</v>
      </c>
      <c r="AE11" t="s">
        <v>74</v>
      </c>
      <c r="AK11" s="18" t="s">
        <v>75</v>
      </c>
      <c r="AY11" s="62"/>
    </row>
    <row r="12" spans="2:65" ht="28.8" x14ac:dyDescent="0.3">
      <c r="C12" s="11"/>
      <c r="E12" s="11" t="str" cm="1">
        <f t="array" ref="E12">_xlfn.IFS(
    COUNTIF(Herramientas_eléctricas1862106[Herramientas_eléctricas], B12) &gt; 0, Herramientas_eléctricas1862106[[#Headers],[Herramientas_eléctricas]],
    COUNTIF(Herramientas_neumáticas1963107[Herramientas_neumáticas], B12) &gt; 0, Herramientas_neumáticas1963107[[#Headers],[Herramientas_neumáticas]],
    COUNTIF(Herramientas_de_medición2064108[Herramientas_de_medición], B12) &gt; 0, Herramientas_de_medición2064108[[#Headers],[Herramientas_de_medición]],
    COUNTIF(Herrramientas_mecánicas2165109[Herramientas_mecánicas], B12) &gt; 0, Herrramientas_mecánicas2165109[[#Headers],[Herramientas_mecánicas]],
    COUNTIF(AF12:AF18, B12) &gt; 0, Herramientas_hidráulicas2266110[[#Headers],[Herramientas_hidráulicas]],
    COUNTIF(EPP_2367111[SPCC], B12) &gt; 0, EPP_2367111[[#Headers],[SPCC]],
   COUNTIF(Herramientas_de_izaje2468112[Herramientas_de_izaje], B12) &gt; 0, Herramientas_de_izaje2468112[[#Headers],[Herramientas_de_izaje]],
COUNTIF(Tabla162670114[Equipos], B12) &gt; 0, Tabla162670114[[#Headers],[Equipos]],
    TRUE, "Sin clasificación"
)</f>
        <v>Sin clasificación</v>
      </c>
      <c r="F12" s="15"/>
      <c r="G12" s="15"/>
      <c r="H12" s="47"/>
      <c r="J12" s="47"/>
      <c r="K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-SinArea-0000</v>
      </c>
      <c r="M12" s="15"/>
      <c r="O12" s="48"/>
      <c r="R12" s="60">
        <v>11</v>
      </c>
      <c r="S12" s="61" t="s">
        <v>181</v>
      </c>
      <c r="X12" s="33" t="s">
        <v>234</v>
      </c>
      <c r="AB12" t="s">
        <v>19</v>
      </c>
      <c r="AC12" t="s">
        <v>76</v>
      </c>
      <c r="AD12" s="15" t="s">
        <v>77</v>
      </c>
      <c r="AE12" t="s">
        <v>78</v>
      </c>
      <c r="AK12" s="19" t="s">
        <v>79</v>
      </c>
      <c r="AN12" s="11"/>
    </row>
    <row r="13" spans="2:65" x14ac:dyDescent="0.3">
      <c r="C13" s="11"/>
      <c r="E13" s="11" t="str" cm="1">
        <f t="array" ref="E13">_xlfn.IFS(
    COUNTIF(Herramientas_eléctricas1862106[Herramientas_eléctricas], B13) &gt; 0, Herramientas_eléctricas1862106[[#Headers],[Herramientas_eléctricas]],
    COUNTIF(Herramientas_neumáticas1963107[Herramientas_neumáticas], B13) &gt; 0, Herramientas_neumáticas1963107[[#Headers],[Herramientas_neumáticas]],
    COUNTIF(Herramientas_de_medición2064108[Herramientas_de_medición], B13) &gt; 0, Herramientas_de_medición2064108[[#Headers],[Herramientas_de_medición]],
    COUNTIF(Herrramientas_mecánicas2165109[Herramientas_mecánicas], B13) &gt; 0, Herrramientas_mecánicas2165109[[#Headers],[Herramientas_mecánicas]],
    COUNTIF(AF13:AF19, B13) &gt; 0, Herramientas_hidráulicas2266110[[#Headers],[Herramientas_hidráulicas]],
    COUNTIF(EPP_2367111[SPCC], B13) &gt; 0, EPP_2367111[[#Headers],[SPCC]],
   COUNTIF(Herramientas_de_izaje2468112[Herramientas_de_izaje], B13) &gt; 0, Herramientas_de_izaje2468112[[#Headers],[Herramientas_de_izaje]],
COUNTIF(Tabla162670114[Equipos], B13) &gt; 0, Tabla162670114[[#Headers],[Equipos]],
    TRUE, "Sin clasificación"
)</f>
        <v>Sin clasificación</v>
      </c>
      <c r="F13" s="15"/>
      <c r="G13" s="15"/>
      <c r="H13" s="47"/>
      <c r="J13" s="47"/>
      <c r="K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-SinArea-0000</v>
      </c>
      <c r="M13" s="15"/>
      <c r="O13" s="48"/>
      <c r="AB13" t="s">
        <v>80</v>
      </c>
      <c r="AD13" s="15" t="s">
        <v>81</v>
      </c>
      <c r="AE13" t="s">
        <v>82</v>
      </c>
      <c r="AK13" s="20" t="s">
        <v>83</v>
      </c>
      <c r="AN13" s="11"/>
      <c r="AS13" s="11"/>
    </row>
    <row r="14" spans="2:65" x14ac:dyDescent="0.3">
      <c r="C14" s="11"/>
      <c r="E14" s="11" t="str" cm="1">
        <f t="array" ref="E14">_xlfn.IFS(
    COUNTIF(Herramientas_eléctricas1862106[Herramientas_eléctricas], B14) &gt; 0, Herramientas_eléctricas1862106[[#Headers],[Herramientas_eléctricas]],
    COUNTIF(Herramientas_neumáticas1963107[Herramientas_neumáticas], B14) &gt; 0, Herramientas_neumáticas1963107[[#Headers],[Herramientas_neumáticas]],
    COUNTIF(Herramientas_de_medición2064108[Herramientas_de_medición], B14) &gt; 0, Herramientas_de_medición2064108[[#Headers],[Herramientas_de_medición]],
    COUNTIF(Herrramientas_mecánicas2165109[Herramientas_mecánicas], B14) &gt; 0, Herrramientas_mecánicas2165109[[#Headers],[Herramientas_mecánicas]],
    COUNTIF(AF14:AF20, B14) &gt; 0, Herramientas_hidráulicas2266110[[#Headers],[Herramientas_hidráulicas]],
    COUNTIF(EPP_2367111[SPCC], B14) &gt; 0, EPP_2367111[[#Headers],[SPCC]],
   COUNTIF(Herramientas_de_izaje2468112[Herramientas_de_izaje], B14) &gt; 0, Herramientas_de_izaje2468112[[#Headers],[Herramientas_de_izaje]],
COUNTIF(Tabla162670114[Equipos], B14) &gt; 0, Tabla162670114[[#Headers],[Equipos]],
    TRUE, "Sin clasificación"
)</f>
        <v>Sin clasificación</v>
      </c>
      <c r="F14" s="15"/>
      <c r="G14" s="15"/>
      <c r="H14" s="47"/>
      <c r="J14" s="47"/>
      <c r="K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-SinArea-0000</v>
      </c>
      <c r="M14" s="15"/>
      <c r="O14" s="48"/>
      <c r="AB14" t="s">
        <v>84</v>
      </c>
      <c r="AD14" s="15" t="s">
        <v>85</v>
      </c>
      <c r="AE14" t="s">
        <v>86</v>
      </c>
      <c r="AK14" s="18" t="s">
        <v>87</v>
      </c>
    </row>
    <row r="15" spans="2:65" ht="43.95" customHeight="1" x14ac:dyDescent="0.3">
      <c r="C15" s="11"/>
      <c r="E15" s="11" t="str" cm="1">
        <f t="array" ref="E15">_xlfn.IFS(
    COUNTIF(Herramientas_eléctricas1862106[Herramientas_eléctricas], B15) &gt; 0, Herramientas_eléctricas1862106[[#Headers],[Herramientas_eléctricas]],
    COUNTIF(Herramientas_neumáticas1963107[Herramientas_neumáticas], B15) &gt; 0, Herramientas_neumáticas1963107[[#Headers],[Herramientas_neumáticas]],
    COUNTIF(Herramientas_de_medición2064108[Herramientas_de_medición], B15) &gt; 0, Herramientas_de_medición2064108[[#Headers],[Herramientas_de_medición]],
    COUNTIF(Herrramientas_mecánicas2165109[Herramientas_mecánicas], B15) &gt; 0, Herrramientas_mecánicas2165109[[#Headers],[Herramientas_mecánicas]],
    COUNTIF(AF15:AF21, B15) &gt; 0, Herramientas_hidráulicas2266110[[#Headers],[Herramientas_hidráulicas]],
    COUNTIF(EPP_2367111[SPCC], B15) &gt; 0, EPP_2367111[[#Headers],[SPCC]],
   COUNTIF(Herramientas_de_izaje2468112[Herramientas_de_izaje], B15) &gt; 0, Herramientas_de_izaje2468112[[#Headers],[Herramientas_de_izaje]],
COUNTIF(Tabla162670114[Equipos], B15) &gt; 0, Tabla162670114[[#Headers],[Equipos]],
    TRUE, "Sin clasificación"
)</f>
        <v>Sin clasificación</v>
      </c>
      <c r="F15" s="15"/>
      <c r="G15" s="15"/>
      <c r="H15" s="47"/>
      <c r="J15" s="47"/>
      <c r="K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-SinArea-0000</v>
      </c>
      <c r="M15" s="15"/>
      <c r="O15" s="48"/>
      <c r="AB15" t="s">
        <v>88</v>
      </c>
      <c r="AD15" t="s">
        <v>89</v>
      </c>
      <c r="AE15" t="s">
        <v>90</v>
      </c>
      <c r="AK15" s="21" t="s">
        <v>91</v>
      </c>
      <c r="AN15" s="11"/>
    </row>
    <row r="16" spans="2:65" x14ac:dyDescent="0.3">
      <c r="C16" s="11"/>
      <c r="E16" s="11" t="str" cm="1">
        <f t="array" ref="E16">_xlfn.IFS(
    COUNTIF(Herramientas_eléctricas1862106[Herramientas_eléctricas], B16) &gt; 0, Herramientas_eléctricas1862106[[#Headers],[Herramientas_eléctricas]],
    COUNTIF(Herramientas_neumáticas1963107[Herramientas_neumáticas], B16) &gt; 0, Herramientas_neumáticas1963107[[#Headers],[Herramientas_neumáticas]],
    COUNTIF(Herramientas_de_medición2064108[Herramientas_de_medición], B16) &gt; 0, Herramientas_de_medición2064108[[#Headers],[Herramientas_de_medición]],
    COUNTIF(Herrramientas_mecánicas2165109[Herramientas_mecánicas], B16) &gt; 0, Herrramientas_mecánicas2165109[[#Headers],[Herramientas_mecánicas]],
    COUNTIF(AF16:AF22, B16) &gt; 0, Herramientas_hidráulicas2266110[[#Headers],[Herramientas_hidráulicas]],
    COUNTIF(EPP_2367111[SPCC], B16) &gt; 0, EPP_2367111[[#Headers],[SPCC]],
   COUNTIF(Herramientas_de_izaje2468112[Herramientas_de_izaje], B16) &gt; 0, Herramientas_de_izaje2468112[[#Headers],[Herramientas_de_izaje]],
COUNTIF(Tabla162670114[Equipos], B16) &gt; 0, Tabla162670114[[#Headers],[Equipos]],
    TRUE, "Sin clasificación"
)</f>
        <v>Sin clasificación</v>
      </c>
      <c r="F16" s="15"/>
      <c r="G16" s="15"/>
      <c r="H16" s="47"/>
      <c r="J16" s="47"/>
      <c r="K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-SinArea-0000</v>
      </c>
      <c r="M16" s="15"/>
      <c r="O16" s="48"/>
      <c r="AB16" t="s">
        <v>41</v>
      </c>
      <c r="AD16" t="s">
        <v>62</v>
      </c>
      <c r="AE16" s="11" t="s">
        <v>92</v>
      </c>
      <c r="AF16" s="22"/>
      <c r="AK16" s="23" t="s">
        <v>93</v>
      </c>
    </row>
    <row r="17" spans="3:40" x14ac:dyDescent="0.3">
      <c r="C17" s="11"/>
      <c r="E17" s="11" t="str" cm="1">
        <f t="array" ref="E17">_xlfn.IFS(
    COUNTIF(Herramientas_eléctricas1862106[Herramientas_eléctricas], B17) &gt; 0, Herramientas_eléctricas1862106[[#Headers],[Herramientas_eléctricas]],
    COUNTIF(Herramientas_neumáticas1963107[Herramientas_neumáticas], B17) &gt; 0, Herramientas_neumáticas1963107[[#Headers],[Herramientas_neumáticas]],
    COUNTIF(Herramientas_de_medición2064108[Herramientas_de_medición], B17) &gt; 0, Herramientas_de_medición2064108[[#Headers],[Herramientas_de_medición]],
    COUNTIF(Herrramientas_mecánicas2165109[Herramientas_mecánicas], B17) &gt; 0, Herrramientas_mecánicas2165109[[#Headers],[Herramientas_mecánicas]],
    COUNTIF(AF17:AF23, B17) &gt; 0, Herramientas_hidráulicas2266110[[#Headers],[Herramientas_hidráulicas]],
    COUNTIF(EPP_2367111[SPCC], B17) &gt; 0, EPP_2367111[[#Headers],[SPCC]],
   COUNTIF(Herramientas_de_izaje2468112[Herramientas_de_izaje], B17) &gt; 0, Herramientas_de_izaje2468112[[#Headers],[Herramientas_de_izaje]],
COUNTIF(Tabla162670114[Equipos], B17) &gt; 0, Tabla162670114[[#Headers],[Equipos]],
    TRUE, "Sin clasificación"
)</f>
        <v>Sin clasificación</v>
      </c>
      <c r="F17" s="15"/>
      <c r="G17" s="15"/>
      <c r="H17" s="47"/>
      <c r="J17" s="47"/>
      <c r="K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-SinArea-0000</v>
      </c>
      <c r="M17" s="15"/>
      <c r="O17" s="48"/>
      <c r="AB17" s="24" t="s">
        <v>94</v>
      </c>
      <c r="AE17" s="15" t="s">
        <v>95</v>
      </c>
      <c r="AF17" s="14"/>
      <c r="AK17" s="25" t="s">
        <v>96</v>
      </c>
      <c r="AN17" s="11"/>
    </row>
    <row r="18" spans="3:40" x14ac:dyDescent="0.3">
      <c r="C18" s="11"/>
      <c r="E18" s="11" t="str" cm="1">
        <f t="array" ref="E18">_xlfn.IFS(
    COUNTIF(Herramientas_eléctricas1862106[Herramientas_eléctricas], B18) &gt; 0, Herramientas_eléctricas1862106[[#Headers],[Herramientas_eléctricas]],
    COUNTIF(Herramientas_neumáticas1963107[Herramientas_neumáticas], B18) &gt; 0, Herramientas_neumáticas1963107[[#Headers],[Herramientas_neumáticas]],
    COUNTIF(Herramientas_de_medición2064108[Herramientas_de_medición], B18) &gt; 0, Herramientas_de_medición2064108[[#Headers],[Herramientas_de_medición]],
    COUNTIF(Herrramientas_mecánicas2165109[Herramientas_mecánicas], B18) &gt; 0, Herrramientas_mecánicas2165109[[#Headers],[Herramientas_mecánicas]],
    COUNTIF(AF18:AF24, B18) &gt; 0, Herramientas_hidráulicas2266110[[#Headers],[Herramientas_hidráulicas]],
    COUNTIF(EPP_2367111[SPCC], B18) &gt; 0, EPP_2367111[[#Headers],[SPCC]],
   COUNTIF(Herramientas_de_izaje2468112[Herramientas_de_izaje], B18) &gt; 0, Herramientas_de_izaje2468112[[#Headers],[Herramientas_de_izaje]],
COUNTIF(Tabla162670114[Equipos], B18) &gt; 0, Tabla162670114[[#Headers],[Equipos]],
    TRUE, "Sin clasificación"
)</f>
        <v>Sin clasificación</v>
      </c>
      <c r="F18" s="15"/>
      <c r="G18" s="15"/>
      <c r="H18" s="47"/>
      <c r="J18" s="47"/>
      <c r="K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-SinArea-0000</v>
      </c>
      <c r="M18" s="15"/>
      <c r="O18" s="48"/>
      <c r="AB18" t="s">
        <v>97</v>
      </c>
      <c r="AE18" t="s">
        <v>98</v>
      </c>
      <c r="AK18" s="25" t="s">
        <v>99</v>
      </c>
    </row>
    <row r="19" spans="3:40" x14ac:dyDescent="0.3">
      <c r="C19" s="11"/>
      <c r="E19" s="11" t="str" cm="1">
        <f t="array" ref="E19">_xlfn.IFS(
    COUNTIF(Herramientas_eléctricas1862106[Herramientas_eléctricas], B19) &gt; 0, Herramientas_eléctricas1862106[[#Headers],[Herramientas_eléctricas]],
    COUNTIF(Herramientas_neumáticas1963107[Herramientas_neumáticas], B19) &gt; 0, Herramientas_neumáticas1963107[[#Headers],[Herramientas_neumáticas]],
    COUNTIF(Herramientas_de_medición2064108[Herramientas_de_medición], B19) &gt; 0, Herramientas_de_medición2064108[[#Headers],[Herramientas_de_medición]],
    COUNTIF(Herrramientas_mecánicas2165109[Herramientas_mecánicas], B19) &gt; 0, Herrramientas_mecánicas2165109[[#Headers],[Herramientas_mecánicas]],
    COUNTIF(AF19:AF25, B19) &gt; 0, Herramientas_hidráulicas2266110[[#Headers],[Herramientas_hidráulicas]],
    COUNTIF(EPP_2367111[SPCC], B19) &gt; 0, EPP_2367111[[#Headers],[SPCC]],
   COUNTIF(Herramientas_de_izaje2468112[Herramientas_de_izaje], B19) &gt; 0, Herramientas_de_izaje2468112[[#Headers],[Herramientas_de_izaje]],
COUNTIF(Tabla162670114[Equipos], B19) &gt; 0, Tabla162670114[[#Headers],[Equipos]],
    TRUE, "Sin clasificación"
)</f>
        <v>Sin clasificación</v>
      </c>
      <c r="F19" s="15"/>
      <c r="G19" s="15"/>
      <c r="H19" s="47"/>
      <c r="J19" s="47"/>
      <c r="K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-SinArea-0000</v>
      </c>
      <c r="M19" s="15"/>
      <c r="O19" s="48"/>
      <c r="AB19" t="s">
        <v>42</v>
      </c>
      <c r="AE19" s="11" t="s">
        <v>41</v>
      </c>
      <c r="AK19" t="s">
        <v>100</v>
      </c>
    </row>
    <row r="20" spans="3:40" x14ac:dyDescent="0.3">
      <c r="C20" s="11"/>
      <c r="E20" s="11" t="str" cm="1">
        <f t="array" ref="E20">_xlfn.IFS(
    COUNTIF(Herramientas_eléctricas1862106[Herramientas_eléctricas], B20) &gt; 0, Herramientas_eléctricas1862106[[#Headers],[Herramientas_eléctricas]],
    COUNTIF(Herramientas_neumáticas1963107[Herramientas_neumáticas], B20) &gt; 0, Herramientas_neumáticas1963107[[#Headers],[Herramientas_neumáticas]],
    COUNTIF(Herramientas_de_medición2064108[Herramientas_de_medición], B20) &gt; 0, Herramientas_de_medición2064108[[#Headers],[Herramientas_de_medición]],
    COUNTIF(Herrramientas_mecánicas2165109[Herramientas_mecánicas], B20) &gt; 0, Herrramientas_mecánicas2165109[[#Headers],[Herramientas_mecánicas]],
    COUNTIF(AF20:AF26, B20) &gt; 0, Herramientas_hidráulicas2266110[[#Headers],[Herramientas_hidráulicas]],
    COUNTIF(EPP_2367111[SPCC], B20) &gt; 0, EPP_2367111[[#Headers],[SPCC]],
   COUNTIF(Herramientas_de_izaje2468112[Herramientas_de_izaje], B20) &gt; 0, Herramientas_de_izaje2468112[[#Headers],[Herramientas_de_izaje]],
COUNTIF(Tabla162670114[Equipos], B20) &gt; 0, Tabla162670114[[#Headers],[Equipos]],
    TRUE, "Sin clasificación"
)</f>
        <v>Sin clasificación</v>
      </c>
      <c r="F20" s="15"/>
      <c r="G20" s="15"/>
      <c r="H20" s="47"/>
      <c r="J20" s="47"/>
      <c r="K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-SinArea-0000</v>
      </c>
      <c r="M20" s="15"/>
      <c r="O20" s="48" t="s">
        <v>224</v>
      </c>
      <c r="AB20" t="s">
        <v>101</v>
      </c>
      <c r="AE20" t="s">
        <v>102</v>
      </c>
      <c r="AK20" s="26" t="s">
        <v>103</v>
      </c>
    </row>
    <row r="21" spans="3:40" x14ac:dyDescent="0.3">
      <c r="C21" s="11"/>
      <c r="E21" s="11" t="str" cm="1">
        <f t="array" ref="E21">_xlfn.IFS(
    COUNTIF(Herramientas_eléctricas1862106[Herramientas_eléctricas], B21) &gt; 0, Herramientas_eléctricas1862106[[#Headers],[Herramientas_eléctricas]],
    COUNTIF(Herramientas_neumáticas1963107[Herramientas_neumáticas], B21) &gt; 0, Herramientas_neumáticas1963107[[#Headers],[Herramientas_neumáticas]],
    COUNTIF(Herramientas_de_medición2064108[Herramientas_de_medición], B21) &gt; 0, Herramientas_de_medición2064108[[#Headers],[Herramientas_de_medición]],
    COUNTIF(Herrramientas_mecánicas2165109[Herramientas_mecánicas], B21) &gt; 0, Herrramientas_mecánicas2165109[[#Headers],[Herramientas_mecánicas]],
    COUNTIF(AF21:AF27, B21) &gt; 0, Herramientas_hidráulicas2266110[[#Headers],[Herramientas_hidráulicas]],
    COUNTIF(EPP_2367111[SPCC], B21) &gt; 0, EPP_2367111[[#Headers],[SPCC]],
   COUNTIF(Herramientas_de_izaje2468112[Herramientas_de_izaje], B21) &gt; 0, Herramientas_de_izaje2468112[[#Headers],[Herramientas_de_izaje]],
COUNTIF(Tabla162670114[Equipos], B21) &gt; 0, Tabla162670114[[#Headers],[Equipos]],
    TRUE, "Sin clasificación"
)</f>
        <v>Sin clasificación</v>
      </c>
      <c r="F21" s="15"/>
      <c r="G21" s="15"/>
      <c r="H21" s="47"/>
      <c r="J21" s="47"/>
      <c r="K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-SinArea-0000</v>
      </c>
      <c r="M21" s="15"/>
      <c r="O21" s="48"/>
      <c r="AB21" s="6"/>
      <c r="AE21" s="6" t="s">
        <v>20</v>
      </c>
    </row>
    <row r="22" spans="3:40" x14ac:dyDescent="0.3">
      <c r="C22" s="11"/>
      <c r="E22" s="11" t="str" cm="1">
        <f t="array" ref="E22">_xlfn.IFS(
    COUNTIF(Herramientas_eléctricas1862106[Herramientas_eléctricas], B22) &gt; 0, Herramientas_eléctricas1862106[[#Headers],[Herramientas_eléctricas]],
    COUNTIF(Herramientas_neumáticas1963107[Herramientas_neumáticas], B22) &gt; 0, Herramientas_neumáticas1963107[[#Headers],[Herramientas_neumáticas]],
    COUNTIF(Herramientas_de_medición2064108[Herramientas_de_medición], B22) &gt; 0, Herramientas_de_medición2064108[[#Headers],[Herramientas_de_medición]],
    COUNTIF(Herrramientas_mecánicas2165109[Herramientas_mecánicas], B22) &gt; 0, Herrramientas_mecánicas2165109[[#Headers],[Herramientas_mecánicas]],
    COUNTIF(AF22:AF28, B22) &gt; 0, Herramientas_hidráulicas2266110[[#Headers],[Herramientas_hidráulicas]],
    COUNTIF(EPP_2367111[SPCC], B22) &gt; 0, EPP_2367111[[#Headers],[SPCC]],
   COUNTIF(Herramientas_de_izaje2468112[Herramientas_de_izaje], B22) &gt; 0, Herramientas_de_izaje2468112[[#Headers],[Herramientas_de_izaje]],
COUNTIF(Tabla162670114[Equipos], B22) &gt; 0, Tabla162670114[[#Headers],[Equipos]],
    TRUE, "Sin clasificación"
)</f>
        <v>Sin clasificación</v>
      </c>
      <c r="F22" s="15"/>
      <c r="G22" s="15"/>
      <c r="H22" s="47"/>
      <c r="J22" s="47"/>
      <c r="K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-SinArea-0000</v>
      </c>
      <c r="M22" s="15"/>
      <c r="O22" s="48"/>
    </row>
    <row r="23" spans="3:40" x14ac:dyDescent="0.3">
      <c r="C23" s="11"/>
      <c r="E23" s="11" t="str" cm="1">
        <f t="array" ref="E23">_xlfn.IFS(
    COUNTIF(Herramientas_eléctricas1862106[Herramientas_eléctricas], B23) &gt; 0, Herramientas_eléctricas1862106[[#Headers],[Herramientas_eléctricas]],
    COUNTIF(Herramientas_neumáticas1963107[Herramientas_neumáticas], B23) &gt; 0, Herramientas_neumáticas1963107[[#Headers],[Herramientas_neumáticas]],
    COUNTIF(Herramientas_de_medición2064108[Herramientas_de_medición], B23) &gt; 0, Herramientas_de_medición2064108[[#Headers],[Herramientas_de_medición]],
    COUNTIF(Herrramientas_mecánicas2165109[Herramientas_mecánicas], B23) &gt; 0, Herrramientas_mecánicas2165109[[#Headers],[Herramientas_mecánicas]],
    COUNTIF(AF23:AF29, B23) &gt; 0, Herramientas_hidráulicas2266110[[#Headers],[Herramientas_hidráulicas]],
    COUNTIF(EPP_2367111[SPCC], B23) &gt; 0, EPP_2367111[[#Headers],[SPCC]],
   COUNTIF(Herramientas_de_izaje2468112[Herramientas_de_izaje], B23) &gt; 0, Herramientas_de_izaje2468112[[#Headers],[Herramientas_de_izaje]],
COUNTIF(Tabla162670114[Equipos], B23) &gt; 0, Tabla162670114[[#Headers],[Equipos]],
    TRUE, "Sin clasificación"
)</f>
        <v>Sin clasificación</v>
      </c>
      <c r="F23" s="15"/>
      <c r="G23" s="15"/>
      <c r="H23" s="47"/>
      <c r="J23" s="47"/>
      <c r="K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-SinArea-0000</v>
      </c>
      <c r="M23" s="15"/>
      <c r="O23" s="48"/>
    </row>
    <row r="24" spans="3:40" x14ac:dyDescent="0.3">
      <c r="C24" s="11"/>
      <c r="E24" s="11" t="str" cm="1">
        <f t="array" ref="E24">_xlfn.IFS(
    COUNTIF(Herramientas_eléctricas1862106[Herramientas_eléctricas], B24) &gt; 0, Herramientas_eléctricas1862106[[#Headers],[Herramientas_eléctricas]],
    COUNTIF(Herramientas_neumáticas1963107[Herramientas_neumáticas], B24) &gt; 0, Herramientas_neumáticas1963107[[#Headers],[Herramientas_neumáticas]],
    COUNTIF(Herramientas_de_medición2064108[Herramientas_de_medición], B24) &gt; 0, Herramientas_de_medición2064108[[#Headers],[Herramientas_de_medición]],
    COUNTIF(Herrramientas_mecánicas2165109[Herramientas_mecánicas], B24) &gt; 0, Herrramientas_mecánicas2165109[[#Headers],[Herramientas_mecánicas]],
    COUNTIF(AF24:AF30, B24) &gt; 0, Herramientas_hidráulicas2266110[[#Headers],[Herramientas_hidráulicas]],
    COUNTIF(EPP_2367111[SPCC], B24) &gt; 0, EPP_2367111[[#Headers],[SPCC]],
   COUNTIF(Herramientas_de_izaje2468112[Herramientas_de_izaje], B24) &gt; 0, Herramientas_de_izaje2468112[[#Headers],[Herramientas_de_izaje]],
COUNTIF(Tabla162670114[Equipos], B24) &gt; 0, Tabla162670114[[#Headers],[Equipos]],
    TRUE, "Sin clasificación"
)</f>
        <v>Sin clasificación</v>
      </c>
      <c r="F24" s="15"/>
      <c r="G24" s="15"/>
      <c r="H24" s="47"/>
      <c r="J24" s="47"/>
      <c r="K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-SinArea-0000</v>
      </c>
      <c r="M24" s="15"/>
      <c r="O24" s="48" t="s">
        <v>224</v>
      </c>
      <c r="AL24" s="18"/>
    </row>
    <row r="25" spans="3:40" x14ac:dyDescent="0.3">
      <c r="C25" s="11"/>
      <c r="E25" s="11" t="str" cm="1">
        <f t="array" ref="E25">_xlfn.IFS(
    COUNTIF(Herramientas_eléctricas1862106[Herramientas_eléctricas], B25) &gt; 0, Herramientas_eléctricas1862106[[#Headers],[Herramientas_eléctricas]],
    COUNTIF(Herramientas_neumáticas1963107[Herramientas_neumáticas], B25) &gt; 0, Herramientas_neumáticas1963107[[#Headers],[Herramientas_neumáticas]],
    COUNTIF(Herramientas_de_medición2064108[Herramientas_de_medición], B25) &gt; 0, Herramientas_de_medición2064108[[#Headers],[Herramientas_de_medición]],
    COUNTIF(Herrramientas_mecánicas2165109[Herramientas_mecánicas], B25) &gt; 0, Herrramientas_mecánicas2165109[[#Headers],[Herramientas_mecánicas]],
    COUNTIF(AF25:AF31, B25) &gt; 0, Herramientas_hidráulicas2266110[[#Headers],[Herramientas_hidráulicas]],
    COUNTIF(EPP_2367111[SPCC], B25) &gt; 0, EPP_2367111[[#Headers],[SPCC]],
   COUNTIF(Herramientas_de_izaje2468112[Herramientas_de_izaje], B25) &gt; 0, Herramientas_de_izaje2468112[[#Headers],[Herramientas_de_izaje]],
COUNTIF(Tabla162670114[Equipos], B25) &gt; 0, Tabla162670114[[#Headers],[Equipos]],
    TRUE, "Sin clasificación"
)</f>
        <v>Sin clasificación</v>
      </c>
      <c r="F25" s="15"/>
      <c r="G25" s="15"/>
      <c r="H25" s="47"/>
      <c r="J25" s="47"/>
      <c r="K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-SinArea-0000</v>
      </c>
      <c r="M25" s="15"/>
      <c r="O25" s="48"/>
      <c r="AL25" s="22"/>
    </row>
    <row r="26" spans="3:40" x14ac:dyDescent="0.3">
      <c r="C26" s="11"/>
      <c r="E26" s="11" t="str" cm="1">
        <f t="array" ref="E26">_xlfn.IFS(
    COUNTIF(Herramientas_eléctricas1862106[Herramientas_eléctricas], B26) &gt; 0, Herramientas_eléctricas1862106[[#Headers],[Herramientas_eléctricas]],
    COUNTIF(Herramientas_neumáticas1963107[Herramientas_neumáticas], B26) &gt; 0, Herramientas_neumáticas1963107[[#Headers],[Herramientas_neumáticas]],
    COUNTIF(Herramientas_de_medición2064108[Herramientas_de_medición], B26) &gt; 0, Herramientas_de_medición2064108[[#Headers],[Herramientas_de_medición]],
    COUNTIF(Herrramientas_mecánicas2165109[Herramientas_mecánicas], B26) &gt; 0, Herrramientas_mecánicas2165109[[#Headers],[Herramientas_mecánicas]],
    COUNTIF(AF26:AF32, B26) &gt; 0, Herramientas_hidráulicas2266110[[#Headers],[Herramientas_hidráulicas]],
    COUNTIF(EPP_2367111[SPCC], B26) &gt; 0, EPP_2367111[[#Headers],[SPCC]],
   COUNTIF(Herramientas_de_izaje2468112[Herramientas_de_izaje], B26) &gt; 0, Herramientas_de_izaje2468112[[#Headers],[Herramientas_de_izaje]],
COUNTIF(Tabla162670114[Equipos], B26) &gt; 0, Tabla162670114[[#Headers],[Equipos]],
    TRUE, "Sin clasificación"
)</f>
        <v>Sin clasificación</v>
      </c>
      <c r="F26" s="15"/>
      <c r="G26" s="15"/>
      <c r="H26" s="47"/>
      <c r="J26" s="47"/>
      <c r="K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-SinArea-0000</v>
      </c>
      <c r="M26" s="15"/>
      <c r="O26" s="48" t="s">
        <v>224</v>
      </c>
      <c r="AC26" s="18"/>
      <c r="AM26" t="s">
        <v>235</v>
      </c>
    </row>
    <row r="27" spans="3:40" ht="28.8" x14ac:dyDescent="0.3">
      <c r="C27" s="11"/>
      <c r="E27" s="11" t="str" cm="1">
        <f t="array" ref="E27">_xlfn.IFS(
    COUNTIF(Herramientas_eléctricas1862106[Herramientas_eléctricas], B27) &gt; 0, Herramientas_eléctricas1862106[[#Headers],[Herramientas_eléctricas]],
    COUNTIF(Herramientas_neumáticas1963107[Herramientas_neumáticas], B27) &gt; 0, Herramientas_neumáticas1963107[[#Headers],[Herramientas_neumáticas]],
    COUNTIF(Herramientas_de_medición2064108[Herramientas_de_medición], B27) &gt; 0, Herramientas_de_medición2064108[[#Headers],[Herramientas_de_medición]],
    COUNTIF(Herrramientas_mecánicas2165109[Herramientas_mecánicas], B27) &gt; 0, Herrramientas_mecánicas2165109[[#Headers],[Herramientas_mecánicas]],
    COUNTIF(AF27:AF33, B27) &gt; 0, Herramientas_hidráulicas2266110[[#Headers],[Herramientas_hidráulicas]],
    COUNTIF(EPP_2367111[SPCC], B27) &gt; 0, EPP_2367111[[#Headers],[SPCC]],
   COUNTIF(Herramientas_de_izaje2468112[Herramientas_de_izaje], B27) &gt; 0, Herramientas_de_izaje2468112[[#Headers],[Herramientas_de_izaje]],
COUNTIF(Tabla162670114[Equipos], B27) &gt; 0, Tabla162670114[[#Headers],[Equipos]],
    TRUE, "Sin clasificación"
)</f>
        <v>Sin clasificación</v>
      </c>
      <c r="F27" s="15"/>
      <c r="G27" s="15"/>
      <c r="H27" s="47"/>
      <c r="J27" s="47"/>
      <c r="K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-SinArea-0000</v>
      </c>
      <c r="M27" s="15"/>
      <c r="O27" s="48"/>
      <c r="AB27" s="11" t="s">
        <v>236</v>
      </c>
      <c r="AC27" s="11" t="s">
        <v>237</v>
      </c>
      <c r="AD27" s="11" t="s">
        <v>238</v>
      </c>
      <c r="AE27" s="11" t="s">
        <v>239</v>
      </c>
      <c r="AF27" s="11" t="s">
        <v>240</v>
      </c>
      <c r="AG27" s="11" t="s">
        <v>241</v>
      </c>
      <c r="AH27" s="11" t="s">
        <v>242</v>
      </c>
      <c r="AI27" s="11" t="s">
        <v>243</v>
      </c>
      <c r="AJ27" s="11" t="s">
        <v>244</v>
      </c>
      <c r="AK27" s="11" t="s">
        <v>245</v>
      </c>
    </row>
    <row r="28" spans="3:40" x14ac:dyDescent="0.3">
      <c r="C28" s="11"/>
      <c r="E28" s="11" t="str" cm="1">
        <f t="array" ref="E28">_xlfn.IFS(
    COUNTIF(Herramientas_eléctricas1862106[Herramientas_eléctricas], B28) &gt; 0, Herramientas_eléctricas1862106[[#Headers],[Herramientas_eléctricas]],
    COUNTIF(Herramientas_neumáticas1963107[Herramientas_neumáticas], B28) &gt; 0, Herramientas_neumáticas1963107[[#Headers],[Herramientas_neumáticas]],
    COUNTIF(Herramientas_de_medición2064108[Herramientas_de_medición], B28) &gt; 0, Herramientas_de_medición2064108[[#Headers],[Herramientas_de_medición]],
    COUNTIF(Herrramientas_mecánicas2165109[Herramientas_mecánicas], B28) &gt; 0, Herrramientas_mecánicas2165109[[#Headers],[Herramientas_mecánicas]],
    COUNTIF(AF28:AF34, B28) &gt; 0, Herramientas_hidráulicas2266110[[#Headers],[Herramientas_hidráulicas]],
    COUNTIF(EPP_2367111[SPCC], B28) &gt; 0, EPP_2367111[[#Headers],[SPCC]],
   COUNTIF(Herramientas_de_izaje2468112[Herramientas_de_izaje], B28) &gt; 0, Herramientas_de_izaje2468112[[#Headers],[Herramientas_de_izaje]],
COUNTIF(Tabla162670114[Equipos], B28) &gt; 0, Tabla162670114[[#Headers],[Equipos]],
    TRUE, "Sin clasificación"
)</f>
        <v>Sin clasificación</v>
      </c>
      <c r="F28" s="15"/>
      <c r="G28" s="15"/>
      <c r="H28" s="47"/>
      <c r="J28" s="47"/>
      <c r="K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-SinArea-0000</v>
      </c>
      <c r="M28" s="15"/>
      <c r="O28" s="48"/>
    </row>
    <row r="29" spans="3:40" x14ac:dyDescent="0.3">
      <c r="C29" s="11"/>
      <c r="E29" s="11" t="str" cm="1">
        <f t="array" ref="E29">_xlfn.IFS(
    COUNTIF(Herramientas_eléctricas1862106[Herramientas_eléctricas], B29) &gt; 0, Herramientas_eléctricas1862106[[#Headers],[Herramientas_eléctricas]],
    COUNTIF(Herramientas_neumáticas1963107[Herramientas_neumáticas], B29) &gt; 0, Herramientas_neumáticas1963107[[#Headers],[Herramientas_neumáticas]],
    COUNTIF(Herramientas_de_medición2064108[Herramientas_de_medición], B29) &gt; 0, Herramientas_de_medición2064108[[#Headers],[Herramientas_de_medición]],
    COUNTIF(Herrramientas_mecánicas2165109[Herramientas_mecánicas], B29) &gt; 0, Herrramientas_mecánicas2165109[[#Headers],[Herramientas_mecánicas]],
    COUNTIF(AF29:AF35, B29) &gt; 0, Herramientas_hidráulicas2266110[[#Headers],[Herramientas_hidráulicas]],
    COUNTIF(EPP_2367111[SPCC], B29) &gt; 0, EPP_2367111[[#Headers],[SPCC]],
   COUNTIF(Herramientas_de_izaje2468112[Herramientas_de_izaje], B29) &gt; 0, Herramientas_de_izaje2468112[[#Headers],[Herramientas_de_izaje]],
COUNTIF(Tabla162670114[Equipos], B29) &gt; 0, Tabla162670114[[#Headers],[Equipos]],
    TRUE, "Sin clasificación"
)</f>
        <v>Sin clasificación</v>
      </c>
      <c r="F29" s="15"/>
      <c r="G29" s="15"/>
      <c r="H29" s="47"/>
      <c r="J29" s="47"/>
      <c r="K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-SinArea-0000</v>
      </c>
      <c r="M29" s="15"/>
      <c r="O29" s="48"/>
      <c r="AB29" t="s">
        <v>246</v>
      </c>
      <c r="AC29" t="s">
        <v>97</v>
      </c>
      <c r="AD29" t="s">
        <v>34</v>
      </c>
      <c r="AE29" t="s">
        <v>66</v>
      </c>
      <c r="AF29" s="63" t="s">
        <v>247</v>
      </c>
      <c r="AH29" t="s">
        <v>19</v>
      </c>
      <c r="AK29" t="s">
        <v>75</v>
      </c>
    </row>
    <row r="30" spans="3:40" ht="28.8" x14ac:dyDescent="0.3">
      <c r="C30" s="11"/>
      <c r="E30" s="11" t="str" cm="1">
        <f t="array" ref="E30">_xlfn.IFS(
    COUNTIF(Herramientas_eléctricas1862106[Herramientas_eléctricas], B30) &gt; 0, Herramientas_eléctricas1862106[[#Headers],[Herramientas_eléctricas]],
    COUNTIF(Herramientas_neumáticas1963107[Herramientas_neumáticas], B30) &gt; 0, Herramientas_neumáticas1963107[[#Headers],[Herramientas_neumáticas]],
    COUNTIF(Herramientas_de_medición2064108[Herramientas_de_medición], B30) &gt; 0, Herramientas_de_medición2064108[[#Headers],[Herramientas_de_medición]],
    COUNTIF(Herrramientas_mecánicas2165109[Herramientas_mecánicas], B30) &gt; 0, Herrramientas_mecánicas2165109[[#Headers],[Herramientas_mecánicas]],
    COUNTIF(AF30:AF36, B30) &gt; 0, Herramientas_hidráulicas2266110[[#Headers],[Herramientas_hidráulicas]],
    COUNTIF(EPP_2367111[SPCC], B30) &gt; 0, EPP_2367111[[#Headers],[SPCC]],
   COUNTIF(Herramientas_de_izaje2468112[Herramientas_de_izaje], B30) &gt; 0, Herramientas_de_izaje2468112[[#Headers],[Herramientas_de_izaje]],
COUNTIF(Tabla162670114[Equipos], B30) &gt; 0, Tabla162670114[[#Headers],[Equipos]],
    TRUE, "Sin clasificación"
)</f>
        <v>Sin clasificación</v>
      </c>
      <c r="F30" s="15"/>
      <c r="G30" s="15"/>
      <c r="H30" s="47"/>
      <c r="J30" s="47"/>
      <c r="K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-SinArea-0000</v>
      </c>
      <c r="M30" s="15"/>
      <c r="O30" s="48" t="s">
        <v>224</v>
      </c>
      <c r="AB30" s="22" t="s">
        <v>248</v>
      </c>
      <c r="AC30" t="s">
        <v>17</v>
      </c>
      <c r="AD30" s="18" t="s">
        <v>249</v>
      </c>
      <c r="AE30" t="s">
        <v>250</v>
      </c>
      <c r="AF30" s="64" t="s">
        <v>251</v>
      </c>
      <c r="AH30" t="s">
        <v>252</v>
      </c>
      <c r="AK30" s="18" t="s">
        <v>253</v>
      </c>
    </row>
    <row r="31" spans="3:40" x14ac:dyDescent="0.3">
      <c r="C31" s="11"/>
      <c r="E31" s="11" t="str" cm="1">
        <f t="array" ref="E31">_xlfn.IFS(
    COUNTIF(Herramientas_eléctricas1862106[Herramientas_eléctricas], B31) &gt; 0, Herramientas_eléctricas1862106[[#Headers],[Herramientas_eléctricas]],
    COUNTIF(Herramientas_neumáticas1963107[Herramientas_neumáticas], B31) &gt; 0, Herramientas_neumáticas1963107[[#Headers],[Herramientas_neumáticas]],
    COUNTIF(Herramientas_de_medición2064108[Herramientas_de_medición], B31) &gt; 0, Herramientas_de_medición2064108[[#Headers],[Herramientas_de_medición]],
    COUNTIF(Herrramientas_mecánicas2165109[Herramientas_mecánicas], B31) &gt; 0, Herrramientas_mecánicas2165109[[#Headers],[Herramientas_mecánicas]],
    COUNTIF(AF31:AF37, B31) &gt; 0, Herramientas_hidráulicas2266110[[#Headers],[Herramientas_hidráulicas]],
    COUNTIF(EPP_2367111[SPCC], B31) &gt; 0, EPP_2367111[[#Headers],[SPCC]],
   COUNTIF(Herramientas_de_izaje2468112[Herramientas_de_izaje], B31) &gt; 0, Herramientas_de_izaje2468112[[#Headers],[Herramientas_de_izaje]],
COUNTIF(Tabla162670114[Equipos], B31) &gt; 0, Tabla162670114[[#Headers],[Equipos]],
    TRUE, "Sin clasificación"
)</f>
        <v>Sin clasificación</v>
      </c>
      <c r="F31" s="15"/>
      <c r="G31" s="15"/>
      <c r="H31" s="47"/>
      <c r="J31" s="47"/>
      <c r="K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-SinArea-0000</v>
      </c>
      <c r="M31" s="15"/>
      <c r="O31" s="48"/>
      <c r="AB31" s="65" t="s">
        <v>254</v>
      </c>
      <c r="AD31" t="s">
        <v>255</v>
      </c>
      <c r="AK31" s="26" t="s">
        <v>256</v>
      </c>
    </row>
    <row r="32" spans="3:40" ht="28.5" customHeight="1" x14ac:dyDescent="0.3">
      <c r="C32" s="11"/>
      <c r="E32" s="11" t="str" cm="1">
        <f t="array" ref="E32">_xlfn.IFS(
    COUNTIF(Herramientas_eléctricas1862106[Herramientas_eléctricas], B32) &gt; 0, Herramientas_eléctricas1862106[[#Headers],[Herramientas_eléctricas]],
    COUNTIF(Herramientas_neumáticas1963107[Herramientas_neumáticas], B32) &gt; 0, Herramientas_neumáticas1963107[[#Headers],[Herramientas_neumáticas]],
    COUNTIF(Herramientas_de_medición2064108[Herramientas_de_medición], B32) &gt; 0, Herramientas_de_medición2064108[[#Headers],[Herramientas_de_medición]],
    COUNTIF(Herrramientas_mecánicas2165109[Herramientas_mecánicas], B32) &gt; 0, Herrramientas_mecánicas2165109[[#Headers],[Herramientas_mecánicas]],
    COUNTIF(AF32:AF38, B32) &gt; 0, Herramientas_hidráulicas2266110[[#Headers],[Herramientas_hidráulicas]],
    COUNTIF(EPP_2367111[SPCC], B32) &gt; 0, EPP_2367111[[#Headers],[SPCC]],
   COUNTIF(Herramientas_de_izaje2468112[Herramientas_de_izaje], B32) &gt; 0, Herramientas_de_izaje2468112[[#Headers],[Herramientas_de_izaje]],
COUNTIF(Tabla162670114[Equipos], B32) &gt; 0, Tabla162670114[[#Headers],[Equipos]],
    TRUE, "Sin clasificación"
)</f>
        <v>Sin clasificación</v>
      </c>
      <c r="F32" s="15"/>
      <c r="G32" s="15"/>
      <c r="H32" s="47"/>
      <c r="J32" s="47"/>
      <c r="K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-SinArea-0000</v>
      </c>
      <c r="M32" s="15"/>
      <c r="O32" s="48"/>
    </row>
    <row r="33" spans="3:40" x14ac:dyDescent="0.3">
      <c r="C33" s="11"/>
      <c r="E33" s="11" t="str" cm="1">
        <f t="array" ref="E33">_xlfn.IFS(
    COUNTIF(Herramientas_eléctricas1862106[Herramientas_eléctricas], B33) &gt; 0, Herramientas_eléctricas1862106[[#Headers],[Herramientas_eléctricas]],
    COUNTIF(Herramientas_neumáticas1963107[Herramientas_neumáticas], B33) &gt; 0, Herramientas_neumáticas1963107[[#Headers],[Herramientas_neumáticas]],
    COUNTIF(Herramientas_de_medición2064108[Herramientas_de_medición], B33) &gt; 0, Herramientas_de_medición2064108[[#Headers],[Herramientas_de_medición]],
    COUNTIF(Herrramientas_mecánicas2165109[Herramientas_mecánicas], B33) &gt; 0, Herrramientas_mecánicas2165109[[#Headers],[Herramientas_mecánicas]],
    COUNTIF(AF33:AF39, B33) &gt; 0, Herramientas_hidráulicas2266110[[#Headers],[Herramientas_hidráulicas]],
    COUNTIF(EPP_2367111[SPCC], B33) &gt; 0, EPP_2367111[[#Headers],[SPCC]],
   COUNTIF(Herramientas_de_izaje2468112[Herramientas_de_izaje], B33) &gt; 0, Herramientas_de_izaje2468112[[#Headers],[Herramientas_de_izaje]],
COUNTIF(Tabla162670114[Equipos], B33) &gt; 0, Tabla162670114[[#Headers],[Equipos]],
    TRUE, "Sin clasificación"
)</f>
        <v>Sin clasificación</v>
      </c>
      <c r="F33" s="15"/>
      <c r="G33" s="15"/>
      <c r="H33" s="47"/>
      <c r="J33" s="47"/>
      <c r="K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-SinArea-0000</v>
      </c>
      <c r="M33" s="15"/>
      <c r="O33" s="48"/>
      <c r="AB33" t="s">
        <v>68</v>
      </c>
      <c r="AC33" t="s">
        <v>36</v>
      </c>
      <c r="AD33" t="s">
        <v>257</v>
      </c>
      <c r="AE33" t="s">
        <v>258</v>
      </c>
    </row>
    <row r="34" spans="3:40" x14ac:dyDescent="0.3">
      <c r="C34" s="11"/>
      <c r="E34" s="11" t="str" cm="1">
        <f t="array" ref="E34">_xlfn.IFS(
    COUNTIF(Herramientas_eléctricas1862106[Herramientas_eléctricas], B34) &gt; 0, Herramientas_eléctricas1862106[[#Headers],[Herramientas_eléctricas]],
    COUNTIF(Herramientas_neumáticas1963107[Herramientas_neumáticas], B34) &gt; 0, Herramientas_neumáticas1963107[[#Headers],[Herramientas_neumáticas]],
    COUNTIF(Herramientas_de_medición2064108[Herramientas_de_medición], B34) &gt; 0, Herramientas_de_medición2064108[[#Headers],[Herramientas_de_medición]],
    COUNTIF(Herrramientas_mecánicas2165109[Herramientas_mecánicas], B34) &gt; 0, Herrramientas_mecánicas2165109[[#Headers],[Herramientas_mecánicas]],
    COUNTIF(AF34:AF40, B34) &gt; 0, Herramientas_hidráulicas2266110[[#Headers],[Herramientas_hidráulicas]],
    COUNTIF(EPP_2367111[SPCC], B34) &gt; 0, EPP_2367111[[#Headers],[SPCC]],
   COUNTIF(Herramientas_de_izaje2468112[Herramientas_de_izaje], B34) &gt; 0, Herramientas_de_izaje2468112[[#Headers],[Herramientas_de_izaje]],
COUNTIF(Tabla162670114[Equipos], B34) &gt; 0, Tabla162670114[[#Headers],[Equipos]],
    TRUE, "Sin clasificación"
)</f>
        <v>Sin clasificación</v>
      </c>
      <c r="F34" s="15"/>
      <c r="G34" s="15"/>
      <c r="H34" s="47"/>
      <c r="J34" s="47"/>
      <c r="K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-SinArea-0000</v>
      </c>
      <c r="M34" s="15"/>
      <c r="O34" s="48"/>
      <c r="AB34" s="20" t="s">
        <v>259</v>
      </c>
      <c r="AC34" t="s">
        <v>260</v>
      </c>
      <c r="AD34" s="19" t="s">
        <v>261</v>
      </c>
      <c r="AE34" s="22" t="s">
        <v>262</v>
      </c>
    </row>
    <row r="35" spans="3:40" ht="28.8" x14ac:dyDescent="0.3">
      <c r="C35" s="11"/>
      <c r="E35" s="11" t="str" cm="1">
        <f t="array" ref="E35">_xlfn.IFS(
    COUNTIF(Herramientas_eléctricas1862106[Herramientas_eléctricas], B35) &gt; 0, Herramientas_eléctricas1862106[[#Headers],[Herramientas_eléctricas]],
    COUNTIF(Herramientas_neumáticas1963107[Herramientas_neumáticas], B35) &gt; 0, Herramientas_neumáticas1963107[[#Headers],[Herramientas_neumáticas]],
    COUNTIF(Herramientas_de_medición2064108[Herramientas_de_medición], B35) &gt; 0, Herramientas_de_medición2064108[[#Headers],[Herramientas_de_medición]],
    COUNTIF(Herrramientas_mecánicas2165109[Herramientas_mecánicas], B35) &gt; 0, Herrramientas_mecánicas2165109[[#Headers],[Herramientas_mecánicas]],
    COUNTIF(AF35:AF41, B35) &gt; 0, Herramientas_hidráulicas2266110[[#Headers],[Herramientas_hidráulicas]],
    COUNTIF(EPP_2367111[SPCC], B35) &gt; 0, EPP_2367111[[#Headers],[SPCC]],
   COUNTIF(Herramientas_de_izaje2468112[Herramientas_de_izaje], B35) &gt; 0, Herramientas_de_izaje2468112[[#Headers],[Herramientas_de_izaje]],
COUNTIF(Tabla162670114[Equipos], B35) &gt; 0, Tabla162670114[[#Headers],[Equipos]],
    TRUE, "Sin clasificación"
)</f>
        <v>Sin clasificación</v>
      </c>
      <c r="F35" s="15"/>
      <c r="G35" s="15"/>
      <c r="H35" s="47"/>
      <c r="J35" s="47"/>
      <c r="K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-SinArea-0000</v>
      </c>
      <c r="M35" s="15"/>
      <c r="O35" s="48"/>
      <c r="AB35" s="66" t="s">
        <v>263</v>
      </c>
      <c r="AD35" s="13" t="s">
        <v>264</v>
      </c>
      <c r="AE35" s="67" t="s">
        <v>265</v>
      </c>
    </row>
    <row r="36" spans="3:40" x14ac:dyDescent="0.3">
      <c r="C36" s="11"/>
      <c r="E36" s="11"/>
      <c r="F36" s="15"/>
      <c r="G36" s="15"/>
      <c r="H36" s="47"/>
      <c r="J36" s="47"/>
      <c r="K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-SinArea-0000</v>
      </c>
      <c r="M36" s="15"/>
      <c r="O36" s="48"/>
      <c r="AD36" s="68" t="s">
        <v>266</v>
      </c>
      <c r="AE36" s="22" t="s">
        <v>267</v>
      </c>
    </row>
    <row r="37" spans="3:40" x14ac:dyDescent="0.3">
      <c r="C37" s="11"/>
      <c r="E37" s="11"/>
      <c r="F37" s="15"/>
      <c r="G37" s="15"/>
      <c r="H37" s="47"/>
      <c r="J37" s="47"/>
      <c r="K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-SinArea-0000</v>
      </c>
      <c r="M37" s="15"/>
      <c r="O37" s="48"/>
      <c r="AE37" s="18" t="s">
        <v>268</v>
      </c>
    </row>
    <row r="38" spans="3:40" x14ac:dyDescent="0.3">
      <c r="C38" s="11"/>
      <c r="E38" s="11"/>
      <c r="F38" s="15"/>
      <c r="G38" s="15"/>
      <c r="H38" s="47"/>
      <c r="J38" s="47"/>
      <c r="K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-SinArea-0000</v>
      </c>
      <c r="M38" s="15"/>
      <c r="O38" s="48"/>
      <c r="AB38" s="69" t="s">
        <v>24</v>
      </c>
      <c r="AD38" t="s">
        <v>269</v>
      </c>
      <c r="AE38" s="18" t="s">
        <v>270</v>
      </c>
    </row>
    <row r="39" spans="3:40" ht="22.8" x14ac:dyDescent="0.3">
      <c r="C39" s="11"/>
      <c r="E39" s="11"/>
      <c r="F39" s="15"/>
      <c r="G39" s="15"/>
      <c r="H39" s="47"/>
      <c r="J39" s="47"/>
      <c r="K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-SinArea-0000</v>
      </c>
      <c r="M39" s="15"/>
      <c r="O39" s="48"/>
      <c r="AB39" s="62" t="s">
        <v>271</v>
      </c>
      <c r="AD39" s="68" t="s">
        <v>272</v>
      </c>
      <c r="AE39" s="22" t="s">
        <v>273</v>
      </c>
    </row>
    <row r="40" spans="3:40" x14ac:dyDescent="0.3">
      <c r="C40" s="11"/>
      <c r="E40" s="11"/>
      <c r="F40" s="15"/>
      <c r="G40" s="15"/>
      <c r="H40" s="47"/>
      <c r="J40" s="47"/>
      <c r="K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-SinArea-0000</v>
      </c>
      <c r="M40" s="15"/>
      <c r="O40" s="48"/>
      <c r="AB40" s="70" t="s">
        <v>17</v>
      </c>
      <c r="AE40" t="s">
        <v>274</v>
      </c>
    </row>
    <row r="41" spans="3:40" x14ac:dyDescent="0.3">
      <c r="C41" s="11"/>
      <c r="E41" s="11"/>
      <c r="F41" s="15"/>
      <c r="G41" s="15"/>
      <c r="H41" s="47"/>
      <c r="J41" s="47"/>
      <c r="K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-SinArea-0000</v>
      </c>
      <c r="M41" s="15"/>
      <c r="O41" s="48"/>
      <c r="AD41" t="s">
        <v>61</v>
      </c>
    </row>
    <row r="42" spans="3:40" x14ac:dyDescent="0.3">
      <c r="C42" s="11"/>
      <c r="E42" s="11"/>
      <c r="F42" s="15"/>
      <c r="G42" s="15"/>
      <c r="H42" s="47"/>
      <c r="J42" s="47"/>
      <c r="K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-SinArea-0000</v>
      </c>
      <c r="M42" s="15"/>
      <c r="O42" s="48"/>
      <c r="AB42" s="71" t="s">
        <v>94</v>
      </c>
      <c r="AD42" t="s">
        <v>275</v>
      </c>
    </row>
    <row r="43" spans="3:40" ht="28.8" x14ac:dyDescent="0.3">
      <c r="C43" s="11"/>
      <c r="E43" s="11"/>
      <c r="F43" s="15"/>
      <c r="G43" s="15"/>
      <c r="H43" s="47"/>
      <c r="J43" s="47"/>
      <c r="K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-SinArea-0000</v>
      </c>
      <c r="M43" s="15"/>
      <c r="O43" s="48"/>
      <c r="AB43" s="72" t="s">
        <v>276</v>
      </c>
      <c r="AD43" s="20" t="s">
        <v>277</v>
      </c>
      <c r="AE43" t="s">
        <v>98</v>
      </c>
    </row>
    <row r="44" spans="3:40" x14ac:dyDescent="0.3">
      <c r="C44" s="11"/>
      <c r="E44" s="11"/>
      <c r="F44" s="15"/>
      <c r="G44" s="15"/>
      <c r="H44" s="47"/>
      <c r="J44" s="47"/>
      <c r="K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-SinArea-0000</v>
      </c>
      <c r="M44" s="15"/>
      <c r="O44" s="48"/>
      <c r="AB44" s="73" t="s">
        <v>278</v>
      </c>
      <c r="AD44" s="18" t="s">
        <v>279</v>
      </c>
      <c r="AE44" s="26" t="s">
        <v>280</v>
      </c>
    </row>
    <row r="45" spans="3:40" x14ac:dyDescent="0.3">
      <c r="C45" s="11"/>
      <c r="E45" s="11"/>
      <c r="F45" s="15"/>
      <c r="G45" s="15"/>
      <c r="H45" s="47"/>
      <c r="J45" s="47"/>
      <c r="K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-SinArea-0000</v>
      </c>
      <c r="M45" s="15"/>
      <c r="O45" s="48"/>
      <c r="AB45" t="s">
        <v>42</v>
      </c>
      <c r="AD45" s="26" t="s">
        <v>281</v>
      </c>
    </row>
    <row r="46" spans="3:40" x14ac:dyDescent="0.3">
      <c r="C46" s="11"/>
      <c r="E46" s="11"/>
      <c r="F46" s="15"/>
      <c r="G46" s="15"/>
      <c r="H46" s="47"/>
      <c r="J46" s="47"/>
      <c r="K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-SinArea-0000</v>
      </c>
      <c r="M46" s="15"/>
      <c r="O46" s="48"/>
    </row>
    <row r="47" spans="3:40" x14ac:dyDescent="0.3">
      <c r="C47" s="11"/>
      <c r="E47" s="11"/>
      <c r="F47" s="15"/>
      <c r="G47" s="15"/>
      <c r="H47" s="47"/>
      <c r="J47" s="47"/>
      <c r="K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-SinArea-0000</v>
      </c>
      <c r="M47" s="15"/>
      <c r="O47" s="48"/>
      <c r="AB47" t="s">
        <v>41</v>
      </c>
      <c r="AE47" t="s">
        <v>282</v>
      </c>
    </row>
    <row r="48" spans="3:40" ht="28.8" x14ac:dyDescent="0.3">
      <c r="C48" s="11"/>
      <c r="E48" s="11"/>
      <c r="F48" s="15"/>
      <c r="G48" s="15"/>
      <c r="H48" s="47"/>
      <c r="J48" s="47"/>
      <c r="K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-SinArea-0000</v>
      </c>
      <c r="M48" s="15"/>
      <c r="O48" s="48"/>
      <c r="AB48" t="s">
        <v>41</v>
      </c>
      <c r="AD48" t="s">
        <v>283</v>
      </c>
      <c r="AE48" s="74" t="s">
        <v>284</v>
      </c>
      <c r="AN48" t="s">
        <v>74</v>
      </c>
    </row>
    <row r="49" spans="3:40" x14ac:dyDescent="0.3">
      <c r="C49" s="11"/>
      <c r="E49" s="11"/>
      <c r="F49" s="15"/>
      <c r="G49" s="15"/>
      <c r="H49" s="47"/>
      <c r="J49" s="47"/>
      <c r="K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-SinArea-0000</v>
      </c>
      <c r="M49" s="15"/>
      <c r="O49" s="48"/>
      <c r="AB49" t="s">
        <v>285</v>
      </c>
      <c r="AD49" t="s">
        <v>286</v>
      </c>
      <c r="AN49" s="22" t="s">
        <v>74</v>
      </c>
    </row>
    <row r="50" spans="3:40" x14ac:dyDescent="0.3">
      <c r="C50" s="11"/>
      <c r="E50" s="11"/>
      <c r="F50" s="15"/>
      <c r="G50" s="15"/>
      <c r="H50" s="47"/>
      <c r="J50" s="47"/>
      <c r="K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-SinArea-0000</v>
      </c>
      <c r="M50" s="15"/>
      <c r="O50" s="48"/>
      <c r="AB50" t="s">
        <v>287</v>
      </c>
      <c r="AD50" t="s">
        <v>288</v>
      </c>
      <c r="AE50" t="s">
        <v>289</v>
      </c>
      <c r="AN50" s="18" t="s">
        <v>290</v>
      </c>
    </row>
    <row r="51" spans="3:40" x14ac:dyDescent="0.3">
      <c r="C51" s="11"/>
      <c r="E51" s="11"/>
      <c r="F51" s="15"/>
      <c r="G51" s="15"/>
      <c r="H51" s="47"/>
      <c r="J51" s="47"/>
      <c r="K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-SinArea-0000</v>
      </c>
      <c r="M51" s="15"/>
      <c r="O51" s="48"/>
      <c r="AE51" s="22" t="s">
        <v>291</v>
      </c>
    </row>
    <row r="52" spans="3:40" x14ac:dyDescent="0.3">
      <c r="C52" s="11"/>
      <c r="E52" s="11"/>
      <c r="F52" s="15"/>
      <c r="G52" s="15"/>
      <c r="H52" s="47"/>
      <c r="J52" s="47"/>
      <c r="K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-SinArea-0000</v>
      </c>
      <c r="M52" s="15"/>
      <c r="O52" s="48"/>
      <c r="AB52" t="s">
        <v>60</v>
      </c>
      <c r="AE52" s="67" t="s">
        <v>292</v>
      </c>
    </row>
    <row r="53" spans="3:40" x14ac:dyDescent="0.3">
      <c r="C53" s="11"/>
      <c r="E53" s="11"/>
      <c r="F53" s="15"/>
      <c r="G53" s="15"/>
      <c r="H53" s="47"/>
      <c r="J53" s="47"/>
      <c r="K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-SinArea-0000</v>
      </c>
      <c r="M53" s="15"/>
      <c r="O53" s="48"/>
      <c r="AB53" s="70" t="s">
        <v>293</v>
      </c>
      <c r="AE53" s="22" t="s">
        <v>294</v>
      </c>
    </row>
    <row r="54" spans="3:40" x14ac:dyDescent="0.3">
      <c r="C54" s="11"/>
      <c r="E54" s="11"/>
      <c r="F54" s="15"/>
      <c r="G54" s="15"/>
      <c r="H54" s="47"/>
      <c r="J54" s="47"/>
      <c r="K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-SinArea-0000</v>
      </c>
      <c r="M54" s="15"/>
      <c r="O54" s="48"/>
      <c r="AE54" s="22" t="s">
        <v>295</v>
      </c>
    </row>
    <row r="55" spans="3:40" x14ac:dyDescent="0.3">
      <c r="C55" s="11"/>
      <c r="E55" s="11"/>
      <c r="F55" s="15"/>
      <c r="G55" s="15"/>
      <c r="H55" s="47"/>
      <c r="J55" s="47"/>
      <c r="K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-SinArea-0000</v>
      </c>
      <c r="M55" s="15"/>
      <c r="O55" s="48"/>
      <c r="AE55" s="22" t="s">
        <v>296</v>
      </c>
    </row>
    <row r="56" spans="3:40" x14ac:dyDescent="0.3">
      <c r="C56" s="11"/>
      <c r="E56" s="11"/>
      <c r="F56" s="15"/>
      <c r="G56" s="15"/>
      <c r="H56" s="47"/>
      <c r="J56" s="47"/>
      <c r="K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-SinArea-0000</v>
      </c>
      <c r="M56" s="15"/>
      <c r="O56" s="48"/>
      <c r="AD56" t="s">
        <v>297</v>
      </c>
      <c r="AE56" s="18" t="s">
        <v>298</v>
      </c>
    </row>
    <row r="57" spans="3:40" x14ac:dyDescent="0.3">
      <c r="C57" s="11"/>
      <c r="E57" s="11"/>
      <c r="F57" s="15"/>
      <c r="G57" s="15"/>
      <c r="H57" s="47"/>
      <c r="J57" s="47"/>
      <c r="K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-SinArea-0000</v>
      </c>
      <c r="M57" s="15"/>
      <c r="O57" s="48"/>
      <c r="AD57" t="s">
        <v>299</v>
      </c>
      <c r="AE57" s="22" t="s">
        <v>300</v>
      </c>
    </row>
    <row r="58" spans="3:40" x14ac:dyDescent="0.3">
      <c r="C58" s="11"/>
      <c r="E58" s="11"/>
      <c r="F58" s="15"/>
      <c r="G58" s="15"/>
      <c r="H58" s="47"/>
      <c r="J58" s="47"/>
      <c r="K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-SinArea-0000</v>
      </c>
      <c r="M58" s="15"/>
      <c r="O58" s="48"/>
      <c r="AB58" t="s">
        <v>23</v>
      </c>
      <c r="AE58" s="18" t="s">
        <v>301</v>
      </c>
    </row>
    <row r="59" spans="3:40" x14ac:dyDescent="0.3">
      <c r="C59" s="11"/>
      <c r="E59" s="11"/>
      <c r="F59" s="15"/>
      <c r="G59" s="15"/>
      <c r="H59" s="47"/>
      <c r="J59" s="47"/>
      <c r="K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-SinArea-0000</v>
      </c>
      <c r="M59" s="15"/>
      <c r="O59" s="48"/>
      <c r="AB59" t="s">
        <v>302</v>
      </c>
      <c r="AE59" s="70" t="s">
        <v>303</v>
      </c>
    </row>
    <row r="60" spans="3:40" x14ac:dyDescent="0.3">
      <c r="C60" s="11"/>
      <c r="E60" s="11"/>
      <c r="F60" s="15"/>
      <c r="G60" s="15"/>
      <c r="H60" s="47"/>
      <c r="J60" s="47"/>
      <c r="K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-SinArea-0000</v>
      </c>
      <c r="M60" s="15"/>
      <c r="O60" s="48"/>
      <c r="AD60" t="s">
        <v>62</v>
      </c>
    </row>
    <row r="61" spans="3:40" x14ac:dyDescent="0.3">
      <c r="C61" s="11"/>
      <c r="E61" s="11"/>
      <c r="F61" s="15"/>
      <c r="G61" s="15"/>
      <c r="H61" s="47"/>
      <c r="J61" s="47"/>
      <c r="K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-SinArea-0000</v>
      </c>
      <c r="M61" s="15"/>
      <c r="O61" s="48"/>
      <c r="AD61" s="70" t="s">
        <v>304</v>
      </c>
      <c r="AE61" t="s">
        <v>305</v>
      </c>
    </row>
    <row r="62" spans="3:40" x14ac:dyDescent="0.3">
      <c r="C62" s="11"/>
      <c r="E62" s="11"/>
      <c r="F62" s="15"/>
      <c r="G62" s="15"/>
      <c r="H62" s="47"/>
      <c r="J62" s="47"/>
      <c r="K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-SinArea-0000</v>
      </c>
      <c r="M62" s="15"/>
      <c r="O62" s="48"/>
      <c r="AB62" t="s">
        <v>64</v>
      </c>
      <c r="AE62" t="s">
        <v>306</v>
      </c>
    </row>
    <row r="63" spans="3:40" x14ac:dyDescent="0.3">
      <c r="C63" s="11"/>
      <c r="E63" s="11"/>
      <c r="F63" s="15"/>
      <c r="G63" s="15"/>
      <c r="H63" s="47"/>
      <c r="J63" s="47"/>
      <c r="K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-SinArea-0000</v>
      </c>
      <c r="M63" s="15"/>
      <c r="O63" s="48"/>
      <c r="AB63" s="75" t="s">
        <v>307</v>
      </c>
      <c r="AD63" t="s">
        <v>89</v>
      </c>
    </row>
    <row r="64" spans="3:40" ht="28.8" x14ac:dyDescent="0.3">
      <c r="C64" s="11"/>
      <c r="E64" s="11"/>
      <c r="F64" s="15"/>
      <c r="G64" s="15"/>
      <c r="H64" s="47"/>
      <c r="J64" s="47"/>
      <c r="K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-SinArea-0000</v>
      </c>
      <c r="M64" s="15"/>
      <c r="O64" s="48"/>
      <c r="AB64" s="70" t="s">
        <v>308</v>
      </c>
      <c r="AD64" s="12" t="s">
        <v>309</v>
      </c>
      <c r="AE64" t="s">
        <v>102</v>
      </c>
    </row>
    <row r="65" spans="3:31" x14ac:dyDescent="0.3">
      <c r="C65" s="11"/>
      <c r="E65" s="11"/>
      <c r="F65" s="15"/>
      <c r="G65" s="15"/>
      <c r="H65" s="47"/>
      <c r="J65" s="47"/>
      <c r="K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-SinArea-0000</v>
      </c>
      <c r="M65" s="15"/>
      <c r="O65" s="48"/>
      <c r="AE65" t="s">
        <v>310</v>
      </c>
    </row>
    <row r="66" spans="3:31" x14ac:dyDescent="0.3">
      <c r="C66" s="11"/>
      <c r="E66" s="11"/>
      <c r="F66" s="15"/>
      <c r="G66" s="15"/>
      <c r="H66" s="47"/>
      <c r="J66" s="47"/>
      <c r="K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-SinArea-0000</v>
      </c>
      <c r="M66" s="15"/>
      <c r="O66" s="48"/>
      <c r="AB66" t="s">
        <v>101</v>
      </c>
      <c r="AD66" s="34" t="s">
        <v>73</v>
      </c>
    </row>
    <row r="67" spans="3:31" x14ac:dyDescent="0.3">
      <c r="C67" s="11"/>
      <c r="E67" s="11"/>
      <c r="F67" s="15"/>
      <c r="G67" s="15"/>
      <c r="H67" s="47"/>
      <c r="J67" s="47"/>
      <c r="K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-SinArea-0000</v>
      </c>
      <c r="M67" s="15"/>
      <c r="O67" s="48"/>
      <c r="AB67" t="s">
        <v>311</v>
      </c>
      <c r="AD67" s="22" t="s">
        <v>312</v>
      </c>
      <c r="AE67" t="s">
        <v>313</v>
      </c>
    </row>
    <row r="68" spans="3:31" x14ac:dyDescent="0.3">
      <c r="C68" s="11"/>
      <c r="E68" s="11"/>
      <c r="F68" s="15"/>
      <c r="G68" s="15"/>
      <c r="H68" s="47"/>
      <c r="J68" s="47"/>
      <c r="K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-SinArea-0000</v>
      </c>
      <c r="M68" s="15"/>
      <c r="O68" s="48"/>
      <c r="AE68" s="21" t="s">
        <v>314</v>
      </c>
    </row>
    <row r="69" spans="3:31" x14ac:dyDescent="0.3">
      <c r="C69" s="11"/>
      <c r="E69" s="11"/>
      <c r="F69" s="15"/>
      <c r="G69" s="15"/>
      <c r="H69" s="47"/>
      <c r="J69" s="47"/>
      <c r="K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-SinArea-0000</v>
      </c>
      <c r="M69" s="15"/>
      <c r="O69" s="48"/>
      <c r="AE69" s="70" t="s">
        <v>315</v>
      </c>
    </row>
    <row r="70" spans="3:31" x14ac:dyDescent="0.3">
      <c r="C70" s="11"/>
      <c r="E70" s="11"/>
      <c r="F70" s="15"/>
      <c r="G70" s="15"/>
      <c r="H70" s="47"/>
      <c r="J70" s="47"/>
      <c r="K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-SinArea-0000</v>
      </c>
      <c r="M70" s="15"/>
      <c r="O70" s="48"/>
    </row>
    <row r="71" spans="3:31" x14ac:dyDescent="0.3">
      <c r="C71" s="11"/>
      <c r="E71" s="11"/>
      <c r="F71" s="15"/>
      <c r="G71" s="15"/>
      <c r="H71" s="47"/>
      <c r="J71" s="47"/>
      <c r="K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-SinArea-0000</v>
      </c>
      <c r="M71" s="15"/>
      <c r="O71" s="48"/>
    </row>
    <row r="72" spans="3:31" x14ac:dyDescent="0.3">
      <c r="C72" s="11"/>
      <c r="E72" s="11"/>
      <c r="F72" s="15"/>
      <c r="G72" s="15"/>
      <c r="H72" s="47"/>
      <c r="J72" s="47"/>
      <c r="K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-SinArea-0000</v>
      </c>
      <c r="M72" s="15"/>
      <c r="O72" s="48"/>
    </row>
    <row r="73" spans="3:31" x14ac:dyDescent="0.3">
      <c r="C73" s="11"/>
      <c r="E73" s="11"/>
      <c r="F73" s="15"/>
      <c r="G73" s="15"/>
      <c r="H73" s="47"/>
      <c r="J73" s="47"/>
      <c r="K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-SinArea-0000</v>
      </c>
      <c r="M73" s="15"/>
      <c r="O73" s="48"/>
    </row>
    <row r="74" spans="3:31" x14ac:dyDescent="0.3">
      <c r="C74" s="11"/>
      <c r="E74" s="11"/>
      <c r="F74" s="15"/>
      <c r="G74" s="15"/>
      <c r="H74" s="47"/>
      <c r="J74" s="47"/>
      <c r="K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-SinArea-0000</v>
      </c>
      <c r="M74" s="15"/>
      <c r="O74" s="48"/>
    </row>
    <row r="75" spans="3:31" ht="57.6" x14ac:dyDescent="0.3">
      <c r="C75" s="11"/>
      <c r="E75" s="11"/>
      <c r="F75" s="15"/>
      <c r="G75" s="15"/>
      <c r="H75" s="47"/>
      <c r="J75" s="47"/>
      <c r="K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-SinArea-0000</v>
      </c>
      <c r="M75" s="15"/>
      <c r="O75" s="48"/>
      <c r="AB75" s="11" t="s">
        <v>316</v>
      </c>
    </row>
    <row r="76" spans="3:31" x14ac:dyDescent="0.3">
      <c r="C76" s="11"/>
      <c r="E76" s="11"/>
      <c r="F76" s="15"/>
      <c r="G76" s="15"/>
      <c r="H76" s="47"/>
      <c r="J76" s="47"/>
      <c r="K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-SinArea-0000</v>
      </c>
      <c r="M76" s="15"/>
      <c r="O76" s="48"/>
    </row>
    <row r="77" spans="3:31" x14ac:dyDescent="0.3">
      <c r="C77" s="11"/>
      <c r="E77" s="11"/>
      <c r="F77" s="15"/>
      <c r="G77" s="15"/>
      <c r="H77" s="47"/>
      <c r="J77" s="47"/>
      <c r="K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-SinArea-0000</v>
      </c>
      <c r="M77" s="15"/>
      <c r="O77" s="48"/>
    </row>
    <row r="78" spans="3:31" x14ac:dyDescent="0.3">
      <c r="C78" s="11"/>
      <c r="E78" s="11"/>
      <c r="F78" s="15"/>
      <c r="G78" s="15"/>
      <c r="H78" s="47"/>
      <c r="J78" s="47"/>
      <c r="K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-SinArea-0000</v>
      </c>
      <c r="M78" s="15"/>
      <c r="O78" s="48"/>
    </row>
    <row r="79" spans="3:31" x14ac:dyDescent="0.3">
      <c r="C79" s="11"/>
      <c r="E79" s="11"/>
      <c r="F79" s="15"/>
      <c r="G79" s="15"/>
      <c r="H79" s="47"/>
      <c r="J79" s="47"/>
      <c r="K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-SinArea-0000</v>
      </c>
      <c r="M79" s="15"/>
      <c r="O79" s="48"/>
    </row>
    <row r="80" spans="3:31" x14ac:dyDescent="0.3">
      <c r="C80" s="11"/>
      <c r="E80" s="11"/>
      <c r="F80" s="15"/>
      <c r="G80" s="15"/>
      <c r="H80" s="47"/>
      <c r="J80" s="47"/>
      <c r="K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-SinArea-0000</v>
      </c>
      <c r="M80" s="15"/>
      <c r="O80" s="48"/>
    </row>
    <row r="81" spans="3:15" x14ac:dyDescent="0.3">
      <c r="C81" s="11"/>
      <c r="E81" s="11"/>
      <c r="F81" s="15"/>
      <c r="G81" s="15"/>
      <c r="H81" s="47"/>
      <c r="J81" s="47"/>
      <c r="K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-SinArea-0000</v>
      </c>
      <c r="M81" s="15"/>
      <c r="O81" s="48"/>
    </row>
    <row r="82" spans="3:15" x14ac:dyDescent="0.3">
      <c r="C82" s="11"/>
      <c r="E82" s="11"/>
      <c r="F82" s="15"/>
      <c r="G82" s="15"/>
      <c r="H82" s="47"/>
      <c r="J82" s="47"/>
      <c r="K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-SinArea-0000</v>
      </c>
      <c r="M82" s="15"/>
      <c r="O82" s="48"/>
    </row>
    <row r="83" spans="3:15" x14ac:dyDescent="0.3">
      <c r="C83" s="11"/>
      <c r="E83" s="11"/>
      <c r="F83" s="15"/>
      <c r="G83" s="15"/>
      <c r="H83" s="47"/>
      <c r="J83" s="47"/>
      <c r="K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-SinArea-0000</v>
      </c>
      <c r="M83" s="15"/>
      <c r="O83" s="48"/>
    </row>
    <row r="84" spans="3:15" x14ac:dyDescent="0.3">
      <c r="C84" s="11"/>
      <c r="E84" s="11"/>
      <c r="F84" s="15"/>
      <c r="G84" s="15"/>
      <c r="H84" s="47"/>
      <c r="J84" s="47"/>
      <c r="K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-SinArea-0000</v>
      </c>
      <c r="M84" s="15"/>
      <c r="O84" s="48"/>
    </row>
    <row r="85" spans="3:15" x14ac:dyDescent="0.3">
      <c r="C85" s="11"/>
      <c r="E85" s="11"/>
      <c r="F85" s="15"/>
      <c r="G85" s="15"/>
      <c r="H85" s="47"/>
      <c r="J85" s="47"/>
      <c r="K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-SinArea-0000</v>
      </c>
      <c r="M85" s="15"/>
      <c r="O85" s="48"/>
    </row>
    <row r="86" spans="3:15" x14ac:dyDescent="0.3">
      <c r="C86" s="11"/>
      <c r="E86" s="11"/>
      <c r="F86" s="15"/>
      <c r="G86" s="15"/>
      <c r="H86" s="47"/>
      <c r="J86" s="47"/>
      <c r="K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-SinArea-0000</v>
      </c>
      <c r="M86" s="15"/>
      <c r="O86" s="48"/>
    </row>
    <row r="87" spans="3:15" x14ac:dyDescent="0.3">
      <c r="C87" s="11"/>
      <c r="E87" s="11"/>
      <c r="F87" s="15"/>
      <c r="G87" s="15"/>
      <c r="H87" s="47"/>
      <c r="J87" s="47"/>
      <c r="K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-SinArea-0000</v>
      </c>
      <c r="M87" s="15"/>
      <c r="O87" s="48"/>
    </row>
    <row r="88" spans="3:15" x14ac:dyDescent="0.3">
      <c r="C88" s="11"/>
      <c r="E88" s="11"/>
      <c r="F88" s="15"/>
      <c r="G88" s="15"/>
      <c r="H88" s="47"/>
      <c r="J88" s="47"/>
      <c r="K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-SinArea-0000</v>
      </c>
      <c r="M88" s="15"/>
      <c r="O88" s="48"/>
    </row>
    <row r="89" spans="3:15" x14ac:dyDescent="0.3">
      <c r="C89" s="11"/>
      <c r="E89" s="11"/>
      <c r="F89" s="15"/>
      <c r="G89" s="15"/>
      <c r="H89" s="47"/>
      <c r="J89" s="47"/>
      <c r="K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-SinArea-0000</v>
      </c>
      <c r="M89" s="15"/>
      <c r="O89" s="48"/>
    </row>
    <row r="90" spans="3:15" x14ac:dyDescent="0.3">
      <c r="C90" s="11"/>
      <c r="E90" s="11"/>
      <c r="F90" s="15"/>
      <c r="G90" s="15"/>
      <c r="H90" s="47"/>
      <c r="J90" s="47"/>
      <c r="K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-SinArea-0000</v>
      </c>
      <c r="M90" s="15"/>
      <c r="O90" s="48"/>
    </row>
    <row r="91" spans="3:15" x14ac:dyDescent="0.3">
      <c r="C91" s="11"/>
      <c r="E91" s="11"/>
      <c r="F91" s="15"/>
      <c r="G91" s="15"/>
      <c r="H91" s="47"/>
      <c r="J91" s="47"/>
      <c r="K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-SinArea-0000</v>
      </c>
      <c r="M91" s="15"/>
      <c r="O91" s="48"/>
    </row>
    <row r="92" spans="3:15" x14ac:dyDescent="0.3">
      <c r="C92" s="11"/>
      <c r="E92" s="11"/>
      <c r="F92" s="15"/>
      <c r="G92" s="15"/>
      <c r="H92" s="47"/>
      <c r="J92" s="47"/>
      <c r="K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-SinArea-0000</v>
      </c>
      <c r="M92" s="15"/>
      <c r="O92" s="48"/>
    </row>
    <row r="93" spans="3:15" x14ac:dyDescent="0.3">
      <c r="C93" s="11"/>
      <c r="E93" s="11"/>
      <c r="F93" s="15"/>
      <c r="G93" s="15"/>
      <c r="H93" s="47"/>
      <c r="J93" s="47"/>
      <c r="K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-SinArea-0000</v>
      </c>
      <c r="M93" s="15"/>
      <c r="O93" s="48"/>
    </row>
    <row r="94" spans="3:15" x14ac:dyDescent="0.3">
      <c r="C94" s="11"/>
      <c r="E94" s="11"/>
      <c r="F94" s="15"/>
      <c r="G94" s="15"/>
      <c r="H94" s="47"/>
      <c r="J94" s="47"/>
      <c r="K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-SinArea-0000</v>
      </c>
      <c r="M94" s="15"/>
      <c r="O94" s="48"/>
    </row>
    <row r="95" spans="3:15" x14ac:dyDescent="0.3">
      <c r="C95" s="11"/>
      <c r="E95" s="11"/>
      <c r="F95" s="15"/>
      <c r="G95" s="15"/>
      <c r="H95" s="47"/>
      <c r="J95" s="47"/>
      <c r="K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-SinArea-0000</v>
      </c>
      <c r="M95" s="15"/>
      <c r="O95" s="48"/>
    </row>
    <row r="96" spans="3:15" x14ac:dyDescent="0.3">
      <c r="C96" s="11"/>
      <c r="E96" s="11"/>
      <c r="F96" s="15"/>
      <c r="G96" s="15"/>
      <c r="H96" s="47"/>
      <c r="J96" s="47"/>
      <c r="K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-SinArea-0000</v>
      </c>
      <c r="M96" s="15"/>
      <c r="O96" s="48"/>
    </row>
    <row r="97" spans="3:15" x14ac:dyDescent="0.3">
      <c r="C97" s="11"/>
      <c r="E97" s="11"/>
      <c r="F97" s="15"/>
      <c r="G97" s="15"/>
      <c r="H97" s="47"/>
      <c r="J97" s="47"/>
      <c r="K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-SinArea-0000</v>
      </c>
      <c r="M97" s="15"/>
      <c r="O97" s="48"/>
    </row>
    <row r="98" spans="3:15" x14ac:dyDescent="0.3">
      <c r="C98" s="11"/>
      <c r="E98" s="11"/>
      <c r="F98" s="15"/>
      <c r="G98" s="15"/>
      <c r="H98" s="47"/>
      <c r="J98" s="47"/>
      <c r="K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-SinArea-0000</v>
      </c>
      <c r="M98" s="15"/>
      <c r="O98" s="48"/>
    </row>
    <row r="99" spans="3:15" x14ac:dyDescent="0.3">
      <c r="C99" s="11"/>
      <c r="E99" s="11"/>
      <c r="F99" s="15"/>
      <c r="G99" s="15"/>
      <c r="H99" s="47"/>
      <c r="J99" s="47"/>
      <c r="K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-SinArea-0000</v>
      </c>
      <c r="M99" s="15"/>
      <c r="O99" s="48"/>
    </row>
    <row r="100" spans="3:15" x14ac:dyDescent="0.3">
      <c r="C100" s="11"/>
      <c r="E100" s="11"/>
      <c r="F100" s="15"/>
      <c r="G100" s="15"/>
      <c r="H100" s="47"/>
      <c r="J100" s="47"/>
      <c r="K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-SinArea-0000</v>
      </c>
      <c r="M100" s="15"/>
      <c r="O100" s="48"/>
    </row>
    <row r="101" spans="3:15" x14ac:dyDescent="0.3">
      <c r="C101" s="11"/>
      <c r="E101" s="11"/>
      <c r="F101" s="15"/>
      <c r="G101" s="15"/>
      <c r="H101" s="47"/>
      <c r="J101" s="47"/>
      <c r="K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-SinArea-0000</v>
      </c>
      <c r="M101" s="15"/>
      <c r="O101" s="48"/>
    </row>
    <row r="102" spans="3:15" x14ac:dyDescent="0.3">
      <c r="C102" s="11"/>
      <c r="E102" s="11"/>
      <c r="F102" s="15"/>
      <c r="G102" s="15"/>
      <c r="H102" s="47"/>
      <c r="J102" s="47"/>
      <c r="K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-SinArea-0000</v>
      </c>
      <c r="M102" s="15"/>
      <c r="O102" s="48"/>
    </row>
    <row r="103" spans="3:15" x14ac:dyDescent="0.3">
      <c r="C103" s="11"/>
      <c r="E103" s="11"/>
      <c r="F103" s="15"/>
      <c r="G103" s="15"/>
      <c r="H103" s="47"/>
      <c r="J103" s="47"/>
      <c r="K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-SinArea-0000</v>
      </c>
      <c r="M103" s="15"/>
      <c r="O103" s="48"/>
    </row>
    <row r="104" spans="3:15" x14ac:dyDescent="0.3">
      <c r="C104" s="11"/>
      <c r="E104" s="11"/>
      <c r="F104" s="15"/>
      <c r="G104" s="15"/>
      <c r="H104" s="47"/>
      <c r="J104" s="47"/>
      <c r="K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-SinArea-0000</v>
      </c>
      <c r="M104" s="15"/>
      <c r="O104" s="48"/>
    </row>
    <row r="105" spans="3:15" x14ac:dyDescent="0.3">
      <c r="C105" s="11"/>
      <c r="E105" s="11"/>
      <c r="F105" s="15"/>
      <c r="G105" s="15"/>
      <c r="H105" s="47"/>
      <c r="J105" s="47"/>
      <c r="K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-SinArea-0000</v>
      </c>
      <c r="M105" s="15"/>
      <c r="O105" s="48"/>
    </row>
    <row r="106" spans="3:15" x14ac:dyDescent="0.3">
      <c r="C106" s="11"/>
      <c r="E106" s="11"/>
      <c r="F106" s="15"/>
      <c r="G106" s="15"/>
      <c r="H106" s="47"/>
      <c r="J106" s="47"/>
      <c r="K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-SinArea-0000</v>
      </c>
      <c r="M106" s="15"/>
      <c r="O106" s="48"/>
    </row>
    <row r="107" spans="3:15" x14ac:dyDescent="0.3">
      <c r="C107" s="11"/>
      <c r="E107" s="11"/>
      <c r="F107" s="15"/>
      <c r="G107" s="15"/>
      <c r="H107" s="47"/>
      <c r="J107" s="47"/>
      <c r="K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-SinArea-0000</v>
      </c>
      <c r="M107" s="15"/>
      <c r="O107" s="48"/>
    </row>
    <row r="108" spans="3:15" x14ac:dyDescent="0.3">
      <c r="C108" s="11"/>
      <c r="E108" s="11"/>
      <c r="F108" s="15"/>
      <c r="G108" s="15"/>
      <c r="H108" s="47"/>
      <c r="J108" s="47"/>
      <c r="K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-SinArea-0000</v>
      </c>
      <c r="M108" s="15"/>
      <c r="O108" s="48"/>
    </row>
    <row r="109" spans="3:15" x14ac:dyDescent="0.3">
      <c r="C109" s="11"/>
      <c r="E109" s="11"/>
      <c r="F109" s="15"/>
      <c r="G109" s="15"/>
      <c r="H109" s="47"/>
      <c r="J109" s="47"/>
      <c r="K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-SinArea-0000</v>
      </c>
      <c r="M109" s="15"/>
      <c r="O109" s="48"/>
    </row>
    <row r="110" spans="3:15" x14ac:dyDescent="0.3">
      <c r="C110" s="11"/>
      <c r="E110" s="11"/>
      <c r="F110" s="15"/>
      <c r="G110" s="15"/>
      <c r="H110" s="47"/>
      <c r="J110" s="47"/>
      <c r="K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-SinArea-0000</v>
      </c>
      <c r="M110" s="15"/>
      <c r="O110" s="48"/>
    </row>
    <row r="111" spans="3:15" x14ac:dyDescent="0.3">
      <c r="C111" s="11"/>
      <c r="E111" s="11"/>
      <c r="F111" s="15"/>
      <c r="G111" s="15"/>
      <c r="H111" s="47"/>
      <c r="J111" s="47"/>
      <c r="K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-SinArea-0000</v>
      </c>
      <c r="M111" s="15"/>
      <c r="O111" s="48"/>
    </row>
    <row r="112" spans="3:15" x14ac:dyDescent="0.3">
      <c r="C112" s="11"/>
      <c r="E112" s="11"/>
      <c r="F112" s="15"/>
      <c r="G112" s="15"/>
      <c r="H112" s="47"/>
      <c r="J112" s="47"/>
      <c r="K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-SinArea-0000</v>
      </c>
      <c r="M112" s="15"/>
      <c r="O112" s="48"/>
    </row>
    <row r="113" spans="3:15" x14ac:dyDescent="0.3">
      <c r="C113" s="11"/>
      <c r="E113" s="11"/>
      <c r="F113" s="15"/>
      <c r="G113" s="15"/>
      <c r="H113" s="47"/>
      <c r="J113" s="47"/>
      <c r="K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-SinArea-0000</v>
      </c>
      <c r="M113" s="15"/>
      <c r="O113" s="48"/>
    </row>
    <row r="114" spans="3:15" x14ac:dyDescent="0.3">
      <c r="C114" s="11"/>
      <c r="E114" s="11"/>
      <c r="F114" s="15"/>
      <c r="G114" s="15"/>
      <c r="H114" s="47"/>
      <c r="J114" s="47"/>
      <c r="K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-SinArea-0000</v>
      </c>
      <c r="M114" s="15"/>
      <c r="O114" s="48"/>
    </row>
    <row r="115" spans="3:15" x14ac:dyDescent="0.3">
      <c r="C115" s="11"/>
      <c r="E115" s="11"/>
      <c r="F115" s="15"/>
      <c r="G115" s="15"/>
      <c r="H115" s="47"/>
      <c r="J115" s="47"/>
      <c r="K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-SinArea-0000</v>
      </c>
      <c r="M115" s="15"/>
      <c r="O115" s="48"/>
    </row>
    <row r="116" spans="3:15" x14ac:dyDescent="0.3">
      <c r="C116" s="11"/>
      <c r="E116" s="11"/>
      <c r="F116" s="15"/>
      <c r="G116" s="15"/>
      <c r="H116" s="47"/>
      <c r="J116" s="47"/>
      <c r="K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-SinArea-0000</v>
      </c>
      <c r="M116" s="15"/>
      <c r="O116" s="48"/>
    </row>
    <row r="117" spans="3:15" x14ac:dyDescent="0.3">
      <c r="C117" s="11"/>
      <c r="E117" s="11"/>
      <c r="F117" s="15"/>
      <c r="G117" s="15"/>
      <c r="H117" s="47"/>
      <c r="J117" s="47"/>
      <c r="K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-SinArea-0000</v>
      </c>
      <c r="M117" s="15"/>
      <c r="O117" s="48"/>
    </row>
    <row r="118" spans="3:15" x14ac:dyDescent="0.3">
      <c r="C118" s="11"/>
      <c r="E118" s="11"/>
      <c r="F118" s="15"/>
      <c r="G118" s="15"/>
      <c r="H118" s="47"/>
      <c r="J118" s="47"/>
      <c r="K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-SinArea-0000</v>
      </c>
      <c r="M118" s="15"/>
      <c r="O118" s="48"/>
    </row>
    <row r="119" spans="3:15" x14ac:dyDescent="0.3">
      <c r="C119" s="11"/>
      <c r="E119" s="11"/>
      <c r="F119" s="15"/>
      <c r="G119" s="15"/>
      <c r="H119" s="47"/>
      <c r="J119" s="47"/>
      <c r="K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-SinArea-0000</v>
      </c>
      <c r="M119" s="15"/>
      <c r="O119" s="48"/>
    </row>
    <row r="120" spans="3:15" x14ac:dyDescent="0.3">
      <c r="C120" s="11"/>
      <c r="E120" s="11"/>
      <c r="F120" s="15"/>
      <c r="G120" s="15"/>
      <c r="H120" s="47"/>
      <c r="J120" s="47"/>
      <c r="K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-SinArea-0000</v>
      </c>
      <c r="M120" s="15"/>
      <c r="O120" s="48"/>
    </row>
    <row r="121" spans="3:15" x14ac:dyDescent="0.3">
      <c r="C121" s="11"/>
      <c r="E121" s="11"/>
      <c r="F121" s="15"/>
      <c r="G121" s="15"/>
      <c r="H121" s="47"/>
      <c r="J121" s="47"/>
      <c r="K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-SinArea-0000</v>
      </c>
      <c r="M121" s="15"/>
      <c r="O121" s="48"/>
    </row>
    <row r="122" spans="3:15" x14ac:dyDescent="0.3">
      <c r="C122" s="11"/>
      <c r="E122" s="11"/>
      <c r="F122" s="15"/>
      <c r="G122" s="15"/>
      <c r="H122" s="47"/>
      <c r="J122" s="47"/>
      <c r="K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-SinArea-0000</v>
      </c>
      <c r="M122" s="15"/>
      <c r="O122" s="48"/>
    </row>
    <row r="123" spans="3:15" x14ac:dyDescent="0.3">
      <c r="C123" s="11"/>
      <c r="E123" s="11"/>
      <c r="F123" s="15"/>
      <c r="G123" s="15"/>
      <c r="H123" s="47"/>
      <c r="J123" s="47"/>
      <c r="K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-SinArea-0000</v>
      </c>
      <c r="M123" s="15"/>
      <c r="O123" s="48"/>
    </row>
    <row r="124" spans="3:15" x14ac:dyDescent="0.3">
      <c r="C124" s="11"/>
      <c r="E124" s="11"/>
      <c r="F124" s="15"/>
      <c r="G124" s="15"/>
      <c r="H124" s="47"/>
      <c r="J124" s="47"/>
      <c r="K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-SinArea-0000</v>
      </c>
      <c r="M124" s="15"/>
      <c r="O124" s="48"/>
    </row>
    <row r="125" spans="3:15" x14ac:dyDescent="0.3">
      <c r="C125" s="11"/>
      <c r="E125" s="11"/>
      <c r="F125" s="15"/>
      <c r="G125" s="15"/>
      <c r="H125" s="47"/>
      <c r="J125" s="47"/>
      <c r="K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-SinArea-0000</v>
      </c>
      <c r="M125" s="15"/>
      <c r="O125" s="48"/>
    </row>
    <row r="126" spans="3:15" x14ac:dyDescent="0.3">
      <c r="C126" s="11"/>
      <c r="E126" s="11"/>
      <c r="F126" s="15"/>
      <c r="G126" s="15"/>
      <c r="H126" s="47"/>
      <c r="J126" s="47"/>
      <c r="K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-SinArea-0000</v>
      </c>
      <c r="M126" s="15"/>
      <c r="O126" s="48"/>
    </row>
    <row r="127" spans="3:15" x14ac:dyDescent="0.3">
      <c r="C127" s="11"/>
      <c r="E127" s="11"/>
      <c r="F127" s="15"/>
      <c r="G127" s="15"/>
      <c r="H127" s="47"/>
      <c r="J127" s="47"/>
      <c r="K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-SinArea-0000</v>
      </c>
      <c r="M127" s="15"/>
      <c r="O127" s="48"/>
    </row>
    <row r="128" spans="3:15" x14ac:dyDescent="0.3">
      <c r="C128" s="11"/>
      <c r="E128" s="11"/>
      <c r="F128" s="15"/>
      <c r="G128" s="15"/>
      <c r="H128" s="47"/>
      <c r="J128" s="47"/>
      <c r="K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-SinArea-0000</v>
      </c>
      <c r="M128" s="15"/>
      <c r="O128" s="48"/>
    </row>
    <row r="129" spans="3:16" x14ac:dyDescent="0.3">
      <c r="C129" s="11"/>
      <c r="E129" s="11"/>
      <c r="F129" s="15"/>
      <c r="G129" s="15"/>
      <c r="H129" s="47"/>
      <c r="J129" s="47"/>
      <c r="K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-SinArea-0000</v>
      </c>
      <c r="M129" s="15"/>
      <c r="O129" s="48"/>
    </row>
    <row r="130" spans="3:16" x14ac:dyDescent="0.3">
      <c r="C130" s="11"/>
      <c r="E130" s="11"/>
      <c r="F130" s="15"/>
      <c r="G130" s="15"/>
      <c r="H130" s="47"/>
      <c r="J130" s="47"/>
      <c r="K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-SinArea-0000</v>
      </c>
      <c r="M130" s="15"/>
      <c r="O130" s="48"/>
    </row>
    <row r="131" spans="3:16" x14ac:dyDescent="0.3">
      <c r="C131" s="11"/>
      <c r="E131" s="11"/>
      <c r="F131" s="15"/>
      <c r="G131" s="15"/>
      <c r="H131" s="47"/>
      <c r="J131" s="47"/>
      <c r="K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-SinArea-0000</v>
      </c>
      <c r="M131" s="15"/>
      <c r="O131" s="48"/>
    </row>
    <row r="132" spans="3:16" x14ac:dyDescent="0.3">
      <c r="C132" s="11"/>
      <c r="E132" s="11"/>
      <c r="F132" s="15"/>
      <c r="G132" s="15"/>
      <c r="H132" s="47"/>
      <c r="J132" s="47"/>
      <c r="K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-SinArea-0000</v>
      </c>
      <c r="M132" s="15"/>
      <c r="O132" s="48"/>
    </row>
    <row r="133" spans="3:16" x14ac:dyDescent="0.3">
      <c r="C133" s="11"/>
      <c r="E133" s="11"/>
      <c r="F133" s="15"/>
      <c r="G133" s="15"/>
      <c r="H133" s="47"/>
      <c r="J133" s="47"/>
      <c r="K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-SinArea-0000</v>
      </c>
      <c r="M133" s="15"/>
      <c r="O133" s="48"/>
    </row>
    <row r="134" spans="3:16" x14ac:dyDescent="0.3">
      <c r="C134" s="11"/>
      <c r="E134" s="11"/>
      <c r="F134" s="15"/>
      <c r="G134" s="15"/>
      <c r="H134" s="47"/>
      <c r="J134" s="47"/>
      <c r="K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-SinArea-0000</v>
      </c>
      <c r="M134" s="15"/>
      <c r="O134" s="48"/>
    </row>
    <row r="135" spans="3:16" x14ac:dyDescent="0.3">
      <c r="C135" s="11"/>
      <c r="E135" s="11"/>
      <c r="F135" s="15"/>
      <c r="G135" s="15"/>
      <c r="H135" s="47"/>
      <c r="J135" s="47"/>
      <c r="K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-SinArea-0000</v>
      </c>
      <c r="M135" s="15"/>
      <c r="O135" s="48"/>
    </row>
    <row r="136" spans="3:16" x14ac:dyDescent="0.3">
      <c r="C136" s="11"/>
      <c r="E136" s="11"/>
      <c r="F136" s="15"/>
      <c r="G136" s="15"/>
      <c r="H136" s="47"/>
      <c r="J136" s="47"/>
      <c r="K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-SinArea-0000</v>
      </c>
      <c r="M136" s="15"/>
      <c r="O136" s="48"/>
    </row>
    <row r="137" spans="3:16" x14ac:dyDescent="0.3">
      <c r="C137" s="11"/>
      <c r="E137" s="11"/>
      <c r="F137" s="15"/>
      <c r="G137" s="15"/>
      <c r="H137" s="47"/>
      <c r="J137" s="47"/>
      <c r="K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-SinArea-0000</v>
      </c>
      <c r="M137" s="15"/>
      <c r="O137" s="48"/>
    </row>
    <row r="138" spans="3:16" x14ac:dyDescent="0.3">
      <c r="C138" s="11"/>
      <c r="E138" s="11"/>
      <c r="F138" s="15"/>
      <c r="G138" s="15"/>
      <c r="H138" s="47"/>
      <c r="J138" s="47"/>
      <c r="K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-SinArea-0000</v>
      </c>
      <c r="M138" s="15"/>
      <c r="O138" s="48"/>
    </row>
    <row r="139" spans="3:16" x14ac:dyDescent="0.3">
      <c r="C139" s="11"/>
      <c r="E139" s="11"/>
      <c r="F139" s="15"/>
      <c r="G139" s="15"/>
      <c r="H139" s="47"/>
      <c r="J139" s="47"/>
      <c r="K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-SinArea-0000</v>
      </c>
      <c r="M139" s="15"/>
      <c r="O139" s="48"/>
    </row>
    <row r="140" spans="3:16" x14ac:dyDescent="0.3">
      <c r="C140" s="11"/>
      <c r="D140" s="32"/>
      <c r="E140" s="11"/>
      <c r="F140" s="15"/>
      <c r="G140" s="15"/>
      <c r="H140" s="47"/>
      <c r="I140" s="76"/>
      <c r="J140" s="47"/>
      <c r="K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-SinArea-0000</v>
      </c>
      <c r="L140" s="77"/>
      <c r="M140" s="15"/>
      <c r="N140" s="32"/>
      <c r="O140" s="48"/>
    </row>
    <row r="141" spans="3:16" x14ac:dyDescent="0.3">
      <c r="C141" s="11"/>
      <c r="D141" s="32"/>
      <c r="E141" s="11"/>
      <c r="G141" s="15"/>
      <c r="H141" s="47"/>
      <c r="I141" s="76"/>
      <c r="J141" s="76"/>
      <c r="K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-SinArea-0000</v>
      </c>
      <c r="L141" s="77"/>
      <c r="M141" s="32"/>
      <c r="N141" s="32"/>
      <c r="O141" s="32"/>
      <c r="P141" s="32"/>
    </row>
    <row r="142" spans="3:16" x14ac:dyDescent="0.3">
      <c r="C142" s="11"/>
      <c r="D142" s="32"/>
      <c r="E142" s="11"/>
      <c r="G142" s="15"/>
      <c r="H142" s="47"/>
      <c r="I142" s="76"/>
      <c r="J142" s="76"/>
      <c r="K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-SinArea-0000</v>
      </c>
      <c r="L142" s="77"/>
      <c r="M142" s="32"/>
      <c r="N142" s="32"/>
      <c r="O142" s="32"/>
      <c r="P142" s="32"/>
    </row>
    <row r="143" spans="3:16" x14ac:dyDescent="0.3">
      <c r="C143" s="11"/>
      <c r="D143" s="32"/>
      <c r="E143" s="11"/>
      <c r="G143" s="15"/>
      <c r="H143" s="47"/>
      <c r="I143" s="76"/>
      <c r="J143" s="76"/>
      <c r="K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-SinArea-0000</v>
      </c>
      <c r="L143" s="77"/>
      <c r="M143" s="32"/>
      <c r="N143" s="32"/>
      <c r="O143" s="32"/>
      <c r="P143" s="32"/>
    </row>
    <row r="144" spans="3:16" x14ac:dyDescent="0.3">
      <c r="C144" s="11"/>
      <c r="D144" s="32"/>
      <c r="E144" s="11"/>
      <c r="G144" s="15"/>
      <c r="H144" s="47"/>
      <c r="I144" s="76"/>
      <c r="J144" s="76"/>
      <c r="K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-SinArea-0000</v>
      </c>
      <c r="L144" s="77"/>
      <c r="M144" s="32"/>
      <c r="N144" s="32"/>
      <c r="O144" s="32"/>
      <c r="P144" s="32"/>
    </row>
    <row r="145" spans="3:16" x14ac:dyDescent="0.3">
      <c r="C145" s="11"/>
      <c r="D145" s="32"/>
      <c r="E145" s="11"/>
      <c r="G145" s="15"/>
      <c r="H145" s="47"/>
      <c r="I145" s="76"/>
      <c r="J145" s="76"/>
      <c r="K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-SinArea-0000</v>
      </c>
      <c r="L145" s="77"/>
      <c r="M145" s="32"/>
      <c r="N145" s="32"/>
      <c r="O145" s="32"/>
      <c r="P145" s="32"/>
    </row>
    <row r="146" spans="3:16" x14ac:dyDescent="0.3">
      <c r="C146" s="11"/>
      <c r="D146" s="32"/>
      <c r="E146" s="11"/>
      <c r="G146" s="15"/>
      <c r="H146" s="47"/>
      <c r="I146" s="76"/>
      <c r="J146" s="76"/>
      <c r="K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-SinArea-0000</v>
      </c>
      <c r="L146" s="77"/>
      <c r="M146" s="32"/>
      <c r="N146" s="32"/>
      <c r="O146" s="32"/>
      <c r="P146" s="32"/>
    </row>
    <row r="147" spans="3:16" x14ac:dyDescent="0.3">
      <c r="C147" s="11"/>
      <c r="D147" s="32"/>
      <c r="E147" s="11"/>
      <c r="G147" s="15"/>
      <c r="H147" s="47"/>
      <c r="I147" s="76"/>
      <c r="J147" s="76"/>
      <c r="K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-SinArea-0000</v>
      </c>
      <c r="L147" s="77"/>
      <c r="M147" s="32"/>
      <c r="N147" s="32"/>
      <c r="O147" s="32"/>
      <c r="P147" s="32"/>
    </row>
    <row r="148" spans="3:16" x14ac:dyDescent="0.3">
      <c r="C148" s="11"/>
      <c r="D148" s="32"/>
      <c r="E148" s="11"/>
      <c r="G148" s="15"/>
      <c r="H148" s="47"/>
      <c r="I148" s="76"/>
      <c r="J148" s="76"/>
      <c r="K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-SinArea-0000</v>
      </c>
      <c r="L148" s="77"/>
      <c r="M148" s="32"/>
      <c r="N148" s="32"/>
      <c r="O148" s="32"/>
      <c r="P148" s="32"/>
    </row>
    <row r="149" spans="3:16" x14ac:dyDescent="0.3">
      <c r="C149" s="11"/>
      <c r="D149" s="32"/>
      <c r="E149" s="11"/>
      <c r="G149" s="15"/>
      <c r="H149" s="47"/>
      <c r="I149" s="76"/>
      <c r="J149" s="76"/>
      <c r="K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-SinArea-0000</v>
      </c>
      <c r="L149" s="77"/>
      <c r="M149" s="32"/>
      <c r="N149" s="32"/>
      <c r="O149" s="32"/>
      <c r="P149" s="32"/>
    </row>
    <row r="150" spans="3:16" x14ac:dyDescent="0.3">
      <c r="C150" s="11"/>
      <c r="D150" s="32"/>
      <c r="E150" s="11"/>
      <c r="G150" s="15"/>
      <c r="H150" s="47"/>
      <c r="I150" s="76"/>
      <c r="J150" s="76"/>
      <c r="K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-SinArea-0000</v>
      </c>
      <c r="L150" s="77"/>
      <c r="M150" s="32"/>
      <c r="N150" s="32"/>
      <c r="O150" s="32"/>
      <c r="P150" s="32"/>
    </row>
    <row r="151" spans="3:16" x14ac:dyDescent="0.3">
      <c r="C151" s="11"/>
      <c r="D151" s="32"/>
      <c r="E151" s="11"/>
      <c r="G151" s="15"/>
      <c r="H151" s="47"/>
      <c r="I151" s="76"/>
      <c r="J151" s="76"/>
      <c r="K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-SinArea-0000</v>
      </c>
      <c r="L151" s="77"/>
      <c r="M151" s="32"/>
      <c r="N151" s="32"/>
      <c r="O151" s="32"/>
      <c r="P151" s="32"/>
    </row>
    <row r="152" spans="3:16" x14ac:dyDescent="0.3">
      <c r="C152" s="11"/>
      <c r="D152" s="32"/>
      <c r="E152" s="11"/>
      <c r="G152" s="15"/>
      <c r="H152" s="47"/>
      <c r="I152" s="76"/>
      <c r="J152" s="76"/>
      <c r="K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-SinArea-0000</v>
      </c>
      <c r="L152" s="77"/>
      <c r="M152" s="32"/>
      <c r="N152" s="32"/>
      <c r="O152" s="32"/>
      <c r="P152" s="32"/>
    </row>
    <row r="153" spans="3:16" x14ac:dyDescent="0.3">
      <c r="C153" s="11"/>
      <c r="D153" s="32"/>
      <c r="E153" s="11"/>
      <c r="G153" s="15"/>
      <c r="H153" s="47"/>
      <c r="I153" s="76"/>
      <c r="J153" s="76"/>
      <c r="K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-SinArea-0000</v>
      </c>
      <c r="L153" s="77"/>
      <c r="M153" s="32"/>
      <c r="N153" s="32"/>
      <c r="O153" s="32"/>
      <c r="P153" s="32"/>
    </row>
    <row r="154" spans="3:16" x14ac:dyDescent="0.3">
      <c r="C154" s="11"/>
      <c r="D154" s="32"/>
      <c r="E154" s="11"/>
      <c r="G154" s="15"/>
      <c r="H154" s="47"/>
      <c r="I154" s="76"/>
      <c r="J154" s="76"/>
      <c r="K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-SinArea-0000</v>
      </c>
      <c r="L154" s="77"/>
      <c r="M154" s="32"/>
      <c r="N154" s="32"/>
      <c r="O154" s="32"/>
      <c r="P154" s="32"/>
    </row>
    <row r="155" spans="3:16" x14ac:dyDescent="0.3">
      <c r="C155" s="11"/>
      <c r="D155" s="32"/>
      <c r="E155" s="11"/>
      <c r="G155" s="15"/>
      <c r="H155" s="47"/>
      <c r="I155" s="76"/>
      <c r="J155" s="76"/>
      <c r="K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-SinArea-0000</v>
      </c>
      <c r="L155" s="77"/>
      <c r="M155" s="32"/>
      <c r="N155" s="32"/>
      <c r="O155" s="32"/>
      <c r="P155" s="32"/>
    </row>
    <row r="156" spans="3:16" x14ac:dyDescent="0.3">
      <c r="C156" s="11"/>
      <c r="D156" s="32"/>
      <c r="E156" s="11"/>
      <c r="G156" s="15"/>
      <c r="H156" s="47"/>
      <c r="I156" s="76"/>
      <c r="J156" s="76"/>
      <c r="K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-SinArea-0000</v>
      </c>
      <c r="L156" s="77"/>
      <c r="M156" s="32"/>
      <c r="N156" s="32"/>
      <c r="O156" s="32"/>
      <c r="P156" s="32"/>
    </row>
    <row r="157" spans="3:16" x14ac:dyDescent="0.3">
      <c r="C157" s="11"/>
      <c r="D157" s="32"/>
      <c r="E157" s="11"/>
      <c r="G157" s="15"/>
      <c r="H157" s="47"/>
      <c r="I157" s="76"/>
      <c r="J157" s="76"/>
      <c r="K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L157" s="77"/>
      <c r="M157" s="32"/>
      <c r="N157" s="32"/>
      <c r="O157" s="32"/>
      <c r="P157" s="32"/>
    </row>
    <row r="158" spans="3:16" x14ac:dyDescent="0.3">
      <c r="C158" s="11"/>
      <c r="D158" s="32"/>
      <c r="E158" s="11"/>
      <c r="G158" s="15"/>
      <c r="H158" s="47"/>
      <c r="I158" s="76"/>
      <c r="J158" s="76"/>
      <c r="K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L158" s="77"/>
      <c r="M158" s="32"/>
      <c r="N158" s="32"/>
      <c r="O158" s="32"/>
      <c r="P158" s="32"/>
    </row>
    <row r="159" spans="3:16" x14ac:dyDescent="0.3">
      <c r="C159" s="11"/>
      <c r="D159" s="32"/>
      <c r="E159" s="11"/>
      <c r="G159" s="15"/>
      <c r="H159" s="47"/>
      <c r="I159" s="76"/>
      <c r="J159" s="76"/>
      <c r="K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L159" s="77"/>
      <c r="M159" s="32"/>
      <c r="N159" s="32"/>
      <c r="O159" s="32"/>
      <c r="P159" s="32"/>
    </row>
    <row r="160" spans="3:16" x14ac:dyDescent="0.3">
      <c r="C160" s="11"/>
      <c r="D160" s="32"/>
      <c r="E160" s="11"/>
      <c r="G160" s="15"/>
      <c r="H160" s="47"/>
      <c r="I160" s="76"/>
      <c r="J160" s="76"/>
      <c r="K160" s="78" t="str">
        <f>_xlfn.LET(
    _xlpm.itemBuscado, B160,
    _xlpm.areaBuscada, C160,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TEXT(COUNTIF($C$2:C160, _xlpm.areaBuscada), "0000"),
    _xlpm.codItem &amp; "-" &amp; _xlpm.codArea &amp; "-" &amp; _xlpm.secuencia
)</f>
        <v>-SinArea-0000</v>
      </c>
      <c r="L160" s="77"/>
      <c r="M160" s="32"/>
      <c r="N160" s="32"/>
      <c r="O160" s="32"/>
      <c r="P160" s="32"/>
    </row>
    <row r="161" spans="3:16" x14ac:dyDescent="0.3">
      <c r="C161" s="11"/>
      <c r="D161" s="32"/>
      <c r="E161" s="11"/>
      <c r="G161" s="15"/>
      <c r="H161" s="47"/>
      <c r="I161" s="76"/>
      <c r="J161" s="76"/>
      <c r="K161" s="78" t="str">
        <f>_xlfn.LET(
    _xlpm.itemBuscado, B161,
    _xlpm.areaBuscada, C161,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TEXT(COUNTIF($C$2:C161, _xlpm.areaBuscada), "0000"),
    _xlpm.codItem &amp; "-" &amp; _xlpm.codArea &amp; "-" &amp; _xlpm.secuencia
)</f>
        <v>-SinArea-0000</v>
      </c>
      <c r="L161" s="77"/>
      <c r="M161" s="32"/>
      <c r="N161" s="32"/>
      <c r="O161" s="32"/>
      <c r="P161" s="32"/>
    </row>
    <row r="162" spans="3:16" x14ac:dyDescent="0.3">
      <c r="C162" s="11"/>
      <c r="D162" s="32"/>
      <c r="E162" s="11"/>
      <c r="G162" s="15"/>
      <c r="H162" s="47"/>
      <c r="I162" s="76"/>
      <c r="J162" s="76"/>
      <c r="K162" s="78" t="str">
        <f>_xlfn.LET(
    _xlpm.itemBuscado, B162,
    _xlpm.areaBuscada, C162,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TEXT(COUNTIF($C$2:C162, _xlpm.areaBuscada), "0000"),
    _xlpm.codItem &amp; "-" &amp; _xlpm.codArea &amp; "-" &amp; _xlpm.secuencia
)</f>
        <v>-SinArea-0000</v>
      </c>
      <c r="L162" s="77"/>
      <c r="M162" s="32"/>
      <c r="N162" s="32"/>
      <c r="O162" s="32"/>
      <c r="P162" s="32"/>
    </row>
    <row r="163" spans="3:16" x14ac:dyDescent="0.3">
      <c r="C163" s="11"/>
      <c r="D163" s="32"/>
      <c r="E163" s="11"/>
      <c r="G163" s="15"/>
      <c r="H163" s="47"/>
      <c r="I163" s="76"/>
      <c r="J163" s="76"/>
      <c r="K163" s="78" t="str">
        <f>_xlfn.LET(
    _xlpm.itemBuscado, B163,
    _xlpm.areaBuscada, C163,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TEXT(COUNTIF($C$2:C163, _xlpm.areaBuscada), "0000"),
    _xlpm.codItem &amp; "-" &amp; _xlpm.codArea &amp; "-" &amp; _xlpm.secuencia
)</f>
        <v>-SinArea-0000</v>
      </c>
      <c r="L163" s="77"/>
      <c r="M163" s="32"/>
      <c r="N163" s="32"/>
      <c r="O163" s="32"/>
      <c r="P163" s="32"/>
    </row>
    <row r="164" spans="3:16" x14ac:dyDescent="0.3">
      <c r="C164" s="11"/>
      <c r="D164" s="32"/>
      <c r="E164" s="11"/>
      <c r="G164" s="15"/>
      <c r="H164" s="47"/>
      <c r="I164" s="76"/>
      <c r="J164" s="76"/>
      <c r="K164" s="78" t="str">
        <f>_xlfn.LET(
    _xlpm.itemBuscado, B164,
    _xlpm.areaBuscada, C164,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TEXT(COUNTIF($C$2:C164, _xlpm.areaBuscada), "0000"),
    _xlpm.codItem &amp; "-" &amp; _xlpm.codArea &amp; "-" &amp; _xlpm.secuencia
)</f>
        <v>-SinArea-0000</v>
      </c>
      <c r="L164" s="77"/>
      <c r="M164" s="32"/>
      <c r="N164" s="32"/>
      <c r="O164" s="32"/>
      <c r="P164" s="32"/>
    </row>
    <row r="165" spans="3:16" x14ac:dyDescent="0.3">
      <c r="C165" s="11"/>
      <c r="D165" s="32"/>
      <c r="E165" s="11"/>
      <c r="G165" s="15"/>
      <c r="H165" s="47"/>
      <c r="I165" s="76"/>
      <c r="J165" s="76"/>
      <c r="K165" s="78" t="str">
        <f>_xlfn.LET(
    _xlpm.itemBuscado, B165,
    _xlpm.areaBuscada, C165,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TEXT(COUNTIF($C$2:C165, _xlpm.areaBuscada), "0000"),
    _xlpm.codItem &amp; "-" &amp; _xlpm.codArea &amp; "-" &amp; _xlpm.secuencia
)</f>
        <v>-SinArea-0000</v>
      </c>
      <c r="L165" s="77"/>
      <c r="M165" s="32"/>
      <c r="N165" s="32"/>
      <c r="O165" s="32"/>
      <c r="P165" s="32"/>
    </row>
    <row r="166" spans="3:16" x14ac:dyDescent="0.3">
      <c r="C166" s="11"/>
      <c r="D166" s="32"/>
      <c r="E166" s="11"/>
      <c r="G166" s="15"/>
      <c r="H166" s="47"/>
      <c r="I166" s="76"/>
      <c r="J166" s="76"/>
      <c r="K166" s="78" t="str">
        <f>_xlfn.LET(
    _xlpm.itemBuscado, B166,
    _xlpm.areaBuscada, C166,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TEXT(COUNTIF($C$2:C166, _xlpm.areaBuscada), "0000"),
    _xlpm.codItem &amp; "-" &amp; _xlpm.codArea &amp; "-" &amp; _xlpm.secuencia
)</f>
        <v>-SinArea-0000</v>
      </c>
      <c r="L166" s="77"/>
      <c r="M166" s="32"/>
      <c r="N166" s="32"/>
      <c r="O166" s="32"/>
      <c r="P166" s="32"/>
    </row>
    <row r="167" spans="3:16" x14ac:dyDescent="0.3">
      <c r="C167" s="11"/>
      <c r="D167" s="32"/>
      <c r="E167" s="11"/>
      <c r="G167" s="15"/>
      <c r="H167" s="47"/>
      <c r="I167" s="76"/>
      <c r="J167" s="76"/>
      <c r="K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L167" s="77"/>
      <c r="M167" s="32"/>
      <c r="N167" s="32"/>
      <c r="O167" s="32"/>
      <c r="P167" s="32"/>
    </row>
    <row r="168" spans="3:16" x14ac:dyDescent="0.3">
      <c r="C168" s="11"/>
      <c r="D168" s="32"/>
      <c r="E168" s="11"/>
      <c r="G168" s="15"/>
      <c r="H168" s="47"/>
      <c r="I168" s="76"/>
      <c r="J168" s="76"/>
      <c r="K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L168" s="77"/>
      <c r="M168" s="32"/>
      <c r="N168" s="32"/>
      <c r="O168" s="32"/>
      <c r="P168" s="32"/>
    </row>
    <row r="169" spans="3:16" x14ac:dyDescent="0.3">
      <c r="C169" s="11"/>
      <c r="D169" s="32"/>
      <c r="E169" s="11"/>
      <c r="G169" s="15"/>
      <c r="H169" s="47"/>
      <c r="I169" s="76"/>
      <c r="J169" s="76"/>
      <c r="K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L169" s="77"/>
      <c r="M169" s="32"/>
      <c r="N169" s="32"/>
      <c r="O169" s="32"/>
      <c r="P169" s="32"/>
    </row>
    <row r="170" spans="3:16" x14ac:dyDescent="0.3">
      <c r="C170" s="11"/>
      <c r="D170" s="32"/>
      <c r="E170" s="11"/>
      <c r="G170" s="15"/>
      <c r="H170" s="47"/>
      <c r="I170" s="76"/>
      <c r="J170" s="76"/>
      <c r="K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L170" s="77"/>
      <c r="M170" s="32"/>
      <c r="N170" s="32"/>
      <c r="O170" s="32"/>
      <c r="P170" s="32"/>
    </row>
    <row r="171" spans="3:16" x14ac:dyDescent="0.3">
      <c r="C171" s="11"/>
      <c r="D171" s="32"/>
      <c r="E171" s="11"/>
      <c r="G171" s="15"/>
      <c r="H171" s="47"/>
      <c r="I171" s="76"/>
      <c r="J171" s="76"/>
      <c r="K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L171" s="77"/>
      <c r="M171" s="32"/>
      <c r="N171" s="32"/>
      <c r="O171" s="32"/>
      <c r="P171" s="32"/>
    </row>
    <row r="172" spans="3:16" x14ac:dyDescent="0.3">
      <c r="C172" s="11"/>
      <c r="D172" s="32"/>
      <c r="E172" s="11"/>
      <c r="G172" s="15"/>
      <c r="H172" s="47"/>
      <c r="I172" s="76"/>
      <c r="J172" s="76"/>
      <c r="K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L172" s="77"/>
      <c r="M172" s="32"/>
      <c r="N172" s="32"/>
      <c r="O172" s="32"/>
      <c r="P172" s="32"/>
    </row>
    <row r="173" spans="3:16" x14ac:dyDescent="0.3">
      <c r="C173" s="11"/>
      <c r="D173" s="32"/>
      <c r="E173" s="11"/>
      <c r="G173" s="15"/>
      <c r="H173" s="47"/>
      <c r="I173" s="76"/>
      <c r="J173" s="76"/>
      <c r="K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L173" s="77"/>
      <c r="M173" s="32"/>
      <c r="N173" s="32"/>
      <c r="O173" s="32"/>
      <c r="P173" s="32"/>
    </row>
    <row r="174" spans="3:16" x14ac:dyDescent="0.3">
      <c r="C174" s="11"/>
      <c r="D174" s="32"/>
      <c r="E174" s="11"/>
      <c r="G174" s="15"/>
      <c r="H174" s="47"/>
      <c r="I174" s="76"/>
      <c r="J174" s="76"/>
      <c r="K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L174" s="77"/>
      <c r="M174" s="32"/>
      <c r="N174" s="32"/>
      <c r="O174" s="32"/>
      <c r="P174" s="32"/>
    </row>
    <row r="175" spans="3:16" x14ac:dyDescent="0.3">
      <c r="C175" s="11"/>
      <c r="D175" s="32"/>
      <c r="E175" s="11"/>
      <c r="G175" s="15"/>
      <c r="H175" s="47"/>
      <c r="I175" s="76"/>
      <c r="J175" s="76"/>
      <c r="K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L175" s="77"/>
      <c r="M175" s="32"/>
      <c r="N175" s="32"/>
      <c r="O175" s="32"/>
      <c r="P175" s="32"/>
    </row>
    <row r="176" spans="3:16" x14ac:dyDescent="0.3">
      <c r="C176" s="11"/>
      <c r="D176" s="32"/>
      <c r="E176" s="11"/>
      <c r="G176" s="15"/>
      <c r="H176" s="47"/>
      <c r="I176" s="76"/>
      <c r="J176" s="76"/>
      <c r="K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L176" s="77"/>
      <c r="M176" s="32"/>
      <c r="N176" s="32"/>
      <c r="O176" s="32"/>
      <c r="P176" s="32"/>
    </row>
    <row r="177" spans="3:16" x14ac:dyDescent="0.3">
      <c r="C177" s="11"/>
      <c r="D177" s="32"/>
      <c r="E177" s="11"/>
      <c r="G177" s="15"/>
      <c r="H177" s="47"/>
      <c r="I177" s="76"/>
      <c r="J177" s="76"/>
      <c r="K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L177" s="77"/>
      <c r="M177" s="32"/>
      <c r="N177" s="32"/>
      <c r="O177" s="32"/>
      <c r="P177" s="32"/>
    </row>
    <row r="178" spans="3:16" x14ac:dyDescent="0.3">
      <c r="C178" s="11"/>
      <c r="D178" s="32"/>
      <c r="E178" s="11"/>
      <c r="G178" s="15"/>
      <c r="H178" s="47"/>
      <c r="I178" s="76"/>
      <c r="J178" s="76"/>
      <c r="K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L178" s="77"/>
      <c r="M178" s="32"/>
      <c r="N178" s="32"/>
      <c r="O178" s="32"/>
      <c r="P178" s="32"/>
    </row>
    <row r="179" spans="3:16" x14ac:dyDescent="0.3">
      <c r="C179" s="11"/>
      <c r="D179" s="32"/>
      <c r="E179" s="11"/>
      <c r="G179" s="15"/>
      <c r="H179" s="47"/>
      <c r="I179" s="76"/>
      <c r="J179" s="76"/>
      <c r="K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L179" s="77"/>
      <c r="M179" s="32"/>
      <c r="N179" s="32"/>
      <c r="O179" s="32"/>
      <c r="P179" s="32"/>
    </row>
    <row r="180" spans="3:16" x14ac:dyDescent="0.3">
      <c r="C180" s="11"/>
      <c r="D180" s="32"/>
      <c r="E180" s="11"/>
      <c r="G180" s="15"/>
      <c r="H180" s="47"/>
      <c r="I180" s="76"/>
      <c r="J180" s="76"/>
      <c r="K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L180" s="77"/>
      <c r="M180" s="32"/>
      <c r="N180" s="32"/>
      <c r="O180" s="32"/>
      <c r="P180" s="32"/>
    </row>
    <row r="181" spans="3:16" x14ac:dyDescent="0.3">
      <c r="C181" s="11"/>
      <c r="D181" s="32"/>
      <c r="E181" s="11"/>
      <c r="G181" s="15"/>
      <c r="H181" s="47"/>
      <c r="I181" s="76"/>
      <c r="J181" s="76"/>
      <c r="K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L181" s="77"/>
      <c r="M181" s="32"/>
      <c r="N181" s="32"/>
      <c r="O181" s="32"/>
      <c r="P181" s="32"/>
    </row>
    <row r="182" spans="3:16" x14ac:dyDescent="0.3">
      <c r="C182" s="11"/>
      <c r="D182" s="32"/>
      <c r="E182" s="11"/>
      <c r="G182" s="15"/>
      <c r="H182" s="47"/>
      <c r="I182" s="76"/>
      <c r="J182" s="76"/>
      <c r="K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L182" s="77"/>
      <c r="M182" s="32"/>
      <c r="N182" s="32"/>
      <c r="O182" s="32"/>
      <c r="P182" s="32"/>
    </row>
    <row r="183" spans="3:16" x14ac:dyDescent="0.3">
      <c r="C183" s="11"/>
      <c r="D183" s="32"/>
      <c r="E183" s="11"/>
      <c r="G183" s="15"/>
      <c r="H183" s="47"/>
      <c r="I183" s="76"/>
      <c r="J183" s="76"/>
      <c r="K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L183" s="77"/>
      <c r="M183" s="32"/>
      <c r="N183" s="32"/>
      <c r="O183" s="32"/>
      <c r="P183" s="32"/>
    </row>
    <row r="184" spans="3:16" x14ac:dyDescent="0.3">
      <c r="C184" s="11"/>
      <c r="D184" s="32"/>
      <c r="E184" s="11"/>
      <c r="G184" s="15"/>
      <c r="H184" s="47"/>
      <c r="I184" s="76"/>
      <c r="J184" s="76"/>
      <c r="K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L184" s="77"/>
      <c r="M184" s="32"/>
      <c r="N184" s="32"/>
      <c r="O184" s="32"/>
      <c r="P184" s="32"/>
    </row>
    <row r="185" spans="3:16" x14ac:dyDescent="0.3">
      <c r="C185" s="11"/>
      <c r="D185" s="32"/>
      <c r="E185" s="11"/>
      <c r="G185" s="15"/>
      <c r="H185" s="47"/>
      <c r="I185" s="76"/>
      <c r="J185" s="76"/>
      <c r="K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L185" s="77"/>
      <c r="M185" s="32"/>
      <c r="N185" s="32"/>
      <c r="O185" s="32"/>
      <c r="P185" s="32"/>
    </row>
    <row r="186" spans="3:16" x14ac:dyDescent="0.3">
      <c r="C186" s="11"/>
      <c r="D186" s="32"/>
      <c r="E186" s="11"/>
      <c r="G186" s="15"/>
      <c r="H186" s="47"/>
      <c r="I186" s="76"/>
      <c r="J186" s="76"/>
      <c r="K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L186" s="77"/>
      <c r="M186" s="32"/>
      <c r="N186" s="32"/>
      <c r="O186" s="32"/>
      <c r="P186" s="32"/>
    </row>
    <row r="187" spans="3:16" x14ac:dyDescent="0.3">
      <c r="C187" s="11"/>
      <c r="D187" s="32"/>
      <c r="E187" s="11"/>
      <c r="G187" s="15"/>
      <c r="H187" s="47"/>
      <c r="I187" s="76"/>
      <c r="J187" s="76"/>
      <c r="K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L187" s="77"/>
      <c r="M187" s="32"/>
      <c r="N187" s="32"/>
      <c r="O187" s="32"/>
      <c r="P187" s="32"/>
    </row>
    <row r="188" spans="3:16" x14ac:dyDescent="0.3">
      <c r="C188" s="11"/>
      <c r="D188" s="32"/>
      <c r="E188" s="11"/>
      <c r="G188" s="15"/>
      <c r="H188" s="47"/>
      <c r="I188" s="76"/>
      <c r="J188" s="76"/>
      <c r="K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L188" s="77"/>
      <c r="M188" s="32"/>
      <c r="N188" s="32"/>
      <c r="O188" s="32"/>
      <c r="P188" s="32"/>
    </row>
    <row r="189" spans="3:16" x14ac:dyDescent="0.3">
      <c r="C189" s="11"/>
      <c r="D189" s="32"/>
      <c r="E189" s="11"/>
      <c r="G189" s="15"/>
      <c r="H189" s="47"/>
      <c r="I189" s="76"/>
      <c r="J189" s="76"/>
      <c r="K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L189" s="77"/>
      <c r="M189" s="32"/>
      <c r="N189" s="32"/>
      <c r="O189" s="32"/>
      <c r="P189" s="32"/>
    </row>
    <row r="190" spans="3:16" x14ac:dyDescent="0.3">
      <c r="C190" s="11"/>
      <c r="D190" s="32"/>
      <c r="E190" s="11"/>
      <c r="G190" s="15"/>
      <c r="H190" s="47"/>
      <c r="I190" s="76"/>
      <c r="J190" s="76"/>
      <c r="K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L190" s="77"/>
      <c r="M190" s="32"/>
      <c r="N190" s="32"/>
      <c r="O190" s="32"/>
      <c r="P190" s="32"/>
    </row>
    <row r="191" spans="3:16" x14ac:dyDescent="0.3">
      <c r="C191" s="11"/>
      <c r="D191" s="32"/>
      <c r="E191" s="11"/>
      <c r="G191" s="15"/>
      <c r="H191" s="47"/>
      <c r="I191" s="76"/>
      <c r="J191" s="76"/>
      <c r="K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L191" s="77"/>
      <c r="M191" s="32"/>
      <c r="N191" s="32"/>
      <c r="O191" s="32"/>
      <c r="P191" s="32"/>
    </row>
    <row r="192" spans="3:16" x14ac:dyDescent="0.3">
      <c r="C192" s="11"/>
      <c r="D192" s="32"/>
      <c r="E192" s="11"/>
      <c r="G192" s="15"/>
      <c r="H192" s="47"/>
      <c r="I192" s="76"/>
      <c r="J192" s="76"/>
      <c r="K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L192" s="77"/>
      <c r="M192" s="32"/>
      <c r="N192" s="32"/>
      <c r="O192" s="32"/>
      <c r="P192" s="32"/>
    </row>
    <row r="193" spans="3:16" x14ac:dyDescent="0.3">
      <c r="C193" s="11"/>
      <c r="D193" s="32"/>
      <c r="E193" s="11"/>
      <c r="G193" s="15"/>
      <c r="H193" s="47"/>
      <c r="I193" s="76"/>
      <c r="J193" s="76"/>
      <c r="K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L193" s="77"/>
      <c r="M193" s="32"/>
      <c r="N193" s="32"/>
      <c r="O193" s="32"/>
      <c r="P193" s="32"/>
    </row>
    <row r="194" spans="3:16" x14ac:dyDescent="0.3">
      <c r="C194" s="11"/>
      <c r="D194" s="32"/>
      <c r="E194" s="11"/>
      <c r="G194" s="15"/>
      <c r="H194" s="47"/>
      <c r="I194" s="76"/>
      <c r="J194" s="76"/>
      <c r="K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L194" s="77"/>
      <c r="M194" s="32"/>
      <c r="N194" s="32"/>
      <c r="O194" s="32"/>
      <c r="P194" s="32"/>
    </row>
    <row r="195" spans="3:16" x14ac:dyDescent="0.3">
      <c r="C195" s="11"/>
      <c r="D195" s="32"/>
      <c r="E195" s="11"/>
      <c r="G195" s="15"/>
      <c r="H195" s="47"/>
      <c r="I195" s="76"/>
      <c r="J195" s="76"/>
      <c r="K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L195" s="77"/>
      <c r="M195" s="32"/>
      <c r="N195" s="32"/>
      <c r="O195" s="32"/>
      <c r="P195" s="32"/>
    </row>
    <row r="196" spans="3:16" x14ac:dyDescent="0.3">
      <c r="C196" s="11"/>
      <c r="D196" s="32"/>
      <c r="E196" s="11"/>
      <c r="G196" s="15"/>
      <c r="H196" s="47"/>
      <c r="I196" s="76"/>
      <c r="J196" s="76"/>
      <c r="K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L196" s="77"/>
      <c r="M196" s="32"/>
      <c r="N196" s="32"/>
      <c r="O196" s="32"/>
      <c r="P196" s="32"/>
    </row>
    <row r="197" spans="3:16" x14ac:dyDescent="0.3">
      <c r="C197" s="11"/>
      <c r="D197" s="32"/>
      <c r="E197" s="11"/>
      <c r="G197" s="15"/>
      <c r="H197" s="47"/>
      <c r="I197" s="76"/>
      <c r="J197" s="76"/>
      <c r="K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L197" s="77"/>
      <c r="M197" s="32"/>
      <c r="N197" s="32"/>
      <c r="O197" s="32"/>
      <c r="P197" s="32"/>
    </row>
    <row r="198" spans="3:16" x14ac:dyDescent="0.3">
      <c r="C198" s="11"/>
      <c r="D198" s="32"/>
      <c r="E198" s="11"/>
      <c r="G198" s="15"/>
      <c r="H198" s="47"/>
      <c r="I198" s="76"/>
      <c r="J198" s="76"/>
      <c r="K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L198" s="77"/>
      <c r="M198" s="32"/>
      <c r="N198" s="32"/>
      <c r="O198" s="32"/>
      <c r="P198" s="32"/>
    </row>
    <row r="199" spans="3:16" x14ac:dyDescent="0.3">
      <c r="C199" s="11"/>
      <c r="D199" s="32"/>
      <c r="E199" s="11"/>
      <c r="G199" s="15"/>
      <c r="H199" s="47"/>
      <c r="I199" s="76"/>
      <c r="J199" s="76"/>
      <c r="K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L199" s="77"/>
      <c r="M199" s="32"/>
      <c r="N199" s="32"/>
      <c r="O199" s="32"/>
      <c r="P199" s="32"/>
    </row>
    <row r="200" spans="3:16" x14ac:dyDescent="0.3">
      <c r="C200" s="11"/>
      <c r="D200" s="32"/>
      <c r="E200" s="11"/>
      <c r="G200" s="15"/>
      <c r="H200" s="47"/>
      <c r="I200" s="76"/>
      <c r="J200" s="76"/>
      <c r="K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L200" s="77"/>
      <c r="M200" s="32"/>
      <c r="N200" s="32"/>
      <c r="O200" s="32"/>
      <c r="P200" s="32"/>
    </row>
    <row r="201" spans="3:16" x14ac:dyDescent="0.3">
      <c r="C201" s="11"/>
      <c r="D201" s="32"/>
      <c r="E201" s="11"/>
      <c r="G201" s="15"/>
      <c r="H201" s="47"/>
      <c r="I201" s="76"/>
      <c r="J201" s="76"/>
      <c r="K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L201" s="77"/>
      <c r="M201" s="32"/>
      <c r="N201" s="32"/>
      <c r="O201" s="32"/>
      <c r="P201" s="32"/>
    </row>
    <row r="202" spans="3:16" x14ac:dyDescent="0.3">
      <c r="C202" s="11"/>
      <c r="D202" s="32"/>
      <c r="E202" s="11"/>
      <c r="G202" s="15"/>
      <c r="H202" s="47"/>
      <c r="I202" s="76"/>
      <c r="J202" s="76"/>
      <c r="K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L202" s="77"/>
      <c r="M202" s="32"/>
      <c r="N202" s="32"/>
      <c r="O202" s="32"/>
      <c r="P202" s="32"/>
    </row>
    <row r="203" spans="3:16" x14ac:dyDescent="0.3">
      <c r="C203" s="11"/>
      <c r="D203" s="32"/>
      <c r="E203" s="11"/>
      <c r="G203" s="15"/>
      <c r="H203" s="47"/>
      <c r="I203" s="76"/>
      <c r="J203" s="76"/>
      <c r="K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L203" s="77"/>
      <c r="M203" s="32"/>
      <c r="N203" s="32"/>
      <c r="O203" s="32"/>
      <c r="P203" s="32"/>
    </row>
    <row r="204" spans="3:16" x14ac:dyDescent="0.3">
      <c r="C204" s="11"/>
      <c r="D204" s="32"/>
      <c r="E204" s="11"/>
      <c r="G204" s="15"/>
      <c r="H204" s="47"/>
      <c r="I204" s="76"/>
      <c r="J204" s="76"/>
      <c r="K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L204" s="77"/>
      <c r="M204" s="32"/>
      <c r="N204" s="32"/>
      <c r="O204" s="32"/>
      <c r="P204" s="32"/>
    </row>
    <row r="205" spans="3:16" x14ac:dyDescent="0.3">
      <c r="C205" s="11"/>
      <c r="D205" s="32"/>
      <c r="E205" s="11"/>
      <c r="G205" s="15"/>
      <c r="H205" s="47"/>
      <c r="I205" s="76"/>
      <c r="J205" s="76"/>
      <c r="K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L205" s="77"/>
      <c r="M205" s="32"/>
      <c r="N205" s="32"/>
      <c r="O205" s="32"/>
      <c r="P205" s="32"/>
    </row>
    <row r="206" spans="3:16" x14ac:dyDescent="0.3">
      <c r="C206" s="11"/>
      <c r="D206" s="32"/>
      <c r="E206" s="11"/>
      <c r="G206" s="15"/>
      <c r="H206" s="47"/>
      <c r="I206" s="76"/>
      <c r="J206" s="76"/>
      <c r="K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L206" s="77"/>
      <c r="M206" s="32"/>
      <c r="N206" s="32"/>
      <c r="O206" s="32"/>
      <c r="P206" s="32"/>
    </row>
    <row r="207" spans="3:16" x14ac:dyDescent="0.3">
      <c r="C207" s="11"/>
      <c r="D207" s="32"/>
      <c r="E207" s="11"/>
      <c r="G207" s="15"/>
      <c r="H207" s="47"/>
      <c r="I207" s="76"/>
      <c r="J207" s="76"/>
      <c r="K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L207" s="77"/>
      <c r="M207" s="32"/>
      <c r="N207" s="32"/>
      <c r="O207" s="32"/>
      <c r="P207" s="32"/>
    </row>
    <row r="208" spans="3:16" x14ac:dyDescent="0.3">
      <c r="C208" s="11"/>
      <c r="D208" s="32"/>
      <c r="E208" s="11"/>
      <c r="G208" s="15"/>
      <c r="H208" s="47"/>
      <c r="I208" s="76"/>
      <c r="J208" s="76"/>
      <c r="K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L208" s="77"/>
      <c r="M208" s="32"/>
      <c r="N208" s="32"/>
      <c r="O208" s="32"/>
      <c r="P208" s="32"/>
    </row>
    <row r="209" spans="3:16" x14ac:dyDescent="0.3">
      <c r="C209" s="11"/>
      <c r="D209" s="32"/>
      <c r="E209" s="11"/>
      <c r="G209" s="15"/>
      <c r="H209" s="47"/>
      <c r="I209" s="76"/>
      <c r="J209" s="76"/>
      <c r="K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L209" s="77"/>
      <c r="M209" s="32"/>
      <c r="N209" s="32"/>
      <c r="O209" s="32"/>
      <c r="P209" s="32"/>
    </row>
    <row r="210" spans="3:16" x14ac:dyDescent="0.3">
      <c r="C210" s="11"/>
      <c r="D210" s="32"/>
      <c r="E210" s="11"/>
      <c r="G210" s="15"/>
      <c r="H210" s="47"/>
      <c r="I210" s="76"/>
      <c r="J210" s="76"/>
      <c r="K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L210" s="77"/>
      <c r="M210" s="32"/>
      <c r="N210" s="32"/>
      <c r="O210" s="32"/>
      <c r="P210" s="32"/>
    </row>
    <row r="211" spans="3:16" x14ac:dyDescent="0.3">
      <c r="C211" s="11"/>
      <c r="D211" s="32"/>
      <c r="E211" s="11"/>
      <c r="G211" s="15"/>
      <c r="H211" s="47"/>
      <c r="I211" s="76"/>
      <c r="J211" s="76"/>
      <c r="K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L211" s="77"/>
      <c r="M211" s="32"/>
      <c r="N211" s="32"/>
      <c r="O211" s="32"/>
      <c r="P211" s="32"/>
    </row>
    <row r="212" spans="3:16" x14ac:dyDescent="0.3">
      <c r="C212" s="11"/>
      <c r="D212" s="32"/>
      <c r="E212" s="11"/>
      <c r="G212" s="15"/>
      <c r="H212" s="47"/>
      <c r="I212" s="76"/>
      <c r="J212" s="76"/>
      <c r="K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L212" s="77"/>
      <c r="M212" s="32"/>
      <c r="N212" s="32"/>
      <c r="O212" s="32"/>
      <c r="P212" s="32"/>
    </row>
    <row r="213" spans="3:16" x14ac:dyDescent="0.3">
      <c r="C213" s="11"/>
      <c r="D213" s="32"/>
      <c r="E213" s="11"/>
      <c r="G213" s="15"/>
      <c r="H213" s="47"/>
      <c r="I213" s="76"/>
      <c r="J213" s="76"/>
      <c r="K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L213" s="77"/>
      <c r="M213" s="32"/>
      <c r="N213" s="32"/>
      <c r="O213" s="32"/>
      <c r="P213" s="32"/>
    </row>
    <row r="214" spans="3:16" x14ac:dyDescent="0.3">
      <c r="C214" s="11"/>
      <c r="D214" s="32"/>
      <c r="E214" s="11"/>
      <c r="G214" s="15"/>
      <c r="H214" s="47"/>
      <c r="I214" s="76"/>
      <c r="J214" s="76"/>
      <c r="K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L214" s="77"/>
      <c r="M214" s="32"/>
      <c r="N214" s="32"/>
      <c r="O214" s="32"/>
      <c r="P214" s="32"/>
    </row>
    <row r="215" spans="3:16" x14ac:dyDescent="0.3">
      <c r="C215" s="11"/>
      <c r="D215" s="32"/>
      <c r="E215" s="11"/>
      <c r="G215" s="15"/>
      <c r="H215" s="47"/>
      <c r="I215" s="76"/>
      <c r="J215" s="76"/>
      <c r="K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L215" s="77"/>
      <c r="M215" s="32"/>
      <c r="N215" s="32"/>
      <c r="O215" s="32"/>
      <c r="P215" s="32"/>
    </row>
    <row r="216" spans="3:16" x14ac:dyDescent="0.3">
      <c r="C216" s="11"/>
      <c r="D216" s="32"/>
      <c r="E216" s="11"/>
      <c r="G216" s="15"/>
      <c r="H216" s="47"/>
      <c r="I216" s="76"/>
      <c r="J216" s="76"/>
      <c r="K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L216" s="77"/>
      <c r="M216" s="32"/>
      <c r="N216" s="32"/>
      <c r="O216" s="32"/>
      <c r="P216" s="32"/>
    </row>
    <row r="217" spans="3:16" x14ac:dyDescent="0.3">
      <c r="C217" s="11"/>
      <c r="D217" s="32"/>
      <c r="E217" s="11"/>
      <c r="G217" s="15"/>
      <c r="H217" s="47"/>
      <c r="I217" s="76"/>
      <c r="J217" s="76"/>
      <c r="K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L217" s="77"/>
      <c r="M217" s="32"/>
      <c r="N217" s="32"/>
      <c r="O217" s="32"/>
      <c r="P217" s="32"/>
    </row>
    <row r="218" spans="3:16" x14ac:dyDescent="0.3">
      <c r="C218" s="11"/>
      <c r="D218" s="32"/>
      <c r="E218" s="11"/>
      <c r="G218" s="15"/>
      <c r="H218" s="47"/>
      <c r="I218" s="76"/>
      <c r="J218" s="76"/>
      <c r="K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L218" s="77"/>
      <c r="M218" s="32"/>
      <c r="N218" s="32"/>
      <c r="O218" s="32"/>
      <c r="P218" s="32"/>
    </row>
    <row r="219" spans="3:16" x14ac:dyDescent="0.3">
      <c r="C219" s="11"/>
      <c r="D219" s="32"/>
      <c r="E219" s="11"/>
      <c r="G219" s="15"/>
      <c r="H219" s="47"/>
      <c r="I219" s="76"/>
      <c r="J219" s="76"/>
      <c r="K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L219" s="77"/>
      <c r="M219" s="32"/>
      <c r="N219" s="32"/>
      <c r="O219" s="32"/>
      <c r="P219" s="32"/>
    </row>
    <row r="220" spans="3:16" x14ac:dyDescent="0.3">
      <c r="C220" s="11"/>
      <c r="D220" s="32"/>
      <c r="E220" s="11"/>
      <c r="G220" s="15"/>
      <c r="H220" s="47"/>
      <c r="I220" s="76"/>
      <c r="J220" s="76"/>
      <c r="K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L220" s="77"/>
      <c r="M220" s="32"/>
      <c r="N220" s="32"/>
      <c r="O220" s="32"/>
      <c r="P220" s="32"/>
    </row>
    <row r="221" spans="3:16" x14ac:dyDescent="0.3">
      <c r="C221" s="11"/>
      <c r="D221" s="32"/>
      <c r="E221" s="11"/>
      <c r="G221" s="15"/>
      <c r="H221" s="47"/>
      <c r="I221" s="76"/>
      <c r="J221" s="76"/>
      <c r="K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L221" s="77"/>
      <c r="M221" s="32"/>
      <c r="N221" s="32"/>
      <c r="O221" s="32"/>
      <c r="P221" s="32"/>
    </row>
    <row r="222" spans="3:16" x14ac:dyDescent="0.3">
      <c r="C222" s="11"/>
      <c r="D222" s="32"/>
      <c r="E222" s="11"/>
      <c r="G222" s="15"/>
      <c r="H222" s="47"/>
      <c r="I222" s="76"/>
      <c r="J222" s="76"/>
      <c r="K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L222" s="77"/>
      <c r="M222" s="32"/>
      <c r="N222" s="32"/>
      <c r="O222" s="32"/>
      <c r="P222" s="32"/>
    </row>
    <row r="223" spans="3:16" x14ac:dyDescent="0.3">
      <c r="C223" s="11"/>
      <c r="D223" s="32"/>
      <c r="E223" s="11"/>
      <c r="G223" s="15"/>
      <c r="H223" s="47"/>
      <c r="I223" s="76"/>
      <c r="J223" s="76"/>
      <c r="K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L223" s="77"/>
      <c r="M223" s="32"/>
      <c r="N223" s="32"/>
      <c r="O223" s="32"/>
      <c r="P223" s="32"/>
    </row>
    <row r="224" spans="3:16" x14ac:dyDescent="0.3">
      <c r="C224" s="11"/>
      <c r="D224" s="32"/>
      <c r="E224" s="11"/>
      <c r="G224" s="15"/>
      <c r="H224" s="47"/>
      <c r="I224" s="76"/>
      <c r="J224" s="76"/>
      <c r="K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L224" s="77"/>
      <c r="M224" s="32"/>
      <c r="N224" s="32"/>
      <c r="O224" s="32"/>
      <c r="P224" s="32"/>
    </row>
    <row r="225" spans="3:16" x14ac:dyDescent="0.3">
      <c r="C225" s="11"/>
      <c r="D225" s="32"/>
      <c r="E225" s="11"/>
      <c r="G225" s="15"/>
      <c r="H225" s="47"/>
      <c r="I225" s="76"/>
      <c r="J225" s="76"/>
      <c r="K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L225" s="77"/>
      <c r="M225" s="32"/>
      <c r="N225" s="32"/>
      <c r="O225" s="32"/>
      <c r="P225" s="32"/>
    </row>
    <row r="226" spans="3:16" x14ac:dyDescent="0.3">
      <c r="C226" s="11"/>
      <c r="D226" s="32"/>
      <c r="E226" s="11"/>
      <c r="G226" s="15"/>
      <c r="H226" s="47"/>
      <c r="I226" s="76"/>
      <c r="J226" s="76"/>
      <c r="K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L226" s="77"/>
      <c r="M226" s="32"/>
      <c r="N226" s="32"/>
      <c r="O226" s="32"/>
      <c r="P226" s="32"/>
    </row>
    <row r="227" spans="3:16" x14ac:dyDescent="0.3">
      <c r="C227" s="11"/>
      <c r="D227" s="32"/>
      <c r="E227" s="11"/>
      <c r="G227" s="15"/>
      <c r="H227" s="47"/>
      <c r="I227" s="76"/>
      <c r="J227" s="76"/>
      <c r="K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L227" s="77"/>
      <c r="M227" s="32"/>
      <c r="N227" s="32"/>
      <c r="O227" s="32"/>
      <c r="P227" s="32"/>
    </row>
    <row r="228" spans="3:16" x14ac:dyDescent="0.3">
      <c r="C228" s="11"/>
      <c r="D228" s="32"/>
      <c r="E228" s="11"/>
      <c r="G228" s="15"/>
      <c r="H228" s="47"/>
      <c r="I228" s="76"/>
      <c r="J228" s="76"/>
      <c r="K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L228" s="77"/>
      <c r="M228" s="32"/>
      <c r="N228" s="32"/>
      <c r="O228" s="32"/>
      <c r="P228" s="32"/>
    </row>
    <row r="229" spans="3:16" x14ac:dyDescent="0.3">
      <c r="C229" s="11"/>
      <c r="D229" s="32"/>
      <c r="E229" s="11"/>
      <c r="G229" s="15"/>
      <c r="H229" s="47"/>
      <c r="I229" s="76"/>
      <c r="J229" s="76"/>
      <c r="K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L229" s="77"/>
      <c r="M229" s="32"/>
      <c r="N229" s="32"/>
      <c r="O229" s="32"/>
      <c r="P229" s="32"/>
    </row>
    <row r="230" spans="3:16" x14ac:dyDescent="0.3">
      <c r="C230" s="11"/>
      <c r="D230" s="32"/>
      <c r="E230" s="11"/>
      <c r="G230" s="15"/>
      <c r="H230" s="47"/>
      <c r="I230" s="76"/>
      <c r="J230" s="76"/>
      <c r="K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L230" s="77"/>
      <c r="M230" s="32"/>
      <c r="N230" s="32"/>
      <c r="O230" s="32"/>
      <c r="P230" s="32"/>
    </row>
    <row r="231" spans="3:16" x14ac:dyDescent="0.3">
      <c r="C231" s="11"/>
      <c r="D231" s="32"/>
      <c r="E231" s="11"/>
      <c r="G231" s="15"/>
      <c r="H231" s="47"/>
      <c r="I231" s="76"/>
      <c r="J231" s="76"/>
      <c r="K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L231" s="77"/>
      <c r="M231" s="32"/>
      <c r="N231" s="32"/>
      <c r="O231" s="32"/>
      <c r="P231" s="32"/>
    </row>
    <row r="232" spans="3:16" x14ac:dyDescent="0.3">
      <c r="C232" s="11"/>
      <c r="D232" s="32"/>
      <c r="E232" s="11"/>
      <c r="G232" s="15"/>
      <c r="H232" s="47"/>
      <c r="I232" s="76"/>
      <c r="J232" s="76"/>
      <c r="K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L232" s="77"/>
      <c r="M232" s="32"/>
      <c r="N232" s="32"/>
      <c r="O232" s="32"/>
      <c r="P232" s="32"/>
    </row>
    <row r="233" spans="3:16" x14ac:dyDescent="0.3">
      <c r="C233" s="11"/>
      <c r="D233" s="32"/>
      <c r="E233" s="11"/>
      <c r="G233" s="15"/>
      <c r="H233" s="47"/>
      <c r="I233" s="76"/>
      <c r="J233" s="76"/>
      <c r="K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L233" s="77"/>
      <c r="M233" s="32"/>
      <c r="N233" s="32"/>
      <c r="O233" s="32"/>
      <c r="P233" s="32"/>
    </row>
    <row r="234" spans="3:16" x14ac:dyDescent="0.3">
      <c r="C234" s="11"/>
      <c r="D234" s="32"/>
      <c r="E234" s="11"/>
      <c r="G234" s="15"/>
      <c r="H234" s="47"/>
      <c r="I234" s="76"/>
      <c r="J234" s="76"/>
      <c r="K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L234" s="77"/>
      <c r="M234" s="32"/>
      <c r="N234" s="32"/>
      <c r="O234" s="32"/>
      <c r="P234" s="32"/>
    </row>
    <row r="235" spans="3:16" x14ac:dyDescent="0.3">
      <c r="C235" s="11"/>
      <c r="D235" s="32"/>
      <c r="E235" s="11"/>
      <c r="G235" s="15"/>
      <c r="H235" s="47"/>
      <c r="I235" s="76"/>
      <c r="J235" s="76"/>
      <c r="K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L235" s="77"/>
      <c r="M235" s="32"/>
      <c r="N235" s="32"/>
      <c r="O235" s="32"/>
      <c r="P235" s="32"/>
    </row>
    <row r="236" spans="3:16" x14ac:dyDescent="0.3">
      <c r="C236" s="11"/>
      <c r="D236" s="32"/>
      <c r="E236" s="11"/>
      <c r="G236" s="15"/>
      <c r="H236" s="47"/>
      <c r="I236" s="76"/>
      <c r="J236" s="76"/>
      <c r="K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L236" s="77"/>
      <c r="M236" s="32"/>
      <c r="N236" s="32"/>
      <c r="O236" s="32"/>
      <c r="P236" s="32"/>
    </row>
    <row r="237" spans="3:16" x14ac:dyDescent="0.3">
      <c r="C237" s="11"/>
      <c r="D237" s="32"/>
      <c r="E237" s="11"/>
      <c r="G237" s="15"/>
      <c r="H237" s="47"/>
      <c r="I237" s="76"/>
      <c r="J237" s="76"/>
      <c r="K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L237" s="77"/>
      <c r="M237" s="32"/>
      <c r="N237" s="32"/>
      <c r="O237" s="32"/>
      <c r="P237" s="32"/>
    </row>
    <row r="238" spans="3:16" x14ac:dyDescent="0.3">
      <c r="C238" s="11"/>
      <c r="D238" s="32"/>
      <c r="E238" s="11"/>
      <c r="G238" s="15"/>
      <c r="H238" s="47"/>
      <c r="I238" s="76"/>
      <c r="J238" s="76"/>
      <c r="K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L238" s="77"/>
      <c r="M238" s="32"/>
      <c r="N238" s="32"/>
      <c r="O238" s="32"/>
      <c r="P238" s="32"/>
    </row>
    <row r="239" spans="3:16" x14ac:dyDescent="0.3">
      <c r="C239" s="11"/>
      <c r="D239" s="32"/>
      <c r="E239" s="11"/>
      <c r="G239" s="15"/>
      <c r="H239" s="47"/>
      <c r="I239" s="76"/>
      <c r="J239" s="76"/>
      <c r="K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L239" s="77"/>
      <c r="M239" s="32"/>
      <c r="N239" s="32"/>
      <c r="O239" s="32"/>
      <c r="P239" s="32"/>
    </row>
    <row r="240" spans="3:16" x14ac:dyDescent="0.3">
      <c r="C240" s="11"/>
      <c r="D240" s="32"/>
      <c r="E240" s="11"/>
      <c r="G240" s="15"/>
      <c r="H240" s="47"/>
      <c r="I240" s="76"/>
      <c r="J240" s="76"/>
      <c r="K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L240" s="77"/>
      <c r="M240" s="32"/>
      <c r="N240" s="32"/>
      <c r="O240" s="32"/>
      <c r="P240" s="32"/>
    </row>
    <row r="241" spans="3:16" x14ac:dyDescent="0.3">
      <c r="C241" s="11"/>
      <c r="D241" s="32"/>
      <c r="E241" s="11"/>
      <c r="G241" s="15"/>
      <c r="H241" s="47"/>
      <c r="I241" s="76"/>
      <c r="J241" s="76"/>
      <c r="K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L241" s="77"/>
      <c r="M241" s="32"/>
      <c r="N241" s="32"/>
      <c r="O241" s="32"/>
      <c r="P241" s="32"/>
    </row>
    <row r="242" spans="3:16" x14ac:dyDescent="0.3">
      <c r="C242" s="11"/>
      <c r="D242" s="32"/>
      <c r="E242" s="11"/>
      <c r="G242" s="15"/>
      <c r="H242" s="47"/>
      <c r="I242" s="76"/>
      <c r="J242" s="76"/>
      <c r="K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L242" s="77"/>
      <c r="M242" s="32"/>
      <c r="N242" s="32"/>
      <c r="O242" s="32"/>
      <c r="P242" s="32"/>
    </row>
    <row r="243" spans="3:16" x14ac:dyDescent="0.3">
      <c r="C243" s="11"/>
      <c r="D243" s="32"/>
      <c r="E243" s="11"/>
      <c r="G243" s="15"/>
      <c r="H243" s="47"/>
      <c r="I243" s="76"/>
      <c r="J243" s="76"/>
      <c r="K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L243" s="77"/>
      <c r="M243" s="32"/>
      <c r="N243" s="32"/>
      <c r="O243" s="32"/>
      <c r="P243" s="32"/>
    </row>
    <row r="244" spans="3:16" x14ac:dyDescent="0.3">
      <c r="C244" s="11"/>
      <c r="D244" s="32"/>
      <c r="E244" s="11"/>
      <c r="G244" s="15"/>
      <c r="H244" s="47"/>
      <c r="I244" s="76"/>
      <c r="J244" s="76"/>
      <c r="K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L244" s="77"/>
      <c r="M244" s="32"/>
      <c r="N244" s="32"/>
      <c r="O244" s="32"/>
      <c r="P244" s="32"/>
    </row>
    <row r="245" spans="3:16" x14ac:dyDescent="0.3">
      <c r="C245" s="11"/>
      <c r="D245" s="32"/>
      <c r="E245" s="11"/>
      <c r="G245" s="15"/>
      <c r="H245" s="47"/>
      <c r="I245" s="76"/>
      <c r="J245" s="76"/>
      <c r="K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L245" s="77"/>
      <c r="M245" s="32"/>
      <c r="N245" s="32"/>
      <c r="O245" s="32"/>
      <c r="P245" s="32"/>
    </row>
    <row r="246" spans="3:16" x14ac:dyDescent="0.3">
      <c r="C246" s="11"/>
      <c r="D246" s="32"/>
      <c r="E246" s="11"/>
      <c r="G246" s="15"/>
      <c r="H246" s="47"/>
      <c r="I246" s="76"/>
      <c r="J246" s="76"/>
      <c r="K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L246" s="77"/>
      <c r="M246" s="32"/>
      <c r="N246" s="32"/>
      <c r="O246" s="32"/>
      <c r="P246" s="32"/>
    </row>
    <row r="247" spans="3:16" x14ac:dyDescent="0.3">
      <c r="C247" s="11"/>
      <c r="D247" s="32"/>
      <c r="E247" s="11"/>
      <c r="G247" s="15"/>
      <c r="H247" s="47"/>
      <c r="I247" s="76"/>
      <c r="J247" s="76"/>
      <c r="K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L247" s="77"/>
      <c r="M247" s="32"/>
      <c r="N247" s="32"/>
      <c r="O247" s="32"/>
      <c r="P247" s="32"/>
    </row>
    <row r="248" spans="3:16" x14ac:dyDescent="0.3">
      <c r="C248" s="11"/>
      <c r="D248" s="32"/>
      <c r="E248" s="11"/>
      <c r="G248" s="15"/>
      <c r="H248" s="47"/>
      <c r="I248" s="76"/>
      <c r="J248" s="76"/>
      <c r="K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L248" s="77"/>
      <c r="M248" s="32"/>
      <c r="N248" s="32"/>
      <c r="O248" s="32"/>
      <c r="P248" s="32"/>
    </row>
    <row r="249" spans="3:16" x14ac:dyDescent="0.3">
      <c r="C249" s="11"/>
      <c r="D249" s="32"/>
      <c r="E249" s="11"/>
      <c r="G249" s="15"/>
      <c r="H249" s="47"/>
      <c r="I249" s="76"/>
      <c r="J249" s="76"/>
      <c r="K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L249" s="77"/>
      <c r="M249" s="32"/>
      <c r="N249" s="32"/>
      <c r="O249" s="32"/>
      <c r="P249" s="32"/>
    </row>
    <row r="250" spans="3:16" x14ac:dyDescent="0.3">
      <c r="C250" s="11"/>
      <c r="D250" s="32"/>
      <c r="E250" s="11"/>
      <c r="G250" s="15"/>
      <c r="H250" s="47"/>
      <c r="I250" s="76"/>
      <c r="J250" s="76"/>
      <c r="K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L250" s="77"/>
      <c r="M250" s="32"/>
      <c r="N250" s="32"/>
      <c r="O250" s="32"/>
      <c r="P250" s="32"/>
    </row>
    <row r="251" spans="3:16" x14ac:dyDescent="0.3">
      <c r="C251" s="11"/>
      <c r="D251" s="32"/>
      <c r="E251" s="11"/>
      <c r="G251" s="15"/>
      <c r="H251" s="47"/>
      <c r="I251" s="76"/>
      <c r="J251" s="76"/>
      <c r="K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L251" s="77"/>
      <c r="M251" s="32"/>
      <c r="N251" s="32"/>
      <c r="O251" s="32"/>
      <c r="P251" s="32"/>
    </row>
    <row r="252" spans="3:16" x14ac:dyDescent="0.3">
      <c r="C252" s="11"/>
      <c r="D252" s="32"/>
      <c r="E252" s="11"/>
      <c r="G252" s="15"/>
      <c r="H252" s="47"/>
      <c r="I252" s="76"/>
      <c r="J252" s="76"/>
      <c r="K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L252" s="77"/>
      <c r="M252" s="32"/>
      <c r="N252" s="32"/>
      <c r="O252" s="32"/>
      <c r="P252" s="32"/>
    </row>
    <row r="253" spans="3:16" x14ac:dyDescent="0.3">
      <c r="C253" s="11"/>
      <c r="D253" s="32"/>
      <c r="E253" s="11"/>
      <c r="G253" s="15"/>
      <c r="H253" s="47"/>
      <c r="I253" s="76"/>
      <c r="J253" s="76"/>
      <c r="K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L253" s="77"/>
      <c r="M253" s="32"/>
      <c r="N253" s="32"/>
      <c r="O253" s="32"/>
      <c r="P253" s="32"/>
    </row>
    <row r="254" spans="3:16" x14ac:dyDescent="0.3">
      <c r="C254" s="11"/>
      <c r="D254" s="32"/>
      <c r="E254" s="11"/>
      <c r="G254" s="15"/>
      <c r="H254" s="47"/>
      <c r="I254" s="76"/>
      <c r="J254" s="76"/>
      <c r="K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L254" s="77"/>
      <c r="M254" s="32"/>
      <c r="N254" s="32"/>
      <c r="O254" s="32"/>
      <c r="P254" s="32"/>
    </row>
    <row r="255" spans="3:16" x14ac:dyDescent="0.3">
      <c r="C255" s="11"/>
      <c r="D255" s="32"/>
      <c r="E255" s="11"/>
      <c r="G255" s="15"/>
      <c r="H255" s="47"/>
      <c r="I255" s="76"/>
      <c r="J255" s="76"/>
      <c r="K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L255" s="77"/>
      <c r="M255" s="32"/>
      <c r="N255" s="32"/>
      <c r="O255" s="32"/>
      <c r="P255" s="32"/>
    </row>
    <row r="256" spans="3:16" x14ac:dyDescent="0.3">
      <c r="C256" s="11"/>
      <c r="D256" s="32"/>
      <c r="E256" s="11"/>
      <c r="G256" s="15"/>
      <c r="H256" s="47"/>
      <c r="I256" s="76"/>
      <c r="J256" s="76"/>
      <c r="K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L256" s="77"/>
      <c r="M256" s="32"/>
      <c r="N256" s="32"/>
      <c r="O256" s="32"/>
      <c r="P256" s="32"/>
    </row>
    <row r="257" spans="3:16" x14ac:dyDescent="0.3">
      <c r="C257" s="11"/>
      <c r="D257" s="32"/>
      <c r="E257" s="11"/>
      <c r="G257" s="15"/>
      <c r="H257" s="47"/>
      <c r="I257" s="76"/>
      <c r="J257" s="76"/>
      <c r="K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L257" s="77"/>
      <c r="M257" s="32"/>
      <c r="N257" s="32"/>
      <c r="O257" s="32"/>
      <c r="P257" s="32"/>
    </row>
    <row r="258" spans="3:16" x14ac:dyDescent="0.3">
      <c r="C258" s="11"/>
      <c r="D258" s="32"/>
      <c r="E258" s="11"/>
      <c r="G258" s="15"/>
      <c r="H258" s="47"/>
      <c r="I258" s="76"/>
      <c r="J258" s="76"/>
      <c r="K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L258" s="77"/>
      <c r="M258" s="32"/>
      <c r="N258" s="32"/>
      <c r="O258" s="32"/>
      <c r="P258" s="32"/>
    </row>
    <row r="259" spans="3:16" x14ac:dyDescent="0.3">
      <c r="C259" s="11"/>
      <c r="D259" s="32"/>
      <c r="E259" s="11"/>
      <c r="G259" s="15"/>
      <c r="H259" s="47"/>
      <c r="I259" s="76"/>
      <c r="J259" s="76"/>
      <c r="K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L259" s="77"/>
      <c r="M259" s="32"/>
      <c r="N259" s="32"/>
      <c r="O259" s="32"/>
      <c r="P259" s="32"/>
    </row>
    <row r="260" spans="3:16" x14ac:dyDescent="0.3">
      <c r="C260" s="11"/>
      <c r="D260" s="32"/>
      <c r="E260" s="11"/>
      <c r="G260" s="15"/>
      <c r="H260" s="47"/>
      <c r="I260" s="76"/>
      <c r="J260" s="76"/>
      <c r="K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L260" s="77"/>
      <c r="M260" s="32"/>
      <c r="N260" s="32"/>
      <c r="O260" s="32"/>
      <c r="P260" s="32"/>
    </row>
    <row r="261" spans="3:16" x14ac:dyDescent="0.3">
      <c r="C261" s="11"/>
      <c r="D261" s="32"/>
      <c r="E261" s="11"/>
      <c r="G261" s="15"/>
      <c r="H261" s="47"/>
      <c r="I261" s="76"/>
      <c r="J261" s="76"/>
      <c r="K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L261" s="77"/>
      <c r="M261" s="32"/>
      <c r="N261" s="32"/>
      <c r="O261" s="32"/>
      <c r="P261" s="32"/>
    </row>
    <row r="262" spans="3:16" x14ac:dyDescent="0.3">
      <c r="C262" s="11"/>
      <c r="D262" s="32"/>
      <c r="E262" s="11"/>
      <c r="G262" s="15"/>
      <c r="H262" s="47"/>
      <c r="I262" s="76"/>
      <c r="J262" s="76"/>
      <c r="K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L262" s="77"/>
      <c r="M262" s="32"/>
      <c r="N262" s="32"/>
      <c r="O262" s="32"/>
      <c r="P262" s="32"/>
    </row>
    <row r="263" spans="3:16" x14ac:dyDescent="0.3">
      <c r="C263" s="11"/>
      <c r="D263" s="32"/>
      <c r="E263" s="11"/>
      <c r="G263" s="15"/>
      <c r="H263" s="47"/>
      <c r="I263" s="76"/>
      <c r="J263" s="76"/>
      <c r="K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L263" s="77"/>
      <c r="M263" s="32"/>
      <c r="N263" s="32"/>
      <c r="O263" s="32"/>
      <c r="P263" s="32"/>
    </row>
    <row r="264" spans="3:16" x14ac:dyDescent="0.3">
      <c r="C264" s="11"/>
      <c r="D264" s="32"/>
      <c r="E264" s="11"/>
      <c r="G264" s="15"/>
      <c r="H264" s="47"/>
      <c r="I264" s="76"/>
      <c r="J264" s="76"/>
      <c r="K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L264" s="77"/>
      <c r="M264" s="32"/>
      <c r="N264" s="32"/>
      <c r="O264" s="32"/>
      <c r="P264" s="32"/>
    </row>
    <row r="265" spans="3:16" x14ac:dyDescent="0.3">
      <c r="C265" s="11"/>
      <c r="D265" s="32"/>
      <c r="E265" s="11"/>
      <c r="G265" s="15"/>
      <c r="H265" s="47"/>
      <c r="I265" s="76"/>
      <c r="J265" s="76"/>
      <c r="K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L265" s="77"/>
      <c r="M265" s="32"/>
      <c r="N265" s="32"/>
      <c r="O265" s="32"/>
      <c r="P265" s="32"/>
    </row>
    <row r="266" spans="3:16" x14ac:dyDescent="0.3">
      <c r="C266" s="11"/>
      <c r="D266" s="32"/>
      <c r="E266" s="11"/>
      <c r="G266" s="15"/>
      <c r="H266" s="47"/>
      <c r="I266" s="76"/>
      <c r="J266" s="76"/>
      <c r="K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L266" s="77"/>
      <c r="M266" s="32"/>
      <c r="N266" s="32"/>
      <c r="O266" s="32"/>
      <c r="P266" s="32"/>
    </row>
    <row r="267" spans="3:16" x14ac:dyDescent="0.3">
      <c r="C267" s="11"/>
      <c r="D267" s="32"/>
      <c r="E267" s="11"/>
      <c r="G267" s="15"/>
      <c r="H267" s="47"/>
      <c r="I267" s="76"/>
      <c r="J267" s="76"/>
      <c r="K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L267" s="77"/>
      <c r="M267" s="32"/>
      <c r="N267" s="32"/>
      <c r="O267" s="32"/>
      <c r="P267" s="32"/>
    </row>
    <row r="268" spans="3:16" x14ac:dyDescent="0.3">
      <c r="C268" s="11"/>
      <c r="D268" s="32"/>
      <c r="E268" s="11"/>
      <c r="G268" s="15"/>
      <c r="H268" s="47"/>
      <c r="I268" s="76"/>
      <c r="J268" s="76"/>
      <c r="K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L268" s="77"/>
      <c r="M268" s="32"/>
      <c r="N268" s="32"/>
      <c r="O268" s="32"/>
      <c r="P268" s="32"/>
    </row>
    <row r="269" spans="3:16" x14ac:dyDescent="0.3">
      <c r="C269" s="11"/>
      <c r="D269" s="32"/>
      <c r="E269" s="11"/>
      <c r="G269" s="15"/>
      <c r="H269" s="47"/>
      <c r="I269" s="76"/>
      <c r="J269" s="76"/>
      <c r="K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L269" s="77"/>
      <c r="M269" s="32"/>
      <c r="N269" s="32"/>
      <c r="O269" s="32"/>
      <c r="P269" s="32"/>
    </row>
    <row r="270" spans="3:16" x14ac:dyDescent="0.3">
      <c r="C270" s="11"/>
      <c r="D270" s="32"/>
      <c r="E270" s="11"/>
      <c r="G270" s="15"/>
      <c r="H270" s="47"/>
      <c r="I270" s="76"/>
      <c r="J270" s="76"/>
      <c r="K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L270" s="77"/>
      <c r="M270" s="32"/>
      <c r="N270" s="32"/>
      <c r="O270" s="32"/>
      <c r="P270" s="32"/>
    </row>
    <row r="271" spans="3:16" x14ac:dyDescent="0.3">
      <c r="C271" s="11"/>
      <c r="D271" s="32"/>
      <c r="E271" s="11"/>
      <c r="G271" s="15"/>
      <c r="H271" s="47"/>
      <c r="I271" s="76"/>
      <c r="J271" s="76"/>
      <c r="K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L271" s="77"/>
      <c r="M271" s="32"/>
      <c r="N271" s="32"/>
      <c r="O271" s="32"/>
      <c r="P271" s="32"/>
    </row>
    <row r="272" spans="3:16" x14ac:dyDescent="0.3">
      <c r="C272" s="11"/>
      <c r="D272" s="32"/>
      <c r="E272" s="11"/>
      <c r="G272" s="15"/>
      <c r="H272" s="47"/>
      <c r="I272" s="76"/>
      <c r="J272" s="76"/>
      <c r="K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L272" s="77"/>
      <c r="M272" s="32"/>
      <c r="N272" s="32"/>
      <c r="O272" s="32"/>
      <c r="P272" s="32"/>
    </row>
    <row r="273" spans="3:16" x14ac:dyDescent="0.3">
      <c r="C273" s="11"/>
      <c r="D273" s="32"/>
      <c r="E273" s="11"/>
      <c r="G273" s="15"/>
      <c r="H273" s="47"/>
      <c r="I273" s="76"/>
      <c r="J273" s="76"/>
      <c r="K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L273" s="77"/>
      <c r="M273" s="32"/>
      <c r="N273" s="32"/>
      <c r="O273" s="32"/>
      <c r="P273" s="32"/>
    </row>
    <row r="274" spans="3:16" x14ac:dyDescent="0.3">
      <c r="C274" s="11"/>
      <c r="D274" s="32"/>
      <c r="E274" s="11"/>
      <c r="G274" s="15"/>
      <c r="H274" s="47"/>
      <c r="I274" s="76"/>
      <c r="J274" s="76"/>
      <c r="K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L274" s="77"/>
      <c r="M274" s="32"/>
      <c r="N274" s="32"/>
      <c r="O274" s="32"/>
      <c r="P274" s="32"/>
    </row>
    <row r="275" spans="3:16" x14ac:dyDescent="0.3">
      <c r="C275" s="11"/>
      <c r="D275" s="32"/>
      <c r="E275" s="11"/>
      <c r="G275" s="15"/>
      <c r="H275" s="47"/>
      <c r="I275" s="76"/>
      <c r="J275" s="76"/>
      <c r="K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L275" s="77"/>
      <c r="M275" s="32"/>
      <c r="N275" s="32"/>
      <c r="O275" s="32"/>
      <c r="P275" s="32"/>
    </row>
    <row r="276" spans="3:16" x14ac:dyDescent="0.3">
      <c r="C276" s="11"/>
      <c r="D276" s="32"/>
      <c r="E276" s="11"/>
      <c r="G276" s="15"/>
      <c r="H276" s="47"/>
      <c r="I276" s="76"/>
      <c r="J276" s="76"/>
      <c r="K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L276" s="77"/>
      <c r="M276" s="32"/>
      <c r="N276" s="32"/>
      <c r="O276" s="32"/>
      <c r="P276" s="32"/>
    </row>
    <row r="277" spans="3:16" x14ac:dyDescent="0.3">
      <c r="C277" s="11"/>
      <c r="D277" s="32"/>
      <c r="E277" s="11"/>
      <c r="G277" s="15"/>
      <c r="H277" s="47"/>
      <c r="I277" s="76"/>
      <c r="J277" s="76"/>
      <c r="K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L277" s="77"/>
      <c r="M277" s="32"/>
      <c r="N277" s="32"/>
      <c r="O277" s="32"/>
      <c r="P277" s="32"/>
    </row>
    <row r="278" spans="3:16" x14ac:dyDescent="0.3">
      <c r="C278" s="11"/>
      <c r="D278" s="32"/>
      <c r="E278" s="11"/>
      <c r="G278" s="15"/>
      <c r="H278" s="47"/>
      <c r="I278" s="76"/>
      <c r="J278" s="76"/>
      <c r="K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L278" s="77"/>
      <c r="M278" s="32"/>
      <c r="N278" s="32"/>
      <c r="O278" s="32"/>
      <c r="P278" s="32"/>
    </row>
    <row r="279" spans="3:16" x14ac:dyDescent="0.3">
      <c r="C279" s="11"/>
      <c r="D279" s="32"/>
      <c r="E279" s="11"/>
      <c r="G279" s="15"/>
      <c r="H279" s="47"/>
      <c r="I279" s="76"/>
      <c r="J279" s="76"/>
      <c r="K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L279" s="77"/>
      <c r="M279" s="32"/>
      <c r="N279" s="32"/>
      <c r="O279" s="32"/>
      <c r="P279" s="32"/>
    </row>
    <row r="280" spans="3:16" x14ac:dyDescent="0.3">
      <c r="C280" s="11"/>
      <c r="D280" s="32"/>
      <c r="E280" s="11"/>
      <c r="G280" s="15"/>
      <c r="H280" s="47"/>
      <c r="I280" s="76"/>
      <c r="J280" s="76"/>
      <c r="K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L280" s="77"/>
      <c r="M280" s="32"/>
      <c r="N280" s="32"/>
      <c r="O280" s="32"/>
      <c r="P280" s="32"/>
    </row>
    <row r="281" spans="3:16" x14ac:dyDescent="0.3">
      <c r="C281" s="11"/>
      <c r="D281" s="32"/>
      <c r="E281" s="11"/>
      <c r="G281" s="15"/>
      <c r="H281" s="47"/>
      <c r="I281" s="76"/>
      <c r="J281" s="76"/>
      <c r="K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L281" s="77"/>
      <c r="M281" s="32"/>
      <c r="N281" s="32"/>
      <c r="O281" s="32"/>
      <c r="P281" s="32"/>
    </row>
    <row r="282" spans="3:16" x14ac:dyDescent="0.3">
      <c r="C282" s="11"/>
      <c r="D282" s="32"/>
      <c r="E282" s="11"/>
      <c r="G282" s="15"/>
      <c r="H282" s="47"/>
      <c r="I282" s="76"/>
      <c r="J282" s="76"/>
      <c r="K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L282" s="77"/>
      <c r="M282" s="32"/>
      <c r="N282" s="32"/>
      <c r="O282" s="32"/>
      <c r="P282" s="32"/>
    </row>
    <row r="283" spans="3:16" x14ac:dyDescent="0.3">
      <c r="C283" s="11"/>
      <c r="D283" s="32"/>
      <c r="E283" s="11"/>
      <c r="G283" s="15"/>
      <c r="H283" s="47"/>
      <c r="I283" s="76"/>
      <c r="J283" s="76"/>
      <c r="K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L283" s="77"/>
      <c r="M283" s="32"/>
      <c r="N283" s="32"/>
      <c r="O283" s="32"/>
      <c r="P283" s="32"/>
    </row>
    <row r="284" spans="3:16" x14ac:dyDescent="0.3">
      <c r="C284" s="11"/>
      <c r="D284" s="32"/>
      <c r="E284" s="11"/>
      <c r="G284" s="15"/>
      <c r="H284" s="47"/>
      <c r="I284" s="76"/>
      <c r="J284" s="76"/>
      <c r="K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L284" s="77"/>
      <c r="M284" s="32"/>
      <c r="N284" s="32"/>
      <c r="O284" s="32"/>
      <c r="P284" s="32"/>
    </row>
    <row r="285" spans="3:16" x14ac:dyDescent="0.3">
      <c r="C285" s="11"/>
      <c r="D285" s="32"/>
      <c r="E285" s="11"/>
      <c r="G285" s="15"/>
      <c r="H285" s="47"/>
      <c r="I285" s="76"/>
      <c r="J285" s="76"/>
      <c r="K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L285" s="77"/>
      <c r="M285" s="32"/>
      <c r="N285" s="32"/>
      <c r="O285" s="32"/>
      <c r="P285" s="32"/>
    </row>
    <row r="286" spans="3:16" x14ac:dyDescent="0.3">
      <c r="C286" s="11"/>
      <c r="D286" s="32"/>
      <c r="E286" s="11"/>
      <c r="G286" s="15"/>
      <c r="H286" s="47"/>
      <c r="I286" s="76"/>
      <c r="J286" s="76"/>
      <c r="K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L286" s="77"/>
      <c r="M286" s="32"/>
      <c r="N286" s="32"/>
      <c r="O286" s="32"/>
      <c r="P286" s="32"/>
    </row>
    <row r="287" spans="3:16" x14ac:dyDescent="0.3">
      <c r="C287" s="11"/>
      <c r="D287" s="32"/>
      <c r="E287" s="11"/>
      <c r="G287" s="15"/>
      <c r="H287" s="47"/>
      <c r="I287" s="76"/>
      <c r="J287" s="76"/>
      <c r="K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L287" s="77"/>
      <c r="M287" s="32"/>
      <c r="N287" s="32"/>
      <c r="O287" s="32"/>
      <c r="P287" s="32"/>
    </row>
    <row r="288" spans="3:16" x14ac:dyDescent="0.3">
      <c r="C288" s="11"/>
      <c r="D288" s="32"/>
      <c r="E288" s="11"/>
      <c r="G288" s="15"/>
      <c r="H288" s="47"/>
      <c r="I288" s="76"/>
      <c r="J288" s="76"/>
      <c r="K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L288" s="77"/>
      <c r="M288" s="32"/>
      <c r="N288" s="32"/>
      <c r="O288" s="32"/>
      <c r="P288" s="32"/>
    </row>
    <row r="289" spans="3:16" x14ac:dyDescent="0.3">
      <c r="C289" s="11"/>
      <c r="D289" s="32"/>
      <c r="E289" s="11"/>
      <c r="G289" s="15"/>
      <c r="H289" s="47"/>
      <c r="I289" s="76"/>
      <c r="J289" s="76"/>
      <c r="K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L289" s="77"/>
      <c r="M289" s="32"/>
      <c r="N289" s="32"/>
      <c r="O289" s="32"/>
      <c r="P289" s="32"/>
    </row>
    <row r="290" spans="3:16" x14ac:dyDescent="0.3">
      <c r="C290" s="11"/>
      <c r="D290" s="32"/>
      <c r="E290" s="11"/>
      <c r="G290" s="15"/>
      <c r="H290" s="47"/>
      <c r="I290" s="76"/>
      <c r="J290" s="76"/>
      <c r="K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L290" s="77"/>
      <c r="M290" s="32"/>
      <c r="N290" s="32"/>
      <c r="O290" s="32"/>
      <c r="P290" s="32"/>
    </row>
    <row r="291" spans="3:16" x14ac:dyDescent="0.3">
      <c r="C291" s="11"/>
      <c r="D291" s="32"/>
      <c r="E291" s="11"/>
      <c r="G291" s="15"/>
      <c r="H291" s="47"/>
      <c r="I291" s="76"/>
      <c r="J291" s="76"/>
      <c r="K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L291" s="77"/>
      <c r="M291" s="32"/>
      <c r="N291" s="32"/>
      <c r="O291" s="32"/>
      <c r="P291" s="32"/>
    </row>
    <row r="292" spans="3:16" x14ac:dyDescent="0.3">
      <c r="C292" s="11"/>
      <c r="D292" s="32"/>
      <c r="E292" s="11"/>
      <c r="G292" s="15"/>
      <c r="H292" s="47"/>
      <c r="I292" s="76"/>
      <c r="J292" s="76"/>
      <c r="K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L292" s="77"/>
      <c r="M292" s="32"/>
      <c r="N292" s="32"/>
      <c r="O292" s="32"/>
      <c r="P292" s="32"/>
    </row>
    <row r="293" spans="3:16" x14ac:dyDescent="0.3">
      <c r="C293" s="11"/>
      <c r="D293" s="32"/>
      <c r="E293" s="11"/>
      <c r="G293" s="15"/>
      <c r="H293" s="47"/>
      <c r="I293" s="76"/>
      <c r="J293" s="76"/>
      <c r="K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L293" s="77"/>
      <c r="M293" s="32"/>
      <c r="N293" s="32"/>
      <c r="O293" s="32"/>
      <c r="P293" s="32"/>
    </row>
    <row r="294" spans="3:16" x14ac:dyDescent="0.3">
      <c r="C294" s="11"/>
      <c r="D294" s="32"/>
      <c r="E294" s="11"/>
      <c r="G294" s="15"/>
      <c r="H294" s="47"/>
      <c r="I294" s="76"/>
      <c r="J294" s="76"/>
      <c r="K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L294" s="77"/>
      <c r="M294" s="32"/>
      <c r="N294" s="32"/>
      <c r="O294" s="32"/>
      <c r="P294" s="32"/>
    </row>
    <row r="295" spans="3:16" x14ac:dyDescent="0.3">
      <c r="C295" s="11"/>
      <c r="D295" s="32"/>
      <c r="E295" s="11"/>
      <c r="G295" s="15"/>
      <c r="H295" s="47"/>
      <c r="I295" s="76"/>
      <c r="J295" s="76"/>
      <c r="K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L295" s="77"/>
      <c r="M295" s="32"/>
      <c r="N295" s="32"/>
      <c r="O295" s="32"/>
      <c r="P295" s="32"/>
    </row>
    <row r="296" spans="3:16" x14ac:dyDescent="0.3">
      <c r="C296" s="11"/>
      <c r="D296" s="32"/>
      <c r="E296" s="11"/>
      <c r="G296" s="15"/>
      <c r="H296" s="47"/>
      <c r="I296" s="76"/>
      <c r="J296" s="76"/>
      <c r="K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L296" s="77"/>
      <c r="M296" s="32"/>
      <c r="N296" s="32"/>
      <c r="O296" s="32"/>
      <c r="P296" s="32"/>
    </row>
    <row r="297" spans="3:16" x14ac:dyDescent="0.3">
      <c r="C297" s="11"/>
      <c r="D297" s="32"/>
      <c r="E297" s="11"/>
      <c r="G297" s="15"/>
      <c r="H297" s="47"/>
      <c r="I297" s="76"/>
      <c r="J297" s="76"/>
      <c r="K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L297" s="77"/>
      <c r="M297" s="32"/>
      <c r="N297" s="32"/>
      <c r="O297" s="32"/>
      <c r="P297" s="32"/>
    </row>
    <row r="298" spans="3:16" x14ac:dyDescent="0.3">
      <c r="C298" s="11"/>
      <c r="D298" s="32"/>
      <c r="E298" s="11"/>
      <c r="G298" s="15"/>
      <c r="H298" s="47"/>
      <c r="I298" s="76"/>
      <c r="J298" s="76"/>
      <c r="K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L298" s="77"/>
      <c r="M298" s="32"/>
      <c r="N298" s="32"/>
      <c r="O298" s="32"/>
      <c r="P298" s="32"/>
    </row>
    <row r="299" spans="3:16" x14ac:dyDescent="0.3">
      <c r="C299" s="11"/>
      <c r="D299" s="32"/>
      <c r="E299" s="11"/>
      <c r="G299" s="15"/>
      <c r="H299" s="47"/>
      <c r="I299" s="76"/>
      <c r="J299" s="76"/>
      <c r="K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L299" s="77"/>
      <c r="M299" s="32"/>
      <c r="N299" s="32"/>
      <c r="O299" s="32"/>
      <c r="P299" s="32"/>
    </row>
    <row r="300" spans="3:16" x14ac:dyDescent="0.3">
      <c r="C300" s="11"/>
      <c r="D300" s="32"/>
      <c r="E300" s="11"/>
      <c r="G300" s="15"/>
      <c r="H300" s="47"/>
      <c r="I300" s="76"/>
      <c r="J300" s="76"/>
      <c r="K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L300" s="77"/>
      <c r="M300" s="32"/>
      <c r="N300" s="32"/>
      <c r="O300" s="32"/>
      <c r="P300" s="32"/>
    </row>
    <row r="301" spans="3:16" x14ac:dyDescent="0.3">
      <c r="C301" s="11"/>
      <c r="D301" s="32"/>
      <c r="E301" s="11"/>
      <c r="G301" s="15"/>
      <c r="H301" s="47"/>
      <c r="I301" s="76"/>
      <c r="J301" s="76"/>
      <c r="K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L301" s="77"/>
      <c r="M301" s="32"/>
      <c r="N301" s="32"/>
      <c r="O301" s="32"/>
      <c r="P301" s="32"/>
    </row>
    <row r="302" spans="3:16" x14ac:dyDescent="0.3">
      <c r="C302" s="11"/>
      <c r="D302" s="32"/>
      <c r="E302" s="11"/>
      <c r="G302" s="15"/>
      <c r="H302" s="47"/>
      <c r="I302" s="76"/>
      <c r="J302" s="76"/>
      <c r="K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L302" s="77"/>
      <c r="M302" s="32"/>
      <c r="N302" s="32"/>
      <c r="O302" s="32"/>
      <c r="P302" s="32"/>
    </row>
    <row r="303" spans="3:16" x14ac:dyDescent="0.3">
      <c r="C303" s="11"/>
      <c r="D303" s="32"/>
      <c r="E303" s="11"/>
      <c r="G303" s="15"/>
      <c r="H303" s="47"/>
      <c r="I303" s="76"/>
      <c r="J303" s="76"/>
      <c r="K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L303" s="77"/>
      <c r="M303" s="32"/>
      <c r="N303" s="32"/>
      <c r="O303" s="32"/>
      <c r="P303" s="32"/>
    </row>
    <row r="304" spans="3:16" x14ac:dyDescent="0.3">
      <c r="C304" s="11"/>
      <c r="D304" s="32"/>
      <c r="E304" s="11"/>
      <c r="G304" s="15"/>
      <c r="H304" s="47"/>
      <c r="I304" s="76"/>
      <c r="J304" s="76"/>
      <c r="K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L304" s="77"/>
      <c r="M304" s="32"/>
      <c r="N304" s="32"/>
      <c r="O304" s="32"/>
      <c r="P304" s="32"/>
    </row>
    <row r="305" spans="3:16" x14ac:dyDescent="0.3">
      <c r="C305" s="11"/>
      <c r="D305" s="32"/>
      <c r="E305" s="11"/>
      <c r="G305" s="15"/>
      <c r="H305" s="47"/>
      <c r="I305" s="76"/>
      <c r="J305" s="76"/>
      <c r="K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L305" s="77"/>
      <c r="M305" s="32"/>
      <c r="N305" s="32"/>
      <c r="O305" s="32"/>
      <c r="P305" s="32"/>
    </row>
    <row r="306" spans="3:16" x14ac:dyDescent="0.3">
      <c r="C306" s="11"/>
      <c r="D306" s="32"/>
      <c r="E306" s="11"/>
      <c r="G306" s="15"/>
      <c r="H306" s="47"/>
      <c r="I306" s="76"/>
      <c r="J306" s="76"/>
      <c r="K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L306" s="77"/>
      <c r="M306" s="32"/>
      <c r="N306" s="32"/>
      <c r="O306" s="32"/>
      <c r="P306" s="32"/>
    </row>
    <row r="307" spans="3:16" x14ac:dyDescent="0.3">
      <c r="C307" s="11"/>
      <c r="D307" s="32"/>
      <c r="E307" s="11"/>
      <c r="G307" s="15"/>
      <c r="H307" s="47"/>
      <c r="I307" s="76"/>
      <c r="J307" s="76"/>
      <c r="K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L307" s="77"/>
      <c r="M307" s="32"/>
      <c r="N307" s="32"/>
      <c r="O307" s="32"/>
      <c r="P307" s="32"/>
    </row>
    <row r="308" spans="3:16" x14ac:dyDescent="0.3">
      <c r="C308" s="11"/>
      <c r="D308" s="32"/>
      <c r="E308" s="11"/>
      <c r="G308" s="15"/>
      <c r="H308" s="47"/>
      <c r="I308" s="76"/>
      <c r="J308" s="76"/>
      <c r="K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L308" s="77"/>
      <c r="M308" s="32"/>
      <c r="N308" s="32"/>
      <c r="O308" s="32"/>
      <c r="P308" s="32"/>
    </row>
    <row r="309" spans="3:16" x14ac:dyDescent="0.3">
      <c r="C309" s="11"/>
      <c r="D309" s="32"/>
      <c r="E309" s="11"/>
      <c r="G309" s="15"/>
      <c r="H309" s="47"/>
      <c r="I309" s="76"/>
      <c r="J309" s="76"/>
      <c r="K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L309" s="77"/>
      <c r="M309" s="32"/>
      <c r="N309" s="32"/>
      <c r="O309" s="32"/>
      <c r="P309" s="32"/>
    </row>
    <row r="310" spans="3:16" x14ac:dyDescent="0.3">
      <c r="C310" s="11"/>
      <c r="D310" s="32"/>
      <c r="E310" s="11"/>
      <c r="G310" s="15"/>
      <c r="H310" s="47"/>
      <c r="I310" s="76"/>
      <c r="J310" s="76"/>
      <c r="K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L310" s="77"/>
      <c r="M310" s="32"/>
      <c r="N310" s="32"/>
      <c r="O310" s="32"/>
      <c r="P310" s="32"/>
    </row>
    <row r="311" spans="3:16" x14ac:dyDescent="0.3">
      <c r="C311" s="11"/>
      <c r="D311" s="32"/>
      <c r="E311" s="11"/>
      <c r="G311" s="15"/>
      <c r="H311" s="47"/>
      <c r="I311" s="76"/>
      <c r="J311" s="76"/>
      <c r="K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L311" s="77"/>
      <c r="M311" s="32"/>
      <c r="N311" s="32"/>
      <c r="O311" s="32"/>
      <c r="P311" s="32"/>
    </row>
    <row r="312" spans="3:16" x14ac:dyDescent="0.3">
      <c r="C312" s="11"/>
      <c r="D312" s="32"/>
      <c r="E312" s="11"/>
      <c r="G312" s="15"/>
      <c r="H312" s="47"/>
      <c r="I312" s="76"/>
      <c r="J312" s="76"/>
      <c r="K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L312" s="77"/>
      <c r="M312" s="32"/>
      <c r="N312" s="32"/>
      <c r="O312" s="32"/>
      <c r="P312" s="32"/>
    </row>
    <row r="313" spans="3:16" x14ac:dyDescent="0.3">
      <c r="C313" s="11"/>
      <c r="D313" s="32"/>
      <c r="E313" s="11"/>
      <c r="G313" s="15"/>
      <c r="H313" s="47"/>
      <c r="I313" s="76"/>
      <c r="J313" s="76"/>
      <c r="K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L313" s="77"/>
      <c r="M313" s="32"/>
      <c r="N313" s="32"/>
      <c r="O313" s="32"/>
      <c r="P313" s="32"/>
    </row>
    <row r="314" spans="3:16" x14ac:dyDescent="0.3">
      <c r="C314" s="11"/>
      <c r="D314" s="32"/>
      <c r="E314" s="11"/>
      <c r="G314" s="15"/>
      <c r="H314" s="47"/>
      <c r="I314" s="76"/>
      <c r="J314" s="76"/>
      <c r="K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L314" s="77"/>
      <c r="M314" s="32"/>
      <c r="N314" s="32"/>
      <c r="O314" s="32"/>
      <c r="P314" s="32"/>
    </row>
    <row r="315" spans="3:16" x14ac:dyDescent="0.3">
      <c r="C315" s="11"/>
      <c r="D315" s="32"/>
      <c r="E315" s="11"/>
      <c r="G315" s="15"/>
      <c r="H315" s="47"/>
      <c r="I315" s="76"/>
      <c r="J315" s="76"/>
      <c r="K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L315" s="77"/>
      <c r="M315" s="32"/>
      <c r="N315" s="32"/>
      <c r="O315" s="32"/>
      <c r="P315" s="32"/>
    </row>
    <row r="316" spans="3:16" x14ac:dyDescent="0.3">
      <c r="C316" s="11"/>
      <c r="D316" s="32"/>
      <c r="E316" s="11"/>
      <c r="G316" s="15"/>
      <c r="H316" s="47"/>
      <c r="I316" s="76"/>
      <c r="J316" s="76"/>
      <c r="K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L316" s="77"/>
      <c r="M316" s="32"/>
      <c r="N316" s="32"/>
      <c r="O316" s="32"/>
      <c r="P316" s="32"/>
    </row>
    <row r="317" spans="3:16" x14ac:dyDescent="0.3">
      <c r="C317" s="11"/>
      <c r="D317" s="32"/>
      <c r="E317" s="11"/>
      <c r="G317" s="15"/>
      <c r="H317" s="47"/>
      <c r="I317" s="76"/>
      <c r="J317" s="76"/>
      <c r="K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L317" s="77"/>
      <c r="M317" s="32"/>
      <c r="N317" s="32"/>
      <c r="O317" s="32"/>
      <c r="P317" s="32"/>
    </row>
    <row r="318" spans="3:16" x14ac:dyDescent="0.3">
      <c r="C318" s="11"/>
      <c r="D318" s="32"/>
      <c r="E318" s="11"/>
      <c r="G318" s="15"/>
      <c r="H318" s="47"/>
      <c r="I318" s="76"/>
      <c r="J318" s="76"/>
      <c r="K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L318" s="77"/>
      <c r="M318" s="32"/>
      <c r="N318" s="32"/>
      <c r="O318" s="32"/>
      <c r="P318" s="32"/>
    </row>
    <row r="319" spans="3:16" x14ac:dyDescent="0.3">
      <c r="C319" s="11"/>
      <c r="D319" s="32"/>
      <c r="E319" s="11"/>
      <c r="G319" s="15"/>
      <c r="H319" s="47"/>
      <c r="I319" s="76"/>
      <c r="J319" s="76"/>
      <c r="K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L319" s="77"/>
      <c r="M319" s="32"/>
      <c r="N319" s="32"/>
      <c r="O319" s="32"/>
      <c r="P319" s="32"/>
    </row>
    <row r="320" spans="3:16" x14ac:dyDescent="0.3">
      <c r="C320" s="11"/>
      <c r="D320" s="32"/>
      <c r="E320" s="11"/>
      <c r="G320" s="15"/>
      <c r="H320" s="47"/>
      <c r="I320" s="76"/>
      <c r="J320" s="76"/>
      <c r="K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L320" s="77"/>
      <c r="M320" s="32"/>
      <c r="N320" s="32"/>
      <c r="O320" s="32"/>
      <c r="P320" s="32"/>
    </row>
    <row r="321" spans="3:16" x14ac:dyDescent="0.3">
      <c r="C321" s="11"/>
      <c r="D321" s="32"/>
      <c r="E321" s="11"/>
      <c r="G321" s="15"/>
      <c r="H321" s="47"/>
      <c r="I321" s="76"/>
      <c r="J321" s="76"/>
      <c r="K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L321" s="77"/>
      <c r="M321" s="32"/>
      <c r="N321" s="32"/>
      <c r="O321" s="32"/>
      <c r="P321" s="32"/>
    </row>
    <row r="322" spans="3:16" x14ac:dyDescent="0.3">
      <c r="C322" s="11"/>
      <c r="D322" s="32"/>
      <c r="E322" s="11"/>
      <c r="G322" s="15"/>
      <c r="H322" s="47"/>
      <c r="I322" s="76"/>
      <c r="J322" s="76"/>
      <c r="K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L322" s="77"/>
      <c r="M322" s="32"/>
      <c r="N322" s="32"/>
      <c r="O322" s="32"/>
      <c r="P322" s="32"/>
    </row>
    <row r="323" spans="3:16" x14ac:dyDescent="0.3">
      <c r="C323" s="11"/>
      <c r="D323" s="32"/>
      <c r="E323" s="11"/>
      <c r="G323" s="15"/>
      <c r="H323" s="47"/>
      <c r="I323" s="76"/>
      <c r="J323" s="76"/>
      <c r="K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L323" s="77"/>
      <c r="M323" s="32"/>
      <c r="N323" s="32"/>
      <c r="O323" s="32"/>
      <c r="P323" s="32"/>
    </row>
    <row r="324" spans="3:16" x14ac:dyDescent="0.3">
      <c r="C324" s="11"/>
      <c r="D324" s="32"/>
      <c r="E324" s="11"/>
      <c r="G324" s="15"/>
      <c r="H324" s="47"/>
      <c r="I324" s="76"/>
      <c r="J324" s="76"/>
      <c r="K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L324" s="77"/>
      <c r="M324" s="32"/>
      <c r="N324" s="32"/>
      <c r="O324" s="32"/>
      <c r="P324" s="32"/>
    </row>
    <row r="325" spans="3:16" x14ac:dyDescent="0.3">
      <c r="C325" s="11"/>
      <c r="D325" s="32"/>
      <c r="E325" s="11"/>
      <c r="G325" s="15"/>
      <c r="H325" s="47"/>
      <c r="I325" s="76"/>
      <c r="J325" s="76"/>
      <c r="K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L325" s="77"/>
      <c r="M325" s="32"/>
      <c r="N325" s="32"/>
      <c r="O325" s="32"/>
      <c r="P325" s="32"/>
    </row>
    <row r="326" spans="3:16" x14ac:dyDescent="0.3">
      <c r="C326" s="11"/>
      <c r="D326" s="32"/>
      <c r="E326" s="11"/>
      <c r="G326" s="15"/>
      <c r="H326" s="47"/>
      <c r="I326" s="76"/>
      <c r="J326" s="76"/>
      <c r="K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L326" s="77"/>
      <c r="M326" s="32"/>
      <c r="N326" s="32"/>
      <c r="O326" s="32"/>
      <c r="P326" s="32"/>
    </row>
    <row r="327" spans="3:16" x14ac:dyDescent="0.3">
      <c r="C327" s="11"/>
      <c r="D327" s="32"/>
      <c r="E327" s="11"/>
      <c r="G327" s="15"/>
      <c r="H327" s="47"/>
      <c r="I327" s="76"/>
      <c r="J327" s="76"/>
      <c r="K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L327" s="77"/>
      <c r="M327" s="32"/>
      <c r="N327" s="32"/>
      <c r="O327" s="32"/>
      <c r="P327" s="32"/>
    </row>
    <row r="328" spans="3:16" x14ac:dyDescent="0.3">
      <c r="C328" s="11"/>
      <c r="D328" s="32"/>
      <c r="E328" s="11"/>
      <c r="G328" s="15"/>
      <c r="H328" s="47"/>
      <c r="I328" s="76"/>
      <c r="J328" s="76"/>
      <c r="K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L328" s="77"/>
      <c r="M328" s="32"/>
      <c r="N328" s="32"/>
      <c r="O328" s="32"/>
      <c r="P328" s="32"/>
    </row>
    <row r="329" spans="3:16" x14ac:dyDescent="0.3">
      <c r="C329" s="11"/>
      <c r="D329" s="32"/>
      <c r="E329" s="11"/>
      <c r="G329" s="15"/>
      <c r="H329" s="47"/>
      <c r="I329" s="76"/>
      <c r="J329" s="76"/>
      <c r="K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L329" s="77"/>
      <c r="M329" s="32"/>
      <c r="N329" s="32"/>
      <c r="O329" s="32"/>
      <c r="P329" s="32"/>
    </row>
    <row r="330" spans="3:16" x14ac:dyDescent="0.3">
      <c r="C330" s="11"/>
      <c r="D330" s="32"/>
      <c r="E330" s="11"/>
      <c r="G330" s="15"/>
      <c r="H330" s="47"/>
      <c r="I330" s="76"/>
      <c r="J330" s="76"/>
      <c r="K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L330" s="77"/>
      <c r="M330" s="32"/>
      <c r="N330" s="32"/>
      <c r="O330" s="32"/>
      <c r="P330" s="32"/>
    </row>
    <row r="331" spans="3:16" x14ac:dyDescent="0.3">
      <c r="C331" s="11"/>
      <c r="D331" s="32"/>
      <c r="E331" s="11"/>
      <c r="G331" s="15"/>
      <c r="H331" s="47"/>
      <c r="I331" s="76"/>
      <c r="J331" s="76"/>
      <c r="K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L331" s="77"/>
      <c r="M331" s="32"/>
      <c r="N331" s="32"/>
      <c r="O331" s="32"/>
      <c r="P331" s="32"/>
    </row>
    <row r="332" spans="3:16" x14ac:dyDescent="0.3">
      <c r="C332" s="11"/>
      <c r="D332" s="32"/>
      <c r="E332" s="11"/>
      <c r="G332" s="15"/>
      <c r="H332" s="47"/>
      <c r="I332" s="76"/>
      <c r="J332" s="76"/>
      <c r="K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L332" s="77"/>
      <c r="M332" s="32"/>
      <c r="N332" s="32"/>
      <c r="O332" s="32"/>
      <c r="P332" s="32"/>
    </row>
    <row r="333" spans="3:16" x14ac:dyDescent="0.3">
      <c r="C333" s="11"/>
      <c r="D333" s="32"/>
      <c r="E333" s="11"/>
      <c r="G333" s="15"/>
      <c r="H333" s="47"/>
      <c r="I333" s="76"/>
      <c r="J333" s="76"/>
      <c r="K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L333" s="77"/>
      <c r="M333" s="32"/>
      <c r="N333" s="32"/>
      <c r="O333" s="32"/>
      <c r="P333" s="32"/>
    </row>
    <row r="334" spans="3:16" x14ac:dyDescent="0.3">
      <c r="C334" s="11"/>
      <c r="D334" s="32"/>
      <c r="E334" s="11"/>
      <c r="G334" s="15"/>
      <c r="H334" s="47"/>
      <c r="I334" s="76"/>
      <c r="J334" s="76"/>
      <c r="K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L334" s="77"/>
      <c r="M334" s="32"/>
      <c r="N334" s="32"/>
      <c r="O334" s="32"/>
      <c r="P334" s="32"/>
    </row>
    <row r="335" spans="3:16" x14ac:dyDescent="0.3">
      <c r="C335" s="11"/>
      <c r="D335" s="32"/>
      <c r="E335" s="11"/>
      <c r="G335" s="15"/>
      <c r="H335" s="47"/>
      <c r="I335" s="76"/>
      <c r="J335" s="76"/>
      <c r="K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L335" s="77"/>
      <c r="M335" s="32"/>
      <c r="N335" s="32"/>
      <c r="O335" s="32"/>
      <c r="P335" s="32"/>
    </row>
    <row r="336" spans="3:16" x14ac:dyDescent="0.3">
      <c r="C336" s="11"/>
      <c r="D336" s="32"/>
      <c r="E336" s="11"/>
      <c r="G336" s="15"/>
      <c r="H336" s="47"/>
      <c r="I336" s="76"/>
      <c r="J336" s="76"/>
      <c r="K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L336" s="77"/>
      <c r="M336" s="32"/>
      <c r="N336" s="32"/>
      <c r="O336" s="32"/>
      <c r="P336" s="32"/>
    </row>
    <row r="337" spans="3:16" x14ac:dyDescent="0.3">
      <c r="C337" s="11"/>
      <c r="D337" s="32"/>
      <c r="E337" s="11"/>
      <c r="G337" s="15"/>
      <c r="H337" s="47"/>
      <c r="I337" s="76"/>
      <c r="J337" s="76"/>
      <c r="K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L337" s="77"/>
      <c r="M337" s="32"/>
      <c r="N337" s="32"/>
      <c r="O337" s="32"/>
      <c r="P337" s="32"/>
    </row>
    <row r="338" spans="3:16" x14ac:dyDescent="0.3">
      <c r="C338" s="11"/>
      <c r="D338" s="32"/>
      <c r="E338" s="11"/>
      <c r="G338" s="15"/>
      <c r="H338" s="47"/>
      <c r="I338" s="76"/>
      <c r="J338" s="76"/>
      <c r="K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L338" s="77"/>
      <c r="M338" s="32"/>
      <c r="N338" s="32"/>
      <c r="O338" s="32"/>
      <c r="P338" s="32"/>
    </row>
    <row r="339" spans="3:16" x14ac:dyDescent="0.3">
      <c r="C339" s="11"/>
      <c r="D339" s="32"/>
      <c r="E339" s="11"/>
      <c r="G339" s="15"/>
      <c r="H339" s="47"/>
      <c r="I339" s="76"/>
      <c r="J339" s="76"/>
      <c r="K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L339" s="77"/>
      <c r="M339" s="32"/>
      <c r="N339" s="32"/>
      <c r="O339" s="32"/>
      <c r="P339" s="32"/>
    </row>
    <row r="340" spans="3:16" x14ac:dyDescent="0.3">
      <c r="C340" s="11"/>
      <c r="D340" s="32"/>
      <c r="E340" s="11"/>
      <c r="G340" s="15"/>
      <c r="H340" s="47"/>
      <c r="I340" s="76"/>
      <c r="J340" s="76"/>
      <c r="K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L340" s="77"/>
      <c r="M340" s="32"/>
      <c r="N340" s="32"/>
      <c r="O340" s="32"/>
      <c r="P340" s="32"/>
    </row>
    <row r="341" spans="3:16" x14ac:dyDescent="0.3">
      <c r="C341" s="11"/>
      <c r="D341" s="32"/>
      <c r="E341" s="11"/>
      <c r="G341" s="15"/>
      <c r="H341" s="47"/>
      <c r="I341" s="76"/>
      <c r="J341" s="76"/>
      <c r="K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L341" s="77"/>
      <c r="M341" s="32"/>
      <c r="N341" s="32"/>
      <c r="O341" s="32"/>
      <c r="P341" s="32"/>
    </row>
    <row r="342" spans="3:16" x14ac:dyDescent="0.3">
      <c r="C342" s="11"/>
      <c r="D342" s="32"/>
      <c r="E342" s="11"/>
      <c r="G342" s="15"/>
      <c r="H342" s="47"/>
      <c r="I342" s="76"/>
      <c r="J342" s="76"/>
      <c r="K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L342" s="77"/>
      <c r="M342" s="32"/>
      <c r="N342" s="32"/>
      <c r="O342" s="32"/>
      <c r="P342" s="32"/>
    </row>
    <row r="343" spans="3:16" x14ac:dyDescent="0.3">
      <c r="C343" s="11"/>
      <c r="D343" s="32"/>
      <c r="E343" s="11"/>
      <c r="G343" s="15"/>
      <c r="H343" s="47"/>
      <c r="I343" s="76"/>
      <c r="J343" s="76"/>
      <c r="K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L343" s="77"/>
      <c r="M343" s="32"/>
      <c r="N343" s="32"/>
      <c r="O343" s="32"/>
      <c r="P343" s="32"/>
    </row>
    <row r="344" spans="3:16" x14ac:dyDescent="0.3">
      <c r="C344" s="11"/>
      <c r="D344" s="32"/>
      <c r="E344" s="11"/>
      <c r="G344" s="15"/>
      <c r="H344" s="47"/>
      <c r="I344" s="76"/>
      <c r="J344" s="76"/>
      <c r="K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L344" s="77"/>
      <c r="M344" s="32"/>
      <c r="N344" s="32"/>
      <c r="O344" s="32"/>
      <c r="P344" s="32"/>
    </row>
    <row r="345" spans="3:16" x14ac:dyDescent="0.3">
      <c r="C345" s="11"/>
      <c r="D345" s="32"/>
      <c r="E345" s="11"/>
      <c r="G345" s="15"/>
      <c r="H345" s="47"/>
      <c r="I345" s="76"/>
      <c r="J345" s="76"/>
      <c r="K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L345" s="77"/>
      <c r="M345" s="32"/>
      <c r="N345" s="32"/>
      <c r="O345" s="32"/>
      <c r="P345" s="32"/>
    </row>
    <row r="346" spans="3:16" x14ac:dyDescent="0.3">
      <c r="C346" s="11"/>
      <c r="D346" s="32"/>
      <c r="E346" s="11"/>
      <c r="G346" s="15"/>
      <c r="H346" s="47"/>
      <c r="I346" s="76"/>
      <c r="J346" s="76"/>
      <c r="K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L346" s="77"/>
      <c r="M346" s="32"/>
      <c r="N346" s="32"/>
      <c r="O346" s="32"/>
      <c r="P346" s="32"/>
    </row>
    <row r="347" spans="3:16" x14ac:dyDescent="0.3">
      <c r="C347" s="11"/>
      <c r="D347" s="32"/>
      <c r="E347" s="11"/>
      <c r="G347" s="15"/>
      <c r="H347" s="47"/>
      <c r="I347" s="76"/>
      <c r="J347" s="76"/>
      <c r="K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L347" s="77"/>
      <c r="M347" s="32"/>
      <c r="N347" s="32"/>
      <c r="O347" s="32"/>
      <c r="P347" s="32"/>
    </row>
    <row r="348" spans="3:16" x14ac:dyDescent="0.3">
      <c r="C348" s="11"/>
      <c r="D348" s="32"/>
      <c r="E348" s="11"/>
      <c r="G348" s="15"/>
      <c r="H348" s="47"/>
      <c r="I348" s="76"/>
      <c r="J348" s="76"/>
      <c r="K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L348" s="77"/>
      <c r="M348" s="32"/>
      <c r="N348" s="32"/>
      <c r="O348" s="32"/>
      <c r="P348" s="32"/>
    </row>
    <row r="349" spans="3:16" x14ac:dyDescent="0.3">
      <c r="C349" s="11"/>
      <c r="D349" s="32"/>
      <c r="E349" s="11"/>
      <c r="G349" s="15"/>
      <c r="H349" s="47"/>
      <c r="I349" s="76"/>
      <c r="J349" s="76"/>
      <c r="K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L349" s="77"/>
      <c r="M349" s="32"/>
      <c r="N349" s="32"/>
      <c r="O349" s="32"/>
      <c r="P349" s="32"/>
    </row>
    <row r="350" spans="3:16" x14ac:dyDescent="0.3">
      <c r="C350" s="11"/>
      <c r="D350" s="32"/>
      <c r="E350" s="11"/>
      <c r="G350" s="15"/>
      <c r="H350" s="47"/>
      <c r="I350" s="76"/>
      <c r="J350" s="76"/>
      <c r="K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L350" s="77"/>
      <c r="M350" s="32"/>
      <c r="N350" s="32"/>
      <c r="O350" s="32"/>
      <c r="P350" s="32"/>
    </row>
    <row r="351" spans="3:16" x14ac:dyDescent="0.3">
      <c r="C351" s="11"/>
      <c r="D351" s="32"/>
      <c r="E351" s="11"/>
      <c r="G351" s="15"/>
      <c r="H351" s="47"/>
      <c r="I351" s="76"/>
      <c r="J351" s="76"/>
      <c r="K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L351" s="77"/>
      <c r="M351" s="32"/>
      <c r="N351" s="32"/>
      <c r="O351" s="32"/>
      <c r="P351" s="32"/>
    </row>
    <row r="352" spans="3:16" x14ac:dyDescent="0.3">
      <c r="C352" s="11"/>
      <c r="D352" s="32"/>
      <c r="E352" s="11"/>
      <c r="G352" s="15"/>
      <c r="H352" s="47"/>
      <c r="I352" s="76"/>
      <c r="J352" s="76"/>
      <c r="K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L352" s="77"/>
      <c r="M352" s="32"/>
      <c r="N352" s="32"/>
      <c r="O352" s="32"/>
      <c r="P352" s="32"/>
    </row>
    <row r="353" spans="3:16" x14ac:dyDescent="0.3">
      <c r="C353" s="11"/>
      <c r="D353" s="32"/>
      <c r="E353" s="11"/>
      <c r="G353" s="15"/>
      <c r="H353" s="47"/>
      <c r="I353" s="76"/>
      <c r="J353" s="76"/>
      <c r="K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L353" s="77"/>
      <c r="M353" s="32"/>
      <c r="N353" s="32"/>
      <c r="O353" s="32"/>
      <c r="P353" s="32"/>
    </row>
    <row r="354" spans="3:16" x14ac:dyDescent="0.3">
      <c r="C354" s="11"/>
      <c r="D354" s="32"/>
      <c r="E354" s="11"/>
      <c r="G354" s="15"/>
      <c r="H354" s="47"/>
      <c r="I354" s="76"/>
      <c r="J354" s="76"/>
      <c r="K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L354" s="77"/>
      <c r="M354" s="32"/>
      <c r="N354" s="32"/>
      <c r="O354" s="32"/>
      <c r="P354" s="32"/>
    </row>
    <row r="355" spans="3:16" x14ac:dyDescent="0.3">
      <c r="C355" s="11"/>
      <c r="D355" s="32"/>
      <c r="E355" s="11"/>
      <c r="G355" s="15"/>
      <c r="H355" s="47"/>
      <c r="I355" s="76"/>
      <c r="J355" s="76"/>
      <c r="K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L355" s="77"/>
      <c r="M355" s="32"/>
      <c r="N355" s="32"/>
      <c r="O355" s="32"/>
      <c r="P355" s="32"/>
    </row>
    <row r="356" spans="3:16" x14ac:dyDescent="0.3">
      <c r="C356" s="11"/>
      <c r="D356" s="32"/>
      <c r="E356" s="11"/>
      <c r="G356" s="15"/>
      <c r="H356" s="47"/>
      <c r="I356" s="76"/>
      <c r="J356" s="76"/>
      <c r="K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L356" s="77"/>
      <c r="M356" s="32"/>
      <c r="N356" s="32"/>
      <c r="O356" s="32"/>
      <c r="P356" s="32"/>
    </row>
    <row r="357" spans="3:16" x14ac:dyDescent="0.3">
      <c r="C357" s="11"/>
      <c r="D357" s="32"/>
      <c r="E357" s="11"/>
      <c r="G357" s="15"/>
      <c r="H357" s="47"/>
      <c r="I357" s="76"/>
      <c r="J357" s="76"/>
      <c r="K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L357" s="77"/>
      <c r="M357" s="32"/>
      <c r="N357" s="32"/>
      <c r="O357" s="32"/>
      <c r="P357" s="32"/>
    </row>
    <row r="358" spans="3:16" x14ac:dyDescent="0.3">
      <c r="C358" s="11"/>
      <c r="D358" s="32"/>
      <c r="E358" s="11"/>
      <c r="G358" s="15"/>
      <c r="H358" s="47"/>
      <c r="I358" s="76"/>
      <c r="J358" s="76"/>
      <c r="K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L358" s="77"/>
      <c r="M358" s="32"/>
      <c r="N358" s="32"/>
      <c r="O358" s="32"/>
      <c r="P358" s="32"/>
    </row>
    <row r="359" spans="3:16" x14ac:dyDescent="0.3">
      <c r="C359" s="11"/>
      <c r="D359" s="32"/>
      <c r="E359" s="11"/>
      <c r="G359" s="15"/>
      <c r="H359" s="47"/>
      <c r="I359" s="76"/>
      <c r="J359" s="76"/>
      <c r="K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L359" s="77"/>
      <c r="M359" s="32"/>
      <c r="N359" s="32"/>
      <c r="O359" s="32"/>
      <c r="P359" s="32"/>
    </row>
    <row r="360" spans="3:16" x14ac:dyDescent="0.3">
      <c r="C360" s="11"/>
      <c r="D360" s="32"/>
      <c r="E360" s="11"/>
      <c r="G360" s="15"/>
      <c r="H360" s="47"/>
      <c r="I360" s="76"/>
      <c r="J360" s="76"/>
      <c r="K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L360" s="77"/>
      <c r="M360" s="32"/>
      <c r="N360" s="32"/>
      <c r="O360" s="32"/>
      <c r="P360" s="32"/>
    </row>
    <row r="361" spans="3:16" x14ac:dyDescent="0.3">
      <c r="C361" s="11"/>
      <c r="D361" s="32"/>
      <c r="E361" s="11"/>
      <c r="G361" s="15"/>
      <c r="H361" s="47"/>
      <c r="I361" s="76"/>
      <c r="J361" s="76"/>
      <c r="K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L361" s="77"/>
      <c r="M361" s="32"/>
      <c r="N361" s="32"/>
      <c r="O361" s="32"/>
      <c r="P361" s="32"/>
    </row>
    <row r="362" spans="3:16" x14ac:dyDescent="0.3">
      <c r="C362" s="11"/>
      <c r="D362" s="32"/>
      <c r="E362" s="11"/>
      <c r="G362" s="15"/>
      <c r="H362" s="47"/>
      <c r="I362" s="76"/>
      <c r="J362" s="76"/>
      <c r="K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L362" s="77"/>
      <c r="M362" s="32"/>
      <c r="N362" s="32"/>
      <c r="O362" s="32"/>
      <c r="P362" s="32"/>
    </row>
    <row r="363" spans="3:16" x14ac:dyDescent="0.3">
      <c r="C363" s="11"/>
      <c r="D363" s="32"/>
      <c r="E363" s="11"/>
      <c r="G363" s="15"/>
      <c r="H363" s="47"/>
      <c r="I363" s="76"/>
      <c r="J363" s="76"/>
      <c r="K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L363" s="77"/>
      <c r="M363" s="32"/>
      <c r="N363" s="32"/>
      <c r="O363" s="32"/>
      <c r="P363" s="32"/>
    </row>
    <row r="364" spans="3:16" x14ac:dyDescent="0.3">
      <c r="C364" s="11"/>
      <c r="D364" s="32"/>
      <c r="E364" s="11"/>
      <c r="G364" s="15"/>
      <c r="H364" s="47"/>
      <c r="I364" s="76"/>
      <c r="J364" s="76"/>
      <c r="K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L364" s="77"/>
      <c r="M364" s="32"/>
      <c r="N364" s="32"/>
      <c r="O364" s="32"/>
      <c r="P364" s="32"/>
    </row>
    <row r="365" spans="3:16" x14ac:dyDescent="0.3">
      <c r="C365" s="11"/>
      <c r="D365" s="32"/>
      <c r="E365" s="11"/>
      <c r="G365" s="15"/>
      <c r="H365" s="47"/>
      <c r="I365" s="76"/>
      <c r="J365" s="76"/>
      <c r="K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L365" s="77"/>
      <c r="M365" s="32"/>
      <c r="N365" s="32"/>
      <c r="O365" s="32"/>
      <c r="P365" s="32"/>
    </row>
    <row r="366" spans="3:16" x14ac:dyDescent="0.3">
      <c r="C366" s="11"/>
      <c r="D366" s="32"/>
      <c r="E366" s="11"/>
      <c r="G366" s="15"/>
      <c r="H366" s="47"/>
      <c r="I366" s="76"/>
      <c r="J366" s="76"/>
      <c r="K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L366" s="77"/>
      <c r="M366" s="32"/>
      <c r="N366" s="32"/>
      <c r="O366" s="32"/>
      <c r="P366" s="32"/>
    </row>
    <row r="367" spans="3:16" x14ac:dyDescent="0.3">
      <c r="C367" s="11"/>
      <c r="D367" s="32"/>
      <c r="E367" s="11"/>
      <c r="G367" s="15"/>
      <c r="H367" s="47"/>
      <c r="I367" s="76"/>
      <c r="J367" s="76"/>
      <c r="K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L367" s="77"/>
      <c r="M367" s="32"/>
      <c r="N367" s="32"/>
      <c r="O367" s="32"/>
      <c r="P367" s="32"/>
    </row>
    <row r="368" spans="3:16" x14ac:dyDescent="0.3">
      <c r="C368" s="11"/>
      <c r="D368" s="32"/>
      <c r="E368" s="11"/>
      <c r="G368" s="15"/>
      <c r="H368" s="47"/>
      <c r="I368" s="76"/>
      <c r="J368" s="76"/>
      <c r="K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L368" s="77"/>
      <c r="M368" s="32"/>
      <c r="N368" s="32"/>
      <c r="O368" s="32"/>
      <c r="P368" s="32"/>
    </row>
    <row r="369" spans="3:16" x14ac:dyDescent="0.3">
      <c r="C369" s="11"/>
      <c r="D369" s="32"/>
      <c r="E369" s="11"/>
      <c r="G369" s="15"/>
      <c r="H369" s="47"/>
      <c r="I369" s="76"/>
      <c r="J369" s="76"/>
      <c r="K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L369" s="77"/>
      <c r="M369" s="32"/>
      <c r="N369" s="32"/>
      <c r="O369" s="32"/>
      <c r="P369" s="32"/>
    </row>
    <row r="370" spans="3:16" x14ac:dyDescent="0.3">
      <c r="C370" s="11"/>
      <c r="D370" s="32"/>
      <c r="E370" s="11"/>
      <c r="G370" s="15"/>
      <c r="H370" s="47"/>
      <c r="I370" s="76"/>
      <c r="J370" s="76"/>
      <c r="K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L370" s="77"/>
      <c r="M370" s="32"/>
      <c r="N370" s="32"/>
      <c r="O370" s="32"/>
      <c r="P370" s="32"/>
    </row>
    <row r="371" spans="3:16" x14ac:dyDescent="0.3">
      <c r="C371" s="11"/>
      <c r="D371" s="32"/>
      <c r="E371" s="11"/>
      <c r="G371" s="15"/>
      <c r="H371" s="47"/>
      <c r="I371" s="76"/>
      <c r="J371" s="76"/>
      <c r="K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L371" s="77"/>
      <c r="M371" s="32"/>
      <c r="N371" s="32"/>
      <c r="O371" s="32"/>
      <c r="P371" s="32"/>
    </row>
    <row r="372" spans="3:16" x14ac:dyDescent="0.3">
      <c r="C372" s="11"/>
      <c r="D372" s="32"/>
      <c r="E372" s="11"/>
      <c r="G372" s="15"/>
      <c r="H372" s="47"/>
      <c r="I372" s="76"/>
      <c r="J372" s="76"/>
      <c r="K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L372" s="77"/>
      <c r="M372" s="32"/>
      <c r="N372" s="32"/>
      <c r="O372" s="32"/>
      <c r="P372" s="32"/>
    </row>
    <row r="373" spans="3:16" x14ac:dyDescent="0.3">
      <c r="C373" s="11"/>
      <c r="D373" s="32"/>
      <c r="E373" s="11"/>
      <c r="G373" s="15"/>
      <c r="H373" s="47"/>
      <c r="I373" s="76"/>
      <c r="J373" s="76"/>
      <c r="K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L373" s="77"/>
      <c r="M373" s="32"/>
      <c r="N373" s="32"/>
      <c r="O373" s="32"/>
      <c r="P373" s="32"/>
    </row>
    <row r="374" spans="3:16" x14ac:dyDescent="0.3">
      <c r="C374" s="11"/>
      <c r="D374" s="32"/>
      <c r="E374" s="11"/>
      <c r="G374" s="15"/>
      <c r="H374" s="47"/>
      <c r="I374" s="76"/>
      <c r="J374" s="76"/>
      <c r="K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L374" s="77"/>
      <c r="M374" s="32"/>
      <c r="N374" s="32"/>
      <c r="O374" s="32"/>
      <c r="P374" s="32"/>
    </row>
    <row r="375" spans="3:16" x14ac:dyDescent="0.3">
      <c r="C375" s="11"/>
      <c r="D375" s="32"/>
      <c r="E375" s="11"/>
      <c r="G375" s="15"/>
      <c r="H375" s="47"/>
      <c r="I375" s="76"/>
      <c r="J375" s="76"/>
      <c r="K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L375" s="77"/>
      <c r="M375" s="32"/>
      <c r="N375" s="32"/>
      <c r="O375" s="32"/>
      <c r="P375" s="32"/>
    </row>
    <row r="376" spans="3:16" x14ac:dyDescent="0.3">
      <c r="C376" s="11"/>
      <c r="D376" s="32"/>
      <c r="E376" s="11"/>
      <c r="G376" s="15"/>
      <c r="H376" s="47"/>
      <c r="I376" s="76"/>
      <c r="J376" s="76"/>
      <c r="K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L376" s="77"/>
      <c r="M376" s="32"/>
      <c r="N376" s="32"/>
      <c r="O376" s="32"/>
      <c r="P376" s="32"/>
    </row>
    <row r="377" spans="3:16" x14ac:dyDescent="0.3">
      <c r="C377" s="11"/>
      <c r="D377" s="32"/>
      <c r="E377" s="11"/>
      <c r="G377" s="15"/>
      <c r="H377" s="47"/>
      <c r="I377" s="76"/>
      <c r="J377" s="76"/>
      <c r="K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L377" s="77"/>
      <c r="M377" s="32"/>
      <c r="N377" s="32"/>
      <c r="O377" s="32"/>
      <c r="P377" s="32"/>
    </row>
    <row r="378" spans="3:16" x14ac:dyDescent="0.3">
      <c r="C378" s="11"/>
      <c r="D378" s="32"/>
      <c r="E378" s="11"/>
      <c r="G378" s="15"/>
      <c r="H378" s="47"/>
      <c r="I378" s="76"/>
      <c r="J378" s="76"/>
      <c r="K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L378" s="77"/>
      <c r="M378" s="32"/>
      <c r="N378" s="32"/>
      <c r="O378" s="32"/>
      <c r="P378" s="32"/>
    </row>
    <row r="379" spans="3:16" x14ac:dyDescent="0.3">
      <c r="C379" s="11"/>
      <c r="D379" s="32"/>
      <c r="E379" s="11"/>
      <c r="G379" s="15"/>
      <c r="H379" s="47"/>
      <c r="I379" s="76"/>
      <c r="J379" s="76"/>
      <c r="K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L379" s="77"/>
      <c r="M379" s="32"/>
      <c r="N379" s="32"/>
      <c r="O379" s="32"/>
      <c r="P379" s="32"/>
    </row>
    <row r="380" spans="3:16" x14ac:dyDescent="0.3">
      <c r="C380" s="11"/>
      <c r="D380" s="32"/>
      <c r="E380" s="11"/>
      <c r="G380" s="15"/>
      <c r="H380" s="47"/>
      <c r="I380" s="76"/>
      <c r="J380" s="76"/>
      <c r="K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L380" s="77"/>
      <c r="M380" s="32"/>
      <c r="N380" s="32"/>
      <c r="O380" s="32"/>
      <c r="P380" s="32"/>
    </row>
    <row r="381" spans="3:16" x14ac:dyDescent="0.3">
      <c r="C381" s="11"/>
      <c r="D381" s="32"/>
      <c r="E381" s="11"/>
      <c r="G381" s="15"/>
      <c r="H381" s="47"/>
      <c r="I381" s="76"/>
      <c r="J381" s="76"/>
      <c r="K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L381" s="77"/>
      <c r="M381" s="32"/>
      <c r="N381" s="32"/>
      <c r="O381" s="32"/>
      <c r="P381" s="32"/>
    </row>
    <row r="382" spans="3:16" x14ac:dyDescent="0.3">
      <c r="C382" s="11"/>
      <c r="D382" s="32"/>
      <c r="E382" s="11"/>
      <c r="G382" s="15"/>
      <c r="H382" s="47"/>
      <c r="I382" s="76"/>
      <c r="J382" s="76"/>
      <c r="K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L382" s="77"/>
      <c r="M382" s="32"/>
      <c r="N382" s="32"/>
      <c r="O382" s="32"/>
      <c r="P382" s="32"/>
    </row>
    <row r="383" spans="3:16" x14ac:dyDescent="0.3">
      <c r="C383" s="11"/>
      <c r="D383" s="32"/>
      <c r="E383" s="11"/>
      <c r="G383" s="15"/>
      <c r="H383" s="47"/>
      <c r="I383" s="76"/>
      <c r="J383" s="76"/>
      <c r="K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L383" s="77"/>
      <c r="M383" s="32"/>
      <c r="N383" s="32"/>
      <c r="O383" s="32"/>
      <c r="P383" s="32"/>
    </row>
    <row r="384" spans="3:16" x14ac:dyDescent="0.3">
      <c r="C384" s="11"/>
      <c r="D384" s="32"/>
      <c r="E384" s="11"/>
      <c r="G384" s="15"/>
      <c r="H384" s="47"/>
      <c r="I384" s="76"/>
      <c r="J384" s="76"/>
      <c r="K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L384" s="77"/>
      <c r="M384" s="32"/>
      <c r="N384" s="32"/>
      <c r="O384" s="32"/>
      <c r="P384" s="32"/>
    </row>
    <row r="385" spans="3:16" x14ac:dyDescent="0.3">
      <c r="C385" s="11"/>
      <c r="D385" s="32"/>
      <c r="E385" s="11"/>
      <c r="G385" s="15"/>
      <c r="H385" s="47"/>
      <c r="I385" s="76"/>
      <c r="J385" s="76"/>
      <c r="K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L385" s="77"/>
      <c r="M385" s="32"/>
      <c r="N385" s="32"/>
      <c r="O385" s="32"/>
      <c r="P385" s="32"/>
    </row>
    <row r="386" spans="3:16" x14ac:dyDescent="0.3">
      <c r="C386" s="11"/>
      <c r="D386" s="32"/>
      <c r="E386" s="11"/>
      <c r="G386" s="15"/>
      <c r="H386" s="47"/>
      <c r="I386" s="76"/>
      <c r="J386" s="76"/>
      <c r="K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L386" s="77"/>
      <c r="M386" s="32"/>
      <c r="N386" s="32"/>
      <c r="O386" s="32"/>
      <c r="P386" s="32"/>
    </row>
    <row r="387" spans="3:16" x14ac:dyDescent="0.3">
      <c r="C387" s="11"/>
      <c r="D387" s="32"/>
      <c r="E387" s="11"/>
      <c r="G387" s="15"/>
      <c r="H387" s="47"/>
      <c r="I387" s="76"/>
      <c r="J387" s="76"/>
      <c r="K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L387" s="77"/>
      <c r="M387" s="32"/>
      <c r="N387" s="32"/>
      <c r="O387" s="32"/>
      <c r="P387" s="32"/>
    </row>
    <row r="388" spans="3:16" x14ac:dyDescent="0.3">
      <c r="C388" s="11"/>
      <c r="D388" s="32"/>
      <c r="E388" s="11"/>
      <c r="G388" s="15"/>
      <c r="H388" s="47"/>
      <c r="I388" s="76"/>
      <c r="J388" s="76"/>
      <c r="K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L388" s="77"/>
      <c r="M388" s="32"/>
      <c r="N388" s="32"/>
      <c r="O388" s="32"/>
      <c r="P388" s="32"/>
    </row>
    <row r="389" spans="3:16" x14ac:dyDescent="0.3">
      <c r="C389" s="11"/>
      <c r="D389" s="32"/>
      <c r="E389" s="11"/>
      <c r="G389" s="15"/>
      <c r="H389" s="47"/>
      <c r="I389" s="76"/>
      <c r="J389" s="76"/>
      <c r="K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L389" s="77"/>
      <c r="M389" s="32"/>
      <c r="N389" s="32"/>
      <c r="O389" s="32"/>
      <c r="P389" s="32"/>
    </row>
    <row r="390" spans="3:16" x14ac:dyDescent="0.3">
      <c r="C390" s="11"/>
      <c r="D390" s="32"/>
      <c r="E390" s="11"/>
      <c r="G390" s="15"/>
      <c r="H390" s="47"/>
      <c r="I390" s="76"/>
      <c r="J390" s="76"/>
      <c r="K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L390" s="77"/>
      <c r="M390" s="32"/>
      <c r="N390" s="32"/>
      <c r="O390" s="32"/>
      <c r="P390" s="32"/>
    </row>
    <row r="391" spans="3:16" x14ac:dyDescent="0.3">
      <c r="C391" s="11"/>
      <c r="D391" s="32"/>
      <c r="E391" s="11"/>
      <c r="G391" s="15"/>
      <c r="H391" s="47"/>
      <c r="I391" s="76"/>
      <c r="J391" s="76"/>
      <c r="K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L391" s="77"/>
      <c r="M391" s="32"/>
      <c r="N391" s="32"/>
      <c r="O391" s="32"/>
      <c r="P391" s="32"/>
    </row>
    <row r="392" spans="3:16" x14ac:dyDescent="0.3">
      <c r="C392" s="11"/>
      <c r="D392" s="32"/>
      <c r="E392" s="11"/>
      <c r="G392" s="15"/>
      <c r="H392" s="47"/>
      <c r="I392" s="76"/>
      <c r="J392" s="76"/>
      <c r="K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L392" s="77"/>
      <c r="M392" s="32"/>
      <c r="N392" s="32"/>
      <c r="O392" s="32"/>
      <c r="P392" s="32"/>
    </row>
    <row r="393" spans="3:16" x14ac:dyDescent="0.3">
      <c r="C393" s="11"/>
      <c r="D393" s="32"/>
      <c r="E393" s="11"/>
      <c r="G393" s="15"/>
      <c r="H393" s="47"/>
      <c r="I393" s="76"/>
      <c r="J393" s="76"/>
      <c r="K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L393" s="77"/>
      <c r="M393" s="32"/>
      <c r="N393" s="32"/>
      <c r="O393" s="32"/>
      <c r="P393" s="32"/>
    </row>
    <row r="394" spans="3:16" x14ac:dyDescent="0.3">
      <c r="C394" s="11"/>
      <c r="D394" s="32"/>
      <c r="E394" s="11"/>
      <c r="G394" s="15"/>
      <c r="H394" s="47"/>
      <c r="I394" s="76"/>
      <c r="J394" s="76"/>
      <c r="K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L394" s="77"/>
      <c r="M394" s="32"/>
      <c r="N394" s="32"/>
      <c r="O394" s="32"/>
      <c r="P394" s="32"/>
    </row>
    <row r="395" spans="3:16" x14ac:dyDescent="0.3">
      <c r="C395" s="11"/>
      <c r="D395" s="32"/>
      <c r="E395" s="11"/>
      <c r="G395" s="15"/>
      <c r="H395" s="47"/>
      <c r="I395" s="76"/>
      <c r="J395" s="76"/>
      <c r="K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L395" s="77"/>
      <c r="M395" s="32"/>
      <c r="N395" s="32"/>
      <c r="O395" s="32"/>
      <c r="P395" s="32"/>
    </row>
    <row r="396" spans="3:16" x14ac:dyDescent="0.3">
      <c r="C396" s="11"/>
      <c r="D396" s="32"/>
      <c r="E396" s="11"/>
      <c r="G396" s="15"/>
      <c r="H396" s="47"/>
      <c r="I396" s="76"/>
      <c r="J396" s="76"/>
      <c r="K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L396" s="77"/>
      <c r="M396" s="32"/>
      <c r="N396" s="32"/>
      <c r="O396" s="32"/>
      <c r="P396" s="32"/>
    </row>
    <row r="397" spans="3:16" x14ac:dyDescent="0.3">
      <c r="C397" s="11"/>
      <c r="D397" s="32"/>
      <c r="E397" s="11"/>
      <c r="G397" s="15"/>
      <c r="H397" s="47"/>
      <c r="I397" s="76"/>
      <c r="J397" s="76"/>
      <c r="K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L397" s="77"/>
      <c r="M397" s="32"/>
      <c r="N397" s="32"/>
      <c r="O397" s="32"/>
      <c r="P397" s="32"/>
    </row>
    <row r="398" spans="3:16" x14ac:dyDescent="0.3">
      <c r="C398" s="11"/>
      <c r="D398" s="32"/>
      <c r="E398" s="11"/>
      <c r="G398" s="15"/>
      <c r="H398" s="47"/>
      <c r="I398" s="76"/>
      <c r="J398" s="76"/>
      <c r="K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L398" s="77"/>
      <c r="M398" s="32"/>
      <c r="N398" s="32"/>
      <c r="O398" s="32"/>
      <c r="P398" s="32"/>
    </row>
    <row r="399" spans="3:16" x14ac:dyDescent="0.3">
      <c r="C399" s="11"/>
      <c r="D399" s="32"/>
      <c r="E399" s="11"/>
      <c r="G399" s="15"/>
      <c r="H399" s="47"/>
      <c r="I399" s="76"/>
      <c r="J399" s="76"/>
      <c r="K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L399" s="77"/>
      <c r="M399" s="32"/>
      <c r="N399" s="32"/>
      <c r="O399" s="32"/>
      <c r="P399" s="32"/>
    </row>
    <row r="400" spans="3:16" x14ac:dyDescent="0.3">
      <c r="C400" s="11"/>
      <c r="D400" s="32"/>
      <c r="E400" s="11"/>
      <c r="G400" s="15"/>
      <c r="H400" s="47"/>
      <c r="I400" s="76"/>
      <c r="J400" s="76"/>
      <c r="K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L400" s="77"/>
      <c r="M400" s="32"/>
      <c r="N400" s="32"/>
      <c r="O400" s="32"/>
      <c r="P400" s="32"/>
    </row>
    <row r="401" spans="3:16" x14ac:dyDescent="0.3">
      <c r="C401" s="11"/>
      <c r="D401" s="32"/>
      <c r="E401" s="11"/>
      <c r="G401" s="15"/>
      <c r="H401" s="47"/>
      <c r="I401" s="76"/>
      <c r="J401" s="76"/>
      <c r="K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L401" s="77"/>
      <c r="M401" s="32"/>
      <c r="N401" s="32"/>
      <c r="O401" s="32"/>
      <c r="P401" s="32"/>
    </row>
    <row r="402" spans="3:16" x14ac:dyDescent="0.3">
      <c r="C402" s="11"/>
      <c r="D402" s="32"/>
      <c r="E402" s="11"/>
      <c r="G402" s="15"/>
      <c r="H402" s="47"/>
      <c r="I402" s="76"/>
      <c r="J402" s="76"/>
      <c r="K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L402" s="77"/>
      <c r="M402" s="32"/>
      <c r="N402" s="32"/>
      <c r="O402" s="32"/>
      <c r="P402" s="32"/>
    </row>
    <row r="403" spans="3:16" x14ac:dyDescent="0.3">
      <c r="C403" s="11"/>
      <c r="D403" s="32"/>
      <c r="E403" s="11"/>
      <c r="G403" s="15"/>
      <c r="H403" s="47"/>
      <c r="I403" s="76"/>
      <c r="J403" s="76"/>
      <c r="K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L403" s="77"/>
      <c r="M403" s="32"/>
      <c r="N403" s="32"/>
      <c r="O403" s="32"/>
      <c r="P403" s="32"/>
    </row>
    <row r="404" spans="3:16" x14ac:dyDescent="0.3">
      <c r="C404" s="11"/>
      <c r="D404" s="32"/>
      <c r="E404" s="11"/>
      <c r="G404" s="15"/>
      <c r="H404" s="47"/>
      <c r="I404" s="76"/>
      <c r="J404" s="76"/>
      <c r="K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L404" s="77"/>
      <c r="M404" s="32"/>
      <c r="N404" s="32"/>
      <c r="O404" s="32"/>
      <c r="P404" s="32"/>
    </row>
    <row r="405" spans="3:16" x14ac:dyDescent="0.3">
      <c r="C405" s="11"/>
      <c r="D405" s="32"/>
      <c r="E405" s="11"/>
      <c r="G405" s="15"/>
      <c r="H405" s="47"/>
      <c r="I405" s="76"/>
      <c r="J405" s="76"/>
      <c r="K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L405" s="77"/>
      <c r="M405" s="32"/>
      <c r="N405" s="32"/>
      <c r="O405" s="32"/>
      <c r="P405" s="32"/>
    </row>
    <row r="406" spans="3:16" x14ac:dyDescent="0.3">
      <c r="C406" s="11"/>
      <c r="D406" s="32"/>
      <c r="E406" s="11"/>
      <c r="G406" s="15"/>
      <c r="H406" s="47"/>
      <c r="I406" s="76"/>
      <c r="J406" s="76"/>
      <c r="K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L406" s="77"/>
      <c r="M406" s="32"/>
      <c r="N406" s="32"/>
      <c r="O406" s="32"/>
      <c r="P406" s="32"/>
    </row>
    <row r="407" spans="3:16" x14ac:dyDescent="0.3">
      <c r="C407" s="11"/>
      <c r="D407" s="32"/>
      <c r="E407" s="11"/>
      <c r="G407" s="15"/>
      <c r="H407" s="47"/>
      <c r="I407" s="76"/>
      <c r="J407" s="76"/>
      <c r="K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L407" s="77"/>
      <c r="M407" s="32"/>
      <c r="N407" s="32"/>
      <c r="O407" s="32"/>
      <c r="P407" s="32"/>
    </row>
    <row r="408" spans="3:16" x14ac:dyDescent="0.3">
      <c r="C408" s="11"/>
      <c r="D408" s="32"/>
      <c r="E408" s="11"/>
      <c r="G408" s="15"/>
      <c r="H408" s="47"/>
      <c r="I408" s="76"/>
      <c r="J408" s="76"/>
      <c r="K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L408" s="77"/>
      <c r="M408" s="32"/>
      <c r="N408" s="32"/>
      <c r="O408" s="32"/>
      <c r="P408" s="32"/>
    </row>
    <row r="409" spans="3:16" x14ac:dyDescent="0.3">
      <c r="C409" s="11"/>
      <c r="D409" s="32"/>
      <c r="E409" s="11"/>
      <c r="G409" s="15"/>
      <c r="H409" s="47"/>
      <c r="I409" s="76"/>
      <c r="J409" s="76"/>
      <c r="K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L409" s="77"/>
      <c r="M409" s="32"/>
      <c r="N409" s="32"/>
      <c r="O409" s="32"/>
      <c r="P409" s="32"/>
    </row>
    <row r="410" spans="3:16" x14ac:dyDescent="0.3">
      <c r="C410" s="11"/>
      <c r="D410" s="32"/>
      <c r="E410" s="11"/>
      <c r="G410" s="15"/>
      <c r="H410" s="47"/>
      <c r="I410" s="76"/>
      <c r="J410" s="76"/>
      <c r="K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L410" s="77"/>
      <c r="M410" s="32"/>
      <c r="N410" s="32"/>
      <c r="O410" s="32"/>
      <c r="P410" s="32"/>
    </row>
    <row r="411" spans="3:16" x14ac:dyDescent="0.3">
      <c r="C411" s="11"/>
      <c r="D411" s="32"/>
      <c r="E411" s="11"/>
      <c r="G411" s="15"/>
      <c r="H411" s="47"/>
      <c r="I411" s="76"/>
      <c r="J411" s="76"/>
      <c r="K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L411" s="77"/>
      <c r="M411" s="32"/>
      <c r="N411" s="32"/>
      <c r="O411" s="32"/>
      <c r="P411" s="32"/>
    </row>
    <row r="412" spans="3:16" x14ac:dyDescent="0.3">
      <c r="C412" s="11"/>
      <c r="D412" s="32"/>
      <c r="E412" s="11"/>
      <c r="G412" s="15"/>
      <c r="H412" s="47"/>
      <c r="I412" s="76"/>
      <c r="J412" s="76"/>
      <c r="K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L412" s="77"/>
      <c r="M412" s="32"/>
      <c r="N412" s="32"/>
      <c r="O412" s="32"/>
      <c r="P412" s="32"/>
    </row>
    <row r="413" spans="3:16" x14ac:dyDescent="0.3">
      <c r="C413" s="11"/>
      <c r="D413" s="32"/>
      <c r="E413" s="11"/>
      <c r="G413" s="15"/>
      <c r="H413" s="47"/>
      <c r="I413" s="76"/>
      <c r="J413" s="76"/>
      <c r="K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L413" s="77"/>
      <c r="M413" s="32"/>
      <c r="N413" s="32"/>
      <c r="O413" s="32"/>
      <c r="P413" s="32"/>
    </row>
    <row r="414" spans="3:16" x14ac:dyDescent="0.3">
      <c r="C414" s="11"/>
      <c r="D414" s="32"/>
      <c r="E414" s="11"/>
      <c r="G414" s="15"/>
      <c r="H414" s="47"/>
      <c r="I414" s="76"/>
      <c r="J414" s="76"/>
      <c r="K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L414" s="77"/>
      <c r="M414" s="32"/>
      <c r="N414" s="32"/>
      <c r="O414" s="32"/>
      <c r="P414" s="32"/>
    </row>
    <row r="415" spans="3:16" x14ac:dyDescent="0.3">
      <c r="C415" s="11"/>
      <c r="D415" s="32"/>
      <c r="E415" s="11"/>
      <c r="G415" s="15"/>
      <c r="H415" s="47"/>
      <c r="I415" s="76"/>
      <c r="J415" s="76"/>
      <c r="K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L415" s="77"/>
      <c r="M415" s="32"/>
      <c r="N415" s="32"/>
      <c r="O415" s="32"/>
      <c r="P415" s="32"/>
    </row>
    <row r="416" spans="3:16" x14ac:dyDescent="0.3">
      <c r="C416" s="11"/>
      <c r="D416" s="32"/>
      <c r="E416" s="11"/>
      <c r="G416" s="15"/>
      <c r="H416" s="47"/>
      <c r="I416" s="76"/>
      <c r="J416" s="76"/>
      <c r="K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L416" s="77"/>
      <c r="M416" s="32"/>
      <c r="N416" s="32"/>
      <c r="O416" s="32"/>
      <c r="P416" s="32"/>
    </row>
    <row r="417" spans="3:16" x14ac:dyDescent="0.3">
      <c r="C417" s="11"/>
      <c r="D417" s="32"/>
      <c r="E417" s="11"/>
      <c r="G417" s="15"/>
      <c r="H417" s="47"/>
      <c r="I417" s="76"/>
      <c r="J417" s="76"/>
      <c r="K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L417" s="77"/>
      <c r="M417" s="32"/>
      <c r="N417" s="32"/>
      <c r="O417" s="32"/>
      <c r="P417" s="32"/>
    </row>
    <row r="418" spans="3:16" x14ac:dyDescent="0.3">
      <c r="C418" s="11"/>
      <c r="D418" s="32"/>
      <c r="E418" s="11"/>
      <c r="G418" s="15"/>
      <c r="H418" s="47"/>
      <c r="I418" s="76"/>
      <c r="J418" s="76"/>
      <c r="K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L418" s="77"/>
      <c r="M418" s="32"/>
      <c r="N418" s="32"/>
      <c r="O418" s="32"/>
      <c r="P418" s="32"/>
    </row>
    <row r="419" spans="3:16" x14ac:dyDescent="0.3">
      <c r="C419" s="11"/>
      <c r="D419" s="32"/>
      <c r="E419" s="11"/>
      <c r="G419" s="15"/>
      <c r="H419" s="47"/>
      <c r="I419" s="76"/>
      <c r="J419" s="76"/>
      <c r="K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L419" s="77"/>
      <c r="M419" s="32"/>
      <c r="N419" s="32"/>
      <c r="O419" s="32"/>
      <c r="P419" s="32"/>
    </row>
    <row r="420" spans="3:16" x14ac:dyDescent="0.3">
      <c r="C420" s="11"/>
      <c r="D420" s="32"/>
      <c r="E420" s="11"/>
      <c r="G420" s="15"/>
      <c r="H420" s="47"/>
      <c r="I420" s="76"/>
      <c r="J420" s="76"/>
      <c r="K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L420" s="77"/>
      <c r="M420" s="32"/>
      <c r="N420" s="32"/>
      <c r="O420" s="32"/>
      <c r="P420" s="32"/>
    </row>
    <row r="421" spans="3:16" x14ac:dyDescent="0.3">
      <c r="C421" s="11"/>
      <c r="D421" s="32"/>
      <c r="E421" s="11"/>
      <c r="G421" s="15"/>
      <c r="H421" s="47"/>
      <c r="I421" s="76"/>
      <c r="J421" s="76"/>
      <c r="K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L421" s="77"/>
      <c r="M421" s="32"/>
      <c r="N421" s="32"/>
      <c r="O421" s="32"/>
      <c r="P421" s="32"/>
    </row>
    <row r="422" spans="3:16" x14ac:dyDescent="0.3">
      <c r="C422" s="11"/>
      <c r="D422" s="32"/>
      <c r="E422" s="11"/>
      <c r="G422" s="15"/>
      <c r="H422" s="47"/>
      <c r="I422" s="76"/>
      <c r="J422" s="76"/>
      <c r="K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L422" s="77"/>
      <c r="M422" s="32"/>
      <c r="N422" s="32"/>
      <c r="O422" s="32"/>
      <c r="P422" s="32"/>
    </row>
    <row r="423" spans="3:16" x14ac:dyDescent="0.3">
      <c r="C423" s="11"/>
      <c r="D423" s="32"/>
      <c r="E423" s="11"/>
      <c r="G423" s="15"/>
      <c r="H423" s="47"/>
      <c r="I423" s="76"/>
      <c r="J423" s="76"/>
      <c r="K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L423" s="77"/>
      <c r="M423" s="32"/>
      <c r="N423" s="32"/>
      <c r="O423" s="32"/>
      <c r="P423" s="32"/>
    </row>
    <row r="424" spans="3:16" x14ac:dyDescent="0.3">
      <c r="C424" s="11"/>
      <c r="D424" s="32"/>
      <c r="E424" s="11"/>
      <c r="G424" s="15"/>
      <c r="H424" s="47"/>
      <c r="I424" s="76"/>
      <c r="J424" s="76"/>
      <c r="K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L424" s="77"/>
      <c r="M424" s="32"/>
      <c r="N424" s="32"/>
      <c r="O424" s="32"/>
      <c r="P424" s="32"/>
    </row>
    <row r="425" spans="3:16" x14ac:dyDescent="0.3">
      <c r="C425" s="11"/>
      <c r="D425" s="32"/>
      <c r="E425" s="11"/>
      <c r="G425" s="15"/>
      <c r="H425" s="47"/>
      <c r="I425" s="76"/>
      <c r="J425" s="76"/>
      <c r="K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L425" s="77"/>
      <c r="M425" s="32"/>
      <c r="N425" s="32"/>
      <c r="O425" s="32"/>
      <c r="P425" s="32"/>
    </row>
    <row r="426" spans="3:16" x14ac:dyDescent="0.3">
      <c r="C426" s="11"/>
      <c r="D426" s="32"/>
      <c r="E426" s="11"/>
      <c r="G426" s="15"/>
      <c r="H426" s="47"/>
      <c r="I426" s="76"/>
      <c r="J426" s="76"/>
      <c r="K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L426" s="77"/>
      <c r="M426" s="32"/>
      <c r="N426" s="32"/>
      <c r="O426" s="32"/>
      <c r="P426" s="32"/>
    </row>
    <row r="427" spans="3:16" x14ac:dyDescent="0.3">
      <c r="C427" s="11"/>
      <c r="D427" s="32"/>
      <c r="E427" s="11"/>
      <c r="G427" s="15"/>
      <c r="H427" s="47"/>
      <c r="I427" s="76"/>
      <c r="J427" s="76"/>
      <c r="K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L427" s="77"/>
      <c r="M427" s="32"/>
      <c r="N427" s="32"/>
      <c r="O427" s="32"/>
      <c r="P427" s="32"/>
    </row>
    <row r="428" spans="3:16" x14ac:dyDescent="0.3">
      <c r="C428" s="11"/>
      <c r="D428" s="32"/>
      <c r="E428" s="11"/>
      <c r="G428" s="15"/>
      <c r="H428" s="47"/>
      <c r="I428" s="76"/>
      <c r="J428" s="76"/>
      <c r="K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L428" s="77"/>
      <c r="M428" s="32"/>
      <c r="N428" s="32"/>
      <c r="O428" s="32"/>
      <c r="P428" s="32"/>
    </row>
    <row r="429" spans="3:16" x14ac:dyDescent="0.3">
      <c r="C429" s="11"/>
      <c r="D429" s="32"/>
      <c r="E429" s="11"/>
      <c r="G429" s="15"/>
      <c r="H429" s="47"/>
      <c r="I429" s="76"/>
      <c r="J429" s="76"/>
      <c r="K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L429" s="77"/>
      <c r="M429" s="32"/>
      <c r="N429" s="32"/>
      <c r="O429" s="32"/>
      <c r="P429" s="32"/>
    </row>
    <row r="430" spans="3:16" x14ac:dyDescent="0.3">
      <c r="C430" s="11"/>
      <c r="D430" s="32"/>
      <c r="E430" s="11"/>
      <c r="G430" s="15"/>
      <c r="H430" s="47"/>
      <c r="I430" s="76"/>
      <c r="J430" s="76"/>
      <c r="K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L430" s="77"/>
      <c r="M430" s="32"/>
      <c r="N430" s="32"/>
      <c r="O430" s="32"/>
      <c r="P430" s="32"/>
    </row>
    <row r="431" spans="3:16" x14ac:dyDescent="0.3">
      <c r="C431" s="11"/>
      <c r="D431" s="32"/>
      <c r="E431" s="11"/>
      <c r="G431" s="15"/>
      <c r="H431" s="47"/>
      <c r="I431" s="76"/>
      <c r="J431" s="76"/>
      <c r="K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L431" s="77"/>
      <c r="M431" s="32"/>
      <c r="N431" s="32"/>
      <c r="O431" s="32"/>
      <c r="P431" s="32"/>
    </row>
    <row r="432" spans="3:16" x14ac:dyDescent="0.3">
      <c r="C432" s="11"/>
      <c r="D432" s="32"/>
      <c r="E432" s="11"/>
      <c r="G432" s="15"/>
      <c r="H432" s="47"/>
      <c r="I432" s="76"/>
      <c r="J432" s="76"/>
      <c r="K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L432" s="77"/>
      <c r="M432" s="32"/>
      <c r="N432" s="32"/>
      <c r="O432" s="32"/>
      <c r="P432" s="32"/>
    </row>
    <row r="433" spans="3:16" x14ac:dyDescent="0.3">
      <c r="C433" s="11"/>
      <c r="D433" s="32"/>
      <c r="E433" s="11"/>
      <c r="G433" s="15"/>
      <c r="H433" s="47"/>
      <c r="I433" s="76"/>
      <c r="J433" s="76"/>
      <c r="K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L433" s="77"/>
      <c r="M433" s="32"/>
      <c r="N433" s="32"/>
      <c r="O433" s="32"/>
      <c r="P433" s="32"/>
    </row>
    <row r="434" spans="3:16" x14ac:dyDescent="0.3">
      <c r="C434" s="11"/>
      <c r="D434" s="32"/>
      <c r="E434" s="11"/>
      <c r="G434" s="15"/>
      <c r="H434" s="47"/>
      <c r="I434" s="76"/>
      <c r="J434" s="76"/>
      <c r="K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L434" s="77"/>
      <c r="M434" s="32"/>
      <c r="N434" s="32"/>
      <c r="O434" s="32"/>
      <c r="P434" s="32"/>
    </row>
    <row r="435" spans="3:16" x14ac:dyDescent="0.3">
      <c r="C435" s="11"/>
      <c r="D435" s="32"/>
      <c r="E435" s="11"/>
      <c r="G435" s="15"/>
      <c r="H435" s="47"/>
      <c r="I435" s="76"/>
      <c r="J435" s="76"/>
      <c r="K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L435" s="77"/>
      <c r="M435" s="32"/>
      <c r="N435" s="32"/>
      <c r="O435" s="32"/>
      <c r="P435" s="32"/>
    </row>
    <row r="436" spans="3:16" x14ac:dyDescent="0.3">
      <c r="C436" s="11"/>
      <c r="D436" s="32"/>
      <c r="E436" s="11"/>
      <c r="G436" s="15"/>
      <c r="H436" s="47"/>
      <c r="I436" s="76"/>
      <c r="J436" s="76"/>
      <c r="K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L436" s="77"/>
      <c r="M436" s="32"/>
      <c r="N436" s="32"/>
      <c r="O436" s="32"/>
      <c r="P436" s="32"/>
    </row>
    <row r="437" spans="3:16" x14ac:dyDescent="0.3">
      <c r="C437" s="11"/>
      <c r="D437" s="32"/>
      <c r="E437" s="11"/>
      <c r="G437" s="15"/>
      <c r="H437" s="47"/>
      <c r="I437" s="76"/>
      <c r="J437" s="76"/>
      <c r="K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L437" s="77"/>
      <c r="M437" s="32"/>
      <c r="N437" s="32"/>
      <c r="O437" s="32"/>
      <c r="P437" s="32"/>
    </row>
    <row r="438" spans="3:16" x14ac:dyDescent="0.3">
      <c r="C438" s="11"/>
      <c r="D438" s="32"/>
      <c r="E438" s="11"/>
      <c r="G438" s="15"/>
      <c r="H438" s="47"/>
      <c r="I438" s="76"/>
      <c r="J438" s="76"/>
      <c r="K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L438" s="77"/>
      <c r="M438" s="32"/>
      <c r="N438" s="32"/>
      <c r="O438" s="32"/>
      <c r="P438" s="32"/>
    </row>
    <row r="439" spans="3:16" x14ac:dyDescent="0.3">
      <c r="C439" s="11"/>
      <c r="D439" s="32"/>
      <c r="E439" s="11"/>
      <c r="G439" s="15"/>
      <c r="H439" s="47"/>
      <c r="I439" s="76"/>
      <c r="J439" s="76"/>
      <c r="K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L439" s="77"/>
      <c r="M439" s="32"/>
      <c r="N439" s="32"/>
      <c r="O439" s="32"/>
      <c r="P439" s="32"/>
    </row>
    <row r="440" spans="3:16" x14ac:dyDescent="0.3">
      <c r="C440" s="11"/>
      <c r="D440" s="32"/>
      <c r="E440" s="11"/>
      <c r="G440" s="15"/>
      <c r="H440" s="47"/>
      <c r="I440" s="76"/>
      <c r="J440" s="76"/>
      <c r="K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L440" s="77"/>
      <c r="M440" s="32"/>
      <c r="N440" s="32"/>
      <c r="O440" s="32"/>
      <c r="P440" s="32"/>
    </row>
    <row r="441" spans="3:16" x14ac:dyDescent="0.3">
      <c r="C441" s="11"/>
      <c r="D441" s="32"/>
      <c r="E441" s="11"/>
      <c r="G441" s="15"/>
      <c r="H441" s="47"/>
      <c r="I441" s="76"/>
      <c r="J441" s="76"/>
      <c r="K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L441" s="77"/>
      <c r="M441" s="32"/>
      <c r="N441" s="32"/>
      <c r="O441" s="32"/>
      <c r="P441" s="32"/>
    </row>
    <row r="442" spans="3:16" x14ac:dyDescent="0.3">
      <c r="C442" s="11"/>
      <c r="D442" s="32"/>
      <c r="E442" s="11"/>
      <c r="G442" s="15"/>
      <c r="H442" s="47"/>
      <c r="I442" s="76"/>
      <c r="J442" s="76"/>
      <c r="K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L442" s="77"/>
      <c r="M442" s="32"/>
      <c r="N442" s="32"/>
      <c r="O442" s="32"/>
      <c r="P442" s="32"/>
    </row>
    <row r="443" spans="3:16" x14ac:dyDescent="0.3">
      <c r="C443" s="11"/>
      <c r="D443" s="32"/>
      <c r="E443" s="11"/>
      <c r="G443" s="15"/>
      <c r="H443" s="47"/>
      <c r="I443" s="76"/>
      <c r="J443" s="76"/>
      <c r="K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L443" s="77"/>
      <c r="M443" s="32"/>
      <c r="N443" s="32"/>
      <c r="O443" s="32"/>
      <c r="P443" s="32"/>
    </row>
    <row r="444" spans="3:16" x14ac:dyDescent="0.3">
      <c r="C444" s="11"/>
      <c r="D444" s="32"/>
      <c r="E444" s="11"/>
      <c r="G444" s="15"/>
      <c r="H444" s="47"/>
      <c r="I444" s="76"/>
      <c r="J444" s="76"/>
      <c r="K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L444" s="77"/>
      <c r="M444" s="32"/>
      <c r="N444" s="32"/>
      <c r="O444" s="32"/>
      <c r="P444" s="32"/>
    </row>
    <row r="445" spans="3:16" x14ac:dyDescent="0.3">
      <c r="C445" s="11"/>
      <c r="D445" s="32"/>
      <c r="E445" s="11"/>
      <c r="G445" s="15"/>
      <c r="H445" s="47"/>
      <c r="I445" s="76"/>
      <c r="J445" s="76"/>
      <c r="K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L445" s="77"/>
      <c r="M445" s="32"/>
      <c r="N445" s="32"/>
      <c r="O445" s="32"/>
      <c r="P445" s="32"/>
    </row>
    <row r="446" spans="3:16" x14ac:dyDescent="0.3">
      <c r="C446" s="11"/>
      <c r="D446" s="32"/>
      <c r="E446" s="11"/>
      <c r="G446" s="15"/>
      <c r="H446" s="47"/>
      <c r="I446" s="76"/>
      <c r="J446" s="76"/>
      <c r="K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L446" s="77"/>
      <c r="M446" s="32"/>
      <c r="N446" s="32"/>
      <c r="O446" s="32"/>
      <c r="P446" s="32"/>
    </row>
    <row r="447" spans="3:16" x14ac:dyDescent="0.3">
      <c r="C447" s="11"/>
      <c r="D447" s="32"/>
      <c r="E447" s="11"/>
      <c r="G447" s="15"/>
      <c r="H447" s="47"/>
      <c r="I447" s="76"/>
      <c r="J447" s="76"/>
      <c r="K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L447" s="77"/>
      <c r="M447" s="32"/>
      <c r="N447" s="32"/>
      <c r="O447" s="32"/>
      <c r="P447" s="32"/>
    </row>
    <row r="448" spans="3:16" x14ac:dyDescent="0.3">
      <c r="C448" s="11"/>
      <c r="D448" s="32"/>
      <c r="E448" s="11"/>
      <c r="G448" s="15"/>
      <c r="H448" s="47"/>
      <c r="I448" s="76"/>
      <c r="J448" s="76"/>
      <c r="K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L448" s="77"/>
      <c r="M448" s="32"/>
      <c r="N448" s="32"/>
      <c r="O448" s="32"/>
      <c r="P448" s="32"/>
    </row>
    <row r="449" spans="3:16" x14ac:dyDescent="0.3">
      <c r="C449" s="11"/>
      <c r="D449" s="32"/>
      <c r="E449" s="11"/>
      <c r="G449" s="15"/>
      <c r="H449" s="47"/>
      <c r="I449" s="76"/>
      <c r="J449" s="76"/>
      <c r="K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L449" s="77"/>
      <c r="M449" s="32"/>
      <c r="N449" s="32"/>
      <c r="O449" s="32"/>
      <c r="P449" s="32"/>
    </row>
    <row r="450" spans="3:16" x14ac:dyDescent="0.3">
      <c r="C450" s="11"/>
      <c r="D450" s="32"/>
      <c r="E450" s="11"/>
      <c r="G450" s="15"/>
      <c r="H450" s="47"/>
      <c r="I450" s="76"/>
      <c r="J450" s="76"/>
      <c r="K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L450" s="77"/>
      <c r="M450" s="32"/>
      <c r="N450" s="32"/>
      <c r="O450" s="32"/>
      <c r="P450" s="32"/>
    </row>
    <row r="451" spans="3:16" x14ac:dyDescent="0.3">
      <c r="C451" s="11"/>
      <c r="D451" s="32"/>
      <c r="E451" s="11"/>
      <c r="G451" s="15"/>
      <c r="H451" s="47"/>
      <c r="I451" s="76"/>
      <c r="J451" s="76"/>
      <c r="K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L451" s="77"/>
      <c r="M451" s="32"/>
      <c r="N451" s="32"/>
      <c r="O451" s="32"/>
      <c r="P451" s="32"/>
    </row>
    <row r="452" spans="3:16" x14ac:dyDescent="0.3">
      <c r="C452" s="11"/>
      <c r="D452" s="32"/>
      <c r="E452" s="11"/>
      <c r="G452" s="15"/>
      <c r="H452" s="47"/>
      <c r="I452" s="76"/>
      <c r="J452" s="76"/>
      <c r="K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L452" s="77"/>
      <c r="M452" s="32"/>
      <c r="N452" s="32"/>
      <c r="O452" s="32"/>
      <c r="P452" s="32"/>
    </row>
    <row r="453" spans="3:16" x14ac:dyDescent="0.3">
      <c r="C453" s="11"/>
      <c r="D453" s="32"/>
      <c r="E453" s="11"/>
      <c r="G453" s="15"/>
      <c r="H453" s="47"/>
      <c r="I453" s="76"/>
      <c r="J453" s="76"/>
      <c r="K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L453" s="77"/>
      <c r="M453" s="32"/>
      <c r="N453" s="32"/>
      <c r="O453" s="32"/>
      <c r="P453" s="32"/>
    </row>
    <row r="454" spans="3:16" x14ac:dyDescent="0.3">
      <c r="C454" s="11"/>
      <c r="D454" s="32"/>
      <c r="E454" s="11"/>
      <c r="G454" s="15"/>
      <c r="H454" s="47"/>
      <c r="I454" s="76"/>
      <c r="J454" s="76"/>
      <c r="K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L454" s="77"/>
      <c r="M454" s="32"/>
      <c r="N454" s="32"/>
      <c r="O454" s="32"/>
      <c r="P454" s="32"/>
    </row>
    <row r="455" spans="3:16" x14ac:dyDescent="0.3">
      <c r="C455" s="11"/>
      <c r="D455" s="32"/>
      <c r="E455" s="11"/>
      <c r="G455" s="15"/>
      <c r="H455" s="47"/>
      <c r="I455" s="76"/>
      <c r="J455" s="76"/>
      <c r="K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L455" s="77"/>
      <c r="M455" s="32"/>
      <c r="N455" s="32"/>
      <c r="O455" s="32"/>
      <c r="P455" s="32"/>
    </row>
    <row r="456" spans="3:16" x14ac:dyDescent="0.3">
      <c r="C456" s="11"/>
      <c r="D456" s="32"/>
      <c r="E456" s="11"/>
      <c r="G456" s="15"/>
      <c r="H456" s="47"/>
      <c r="I456" s="76"/>
      <c r="J456" s="76"/>
      <c r="K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L456" s="77"/>
      <c r="M456" s="32"/>
      <c r="N456" s="32"/>
      <c r="O456" s="32"/>
      <c r="P456" s="32"/>
    </row>
    <row r="457" spans="3:16" x14ac:dyDescent="0.3">
      <c r="C457" s="11"/>
      <c r="D457" s="32"/>
      <c r="E457" s="11"/>
      <c r="G457" s="15"/>
      <c r="H457" s="47"/>
      <c r="I457" s="76"/>
      <c r="J457" s="76"/>
      <c r="K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L457" s="77"/>
      <c r="M457" s="32"/>
      <c r="N457" s="32"/>
      <c r="O457" s="32"/>
      <c r="P457" s="32"/>
    </row>
    <row r="458" spans="3:16" x14ac:dyDescent="0.3">
      <c r="C458" s="11"/>
      <c r="D458" s="32"/>
      <c r="E458" s="11"/>
      <c r="G458" s="15"/>
      <c r="H458" s="47"/>
      <c r="I458" s="76"/>
      <c r="J458" s="76"/>
      <c r="K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L458" s="77"/>
      <c r="M458" s="32"/>
      <c r="N458" s="32"/>
      <c r="O458" s="32"/>
      <c r="P458" s="32"/>
    </row>
    <row r="459" spans="3:16" x14ac:dyDescent="0.3">
      <c r="C459" s="11"/>
      <c r="D459" s="32"/>
      <c r="E459" s="11"/>
      <c r="G459" s="15"/>
      <c r="H459" s="47"/>
      <c r="I459" s="76"/>
      <c r="J459" s="76"/>
      <c r="K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L459" s="77"/>
      <c r="M459" s="32"/>
      <c r="N459" s="32"/>
      <c r="O459" s="32"/>
      <c r="P459" s="32"/>
    </row>
    <row r="460" spans="3:16" x14ac:dyDescent="0.3">
      <c r="C460" s="11"/>
      <c r="D460" s="32"/>
      <c r="E460" s="11"/>
      <c r="G460" s="15"/>
      <c r="H460" s="47"/>
      <c r="I460" s="76"/>
      <c r="J460" s="76"/>
      <c r="K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L460" s="77"/>
      <c r="M460" s="32"/>
      <c r="N460" s="32"/>
      <c r="O460" s="32"/>
      <c r="P460" s="32"/>
    </row>
    <row r="461" spans="3:16" x14ac:dyDescent="0.3">
      <c r="C461" s="11"/>
      <c r="D461" s="32"/>
      <c r="E461" s="11"/>
      <c r="G461" s="15"/>
      <c r="H461" s="47"/>
      <c r="I461" s="76"/>
      <c r="J461" s="76"/>
      <c r="K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L461" s="77"/>
      <c r="M461" s="32"/>
      <c r="N461" s="32"/>
      <c r="O461" s="32"/>
      <c r="P461" s="32"/>
    </row>
    <row r="462" spans="3:16" x14ac:dyDescent="0.3">
      <c r="C462" s="11"/>
      <c r="D462" s="32"/>
      <c r="E462" s="11"/>
      <c r="G462" s="15"/>
      <c r="H462" s="47"/>
      <c r="I462" s="76"/>
      <c r="J462" s="76"/>
      <c r="K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L462" s="77"/>
      <c r="M462" s="32"/>
      <c r="N462" s="32"/>
      <c r="O462" s="32"/>
      <c r="P462" s="32"/>
    </row>
    <row r="463" spans="3:16" x14ac:dyDescent="0.3">
      <c r="C463" s="11"/>
      <c r="D463" s="32"/>
      <c r="E463" s="11"/>
      <c r="G463" s="15"/>
      <c r="H463" s="47"/>
      <c r="I463" s="76"/>
      <c r="J463" s="76"/>
      <c r="K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L463" s="77"/>
      <c r="M463" s="32"/>
      <c r="N463" s="32"/>
      <c r="O463" s="32"/>
      <c r="P463" s="32"/>
    </row>
    <row r="464" spans="3:16" x14ac:dyDescent="0.3">
      <c r="C464" s="11"/>
      <c r="D464" s="32"/>
      <c r="E464" s="11"/>
      <c r="G464" s="15"/>
      <c r="H464" s="47"/>
      <c r="I464" s="76"/>
      <c r="J464" s="76"/>
      <c r="K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L464" s="77"/>
      <c r="M464" s="32"/>
      <c r="N464" s="32"/>
      <c r="O464" s="32"/>
      <c r="P464" s="32"/>
    </row>
    <row r="465" spans="3:16" x14ac:dyDescent="0.3">
      <c r="C465" s="11"/>
      <c r="D465" s="32"/>
      <c r="E465" s="11"/>
      <c r="G465" s="15"/>
      <c r="H465" s="47"/>
      <c r="I465" s="76"/>
      <c r="J465" s="76"/>
      <c r="K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L465" s="77"/>
      <c r="M465" s="32"/>
      <c r="N465" s="32"/>
      <c r="O465" s="32"/>
      <c r="P465" s="32"/>
    </row>
    <row r="466" spans="3:16" x14ac:dyDescent="0.3">
      <c r="C466" s="11"/>
      <c r="D466" s="32"/>
      <c r="E466" s="11"/>
      <c r="G466" s="15"/>
      <c r="H466" s="47"/>
      <c r="I466" s="76"/>
      <c r="J466" s="76"/>
      <c r="K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L466" s="77"/>
      <c r="M466" s="32"/>
      <c r="N466" s="32"/>
      <c r="O466" s="32"/>
      <c r="P466" s="32"/>
    </row>
    <row r="467" spans="3:16" x14ac:dyDescent="0.3">
      <c r="C467" s="11"/>
      <c r="D467" s="32"/>
      <c r="E467" s="11"/>
      <c r="G467" s="15"/>
      <c r="H467" s="47"/>
      <c r="I467" s="76"/>
      <c r="J467" s="76"/>
      <c r="K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L467" s="77"/>
      <c r="M467" s="32"/>
      <c r="N467" s="32"/>
      <c r="O467" s="32"/>
      <c r="P467" s="32"/>
    </row>
    <row r="468" spans="3:16" x14ac:dyDescent="0.3">
      <c r="C468" s="11"/>
      <c r="D468" s="32"/>
      <c r="E468" s="11"/>
      <c r="G468" s="15"/>
      <c r="H468" s="47"/>
      <c r="I468" s="76"/>
      <c r="J468" s="76"/>
      <c r="K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L468" s="77"/>
      <c r="M468" s="32"/>
      <c r="N468" s="32"/>
      <c r="O468" s="32"/>
      <c r="P468" s="32"/>
    </row>
    <row r="469" spans="3:16" x14ac:dyDescent="0.3">
      <c r="C469" s="11"/>
      <c r="D469" s="32"/>
      <c r="E469" s="11"/>
      <c r="G469" s="15"/>
      <c r="H469" s="47"/>
      <c r="I469" s="76"/>
      <c r="J469" s="76"/>
      <c r="K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L469" s="77"/>
      <c r="M469" s="32"/>
      <c r="N469" s="32"/>
      <c r="O469" s="32"/>
      <c r="P469" s="32"/>
    </row>
    <row r="470" spans="3:16" x14ac:dyDescent="0.3">
      <c r="C470" s="11"/>
      <c r="D470" s="32"/>
      <c r="E470" s="11"/>
      <c r="G470" s="15"/>
      <c r="H470" s="47"/>
      <c r="I470" s="76"/>
      <c r="J470" s="76"/>
      <c r="K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L470" s="77"/>
      <c r="M470" s="32"/>
      <c r="N470" s="32"/>
      <c r="O470" s="32"/>
      <c r="P470" s="32"/>
    </row>
    <row r="471" spans="3:16" x14ac:dyDescent="0.3">
      <c r="C471" s="11"/>
      <c r="D471" s="32"/>
      <c r="E471" s="11"/>
      <c r="G471" s="15"/>
      <c r="H471" s="47"/>
      <c r="I471" s="76"/>
      <c r="J471" s="76"/>
      <c r="K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L471" s="77"/>
      <c r="M471" s="32"/>
      <c r="N471" s="32"/>
      <c r="O471" s="32"/>
      <c r="P471" s="32"/>
    </row>
    <row r="472" spans="3:16" x14ac:dyDescent="0.3">
      <c r="C472" s="11"/>
      <c r="D472" s="32"/>
      <c r="E472" s="11"/>
      <c r="G472" s="15"/>
      <c r="H472" s="47"/>
      <c r="I472" s="76"/>
      <c r="J472" s="76"/>
      <c r="K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L472" s="77"/>
      <c r="M472" s="32"/>
      <c r="N472" s="32"/>
      <c r="O472" s="32"/>
      <c r="P472" s="32"/>
    </row>
    <row r="473" spans="3:16" x14ac:dyDescent="0.3">
      <c r="C473" s="11"/>
      <c r="D473" s="32"/>
      <c r="E473" s="11"/>
      <c r="G473" s="15"/>
      <c r="H473" s="47"/>
      <c r="I473" s="76"/>
      <c r="J473" s="76"/>
      <c r="K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L473" s="77"/>
      <c r="M473" s="32"/>
      <c r="N473" s="32"/>
      <c r="O473" s="32"/>
      <c r="P473" s="32"/>
    </row>
    <row r="474" spans="3:16" x14ac:dyDescent="0.3">
      <c r="C474" s="11"/>
      <c r="D474" s="32"/>
      <c r="E474" s="11"/>
      <c r="G474" s="15"/>
      <c r="H474" s="47"/>
      <c r="I474" s="76"/>
      <c r="J474" s="76"/>
      <c r="K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L474" s="77"/>
      <c r="M474" s="32"/>
      <c r="N474" s="32"/>
      <c r="O474" s="32"/>
      <c r="P474" s="32"/>
    </row>
    <row r="475" spans="3:16" x14ac:dyDescent="0.3">
      <c r="C475" s="11"/>
      <c r="D475" s="32"/>
      <c r="E475" s="11"/>
      <c r="G475" s="15"/>
      <c r="H475" s="47"/>
      <c r="I475" s="76"/>
      <c r="J475" s="76"/>
      <c r="K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L475" s="77"/>
      <c r="M475" s="32"/>
      <c r="N475" s="32"/>
      <c r="O475" s="32"/>
      <c r="P475" s="32"/>
    </row>
    <row r="476" spans="3:16" x14ac:dyDescent="0.3">
      <c r="C476" s="11"/>
      <c r="D476" s="32"/>
      <c r="E476" s="11"/>
      <c r="G476" s="15"/>
      <c r="H476" s="47"/>
      <c r="I476" s="76"/>
      <c r="J476" s="76"/>
      <c r="K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L476" s="77"/>
      <c r="M476" s="32"/>
      <c r="N476" s="32"/>
      <c r="O476" s="32"/>
      <c r="P476" s="32"/>
    </row>
    <row r="477" spans="3:16" x14ac:dyDescent="0.3">
      <c r="C477" s="11"/>
      <c r="D477" s="32"/>
      <c r="E477" s="11"/>
      <c r="G477" s="15"/>
      <c r="H477" s="47"/>
      <c r="I477" s="76"/>
      <c r="J477" s="76"/>
      <c r="K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L477" s="77"/>
      <c r="M477" s="32"/>
      <c r="N477" s="32"/>
      <c r="O477" s="32"/>
      <c r="P477" s="32"/>
    </row>
    <row r="478" spans="3:16" x14ac:dyDescent="0.3">
      <c r="C478" s="11"/>
      <c r="D478" s="32"/>
      <c r="E478" s="11"/>
      <c r="G478" s="15"/>
      <c r="H478" s="47"/>
      <c r="I478" s="76"/>
      <c r="J478" s="76"/>
      <c r="K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L478" s="77"/>
      <c r="M478" s="32"/>
      <c r="N478" s="32"/>
      <c r="O478" s="32"/>
      <c r="P478" s="32"/>
    </row>
    <row r="479" spans="3:16" x14ac:dyDescent="0.3">
      <c r="C479" s="11"/>
      <c r="D479" s="32"/>
      <c r="E479" s="11"/>
      <c r="G479" s="15"/>
      <c r="H479" s="47"/>
      <c r="I479" s="76"/>
      <c r="J479" s="76"/>
      <c r="K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L479" s="77"/>
      <c r="M479" s="32"/>
      <c r="N479" s="32"/>
      <c r="O479" s="32"/>
      <c r="P479" s="32"/>
    </row>
    <row r="480" spans="3:16" x14ac:dyDescent="0.3">
      <c r="C480" s="11"/>
      <c r="D480" s="32"/>
      <c r="E480" s="11"/>
      <c r="G480" s="15"/>
      <c r="H480" s="47"/>
      <c r="I480" s="76"/>
      <c r="J480" s="76"/>
      <c r="K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L480" s="77"/>
      <c r="M480" s="32"/>
      <c r="N480" s="32"/>
      <c r="O480" s="32"/>
      <c r="P480" s="32"/>
    </row>
    <row r="481" spans="3:16" x14ac:dyDescent="0.3">
      <c r="C481" s="11"/>
      <c r="D481" s="32"/>
      <c r="E481" s="11"/>
      <c r="G481" s="15"/>
      <c r="H481" s="47"/>
      <c r="I481" s="76"/>
      <c r="J481" s="76"/>
      <c r="K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L481" s="77"/>
      <c r="M481" s="32"/>
      <c r="N481" s="32"/>
      <c r="O481" s="32"/>
      <c r="P481" s="32"/>
    </row>
    <row r="482" spans="3:16" x14ac:dyDescent="0.3">
      <c r="C482" s="11"/>
      <c r="D482" s="32"/>
      <c r="E482" s="11"/>
      <c r="G482" s="15"/>
      <c r="H482" s="47"/>
      <c r="I482" s="76"/>
      <c r="J482" s="76"/>
      <c r="K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L482" s="77"/>
      <c r="M482" s="32"/>
      <c r="N482" s="32"/>
      <c r="O482" s="32"/>
      <c r="P482" s="32"/>
    </row>
    <row r="483" spans="3:16" x14ac:dyDescent="0.3">
      <c r="C483" s="11"/>
      <c r="D483" s="32"/>
      <c r="E483" s="11"/>
      <c r="G483" s="15"/>
      <c r="H483" s="47"/>
      <c r="I483" s="76"/>
      <c r="J483" s="76"/>
      <c r="K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L483" s="77"/>
      <c r="M483" s="32"/>
      <c r="N483" s="32"/>
      <c r="O483" s="32"/>
      <c r="P483" s="32"/>
    </row>
    <row r="484" spans="3:16" x14ac:dyDescent="0.3">
      <c r="C484" s="11"/>
      <c r="D484" s="32"/>
      <c r="E484" s="11"/>
      <c r="G484" s="15"/>
      <c r="H484" s="47"/>
      <c r="I484" s="76"/>
      <c r="J484" s="76"/>
      <c r="K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L484" s="77"/>
      <c r="M484" s="32"/>
      <c r="N484" s="32"/>
      <c r="O484" s="32"/>
      <c r="P484" s="32"/>
    </row>
    <row r="485" spans="3:16" x14ac:dyDescent="0.3">
      <c r="C485" s="11"/>
      <c r="D485" s="32"/>
      <c r="E485" s="11"/>
      <c r="G485" s="15"/>
      <c r="H485" s="47"/>
      <c r="I485" s="76"/>
      <c r="J485" s="76"/>
      <c r="K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L485" s="77"/>
      <c r="M485" s="32"/>
      <c r="N485" s="32"/>
      <c r="O485" s="32"/>
      <c r="P485" s="32"/>
    </row>
    <row r="486" spans="3:16" x14ac:dyDescent="0.3">
      <c r="C486" s="11"/>
      <c r="D486" s="32"/>
      <c r="E486" s="11"/>
      <c r="G486" s="15"/>
      <c r="H486" s="47"/>
      <c r="I486" s="76"/>
      <c r="J486" s="76"/>
      <c r="K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L486" s="77"/>
      <c r="M486" s="32"/>
      <c r="N486" s="32"/>
      <c r="O486" s="32"/>
      <c r="P486" s="32"/>
    </row>
    <row r="487" spans="3:16" x14ac:dyDescent="0.3">
      <c r="C487" s="11"/>
      <c r="D487" s="32"/>
      <c r="E487" s="11"/>
      <c r="G487" s="15"/>
      <c r="H487" s="47"/>
      <c r="I487" s="76"/>
      <c r="J487" s="76"/>
      <c r="K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L487" s="77"/>
      <c r="M487" s="32"/>
      <c r="N487" s="32"/>
      <c r="O487" s="32"/>
      <c r="P487" s="32"/>
    </row>
    <row r="488" spans="3:16" x14ac:dyDescent="0.3">
      <c r="C488" s="11"/>
      <c r="D488" s="32"/>
      <c r="E488" s="11"/>
      <c r="G488" s="15"/>
      <c r="H488" s="47"/>
      <c r="I488" s="76"/>
      <c r="J488" s="76"/>
      <c r="K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L488" s="77"/>
      <c r="M488" s="32"/>
      <c r="N488" s="32"/>
      <c r="O488" s="32"/>
      <c r="P488" s="32"/>
    </row>
    <row r="489" spans="3:16" x14ac:dyDescent="0.3">
      <c r="C489" s="11"/>
      <c r="D489" s="32"/>
      <c r="E489" s="11"/>
      <c r="G489" s="15"/>
      <c r="H489" s="47"/>
      <c r="I489" s="76"/>
      <c r="J489" s="76"/>
      <c r="K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L489" s="77"/>
      <c r="M489" s="32"/>
      <c r="N489" s="32"/>
      <c r="O489" s="32"/>
      <c r="P489" s="32"/>
    </row>
    <row r="490" spans="3:16" x14ac:dyDescent="0.3">
      <c r="C490" s="11"/>
      <c r="D490" s="32"/>
      <c r="E490" s="11"/>
      <c r="G490" s="15"/>
      <c r="H490" s="47"/>
      <c r="I490" s="76"/>
      <c r="J490" s="76"/>
      <c r="K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L490" s="77"/>
      <c r="M490" s="32"/>
      <c r="N490" s="32"/>
      <c r="O490" s="32"/>
      <c r="P490" s="32"/>
    </row>
    <row r="491" spans="3:16" x14ac:dyDescent="0.3">
      <c r="C491" s="11"/>
      <c r="D491" s="32"/>
      <c r="E491" s="11"/>
      <c r="G491" s="15"/>
      <c r="H491" s="47"/>
      <c r="I491" s="76"/>
      <c r="J491" s="76"/>
      <c r="K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L491" s="77"/>
      <c r="M491" s="32"/>
      <c r="N491" s="32"/>
      <c r="O491" s="32"/>
      <c r="P491" s="32"/>
    </row>
    <row r="492" spans="3:16" x14ac:dyDescent="0.3">
      <c r="C492" s="11"/>
      <c r="D492" s="32"/>
      <c r="E492" s="11"/>
      <c r="G492" s="15"/>
      <c r="H492" s="47"/>
      <c r="I492" s="76"/>
      <c r="J492" s="76"/>
      <c r="K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L492" s="77"/>
      <c r="M492" s="32"/>
      <c r="N492" s="32"/>
      <c r="O492" s="32"/>
      <c r="P492" s="32"/>
    </row>
    <row r="493" spans="3:16" x14ac:dyDescent="0.3">
      <c r="C493" s="11"/>
      <c r="D493" s="32"/>
      <c r="E493" s="11"/>
      <c r="G493" s="15"/>
      <c r="H493" s="47"/>
      <c r="I493" s="76"/>
      <c r="J493" s="76"/>
      <c r="K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L493" s="77"/>
      <c r="M493" s="32"/>
      <c r="N493" s="32"/>
      <c r="O493" s="32"/>
      <c r="P493" s="32"/>
    </row>
    <row r="494" spans="3:16" x14ac:dyDescent="0.3">
      <c r="C494" s="11"/>
      <c r="D494" s="32"/>
      <c r="E494" s="11"/>
      <c r="G494" s="15"/>
      <c r="H494" s="47"/>
      <c r="I494" s="76"/>
      <c r="J494" s="76"/>
      <c r="K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L494" s="77"/>
      <c r="M494" s="32"/>
      <c r="N494" s="32"/>
      <c r="O494" s="32"/>
      <c r="P494" s="32"/>
    </row>
    <row r="495" spans="3:16" x14ac:dyDescent="0.3">
      <c r="C495" s="11"/>
      <c r="D495" s="32"/>
      <c r="E495" s="11"/>
      <c r="G495" s="15"/>
      <c r="H495" s="47"/>
      <c r="I495" s="76"/>
      <c r="J495" s="76"/>
      <c r="K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L495" s="77"/>
      <c r="M495" s="32"/>
      <c r="N495" s="32"/>
      <c r="O495" s="32"/>
      <c r="P495" s="32"/>
    </row>
    <row r="496" spans="3:16" x14ac:dyDescent="0.3">
      <c r="C496" s="11"/>
      <c r="D496" s="32"/>
      <c r="E496" s="11"/>
      <c r="G496" s="15"/>
      <c r="H496" s="47"/>
      <c r="I496" s="76"/>
      <c r="J496" s="76"/>
      <c r="K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L496" s="77"/>
      <c r="M496" s="32"/>
      <c r="N496" s="32"/>
      <c r="O496" s="32"/>
      <c r="P496" s="32"/>
    </row>
    <row r="497" spans="3:16" x14ac:dyDescent="0.3">
      <c r="C497" s="11"/>
      <c r="D497" s="32"/>
      <c r="E497" s="11"/>
      <c r="G497" s="15"/>
      <c r="H497" s="47"/>
      <c r="I497" s="76"/>
      <c r="J497" s="76"/>
      <c r="K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L497" s="77"/>
      <c r="M497" s="32"/>
      <c r="N497" s="32"/>
      <c r="O497" s="32"/>
      <c r="P497" s="32"/>
    </row>
    <row r="498" spans="3:16" x14ac:dyDescent="0.3">
      <c r="C498" s="11"/>
      <c r="D498" s="32"/>
      <c r="E498" s="11"/>
      <c r="G498" s="15"/>
      <c r="H498" s="47"/>
      <c r="I498" s="76"/>
      <c r="J498" s="76"/>
      <c r="K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L498" s="77"/>
      <c r="M498" s="32"/>
      <c r="N498" s="32"/>
      <c r="O498" s="32"/>
      <c r="P498" s="32"/>
    </row>
    <row r="499" spans="3:16" x14ac:dyDescent="0.3">
      <c r="C499" s="11"/>
      <c r="D499" s="32"/>
      <c r="E499" s="11"/>
      <c r="G499" s="15"/>
      <c r="H499" s="47"/>
      <c r="I499" s="76"/>
      <c r="J499" s="76"/>
      <c r="K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L499" s="77"/>
      <c r="M499" s="32"/>
      <c r="N499" s="32"/>
      <c r="O499" s="32"/>
      <c r="P499" s="32"/>
    </row>
    <row r="500" spans="3:16" x14ac:dyDescent="0.3">
      <c r="C500" s="11"/>
      <c r="D500" s="32"/>
      <c r="E500" s="11"/>
      <c r="G500" s="15"/>
      <c r="H500" s="47"/>
      <c r="I500" s="76"/>
      <c r="J500" s="76"/>
      <c r="K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L500" s="77"/>
      <c r="M500" s="32"/>
      <c r="N500" s="32"/>
      <c r="O500" s="32"/>
      <c r="P500" s="32"/>
    </row>
    <row r="501" spans="3:16" x14ac:dyDescent="0.3">
      <c r="C501" s="11"/>
      <c r="D501" s="32"/>
      <c r="E501" s="11"/>
      <c r="G501" s="15"/>
      <c r="H501" s="47"/>
      <c r="I501" s="76"/>
      <c r="J501" s="76"/>
      <c r="K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L501" s="77"/>
      <c r="M501" s="32"/>
      <c r="N501" s="32"/>
      <c r="O501" s="32"/>
      <c r="P501" s="32"/>
    </row>
    <row r="502" spans="3:16" x14ac:dyDescent="0.3">
      <c r="C502" s="11"/>
      <c r="D502" s="32"/>
      <c r="E502" s="11"/>
      <c r="G502" s="15"/>
      <c r="H502" s="47"/>
      <c r="I502" s="76"/>
      <c r="J502" s="76"/>
      <c r="K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L502" s="77"/>
      <c r="M502" s="32"/>
      <c r="N502" s="32"/>
      <c r="O502" s="32"/>
      <c r="P502" s="32"/>
    </row>
    <row r="503" spans="3:16" x14ac:dyDescent="0.3">
      <c r="C503" s="11"/>
      <c r="D503" s="32"/>
      <c r="E503" s="11"/>
      <c r="G503" s="15"/>
      <c r="H503" s="47"/>
      <c r="I503" s="76"/>
      <c r="J503" s="76"/>
      <c r="K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L503" s="77"/>
      <c r="M503" s="32"/>
      <c r="N503" s="32"/>
      <c r="O503" s="32"/>
      <c r="P503" s="32"/>
    </row>
    <row r="504" spans="3:16" x14ac:dyDescent="0.3">
      <c r="C504" s="11"/>
      <c r="D504" s="32"/>
      <c r="E504" s="11"/>
      <c r="G504" s="15"/>
      <c r="H504" s="47"/>
      <c r="I504" s="76"/>
      <c r="J504" s="76"/>
      <c r="K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L504" s="77"/>
      <c r="M504" s="32"/>
      <c r="N504" s="32"/>
      <c r="O504" s="32"/>
      <c r="P504" s="32"/>
    </row>
    <row r="505" spans="3:16" x14ac:dyDescent="0.3">
      <c r="C505" s="11"/>
      <c r="D505" s="32"/>
      <c r="E505" s="11"/>
      <c r="G505" s="15"/>
      <c r="H505" s="47"/>
      <c r="I505" s="76"/>
      <c r="J505" s="76"/>
      <c r="K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L505" s="77"/>
      <c r="M505" s="32"/>
      <c r="N505" s="32"/>
      <c r="O505" s="32"/>
      <c r="P505" s="32"/>
    </row>
    <row r="506" spans="3:16" x14ac:dyDescent="0.3">
      <c r="C506" s="11"/>
      <c r="D506" s="32"/>
      <c r="E506" s="11"/>
      <c r="G506" s="15"/>
      <c r="H506" s="47"/>
      <c r="I506" s="76"/>
      <c r="J506" s="76"/>
      <c r="K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L506" s="77"/>
      <c r="M506" s="32"/>
      <c r="N506" s="32"/>
      <c r="O506" s="32"/>
      <c r="P506" s="32"/>
    </row>
    <row r="507" spans="3:16" x14ac:dyDescent="0.3">
      <c r="C507" s="11"/>
      <c r="D507" s="32"/>
      <c r="E507" s="11"/>
      <c r="G507" s="15"/>
      <c r="H507" s="47"/>
      <c r="I507" s="76"/>
      <c r="J507" s="76"/>
      <c r="K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L507" s="77"/>
      <c r="M507" s="32"/>
      <c r="N507" s="32"/>
      <c r="O507" s="32"/>
      <c r="P507" s="32"/>
    </row>
    <row r="508" spans="3:16" x14ac:dyDescent="0.3">
      <c r="C508" s="11"/>
      <c r="D508" s="32"/>
      <c r="E508" s="11"/>
      <c r="G508" s="15"/>
      <c r="H508" s="47"/>
      <c r="I508" s="76"/>
      <c r="J508" s="76"/>
      <c r="K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L508" s="77"/>
      <c r="M508" s="32"/>
      <c r="N508" s="32"/>
      <c r="O508" s="32"/>
      <c r="P508" s="32"/>
    </row>
    <row r="509" spans="3:16" x14ac:dyDescent="0.3">
      <c r="C509" s="11"/>
      <c r="D509" s="32"/>
      <c r="E509" s="11"/>
      <c r="G509" s="15"/>
      <c r="H509" s="47"/>
      <c r="I509" s="76"/>
      <c r="J509" s="76"/>
      <c r="K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L509" s="77"/>
      <c r="M509" s="32"/>
      <c r="N509" s="32"/>
      <c r="O509" s="32"/>
      <c r="P509" s="32"/>
    </row>
    <row r="510" spans="3:16" x14ac:dyDescent="0.3">
      <c r="C510" s="11"/>
      <c r="D510" s="32"/>
      <c r="E510" s="11"/>
      <c r="G510" s="15"/>
      <c r="H510" s="47"/>
      <c r="I510" s="76"/>
      <c r="J510" s="76"/>
      <c r="K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L510" s="77"/>
      <c r="M510" s="32"/>
      <c r="N510" s="32"/>
      <c r="O510" s="32"/>
      <c r="P510" s="32"/>
    </row>
    <row r="511" spans="3:16" x14ac:dyDescent="0.3">
      <c r="C511" s="11"/>
      <c r="D511" s="32"/>
      <c r="E511" s="11"/>
      <c r="G511" s="15"/>
      <c r="H511" s="47"/>
      <c r="I511" s="76"/>
      <c r="J511" s="76"/>
      <c r="K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L511" s="77"/>
      <c r="M511" s="32"/>
      <c r="N511" s="32"/>
      <c r="O511" s="32"/>
      <c r="P511" s="32"/>
    </row>
    <row r="512" spans="3:16" x14ac:dyDescent="0.3">
      <c r="C512" s="11"/>
      <c r="D512" s="32"/>
      <c r="E512" s="11"/>
      <c r="G512" s="15"/>
      <c r="H512" s="47"/>
      <c r="I512" s="76"/>
      <c r="J512" s="76"/>
      <c r="K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L512" s="77"/>
      <c r="M512" s="32"/>
      <c r="N512" s="32"/>
      <c r="O512" s="32"/>
      <c r="P512" s="32"/>
    </row>
    <row r="513" spans="3:16" x14ac:dyDescent="0.3">
      <c r="C513" s="11"/>
      <c r="D513" s="32"/>
      <c r="E513" s="11"/>
      <c r="G513" s="15"/>
      <c r="H513" s="47"/>
      <c r="I513" s="76"/>
      <c r="J513" s="76"/>
      <c r="K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L513" s="77"/>
      <c r="M513" s="32"/>
      <c r="N513" s="32"/>
      <c r="O513" s="32"/>
      <c r="P513" s="32"/>
    </row>
    <row r="514" spans="3:16" x14ac:dyDescent="0.3">
      <c r="C514" s="11"/>
      <c r="D514" s="32"/>
      <c r="E514" s="11"/>
      <c r="G514" s="15"/>
      <c r="H514" s="47"/>
      <c r="I514" s="76"/>
      <c r="J514" s="76"/>
      <c r="K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L514" s="77"/>
      <c r="M514" s="32"/>
      <c r="N514" s="32"/>
      <c r="O514" s="32"/>
      <c r="P514" s="32"/>
    </row>
    <row r="515" spans="3:16" x14ac:dyDescent="0.3">
      <c r="C515" s="11"/>
      <c r="D515" s="32"/>
      <c r="E515" s="11"/>
      <c r="G515" s="15"/>
      <c r="H515" s="47"/>
      <c r="I515" s="76"/>
      <c r="J515" s="76"/>
      <c r="K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L515" s="77"/>
      <c r="M515" s="32"/>
      <c r="N515" s="32"/>
      <c r="O515" s="32"/>
      <c r="P515" s="32"/>
    </row>
    <row r="516" spans="3:16" x14ac:dyDescent="0.3">
      <c r="C516" s="11"/>
      <c r="D516" s="32"/>
      <c r="E516" s="11"/>
      <c r="G516" s="15"/>
      <c r="H516" s="47"/>
      <c r="I516" s="76"/>
      <c r="J516" s="76"/>
      <c r="K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L516" s="77"/>
      <c r="M516" s="32"/>
      <c r="N516" s="32"/>
      <c r="O516" s="32"/>
      <c r="P516" s="32"/>
    </row>
    <row r="517" spans="3:16" x14ac:dyDescent="0.3">
      <c r="C517" s="11"/>
      <c r="D517" s="32"/>
      <c r="E517" s="11"/>
      <c r="G517" s="15"/>
      <c r="H517" s="47"/>
      <c r="I517" s="76"/>
      <c r="J517" s="76"/>
      <c r="K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L517" s="77"/>
      <c r="M517" s="32"/>
      <c r="N517" s="32"/>
      <c r="O517" s="32"/>
      <c r="P517" s="32"/>
    </row>
    <row r="518" spans="3:16" x14ac:dyDescent="0.3">
      <c r="C518" s="11"/>
      <c r="D518" s="32"/>
      <c r="E518" s="11"/>
      <c r="G518" s="15"/>
      <c r="H518" s="47"/>
      <c r="I518" s="76"/>
      <c r="J518" s="76"/>
      <c r="K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L518" s="77"/>
      <c r="M518" s="32"/>
      <c r="N518" s="32"/>
      <c r="O518" s="32"/>
      <c r="P518" s="32"/>
    </row>
    <row r="519" spans="3:16" x14ac:dyDescent="0.3">
      <c r="C519" s="11"/>
      <c r="D519" s="32"/>
      <c r="E519" s="11"/>
      <c r="G519" s="15"/>
      <c r="H519" s="47"/>
      <c r="I519" s="76"/>
      <c r="J519" s="76"/>
      <c r="K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L519" s="77"/>
      <c r="M519" s="32"/>
      <c r="N519" s="32"/>
      <c r="O519" s="32"/>
      <c r="P519" s="32"/>
    </row>
    <row r="520" spans="3:16" x14ac:dyDescent="0.3">
      <c r="C520" s="11"/>
      <c r="D520" s="32"/>
      <c r="E520" s="11"/>
      <c r="G520" s="15"/>
      <c r="H520" s="47"/>
      <c r="I520" s="76"/>
      <c r="J520" s="76"/>
      <c r="K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L520" s="77"/>
      <c r="M520" s="32"/>
      <c r="N520" s="32"/>
      <c r="O520" s="32"/>
      <c r="P520" s="32"/>
    </row>
    <row r="521" spans="3:16" x14ac:dyDescent="0.3">
      <c r="C521" s="11"/>
      <c r="D521" s="32"/>
      <c r="E521" s="11"/>
      <c r="G521" s="15"/>
      <c r="H521" s="47"/>
      <c r="I521" s="76"/>
      <c r="J521" s="76"/>
      <c r="K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L521" s="77"/>
      <c r="M521" s="32"/>
      <c r="N521" s="32"/>
      <c r="O521" s="32"/>
      <c r="P521" s="32"/>
    </row>
    <row r="522" spans="3:16" x14ac:dyDescent="0.3">
      <c r="C522" s="11"/>
      <c r="D522" s="32"/>
      <c r="E522" s="11"/>
      <c r="G522" s="15"/>
      <c r="H522" s="47"/>
      <c r="I522" s="76"/>
      <c r="J522" s="76"/>
      <c r="K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L522" s="77"/>
      <c r="M522" s="32"/>
      <c r="N522" s="32"/>
      <c r="O522" s="32"/>
      <c r="P522" s="32"/>
    </row>
    <row r="523" spans="3:16" x14ac:dyDescent="0.3">
      <c r="C523" s="11"/>
      <c r="D523" s="32"/>
      <c r="E523" s="11"/>
      <c r="G523" s="15"/>
      <c r="H523" s="47"/>
      <c r="I523" s="76"/>
      <c r="J523" s="76"/>
      <c r="K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L523" s="77"/>
      <c r="M523" s="32"/>
      <c r="N523" s="32"/>
      <c r="O523" s="32"/>
      <c r="P523" s="32"/>
    </row>
    <row r="524" spans="3:16" x14ac:dyDescent="0.3">
      <c r="C524" s="11"/>
      <c r="D524" s="32"/>
      <c r="E524" s="11"/>
      <c r="G524" s="15"/>
      <c r="H524" s="47"/>
      <c r="I524" s="76"/>
      <c r="J524" s="76"/>
      <c r="K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L524" s="77"/>
      <c r="M524" s="32"/>
      <c r="N524" s="32"/>
      <c r="O524" s="32"/>
      <c r="P524" s="32"/>
    </row>
    <row r="525" spans="3:16" x14ac:dyDescent="0.3">
      <c r="C525" s="11"/>
      <c r="D525" s="32"/>
      <c r="E525" s="11"/>
      <c r="G525" s="15"/>
      <c r="H525" s="47"/>
      <c r="I525" s="76"/>
      <c r="J525" s="76"/>
      <c r="K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L525" s="77"/>
      <c r="M525" s="32"/>
      <c r="N525" s="32"/>
      <c r="O525" s="32"/>
      <c r="P525" s="32"/>
    </row>
    <row r="526" spans="3:16" x14ac:dyDescent="0.3">
      <c r="C526" s="11"/>
      <c r="D526" s="32"/>
      <c r="E526" s="11"/>
      <c r="G526" s="15"/>
      <c r="H526" s="47"/>
      <c r="I526" s="76"/>
      <c r="J526" s="76"/>
      <c r="K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L526" s="77"/>
      <c r="M526" s="32"/>
      <c r="N526" s="32"/>
      <c r="O526" s="32"/>
      <c r="P526" s="32"/>
    </row>
    <row r="527" spans="3:16" x14ac:dyDescent="0.3">
      <c r="C527" s="11"/>
      <c r="D527" s="32"/>
      <c r="E527" s="11"/>
      <c r="G527" s="15"/>
      <c r="H527" s="47"/>
      <c r="I527" s="76"/>
      <c r="J527" s="76"/>
      <c r="K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L527" s="77"/>
      <c r="M527" s="32"/>
      <c r="N527" s="32"/>
      <c r="O527" s="32"/>
      <c r="P527" s="32"/>
    </row>
    <row r="528" spans="3:16" x14ac:dyDescent="0.3">
      <c r="C528" s="11"/>
      <c r="D528" s="32"/>
      <c r="E528" s="11"/>
      <c r="G528" s="15"/>
      <c r="H528" s="47"/>
      <c r="I528" s="76"/>
      <c r="J528" s="76"/>
      <c r="K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L528" s="77"/>
      <c r="M528" s="32"/>
      <c r="N528" s="32"/>
      <c r="O528" s="32"/>
      <c r="P528" s="32"/>
    </row>
    <row r="529" spans="3:16" x14ac:dyDescent="0.3">
      <c r="C529" s="11"/>
      <c r="D529" s="32"/>
      <c r="E529" s="11"/>
      <c r="G529" s="15"/>
      <c r="H529" s="47"/>
      <c r="I529" s="76"/>
      <c r="J529" s="76"/>
      <c r="K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L529" s="77"/>
      <c r="M529" s="32"/>
      <c r="N529" s="32"/>
      <c r="O529" s="32"/>
      <c r="P529" s="32"/>
    </row>
    <row r="530" spans="3:16" x14ac:dyDescent="0.3">
      <c r="C530" s="11"/>
      <c r="D530" s="32"/>
      <c r="E530" s="11"/>
      <c r="G530" s="15"/>
      <c r="H530" s="47"/>
      <c r="I530" s="76"/>
      <c r="J530" s="76"/>
      <c r="K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L530" s="77"/>
      <c r="M530" s="32"/>
      <c r="N530" s="32"/>
      <c r="O530" s="32"/>
      <c r="P530" s="32"/>
    </row>
    <row r="531" spans="3:16" x14ac:dyDescent="0.3">
      <c r="C531" s="11"/>
      <c r="D531" s="32"/>
      <c r="E531" s="11"/>
      <c r="G531" s="15"/>
      <c r="H531" s="47"/>
      <c r="I531" s="76"/>
      <c r="J531" s="76"/>
      <c r="K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L531" s="77"/>
      <c r="M531" s="32"/>
      <c r="N531" s="32"/>
      <c r="O531" s="32"/>
      <c r="P531" s="32"/>
    </row>
    <row r="532" spans="3:16" x14ac:dyDescent="0.3">
      <c r="C532" s="11"/>
      <c r="D532" s="32"/>
      <c r="E532" s="11"/>
      <c r="G532" s="15"/>
      <c r="H532" s="47"/>
      <c r="I532" s="76"/>
      <c r="J532" s="76"/>
      <c r="K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L532" s="77"/>
      <c r="M532" s="32"/>
      <c r="N532" s="32"/>
      <c r="O532" s="32"/>
      <c r="P532" s="32"/>
    </row>
    <row r="533" spans="3:16" x14ac:dyDescent="0.3">
      <c r="C533" s="11"/>
      <c r="D533" s="32"/>
      <c r="E533" s="11"/>
      <c r="G533" s="15"/>
      <c r="H533" s="47"/>
      <c r="I533" s="76"/>
      <c r="J533" s="76"/>
      <c r="K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L533" s="77"/>
      <c r="M533" s="32"/>
      <c r="N533" s="32"/>
      <c r="O533" s="32"/>
      <c r="P533" s="32"/>
    </row>
    <row r="534" spans="3:16" x14ac:dyDescent="0.3">
      <c r="C534" s="11"/>
      <c r="D534" s="32"/>
      <c r="E534" s="11"/>
      <c r="G534" s="15"/>
      <c r="H534" s="78"/>
      <c r="I534" s="76"/>
      <c r="J534" s="76"/>
      <c r="K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L534" s="77"/>
      <c r="M534" s="32"/>
      <c r="N534" s="32"/>
      <c r="O534" s="32"/>
      <c r="P534" s="32"/>
    </row>
    <row r="535" spans="3:16" x14ac:dyDescent="0.3">
      <c r="C535" s="11"/>
      <c r="D535" s="32"/>
      <c r="E535" s="11"/>
      <c r="G535" s="15"/>
      <c r="H535" s="47"/>
      <c r="I535" s="76"/>
      <c r="J535" s="76"/>
      <c r="K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L535" s="77"/>
      <c r="M535" s="32"/>
      <c r="N535" s="32"/>
      <c r="O535" s="32"/>
      <c r="P535" s="32"/>
    </row>
    <row r="536" spans="3:16" x14ac:dyDescent="0.3">
      <c r="C536" s="11"/>
      <c r="D536" s="32"/>
      <c r="E536" s="11"/>
      <c r="G536" s="15"/>
      <c r="H536" s="47"/>
      <c r="I536" s="76"/>
      <c r="J536" s="76"/>
      <c r="K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L536" s="77"/>
      <c r="M536" s="32"/>
      <c r="N536" s="32"/>
      <c r="O536" s="32"/>
      <c r="P536" s="32"/>
    </row>
    <row r="537" spans="3:16" x14ac:dyDescent="0.3">
      <c r="C537" s="11"/>
      <c r="D537" s="32"/>
      <c r="E537" s="11"/>
      <c r="G537" s="15"/>
      <c r="H537" s="47"/>
      <c r="I537" s="76"/>
      <c r="J537" s="76"/>
      <c r="K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L537" s="77"/>
      <c r="M537" s="32"/>
      <c r="N537" s="32"/>
      <c r="O537" s="32"/>
      <c r="P537" s="32"/>
    </row>
    <row r="538" spans="3:16" x14ac:dyDescent="0.3">
      <c r="C538" s="11"/>
      <c r="D538" s="32"/>
      <c r="E538" s="11"/>
      <c r="G538" s="15"/>
      <c r="H538" s="47"/>
      <c r="I538" s="76"/>
      <c r="J538" s="76"/>
      <c r="K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L538" s="77"/>
      <c r="M538" s="32"/>
      <c r="N538" s="32"/>
      <c r="O538" s="32"/>
      <c r="P538" s="32"/>
    </row>
    <row r="539" spans="3:16" x14ac:dyDescent="0.3">
      <c r="C539" s="11"/>
      <c r="D539" s="32"/>
      <c r="E539" s="11"/>
      <c r="G539" s="15"/>
      <c r="H539" s="47"/>
      <c r="I539" s="76"/>
      <c r="J539" s="76"/>
      <c r="K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L539" s="77"/>
      <c r="M539" s="32"/>
      <c r="N539" s="32"/>
      <c r="O539" s="32"/>
      <c r="P539" s="32"/>
    </row>
    <row r="540" spans="3:16" x14ac:dyDescent="0.3">
      <c r="C540" s="11"/>
      <c r="D540" s="32"/>
      <c r="E540" s="11"/>
      <c r="G540" s="15"/>
      <c r="H540" s="47"/>
      <c r="I540" s="76"/>
      <c r="J540" s="76"/>
      <c r="K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L540" s="77"/>
      <c r="M540" s="32"/>
      <c r="N540" s="32"/>
      <c r="O540" s="32"/>
      <c r="P540" s="32"/>
    </row>
    <row r="541" spans="3:16" x14ac:dyDescent="0.3">
      <c r="C541" s="11"/>
      <c r="D541" s="32"/>
      <c r="E541" s="11"/>
      <c r="G541" s="15"/>
      <c r="H541" s="47"/>
      <c r="I541" s="76"/>
      <c r="J541" s="76"/>
      <c r="K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L541" s="77"/>
      <c r="M541" s="32"/>
      <c r="N541" s="32"/>
      <c r="O541" s="32"/>
      <c r="P541" s="32"/>
    </row>
    <row r="542" spans="3:16" x14ac:dyDescent="0.3">
      <c r="C542" s="11"/>
      <c r="D542" s="32"/>
      <c r="E542" s="11"/>
      <c r="G542" s="15"/>
      <c r="H542" s="47"/>
      <c r="I542" s="76"/>
      <c r="J542" s="76"/>
      <c r="K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L542" s="77"/>
      <c r="M542" s="32"/>
      <c r="N542" s="32"/>
      <c r="O542" s="32"/>
      <c r="P542" s="32"/>
    </row>
    <row r="543" spans="3:16" x14ac:dyDescent="0.3">
      <c r="C543" s="11"/>
      <c r="D543" s="32"/>
      <c r="E543" s="11"/>
      <c r="G543" s="15"/>
      <c r="H543" s="47"/>
      <c r="I543" s="76"/>
      <c r="J543" s="76"/>
      <c r="K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L543" s="77"/>
      <c r="M543" s="32"/>
      <c r="N543" s="32"/>
      <c r="O543" s="32"/>
      <c r="P543" s="32"/>
    </row>
    <row r="544" spans="3:16" x14ac:dyDescent="0.3">
      <c r="C544" s="11"/>
      <c r="D544" s="32"/>
      <c r="E544" s="11"/>
      <c r="G544" s="15"/>
      <c r="H544" s="47"/>
      <c r="I544" s="76"/>
      <c r="J544" s="76"/>
      <c r="K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L544" s="77"/>
      <c r="M544" s="32"/>
      <c r="N544" s="32"/>
      <c r="O544" s="32"/>
      <c r="P544" s="32"/>
    </row>
    <row r="545" spans="3:16" x14ac:dyDescent="0.3">
      <c r="C545" s="11"/>
      <c r="D545" s="32"/>
      <c r="E545" s="11"/>
      <c r="G545" s="15"/>
      <c r="H545" s="47"/>
      <c r="I545" s="76"/>
      <c r="J545" s="76"/>
      <c r="K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L545" s="77"/>
      <c r="M545" s="32"/>
      <c r="N545" s="32"/>
      <c r="O545" s="32"/>
      <c r="P545" s="32"/>
    </row>
    <row r="546" spans="3:16" x14ac:dyDescent="0.3">
      <c r="C546" s="11"/>
      <c r="D546" s="32"/>
      <c r="E546" s="11"/>
      <c r="G546" s="15"/>
      <c r="H546" s="47"/>
      <c r="I546" s="76"/>
      <c r="J546" s="76"/>
      <c r="K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L546" s="77"/>
      <c r="M546" s="32"/>
      <c r="N546" s="32"/>
      <c r="O546" s="32"/>
      <c r="P546" s="32"/>
    </row>
    <row r="547" spans="3:16" x14ac:dyDescent="0.3">
      <c r="C547" s="11"/>
      <c r="D547" s="32"/>
      <c r="E547" s="11"/>
      <c r="G547" s="15"/>
      <c r="H547" s="47"/>
      <c r="I547" s="76"/>
      <c r="J547" s="76"/>
      <c r="K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L547" s="77"/>
      <c r="M547" s="32"/>
      <c r="N547" s="32"/>
      <c r="O547" s="32"/>
      <c r="P547" s="32"/>
    </row>
    <row r="548" spans="3:16" x14ac:dyDescent="0.3">
      <c r="C548" s="11"/>
      <c r="D548" s="32"/>
      <c r="E548" s="11"/>
      <c r="G548" s="15"/>
      <c r="H548" s="47"/>
      <c r="I548" s="76"/>
      <c r="J548" s="76"/>
      <c r="K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L548" s="77"/>
      <c r="M548" s="32"/>
      <c r="N548" s="32"/>
      <c r="O548" s="32"/>
      <c r="P548" s="32"/>
    </row>
    <row r="549" spans="3:16" x14ac:dyDescent="0.3">
      <c r="C549" s="11"/>
      <c r="D549" s="32"/>
      <c r="E549" s="11"/>
      <c r="G549" s="15"/>
      <c r="H549" s="47"/>
      <c r="I549" s="76"/>
      <c r="J549" s="76"/>
      <c r="K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L549" s="77"/>
      <c r="M549" s="32"/>
      <c r="N549" s="32"/>
      <c r="O549" s="32"/>
      <c r="P549" s="32"/>
    </row>
    <row r="550" spans="3:16" x14ac:dyDescent="0.3">
      <c r="C550" s="11"/>
      <c r="D550" s="32"/>
      <c r="E550" s="11"/>
      <c r="G550" s="15"/>
      <c r="H550" s="47"/>
      <c r="I550" s="76"/>
      <c r="J550" s="76"/>
      <c r="K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L550" s="77"/>
      <c r="M550" s="32"/>
      <c r="N550" s="32"/>
      <c r="O550" s="32"/>
      <c r="P550" s="32"/>
    </row>
    <row r="551" spans="3:16" x14ac:dyDescent="0.3">
      <c r="C551" s="11"/>
      <c r="D551" s="32"/>
      <c r="E551" s="11"/>
      <c r="G551" s="15"/>
      <c r="H551" s="47"/>
      <c r="I551" s="76"/>
      <c r="J551" s="76"/>
      <c r="K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L551" s="77"/>
      <c r="M551" s="32"/>
      <c r="N551" s="32"/>
      <c r="O551" s="32"/>
      <c r="P551" s="32"/>
    </row>
    <row r="552" spans="3:16" x14ac:dyDescent="0.3">
      <c r="C552" s="11"/>
      <c r="D552" s="32"/>
      <c r="E552" s="11"/>
      <c r="G552" s="15"/>
      <c r="H552" s="47"/>
      <c r="I552" s="76"/>
      <c r="J552" s="76"/>
      <c r="K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L552" s="77"/>
      <c r="M552" s="32"/>
      <c r="N552" s="32"/>
      <c r="O552" s="32"/>
      <c r="P552" s="32"/>
    </row>
    <row r="553" spans="3:16" x14ac:dyDescent="0.3">
      <c r="C553" s="11"/>
      <c r="D553" s="32"/>
      <c r="E553" s="11"/>
      <c r="G553" s="15"/>
      <c r="H553" s="47"/>
      <c r="I553" s="76"/>
      <c r="J553" s="76"/>
      <c r="K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L553" s="77"/>
      <c r="M553" s="32"/>
      <c r="N553" s="32"/>
      <c r="O553" s="32"/>
      <c r="P553" s="32"/>
    </row>
    <row r="554" spans="3:16" x14ac:dyDescent="0.3">
      <c r="C554" s="11"/>
      <c r="D554" s="32"/>
      <c r="E554" s="11"/>
      <c r="G554" s="15"/>
      <c r="H554" s="47"/>
      <c r="I554" s="76"/>
      <c r="J554" s="76"/>
      <c r="K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L554" s="77"/>
      <c r="M554" s="32"/>
      <c r="N554" s="32"/>
      <c r="O554" s="32"/>
      <c r="P554" s="32"/>
    </row>
    <row r="555" spans="3:16" x14ac:dyDescent="0.3">
      <c r="C555" s="11"/>
      <c r="D555" s="32"/>
      <c r="E555" s="11"/>
      <c r="G555" s="15"/>
      <c r="H555" s="47"/>
      <c r="I555" s="76"/>
      <c r="J555" s="76"/>
      <c r="K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L555" s="77"/>
      <c r="M555" s="32"/>
      <c r="N555" s="32"/>
      <c r="O555" s="32"/>
      <c r="P555" s="32"/>
    </row>
    <row r="556" spans="3:16" x14ac:dyDescent="0.3">
      <c r="C556" s="11"/>
      <c r="D556" s="32"/>
      <c r="E556" s="11"/>
      <c r="G556" s="15"/>
      <c r="H556" s="47"/>
      <c r="I556" s="76"/>
      <c r="J556" s="76"/>
      <c r="K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L556" s="77"/>
      <c r="M556" s="32"/>
      <c r="N556" s="32"/>
      <c r="O556" s="32"/>
      <c r="P556" s="32"/>
    </row>
    <row r="557" spans="3:16" x14ac:dyDescent="0.3">
      <c r="C557" s="11"/>
      <c r="D557" s="32"/>
      <c r="E557" s="11"/>
      <c r="G557" s="15"/>
      <c r="H557" s="47"/>
      <c r="I557" s="76"/>
      <c r="J557" s="76"/>
      <c r="K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L557" s="77"/>
      <c r="M557" s="32"/>
      <c r="N557" s="32"/>
      <c r="O557" s="32"/>
      <c r="P557" s="32"/>
    </row>
    <row r="558" spans="3:16" x14ac:dyDescent="0.3">
      <c r="C558" s="11"/>
      <c r="D558" s="32"/>
      <c r="E558" s="11"/>
      <c r="G558" s="15"/>
      <c r="H558" s="47"/>
      <c r="I558" s="76"/>
      <c r="J558" s="76"/>
      <c r="K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L558" s="77"/>
      <c r="M558" s="32"/>
      <c r="N558" s="32"/>
      <c r="O558" s="32"/>
      <c r="P558" s="32"/>
    </row>
    <row r="559" spans="3:16" x14ac:dyDescent="0.3">
      <c r="C559" s="11"/>
      <c r="D559" s="32"/>
      <c r="E559" s="11"/>
      <c r="G559" s="15"/>
      <c r="H559" s="47"/>
      <c r="I559" s="76"/>
      <c r="J559" s="76"/>
      <c r="K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L559" s="77"/>
      <c r="M559" s="32"/>
      <c r="N559" s="32"/>
      <c r="O559" s="32"/>
      <c r="P559" s="32"/>
    </row>
    <row r="560" spans="3:16" x14ac:dyDescent="0.3">
      <c r="C560" s="11"/>
      <c r="D560" s="32"/>
      <c r="E560" s="11"/>
      <c r="G560" s="15"/>
      <c r="H560" s="47"/>
      <c r="I560" s="76"/>
      <c r="J560" s="76"/>
      <c r="K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L560" s="77"/>
      <c r="M560" s="32"/>
      <c r="N560" s="32"/>
      <c r="O560" s="32"/>
      <c r="P560" s="32"/>
    </row>
    <row r="561" spans="3:16" x14ac:dyDescent="0.3">
      <c r="C561" s="11"/>
      <c r="D561" s="32"/>
      <c r="E561" s="11"/>
      <c r="G561" s="15"/>
      <c r="H561" s="47"/>
      <c r="I561" s="76"/>
      <c r="J561" s="76"/>
      <c r="K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L561" s="77"/>
      <c r="M561" s="32"/>
      <c r="N561" s="32"/>
      <c r="O561" s="32"/>
      <c r="P561" s="32"/>
    </row>
    <row r="562" spans="3:16" x14ac:dyDescent="0.3">
      <c r="C562" s="11"/>
      <c r="D562" s="32"/>
      <c r="E562" s="11"/>
      <c r="G562" s="15"/>
      <c r="H562" s="47"/>
      <c r="I562" s="76"/>
      <c r="J562" s="76"/>
      <c r="K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L562" s="77"/>
      <c r="M562" s="32"/>
      <c r="N562" s="32"/>
      <c r="O562" s="32"/>
      <c r="P562" s="32"/>
    </row>
    <row r="563" spans="3:16" x14ac:dyDescent="0.3">
      <c r="C563" s="11"/>
      <c r="D563" s="32"/>
      <c r="E563" s="11"/>
      <c r="G563" s="15"/>
      <c r="H563" s="47"/>
      <c r="I563" s="76"/>
      <c r="J563" s="76"/>
      <c r="K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L563" s="77"/>
      <c r="M563" s="32"/>
      <c r="N563" s="32"/>
      <c r="O563" s="32"/>
      <c r="P563" s="32"/>
    </row>
    <row r="564" spans="3:16" x14ac:dyDescent="0.3">
      <c r="C564" s="11"/>
      <c r="D564" s="32"/>
      <c r="E564" s="11"/>
      <c r="G564" s="15"/>
      <c r="H564" s="47"/>
      <c r="I564" s="76"/>
      <c r="J564" s="76"/>
      <c r="K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L564" s="77"/>
      <c r="M564" s="32"/>
      <c r="N564" s="32"/>
      <c r="O564" s="32"/>
      <c r="P564" s="32"/>
    </row>
    <row r="565" spans="3:16" x14ac:dyDescent="0.3">
      <c r="C565" s="11"/>
      <c r="D565" s="32"/>
      <c r="E565" s="11"/>
      <c r="G565" s="15"/>
      <c r="H565" s="47"/>
      <c r="I565" s="76"/>
      <c r="J565" s="76"/>
      <c r="K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L565" s="77"/>
      <c r="M565" s="32"/>
      <c r="N565" s="32"/>
      <c r="O565" s="32"/>
      <c r="P565" s="32"/>
    </row>
    <row r="566" spans="3:16" x14ac:dyDescent="0.3">
      <c r="C566" s="11"/>
      <c r="D566" s="32"/>
      <c r="E566" s="11"/>
      <c r="G566" s="15"/>
      <c r="H566" s="47"/>
      <c r="I566" s="76"/>
      <c r="J566" s="76"/>
      <c r="K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L566" s="77"/>
      <c r="M566" s="32"/>
      <c r="N566" s="32"/>
      <c r="O566" s="32"/>
      <c r="P566" s="32"/>
    </row>
    <row r="567" spans="3:16" x14ac:dyDescent="0.3">
      <c r="C567" s="11"/>
      <c r="D567" s="32"/>
      <c r="E567" s="11"/>
      <c r="G567" s="15"/>
      <c r="H567" s="47"/>
      <c r="I567" s="76"/>
      <c r="J567" s="76"/>
      <c r="K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L567" s="77"/>
      <c r="M567" s="32"/>
      <c r="N567" s="32"/>
      <c r="O567" s="32"/>
      <c r="P567" s="32"/>
    </row>
    <row r="568" spans="3:16" x14ac:dyDescent="0.3">
      <c r="C568" s="11"/>
      <c r="D568" s="32"/>
      <c r="E568" s="11"/>
      <c r="G568" s="15"/>
      <c r="H568" s="47"/>
      <c r="I568" s="76"/>
      <c r="J568" s="76"/>
      <c r="K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L568" s="77"/>
      <c r="M568" s="32"/>
      <c r="N568" s="32"/>
      <c r="O568" s="32"/>
      <c r="P568" s="32"/>
    </row>
    <row r="569" spans="3:16" x14ac:dyDescent="0.3">
      <c r="C569" s="11"/>
      <c r="D569" s="32"/>
      <c r="E569" s="11"/>
      <c r="G569" s="15"/>
      <c r="H569" s="47"/>
      <c r="I569" s="76"/>
      <c r="J569" s="76"/>
      <c r="K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L569" s="77"/>
      <c r="M569" s="32"/>
      <c r="N569" s="32"/>
      <c r="O569" s="32"/>
      <c r="P569" s="32"/>
    </row>
    <row r="570" spans="3:16" x14ac:dyDescent="0.3">
      <c r="C570" s="11"/>
      <c r="D570" s="32"/>
      <c r="E570" s="11"/>
      <c r="G570" s="15"/>
      <c r="H570" s="47"/>
      <c r="I570" s="76"/>
      <c r="J570" s="76"/>
      <c r="K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L570" s="77"/>
      <c r="M570" s="32"/>
      <c r="N570" s="32"/>
      <c r="O570" s="32"/>
      <c r="P570" s="32"/>
    </row>
    <row r="571" spans="3:16" x14ac:dyDescent="0.3">
      <c r="C571" s="11"/>
      <c r="D571" s="32"/>
      <c r="E571" s="11"/>
      <c r="G571" s="15"/>
      <c r="H571" s="47"/>
      <c r="I571" s="76"/>
      <c r="J571" s="76"/>
      <c r="K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L571" s="77"/>
      <c r="M571" s="32"/>
      <c r="N571" s="32"/>
      <c r="O571" s="32"/>
      <c r="P571" s="32"/>
    </row>
    <row r="572" spans="3:16" x14ac:dyDescent="0.3">
      <c r="C572" s="11"/>
      <c r="D572" s="32"/>
      <c r="E572" s="11"/>
      <c r="G572" s="15"/>
      <c r="H572" s="47"/>
      <c r="I572" s="76"/>
      <c r="J572" s="76"/>
      <c r="K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L572" s="77"/>
      <c r="M572" s="32"/>
      <c r="N572" s="32"/>
      <c r="O572" s="32"/>
      <c r="P572" s="32"/>
    </row>
    <row r="573" spans="3:16" x14ac:dyDescent="0.3">
      <c r="C573" s="11"/>
      <c r="D573" s="32"/>
      <c r="E573" s="11"/>
      <c r="G573" s="15"/>
      <c r="H573" s="47"/>
      <c r="I573" s="76"/>
      <c r="J573" s="76"/>
      <c r="K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L573" s="77"/>
      <c r="M573" s="32"/>
      <c r="N573" s="32"/>
      <c r="O573" s="32"/>
      <c r="P573" s="32"/>
    </row>
    <row r="574" spans="3:16" x14ac:dyDescent="0.3">
      <c r="C574" s="11"/>
      <c r="D574" s="32"/>
      <c r="E574" s="11"/>
      <c r="G574" s="15"/>
      <c r="H574" s="47"/>
      <c r="I574" s="76"/>
      <c r="J574" s="76"/>
      <c r="K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L574" s="77"/>
      <c r="M574" s="32"/>
      <c r="N574" s="32"/>
      <c r="O574" s="32"/>
      <c r="P574" s="32"/>
    </row>
    <row r="575" spans="3:16" x14ac:dyDescent="0.3">
      <c r="C575" s="11"/>
      <c r="D575" s="32"/>
      <c r="E575" s="11"/>
      <c r="G575" s="15"/>
      <c r="H575" s="47"/>
      <c r="I575" s="76"/>
      <c r="J575" s="76"/>
      <c r="K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L575" s="77"/>
      <c r="M575" s="32"/>
      <c r="N575" s="32"/>
      <c r="O575" s="32"/>
      <c r="P575" s="32"/>
    </row>
    <row r="576" spans="3:16" x14ac:dyDescent="0.3">
      <c r="C576" s="11"/>
      <c r="D576" s="32"/>
      <c r="E576" s="11"/>
      <c r="G576" s="15"/>
      <c r="H576" s="47"/>
      <c r="I576" s="76"/>
      <c r="J576" s="76"/>
      <c r="K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L576" s="77"/>
      <c r="M576" s="32"/>
      <c r="N576" s="32"/>
      <c r="O576" s="32"/>
      <c r="P576" s="32"/>
    </row>
    <row r="577" spans="3:16" x14ac:dyDescent="0.3">
      <c r="C577" s="11"/>
      <c r="D577" s="32"/>
      <c r="E577" s="11"/>
      <c r="G577" s="15"/>
      <c r="H577" s="47"/>
      <c r="I577" s="76"/>
      <c r="J577" s="76"/>
      <c r="K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L577" s="77"/>
      <c r="M577" s="32"/>
      <c r="N577" s="32"/>
      <c r="O577" s="32"/>
      <c r="P577" s="32"/>
    </row>
    <row r="578" spans="3:16" x14ac:dyDescent="0.3">
      <c r="C578" s="11"/>
      <c r="D578" s="32"/>
      <c r="E578" s="11"/>
      <c r="G578" s="15"/>
      <c r="H578" s="47"/>
      <c r="I578" s="76"/>
      <c r="J578" s="76"/>
      <c r="K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L578" s="77"/>
      <c r="M578" s="32"/>
      <c r="N578" s="32"/>
      <c r="O578" s="32"/>
      <c r="P578" s="32"/>
    </row>
    <row r="579" spans="3:16" x14ac:dyDescent="0.3">
      <c r="C579" s="11"/>
      <c r="D579" s="32"/>
      <c r="E579" s="11"/>
      <c r="G579" s="15"/>
      <c r="H579" s="47"/>
      <c r="I579" s="76"/>
      <c r="J579" s="76"/>
      <c r="K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L579" s="77"/>
      <c r="M579" s="32"/>
      <c r="N579" s="32"/>
      <c r="O579" s="32"/>
      <c r="P579" s="32"/>
    </row>
    <row r="580" spans="3:16" x14ac:dyDescent="0.3">
      <c r="C580" s="11"/>
      <c r="D580" s="32"/>
      <c r="E580" s="11"/>
      <c r="G580" s="15"/>
      <c r="H580" s="47"/>
      <c r="I580" s="76"/>
      <c r="J580" s="76"/>
      <c r="K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L580" s="77"/>
      <c r="M580" s="32"/>
      <c r="N580" s="32"/>
      <c r="O580" s="32"/>
      <c r="P580" s="32"/>
    </row>
    <row r="581" spans="3:16" x14ac:dyDescent="0.3">
      <c r="C581" s="11"/>
      <c r="D581" s="32"/>
      <c r="E581" s="11"/>
      <c r="G581" s="15"/>
      <c r="H581" s="47"/>
      <c r="I581" s="76"/>
      <c r="J581" s="76"/>
      <c r="K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L581" s="77"/>
      <c r="M581" s="32"/>
      <c r="N581" s="32"/>
      <c r="O581" s="32"/>
      <c r="P581" s="32"/>
    </row>
    <row r="582" spans="3:16" x14ac:dyDescent="0.3">
      <c r="C582" s="11"/>
      <c r="D582" s="32"/>
      <c r="E582" s="11"/>
      <c r="G582" s="15"/>
      <c r="H582" s="47"/>
      <c r="I582" s="76"/>
      <c r="J582" s="76"/>
      <c r="K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L582" s="77"/>
      <c r="M582" s="32"/>
      <c r="N582" s="32"/>
      <c r="O582" s="32"/>
      <c r="P582" s="32"/>
    </row>
    <row r="583" spans="3:16" x14ac:dyDescent="0.3">
      <c r="C583" s="11"/>
      <c r="D583" s="32"/>
      <c r="E583" s="11"/>
      <c r="G583" s="15"/>
      <c r="H583" s="47"/>
      <c r="I583" s="76"/>
      <c r="J583" s="76"/>
      <c r="K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L583" s="77"/>
      <c r="M583" s="32"/>
      <c r="N583" s="32"/>
      <c r="O583" s="32"/>
      <c r="P583" s="32"/>
    </row>
    <row r="584" spans="3:16" x14ac:dyDescent="0.3">
      <c r="C584" s="11"/>
      <c r="D584" s="32"/>
      <c r="E584" s="11"/>
      <c r="G584" s="15"/>
      <c r="H584" s="47"/>
      <c r="I584" s="76"/>
      <c r="J584" s="76"/>
      <c r="K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L584" s="77"/>
      <c r="M584" s="32"/>
      <c r="N584" s="32"/>
      <c r="O584" s="32"/>
      <c r="P584" s="32"/>
    </row>
    <row r="585" spans="3:16" x14ac:dyDescent="0.3">
      <c r="C585" s="11"/>
      <c r="D585" s="32"/>
      <c r="E585" s="11"/>
      <c r="G585" s="15"/>
      <c r="H585" s="47"/>
      <c r="I585" s="76"/>
      <c r="J585" s="76"/>
      <c r="K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L585" s="77"/>
      <c r="M585" s="32"/>
      <c r="N585" s="32"/>
      <c r="O585" s="32"/>
      <c r="P585" s="32"/>
    </row>
    <row r="586" spans="3:16" x14ac:dyDescent="0.3">
      <c r="C586" s="11"/>
      <c r="D586" s="32"/>
      <c r="E586" s="11"/>
      <c r="G586" s="15"/>
      <c r="H586" s="47"/>
      <c r="I586" s="76"/>
      <c r="J586" s="76"/>
      <c r="K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L586" s="77"/>
      <c r="M586" s="32"/>
      <c r="N586" s="32"/>
      <c r="O586" s="32"/>
      <c r="P586" s="32"/>
    </row>
    <row r="587" spans="3:16" x14ac:dyDescent="0.3">
      <c r="C587" s="11"/>
      <c r="D587" s="32"/>
      <c r="E587" s="11"/>
      <c r="G587" s="15"/>
      <c r="H587" s="47"/>
      <c r="I587" s="76"/>
      <c r="J587" s="76"/>
      <c r="K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L587" s="77"/>
      <c r="M587" s="32"/>
      <c r="N587" s="32"/>
      <c r="O587" s="32"/>
      <c r="P587" s="32"/>
    </row>
    <row r="588" spans="3:16" x14ac:dyDescent="0.3">
      <c r="C588" s="11"/>
      <c r="D588" s="32"/>
      <c r="E588" s="11"/>
      <c r="G588" s="15"/>
      <c r="H588" s="47"/>
      <c r="I588" s="76"/>
      <c r="J588" s="76"/>
      <c r="K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L588" s="77"/>
      <c r="M588" s="32"/>
      <c r="N588" s="32"/>
      <c r="O588" s="32"/>
      <c r="P588" s="32"/>
    </row>
    <row r="589" spans="3:16" x14ac:dyDescent="0.3">
      <c r="C589" s="11"/>
      <c r="D589" s="32"/>
      <c r="E589" s="11"/>
      <c r="G589" s="15"/>
      <c r="H589" s="47"/>
      <c r="I589" s="76"/>
      <c r="J589" s="76"/>
      <c r="K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L589" s="77"/>
      <c r="M589" s="32"/>
      <c r="N589" s="32"/>
      <c r="O589" s="32"/>
      <c r="P589" s="32"/>
    </row>
    <row r="590" spans="3:16" x14ac:dyDescent="0.3">
      <c r="C590" s="11"/>
      <c r="D590" s="32"/>
      <c r="E590" s="11"/>
      <c r="G590" s="15"/>
      <c r="H590" s="47"/>
      <c r="I590" s="76"/>
      <c r="J590" s="76"/>
      <c r="K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L590" s="77"/>
      <c r="M590" s="32"/>
      <c r="N590" s="32"/>
      <c r="O590" s="32"/>
      <c r="P590" s="32"/>
    </row>
    <row r="591" spans="3:16" x14ac:dyDescent="0.3">
      <c r="C591" s="11"/>
      <c r="D591" s="32"/>
      <c r="E591" s="11"/>
      <c r="G591" s="15"/>
      <c r="H591" s="47"/>
      <c r="I591" s="76"/>
      <c r="J591" s="76"/>
      <c r="K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L591" s="77"/>
      <c r="M591" s="32"/>
      <c r="N591" s="32"/>
      <c r="O591" s="32"/>
      <c r="P591" s="32"/>
    </row>
    <row r="592" spans="3:16" x14ac:dyDescent="0.3">
      <c r="C592" s="11"/>
      <c r="D592" s="32"/>
      <c r="E592" s="11"/>
      <c r="G592" s="15"/>
      <c r="H592" s="47"/>
      <c r="I592" s="76"/>
      <c r="J592" s="76"/>
      <c r="K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L592" s="77"/>
      <c r="M592" s="32"/>
      <c r="N592" s="32"/>
      <c r="O592" s="32"/>
      <c r="P592" s="32"/>
    </row>
    <row r="593" spans="3:16" x14ac:dyDescent="0.3">
      <c r="C593" s="11"/>
      <c r="D593" s="32"/>
      <c r="E593" s="11"/>
      <c r="G593" s="15"/>
      <c r="H593" s="47"/>
      <c r="I593" s="76"/>
      <c r="J593" s="76"/>
      <c r="K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L593" s="77"/>
      <c r="M593" s="32"/>
      <c r="N593" s="32"/>
      <c r="O593" s="32"/>
      <c r="P593" s="32"/>
    </row>
    <row r="594" spans="3:16" x14ac:dyDescent="0.3">
      <c r="C594" s="11"/>
      <c r="D594" s="32"/>
      <c r="E594" s="11"/>
      <c r="G594" s="15"/>
      <c r="H594" s="47"/>
      <c r="I594" s="76"/>
      <c r="J594" s="76"/>
      <c r="K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L594" s="77"/>
      <c r="M594" s="32"/>
      <c r="N594" s="32"/>
      <c r="O594" s="32"/>
      <c r="P594" s="32"/>
    </row>
    <row r="595" spans="3:16" x14ac:dyDescent="0.3">
      <c r="C595" s="11"/>
      <c r="D595" s="32"/>
      <c r="E595" s="11"/>
      <c r="G595" s="15"/>
      <c r="H595" s="47"/>
      <c r="I595" s="76"/>
      <c r="J595" s="76"/>
      <c r="K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L595" s="77"/>
      <c r="M595" s="32"/>
      <c r="N595" s="32"/>
      <c r="O595" s="32"/>
      <c r="P595" s="32"/>
    </row>
    <row r="596" spans="3:16" x14ac:dyDescent="0.3">
      <c r="C596" s="11"/>
      <c r="D596" s="32"/>
      <c r="E596" s="11"/>
      <c r="G596" s="15"/>
      <c r="H596" s="47"/>
      <c r="I596" s="76"/>
      <c r="J596" s="76"/>
      <c r="K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L596" s="77"/>
      <c r="M596" s="32"/>
      <c r="N596" s="32"/>
      <c r="O596" s="32"/>
      <c r="P596" s="32"/>
    </row>
    <row r="597" spans="3:16" x14ac:dyDescent="0.3">
      <c r="C597" s="11"/>
      <c r="D597" s="32"/>
      <c r="E597" s="11"/>
      <c r="G597" s="15"/>
      <c r="H597" s="47"/>
      <c r="I597" s="76"/>
      <c r="J597" s="76"/>
      <c r="K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L597" s="77"/>
      <c r="M597" s="32"/>
      <c r="N597" s="32"/>
      <c r="O597" s="32"/>
      <c r="P597" s="32"/>
    </row>
    <row r="598" spans="3:16" x14ac:dyDescent="0.3">
      <c r="C598" s="11"/>
      <c r="D598" s="32"/>
      <c r="E598" s="11"/>
      <c r="G598" s="15"/>
      <c r="H598" s="47"/>
      <c r="I598" s="76"/>
      <c r="J598" s="76"/>
      <c r="K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L598" s="77"/>
      <c r="M598" s="32"/>
      <c r="N598" s="32"/>
      <c r="O598" s="32"/>
      <c r="P598" s="32"/>
    </row>
    <row r="599" spans="3:16" x14ac:dyDescent="0.3">
      <c r="C599" s="11"/>
      <c r="D599" s="32"/>
      <c r="E599" s="11"/>
      <c r="G599" s="15"/>
      <c r="H599" s="47"/>
      <c r="I599" s="76"/>
      <c r="J599" s="76"/>
      <c r="K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L599" s="77"/>
      <c r="M599" s="32"/>
      <c r="N599" s="32"/>
      <c r="O599" s="32"/>
      <c r="P599" s="32"/>
    </row>
    <row r="600" spans="3:16" x14ac:dyDescent="0.3">
      <c r="C600" s="11"/>
      <c r="D600" s="32"/>
      <c r="E600" s="11"/>
      <c r="G600" s="15"/>
      <c r="H600" s="47"/>
      <c r="I600" s="76"/>
      <c r="J600" s="76"/>
      <c r="K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L600" s="77"/>
      <c r="M600" s="32"/>
      <c r="N600" s="32"/>
      <c r="O600" s="32"/>
      <c r="P600" s="32"/>
    </row>
    <row r="601" spans="3:16" x14ac:dyDescent="0.3">
      <c r="C601" s="11"/>
      <c r="D601" s="32"/>
      <c r="E601" s="11"/>
      <c r="G601" s="15"/>
      <c r="H601" s="47"/>
      <c r="I601" s="76"/>
      <c r="J601" s="76"/>
      <c r="K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L601" s="77"/>
      <c r="M601" s="32"/>
      <c r="N601" s="32"/>
      <c r="O601" s="32"/>
      <c r="P601" s="32"/>
    </row>
    <row r="602" spans="3:16" x14ac:dyDescent="0.3">
      <c r="C602" s="11"/>
      <c r="D602" s="32"/>
      <c r="E602" s="11"/>
      <c r="G602" s="15"/>
      <c r="H602" s="47"/>
      <c r="I602" s="76"/>
      <c r="J602" s="76"/>
      <c r="K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L602" s="77"/>
      <c r="M602" s="32"/>
      <c r="N602" s="32"/>
      <c r="O602" s="32"/>
      <c r="P602" s="32"/>
    </row>
    <row r="603" spans="3:16" x14ac:dyDescent="0.3">
      <c r="C603" s="11"/>
      <c r="D603" s="32"/>
      <c r="E603" s="11"/>
      <c r="G603" s="15"/>
      <c r="H603" s="47"/>
      <c r="I603" s="76"/>
      <c r="J603" s="76"/>
      <c r="K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L603" s="77"/>
      <c r="M603" s="32"/>
      <c r="N603" s="32"/>
      <c r="O603" s="32"/>
      <c r="P603" s="32"/>
    </row>
    <row r="604" spans="3:16" x14ac:dyDescent="0.3">
      <c r="C604" s="11"/>
      <c r="D604" s="32"/>
      <c r="E604" s="11"/>
      <c r="G604" s="15"/>
      <c r="H604" s="47"/>
      <c r="I604" s="76"/>
      <c r="J604" s="76"/>
      <c r="K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L604" s="77"/>
      <c r="M604" s="32"/>
      <c r="N604" s="32"/>
      <c r="O604" s="32"/>
      <c r="P604" s="32"/>
    </row>
    <row r="605" spans="3:16" x14ac:dyDescent="0.3">
      <c r="C605" s="11"/>
      <c r="D605" s="32"/>
      <c r="E605" s="11"/>
      <c r="G605" s="15"/>
      <c r="H605" s="47"/>
      <c r="I605" s="76"/>
      <c r="J605" s="76"/>
      <c r="K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L605" s="77"/>
      <c r="M605" s="32"/>
      <c r="N605" s="32"/>
      <c r="O605" s="32"/>
      <c r="P605" s="32"/>
    </row>
    <row r="606" spans="3:16" x14ac:dyDescent="0.3">
      <c r="C606" s="11"/>
      <c r="D606" s="32"/>
      <c r="E606" s="11"/>
      <c r="G606" s="15"/>
      <c r="H606" s="47"/>
      <c r="I606" s="76"/>
      <c r="J606" s="76"/>
      <c r="K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L606" s="77"/>
      <c r="M606" s="32"/>
      <c r="N606" s="32"/>
      <c r="O606" s="32"/>
      <c r="P606" s="32"/>
    </row>
    <row r="607" spans="3:16" x14ac:dyDescent="0.3">
      <c r="C607" s="11"/>
      <c r="D607" s="32"/>
      <c r="E607" s="11"/>
      <c r="G607" s="15"/>
      <c r="H607" s="47"/>
      <c r="I607" s="76"/>
      <c r="J607" s="76"/>
      <c r="K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L607" s="77"/>
      <c r="M607" s="32"/>
      <c r="N607" s="32"/>
      <c r="O607" s="32"/>
      <c r="P607" s="32"/>
    </row>
    <row r="608" spans="3:16" x14ac:dyDescent="0.3">
      <c r="C608" s="11"/>
      <c r="D608" s="32"/>
      <c r="E608" s="11"/>
      <c r="G608" s="15"/>
      <c r="H608" s="47"/>
      <c r="I608" s="76"/>
      <c r="J608" s="76"/>
      <c r="K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L608" s="77"/>
      <c r="M608" s="32"/>
      <c r="N608" s="32"/>
      <c r="O608" s="32"/>
      <c r="P608" s="32"/>
    </row>
    <row r="609" spans="3:16" x14ac:dyDescent="0.3">
      <c r="C609" s="11"/>
      <c r="D609" s="32"/>
      <c r="E609" s="11"/>
      <c r="G609" s="15"/>
      <c r="H609" s="47"/>
      <c r="I609" s="76"/>
      <c r="J609" s="76"/>
      <c r="K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L609" s="77"/>
      <c r="M609" s="32"/>
      <c r="N609" s="32"/>
      <c r="O609" s="32"/>
      <c r="P609" s="32"/>
    </row>
    <row r="610" spans="3:16" x14ac:dyDescent="0.3">
      <c r="C610" s="11"/>
      <c r="D610" s="32"/>
      <c r="E610" s="11"/>
      <c r="G610" s="15"/>
      <c r="H610" s="47"/>
      <c r="I610" s="76"/>
      <c r="J610" s="76"/>
      <c r="K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L610" s="77"/>
      <c r="M610" s="32"/>
      <c r="N610" s="32"/>
      <c r="O610" s="32"/>
      <c r="P610" s="32"/>
    </row>
    <row r="611" spans="3:16" x14ac:dyDescent="0.3">
      <c r="C611" s="11"/>
      <c r="D611" s="32"/>
      <c r="E611" s="11"/>
      <c r="G611" s="15"/>
      <c r="H611" s="47"/>
      <c r="I611" s="76"/>
      <c r="J611" s="76"/>
      <c r="K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L611" s="77"/>
      <c r="M611" s="32"/>
      <c r="N611" s="32"/>
      <c r="O611" s="32"/>
      <c r="P611" s="32"/>
    </row>
    <row r="612" spans="3:16" x14ac:dyDescent="0.3">
      <c r="C612" s="11"/>
    </row>
    <row r="613" spans="3:16" x14ac:dyDescent="0.3">
      <c r="C613" s="11"/>
    </row>
    <row r="614" spans="3:16" x14ac:dyDescent="0.3">
      <c r="C614" s="11"/>
    </row>
    <row r="615" spans="3:16" x14ac:dyDescent="0.3">
      <c r="C615" s="11"/>
    </row>
    <row r="616" spans="3:16" x14ac:dyDescent="0.3">
      <c r="C616" s="11"/>
    </row>
    <row r="617" spans="3:16" x14ac:dyDescent="0.3">
      <c r="C617" s="11"/>
    </row>
    <row r="618" spans="3:16" x14ac:dyDescent="0.3">
      <c r="C618" s="11"/>
    </row>
  </sheetData>
  <dataValidations count="9">
    <dataValidation type="list" allowBlank="1" showInputMessage="1" showErrorMessage="1" sqref="E2:E203" xr:uid="{5C552A40-EFED-4C04-86F4-284D9CAC14F3}">
      <formula1>$AB$1:$AI$1</formula1>
    </dataValidation>
    <dataValidation type="list" allowBlank="1" showInputMessage="1" showErrorMessage="1" sqref="E204:E615" xr:uid="{C00C5516-4E79-457F-9C30-A57D4C1AE380}">
      <formula1>$Y$2:$Y$7</formula1>
    </dataValidation>
    <dataValidation type="list" allowBlank="1" showInputMessage="1" showErrorMessage="1" sqref="C2:C618" xr:uid="{07E0D7B2-ADC1-445A-9FF4-D9BBAF7961B5}">
      <formula1>$S$2:$S$12</formula1>
    </dataValidation>
    <dataValidation type="list" allowBlank="1" showInputMessage="1" promptTitle="Guia" prompt="puede realizar Las siguientes opciones_x000a_si eligio electricos tiene las siguientes opciones de una posible sublista_x000a_" sqref="F140:F613" xr:uid="{51258472-5E37-4ED2-B9BA-AB8C046C57C2}">
      <formula1>INDIRECT($E$2:$E$611)</formula1>
    </dataValidation>
    <dataValidation allowBlank="1" showInputMessage="1" showErrorMessage="1" sqref="D140:D618" xr:uid="{C6B705FF-EA4C-4629-954F-2D910B880311}"/>
    <dataValidation type="list" allowBlank="1" showInputMessage="1" showErrorMessage="1" sqref="N2:N611" xr:uid="{D3E6DEEC-DA62-462B-AAC0-98735B83BFA4}">
      <formula1>$X$10:$X$12</formula1>
    </dataValidation>
    <dataValidation type="list" allowBlank="1" showInputMessage="1" promptTitle="Guia" prompt="Si tiene dudas sobre que dato colocar consulte las siguientes tablas y no olvide revisar los comentarios_x000a__x000a_" sqref="F2:F139" xr:uid="{3102FCCA-14D5-4F94-A222-71F9DF5EF771}">
      <formula1>INDIRECT($E$2:$E$611)</formula1>
    </dataValidation>
    <dataValidation type="whole" allowBlank="1" showInputMessage="1" showErrorMessage="1" sqref="D2:D139" xr:uid="{9687A015-58C8-4C74-A617-7856C5D4B201}">
      <formula1>1</formula1>
      <formula2>100</formula2>
    </dataValidation>
    <dataValidation type="list" allowBlank="1" showInputMessage="1" showErrorMessage="1" sqref="O2:O611" xr:uid="{70A80451-245B-43B2-8D11-0CCCC7A5DE53}">
      <formula1>$V$2:$V$4</formula1>
    </dataValidation>
  </dataValidations>
  <pageMargins left="0.7" right="0.7" top="0.75" bottom="0.75" header="0.3" footer="0.3"/>
  <legacyDrawing r:id="rId1"/>
  <tableParts count="4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8CC4926-644E-4151-B6EB-EAC4ABEE5EA4}">
          <x14:formula1>
            <xm:f>Hoja2!$B$3:$B$78</xm:f>
          </x14:formula1>
          <xm:sqref>B35:B611</xm:sqref>
        </x14:dataValidation>
        <x14:dataValidation type="list" allowBlank="1" showInputMessage="1" showErrorMessage="1" xr:uid="{5C5A1E76-AED7-4E0C-8029-058323897A0C}">
          <x14:formula1>
            <xm:f>Hoja2!$B$3:$B$79</xm:f>
          </x14:formula1>
          <xm:sqref>B2:B34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6167-6FE2-4EB2-ADAA-D59A295016C9}">
  <dimension ref="A1:BR618"/>
  <sheetViews>
    <sheetView topLeftCell="A110" zoomScale="85" zoomScaleNormal="85" workbookViewId="0">
      <pane xSplit="3" topLeftCell="M1" activePane="topRight" state="frozen"/>
      <selection pane="topRight" activeCell="R117" sqref="R117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6" width="36.33203125" customWidth="1"/>
    <col min="7" max="7" width="18.88671875" customWidth="1"/>
    <col min="8" max="13" width="13.88671875" customWidth="1"/>
    <col min="14" max="14" width="15.109375" customWidth="1"/>
    <col min="15" max="15" width="22.6640625" customWidth="1"/>
    <col min="16" max="16" width="21.33203125" customWidth="1"/>
    <col min="17" max="17" width="23.109375" customWidth="1"/>
    <col min="18" max="18" width="17.44140625" customWidth="1"/>
    <col min="19" max="19" width="24.109375" customWidth="1"/>
    <col min="20" max="20" width="18.6640625" customWidth="1"/>
    <col min="21" max="21" width="43.6640625" customWidth="1"/>
    <col min="22" max="22" width="15.6640625" customWidth="1"/>
    <col min="23" max="23" width="11.6640625" customWidth="1"/>
    <col min="24" max="24" width="18.6640625" customWidth="1"/>
    <col min="27" max="27" width="11.33203125" customWidth="1"/>
    <col min="29" max="29" width="19.5546875" customWidth="1"/>
    <col min="30" max="30" width="23.44140625" bestFit="1" customWidth="1"/>
    <col min="31" max="31" width="21.33203125" customWidth="1"/>
    <col min="32" max="32" width="22.33203125" customWidth="1"/>
    <col min="33" max="33" width="24" customWidth="1"/>
    <col min="34" max="34" width="24.44140625" customWidth="1"/>
    <col min="35" max="35" width="26.109375" customWidth="1"/>
    <col min="36" max="36" width="23.6640625" customWidth="1"/>
    <col min="37" max="37" width="24" customWidth="1"/>
    <col min="38" max="38" width="21.33203125" customWidth="1"/>
    <col min="39" max="39" width="21.109375" customWidth="1"/>
    <col min="40" max="40" width="19.44140625" bestFit="1" customWidth="1"/>
    <col min="41" max="41" width="22.5546875" customWidth="1"/>
    <col min="42" max="42" width="29.6640625" customWidth="1"/>
    <col min="43" max="43" width="25" customWidth="1"/>
    <col min="44" max="44" width="26.6640625" customWidth="1"/>
    <col min="45" max="45" width="28.33203125" customWidth="1"/>
    <col min="46" max="46" width="27.109375" customWidth="1"/>
    <col min="47" max="49" width="33.6640625" customWidth="1"/>
    <col min="50" max="50" width="22.5546875" customWidth="1"/>
    <col min="51" max="51" width="26.109375" customWidth="1"/>
    <col min="52" max="52" width="25.33203125" customWidth="1"/>
    <col min="53" max="53" width="21.109375" customWidth="1"/>
    <col min="54" max="54" width="19" customWidth="1"/>
    <col min="55" max="55" width="15.5546875" customWidth="1"/>
    <col min="56" max="56" width="18.33203125" customWidth="1"/>
    <col min="57" max="57" width="18.109375" customWidth="1"/>
  </cols>
  <sheetData>
    <row r="1" spans="2:70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6" t="s">
        <v>205</v>
      </c>
      <c r="H1" s="36" t="s">
        <v>206</v>
      </c>
      <c r="I1" s="36" t="s">
        <v>593</v>
      </c>
      <c r="J1" s="37" t="s">
        <v>389</v>
      </c>
      <c r="K1" s="37" t="s">
        <v>567</v>
      </c>
      <c r="L1" s="37" t="s">
        <v>566</v>
      </c>
      <c r="M1" s="37" t="s">
        <v>390</v>
      </c>
      <c r="N1" s="36" t="s">
        <v>342</v>
      </c>
      <c r="O1" s="37" t="s">
        <v>207</v>
      </c>
      <c r="P1" s="37" t="s">
        <v>343</v>
      </c>
      <c r="Q1" s="37" t="s">
        <v>208</v>
      </c>
      <c r="R1" s="37" t="s">
        <v>209</v>
      </c>
      <c r="S1" s="37" t="s">
        <v>210</v>
      </c>
      <c r="T1" s="38" t="s">
        <v>211</v>
      </c>
      <c r="U1" s="37" t="s">
        <v>212</v>
      </c>
      <c r="V1" s="39"/>
      <c r="W1" s="40" t="s">
        <v>213</v>
      </c>
      <c r="X1" s="41" t="s">
        <v>201</v>
      </c>
      <c r="Z1" s="42" t="s">
        <v>213</v>
      </c>
      <c r="AA1" s="43" t="s">
        <v>211</v>
      </c>
      <c r="AC1" s="44" t="s">
        <v>213</v>
      </c>
      <c r="AD1" s="45" t="s">
        <v>214</v>
      </c>
      <c r="AF1" s="46"/>
      <c r="AG1" s="1" t="s">
        <v>4</v>
      </c>
      <c r="AH1" s="2" t="s">
        <v>5</v>
      </c>
      <c r="AI1" s="3" t="s">
        <v>6</v>
      </c>
      <c r="AJ1" s="2" t="s">
        <v>7</v>
      </c>
      <c r="AK1" s="3" t="s">
        <v>8</v>
      </c>
      <c r="AL1" s="3" t="s">
        <v>160</v>
      </c>
      <c r="AM1" s="2" t="s">
        <v>9</v>
      </c>
      <c r="AN1" s="4" t="s">
        <v>10</v>
      </c>
      <c r="AO1" t="s">
        <v>11</v>
      </c>
      <c r="AP1" t="s">
        <v>12</v>
      </c>
      <c r="AS1" t="s">
        <v>215</v>
      </c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</row>
    <row r="2" spans="2:70" ht="26.4" customHeight="1" x14ac:dyDescent="0.3">
      <c r="B2" t="s">
        <v>23</v>
      </c>
      <c r="C2" s="11" t="s">
        <v>177</v>
      </c>
      <c r="D2">
        <v>1</v>
      </c>
      <c r="E2" s="11" t="str" cm="1">
        <f t="array" ref="E2">_xlfn.IFS(
    COUNTIF(Herramientas_eléctricas1862[Herramientas_eléctricas], B2) &gt; 0, Herramientas_eléctricas1862[[#Headers],[Herramientas_eléctricas]],
    COUNTIF(Herramientas_neumáticas1963[Herramientas_neumáticas], B2) &gt; 0, Herramientas_neumáticas1963[[#Headers],[Herramientas_neumáticas]],
    COUNTIF(Herramientas_de_medición2064[Herramientas_de_medición], B2) &gt; 0, Herramientas_de_medición2064[[#Headers],[Herramientas_de_medición]],
    COUNTIF(Herrramientas_mecánicas2165[Herramientas_mecánicas], B2) &gt; 0, Herrramientas_mecánicas2165[[#Headers],[Herramientas_mecánicas]],
    COUNTIF(AK2:AK8, B2) &gt; 0, Herramientas_hidráulicas2266[[#Headers],[Herramientas_hidráulicas]],
    COUNTIF(EPP_2367[SPCC], B2) &gt; 0, EPP_2367[[#Headers],[SPCC]],
   COUNTIF(Herramientas_de_izaje2468[Herramientas_de_izaje], B2) &gt; 0, Herramientas_de_izaje2468[[#Headers],[Herramientas_de_izaje]],
COUNTIF(Tabla162670[Equipos], B2) &gt; 0, Tabla162670[[#Headers],[Equipos]],
    TRUE, "Sin clasificación"
)</f>
        <v>Herramientas_eléctricas</v>
      </c>
      <c r="F2" s="15"/>
      <c r="G2" s="15" t="s">
        <v>572</v>
      </c>
      <c r="H2" s="47" t="s">
        <v>590</v>
      </c>
      <c r="I2" s="87" t="s">
        <v>594</v>
      </c>
      <c r="J2" s="78" t="s">
        <v>595</v>
      </c>
      <c r="K2" s="78" t="s">
        <v>592</v>
      </c>
      <c r="L2" s="78" t="s">
        <v>591</v>
      </c>
      <c r="M2" s="78">
        <v>1500</v>
      </c>
      <c r="O2" s="47">
        <v>604000234</v>
      </c>
      <c r="P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ZE-AM-INS-0001</v>
      </c>
      <c r="R2" s="15"/>
      <c r="T2" s="48"/>
      <c r="U2" t="s">
        <v>596</v>
      </c>
      <c r="W2" s="49">
        <v>1</v>
      </c>
      <c r="X2" s="50" t="s">
        <v>171</v>
      </c>
      <c r="Z2" s="51">
        <v>1</v>
      </c>
      <c r="AA2" s="52" t="s">
        <v>216</v>
      </c>
      <c r="AC2" s="51">
        <v>1</v>
      </c>
      <c r="AD2" s="52" t="s">
        <v>4</v>
      </c>
      <c r="AG2" s="5" t="s">
        <v>13</v>
      </c>
      <c r="AH2" t="s">
        <v>14</v>
      </c>
      <c r="AI2" t="s">
        <v>15</v>
      </c>
      <c r="AJ2" t="s">
        <v>16</v>
      </c>
      <c r="AK2" s="6" t="s">
        <v>17</v>
      </c>
      <c r="AL2" t="s">
        <v>18</v>
      </c>
      <c r="AM2" t="s">
        <v>19</v>
      </c>
      <c r="AN2" s="6" t="s">
        <v>20</v>
      </c>
      <c r="AO2" t="s">
        <v>21</v>
      </c>
      <c r="AP2" s="7" t="s">
        <v>22</v>
      </c>
      <c r="AS2" s="25" t="s">
        <v>217</v>
      </c>
      <c r="AT2" t="s">
        <v>218</v>
      </c>
      <c r="AU2" t="s">
        <v>219</v>
      </c>
      <c r="AV2" s="25" t="s">
        <v>220</v>
      </c>
      <c r="AW2" t="s">
        <v>221</v>
      </c>
      <c r="BC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</row>
    <row r="3" spans="2:70" ht="29.25" customHeight="1" x14ac:dyDescent="0.3">
      <c r="B3" t="s">
        <v>23</v>
      </c>
      <c r="C3" s="11" t="s">
        <v>177</v>
      </c>
      <c r="D3">
        <v>1</v>
      </c>
      <c r="E3" s="11" t="str" cm="1">
        <f t="array" ref="E3">_xlfn.IFS(
    COUNTIF(Herramientas_eléctricas1862[Herramientas_eléctricas], B3) &gt; 0, Herramientas_eléctricas1862[[#Headers],[Herramientas_eléctricas]],
    COUNTIF(Herramientas_neumáticas1963[Herramientas_neumáticas], B3) &gt; 0, Herramientas_neumáticas1963[[#Headers],[Herramientas_neumáticas]],
    COUNTIF(Herramientas_de_medición2064[Herramientas_de_medición], B3) &gt; 0, Herramientas_de_medición2064[[#Headers],[Herramientas_de_medición]],
    COUNTIF(Herrramientas_mecánicas2165[Herramientas_mecánicas], B3) &gt; 0, Herrramientas_mecánicas2165[[#Headers],[Herramientas_mecánicas]],
    COUNTIF(AK3:AK9, B3) &gt; 0, Herramientas_hidráulicas2266[[#Headers],[Herramientas_hidráulicas]],
    COUNTIF(EPP_2367[SPCC], B3) &gt; 0, EPP_2367[[#Headers],[SPCC]],
   COUNTIF(Herramientas_de_izaje2468[Herramientas_de_izaje], B3) &gt; 0, Herramientas_de_izaje2468[[#Headers],[Herramientas_de_izaje]],
COUNTIF(Tabla162670[Equipos], B3) &gt; 0, Tabla162670[[#Headers],[Equipos]],
    TRUE, "Sin clasificación"
)</f>
        <v>Herramientas_eléctricas</v>
      </c>
      <c r="F3" s="15"/>
      <c r="G3" s="15" t="s">
        <v>611</v>
      </c>
      <c r="H3" s="47" t="s">
        <v>612</v>
      </c>
      <c r="I3" s="87"/>
      <c r="J3" s="78"/>
      <c r="K3" s="78"/>
      <c r="L3" s="78">
        <v>18</v>
      </c>
      <c r="M3" s="78"/>
      <c r="N3" t="s">
        <v>613</v>
      </c>
      <c r="O3" s="47"/>
      <c r="P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ZE-AM-INS-0002</v>
      </c>
      <c r="R3" s="15"/>
      <c r="T3" s="48"/>
      <c r="W3" s="49">
        <v>2</v>
      </c>
      <c r="X3" s="50" t="s">
        <v>172</v>
      </c>
      <c r="Z3" s="51">
        <v>2</v>
      </c>
      <c r="AA3" s="52" t="s">
        <v>222</v>
      </c>
      <c r="AC3" s="51">
        <v>2</v>
      </c>
      <c r="AD3" s="53" t="s">
        <v>5</v>
      </c>
      <c r="AG3" s="6" t="s">
        <v>23</v>
      </c>
      <c r="AH3" t="s">
        <v>24</v>
      </c>
      <c r="AI3" t="s">
        <v>25</v>
      </c>
      <c r="AJ3" t="s">
        <v>26</v>
      </c>
      <c r="AK3" s="6" t="s">
        <v>27</v>
      </c>
      <c r="AL3" t="s">
        <v>28</v>
      </c>
      <c r="AM3" t="s">
        <v>29</v>
      </c>
      <c r="AO3" s="8" t="s">
        <v>30</v>
      </c>
      <c r="AP3" s="9" t="s">
        <v>31</v>
      </c>
      <c r="AS3" s="25" t="s">
        <v>223</v>
      </c>
      <c r="AT3" t="s">
        <v>70</v>
      </c>
      <c r="BC3" s="11"/>
      <c r="BD3" s="11"/>
      <c r="BE3" s="11"/>
      <c r="BF3" s="11"/>
      <c r="BG3" s="11"/>
      <c r="BH3" s="11"/>
      <c r="BI3" s="11"/>
      <c r="BJ3" s="11"/>
      <c r="BK3" s="54"/>
      <c r="BL3" s="54"/>
      <c r="BM3" s="11"/>
      <c r="BN3" s="11"/>
      <c r="BO3" s="11"/>
      <c r="BP3" s="11"/>
      <c r="BQ3" s="11"/>
      <c r="BR3" s="11"/>
    </row>
    <row r="4" spans="2:70" ht="33" customHeight="1" x14ac:dyDescent="0.3">
      <c r="B4" t="s">
        <v>23</v>
      </c>
      <c r="C4" s="11" t="s">
        <v>177</v>
      </c>
      <c r="D4">
        <v>1</v>
      </c>
      <c r="E4" s="11" t="str" cm="1">
        <f t="array" ref="E4">_xlfn.IFS(
    COUNTIF(Herramientas_eléctricas1862[Herramientas_eléctricas], B4) &gt; 0, Herramientas_eléctricas1862[[#Headers],[Herramientas_eléctricas]],
    COUNTIF(Herramientas_neumáticas1963[Herramientas_neumáticas], B4) &gt; 0, Herramientas_neumáticas1963[[#Headers],[Herramientas_neumáticas]],
    COUNTIF(Herramientas_de_medición2064[Herramientas_de_medición], B4) &gt; 0, Herramientas_de_medición2064[[#Headers],[Herramientas_de_medición]],
    COUNTIF(Herrramientas_mecánicas2165[Herramientas_mecánicas], B4) &gt; 0, Herrramientas_mecánicas2165[[#Headers],[Herramientas_mecánicas]],
    COUNTIF(AK4:AK10, B4) &gt; 0, Herramientas_hidráulicas2266[[#Headers],[Herramientas_hidráulicas]],
    COUNTIF(EPP_2367[SPCC], B4) &gt; 0, EPP_2367[[#Headers],[SPCC]],
   COUNTIF(Herramientas_de_izaje2468[Herramientas_de_izaje], B4) &gt; 0, Herramientas_de_izaje2468[[#Headers],[Herramientas_de_izaje]],
COUNTIF(Tabla162670[Equipos], B4) &gt; 0, Tabla162670[[#Headers],[Equipos]],
    TRUE, "Sin clasificación"
)</f>
        <v>Herramientas_eléctricas</v>
      </c>
      <c r="F4" s="15"/>
      <c r="G4" s="15" t="s">
        <v>572</v>
      </c>
      <c r="H4" s="15" t="s">
        <v>614</v>
      </c>
      <c r="I4" s="87">
        <v>4.2</v>
      </c>
      <c r="J4" s="78"/>
      <c r="K4" s="78">
        <v>900</v>
      </c>
      <c r="L4" s="78" t="s">
        <v>615</v>
      </c>
      <c r="M4" s="78"/>
      <c r="N4" t="s">
        <v>618</v>
      </c>
      <c r="O4" s="47"/>
      <c r="P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ZE-AM-INS-0003</v>
      </c>
      <c r="R4" s="15"/>
      <c r="T4" s="48"/>
      <c r="W4" s="49">
        <v>3</v>
      </c>
      <c r="X4" s="50" t="s">
        <v>173</v>
      </c>
      <c r="Z4" s="55">
        <v>3</v>
      </c>
      <c r="AA4" s="56" t="s">
        <v>224</v>
      </c>
      <c r="AC4" s="51">
        <v>3</v>
      </c>
      <c r="AD4" s="53" t="s">
        <v>6</v>
      </c>
      <c r="AG4" s="10" t="s">
        <v>32</v>
      </c>
      <c r="AH4" t="s">
        <v>33</v>
      </c>
      <c r="AI4" t="s">
        <v>34</v>
      </c>
      <c r="AJ4" t="s">
        <v>35</v>
      </c>
      <c r="AK4" s="5" t="s">
        <v>36</v>
      </c>
      <c r="AL4" s="11" t="s">
        <v>37</v>
      </c>
      <c r="AM4" t="s">
        <v>38</v>
      </c>
      <c r="AO4" s="11" t="s">
        <v>39</v>
      </c>
      <c r="AP4" s="7" t="s">
        <v>40</v>
      </c>
      <c r="AS4" s="25" t="s">
        <v>225</v>
      </c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</row>
    <row r="5" spans="2:70" ht="28.8" x14ac:dyDescent="0.3">
      <c r="B5" t="s">
        <v>23</v>
      </c>
      <c r="C5" s="11" t="s">
        <v>177</v>
      </c>
      <c r="D5">
        <v>1</v>
      </c>
      <c r="E5" s="11" t="str" cm="1">
        <f t="array" ref="E5">_xlfn.IFS(
    COUNTIF(Herramientas_eléctricas1862[Herramientas_eléctricas], B5) &gt; 0, Herramientas_eléctricas1862[[#Headers],[Herramientas_eléctricas]],
    COUNTIF(Herramientas_neumáticas1963[Herramientas_neumáticas], B5) &gt; 0, Herramientas_neumáticas1963[[#Headers],[Herramientas_neumáticas]],
    COUNTIF(Herramientas_de_medición2064[Herramientas_de_medición], B5) &gt; 0, Herramientas_de_medición2064[[#Headers],[Herramientas_de_medición]],
    COUNTIF(Herrramientas_mecánicas2165[Herramientas_mecánicas], B5) &gt; 0, Herrramientas_mecánicas2165[[#Headers],[Herramientas_mecánicas]],
    COUNTIF(AK5:AK11, B5) &gt; 0, Herramientas_hidráulicas2266[[#Headers],[Herramientas_hidráulicas]],
    COUNTIF(EPP_2367[SPCC], B5) &gt; 0, EPP_2367[[#Headers],[SPCC]],
   COUNTIF(Herramientas_de_izaje2468[Herramientas_de_izaje], B5) &gt; 0, Herramientas_de_izaje2468[[#Headers],[Herramientas_de_izaje]],
COUNTIF(Tabla162670[Equipos], B5) &gt; 0, Tabla162670[[#Headers],[Equipos]],
    TRUE, "Sin clasificación"
)</f>
        <v>Herramientas_eléctricas</v>
      </c>
      <c r="F5" s="15"/>
      <c r="G5" s="15" t="s">
        <v>572</v>
      </c>
      <c r="H5" s="15" t="s">
        <v>614</v>
      </c>
      <c r="I5" s="87">
        <v>4.2</v>
      </c>
      <c r="J5" s="78"/>
      <c r="K5" s="78">
        <v>900</v>
      </c>
      <c r="L5" s="78" t="s">
        <v>616</v>
      </c>
      <c r="M5" s="78"/>
      <c r="N5" t="s">
        <v>617</v>
      </c>
      <c r="O5" s="47"/>
      <c r="P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ZE-AM-INS-0004</v>
      </c>
      <c r="R5" s="15"/>
      <c r="T5" s="48"/>
      <c r="W5" s="49">
        <v>4</v>
      </c>
      <c r="X5" s="50" t="s">
        <v>174</v>
      </c>
      <c r="AC5" s="51">
        <v>4</v>
      </c>
      <c r="AD5" s="53" t="s">
        <v>7</v>
      </c>
      <c r="AG5" t="s">
        <v>41</v>
      </c>
      <c r="AH5" t="s">
        <v>42</v>
      </c>
      <c r="AI5" t="s">
        <v>43</v>
      </c>
      <c r="AJ5" t="s">
        <v>44</v>
      </c>
      <c r="AK5" s="5" t="s">
        <v>45</v>
      </c>
      <c r="AM5" t="s">
        <v>46</v>
      </c>
      <c r="AO5" s="12" t="s">
        <v>47</v>
      </c>
      <c r="AP5" s="9" t="s">
        <v>48</v>
      </c>
      <c r="AS5" s="25" t="s">
        <v>226</v>
      </c>
      <c r="AT5" t="s">
        <v>80</v>
      </c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</row>
    <row r="6" spans="2:70" ht="30" customHeight="1" x14ac:dyDescent="0.3">
      <c r="B6" t="s">
        <v>23</v>
      </c>
      <c r="C6" s="11" t="s">
        <v>176</v>
      </c>
      <c r="D6">
        <v>1</v>
      </c>
      <c r="E6" s="11" t="str" cm="1">
        <f t="array" ref="E6">_xlfn.IFS(
    COUNTIF(Herramientas_eléctricas1862[Herramientas_eléctricas], B6) &gt; 0, Herramientas_eléctricas1862[[#Headers],[Herramientas_eléctricas]],
    COUNTIF(Herramientas_neumáticas1963[Herramientas_neumáticas], B6) &gt; 0, Herramientas_neumáticas1963[[#Headers],[Herramientas_neumáticas]],
    COUNTIF(Herramientas_de_medición2064[Herramientas_de_medición], B6) &gt; 0, Herramientas_de_medición2064[[#Headers],[Herramientas_de_medición]],
    COUNTIF(Herrramientas_mecánicas2165[Herramientas_mecánicas], B6) &gt; 0, Herrramientas_mecánicas2165[[#Headers],[Herramientas_mecánicas]],
    COUNTIF(AK6:AK12, B6) &gt; 0, Herramientas_hidráulicas2266[[#Headers],[Herramientas_hidráulicas]],
    COUNTIF(EPP_2367[SPCC], B6) &gt; 0, EPP_2367[[#Headers],[SPCC]],
   COUNTIF(Herramientas_de_izaje2468[Herramientas_de_izaje], B6) &gt; 0, Herramientas_de_izaje2468[[#Headers],[Herramientas_de_izaje]],
COUNTIF(Tabla162670[Equipos], B6) &gt; 0, Tabla162670[[#Headers],[Equipos]],
    TRUE, "Sin clasificación"
)</f>
        <v>Herramientas_eléctricas</v>
      </c>
      <c r="F6" s="15"/>
      <c r="G6" s="15" t="s">
        <v>639</v>
      </c>
      <c r="H6" s="47" t="s">
        <v>644</v>
      </c>
      <c r="I6" s="87"/>
      <c r="J6" s="78" t="s">
        <v>640</v>
      </c>
      <c r="K6" s="78">
        <v>2200</v>
      </c>
      <c r="L6" s="78">
        <v>220</v>
      </c>
      <c r="M6" s="78">
        <v>8500</v>
      </c>
      <c r="N6" t="s">
        <v>642</v>
      </c>
      <c r="O6" s="47" t="s">
        <v>641</v>
      </c>
      <c r="P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ZE-AM-ELT-0001</v>
      </c>
      <c r="R6" s="15"/>
      <c r="T6" s="48"/>
      <c r="W6" s="49">
        <v>5</v>
      </c>
      <c r="X6" s="50" t="s">
        <v>175</v>
      </c>
      <c r="AC6" s="51">
        <v>5</v>
      </c>
      <c r="AD6" s="53" t="s">
        <v>8</v>
      </c>
      <c r="AG6" t="s">
        <v>49</v>
      </c>
      <c r="AH6" t="s">
        <v>36</v>
      </c>
      <c r="AI6" t="s">
        <v>50</v>
      </c>
      <c r="AJ6" t="s">
        <v>51</v>
      </c>
      <c r="AK6" s="5" t="s">
        <v>52</v>
      </c>
      <c r="AO6" t="s">
        <v>53</v>
      </c>
      <c r="AP6" s="7" t="s">
        <v>54</v>
      </c>
      <c r="AS6" s="25" t="s">
        <v>227</v>
      </c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</row>
    <row r="7" spans="2:70" ht="30" customHeight="1" x14ac:dyDescent="0.3">
      <c r="B7" t="s">
        <v>23</v>
      </c>
      <c r="C7" s="11" t="s">
        <v>176</v>
      </c>
      <c r="D7">
        <v>1</v>
      </c>
      <c r="E7" s="11" t="str" cm="1">
        <f t="array" ref="E7">_xlfn.IFS(
    COUNTIF(Herramientas_eléctricas1862[Herramientas_eléctricas], B7) &gt; 0, Herramientas_eléctricas1862[[#Headers],[Herramientas_eléctricas]],
    COUNTIF(Herramientas_neumáticas1963[Herramientas_neumáticas], B7) &gt; 0, Herramientas_neumáticas1963[[#Headers],[Herramientas_neumáticas]],
    COUNTIF(Herramientas_de_medición2064[Herramientas_de_medición], B7) &gt; 0, Herramientas_de_medición2064[[#Headers],[Herramientas_de_medición]],
    COUNTIF(Herrramientas_mecánicas2165[Herramientas_mecánicas], B7) &gt; 0, Herrramientas_mecánicas2165[[#Headers],[Herramientas_mecánicas]],
    COUNTIF(AK7:AK13, B7) &gt; 0, Herramientas_hidráulicas2266[[#Headers],[Herramientas_hidráulicas]],
    COUNTIF(EPP_2367[SPCC], B7) &gt; 0, EPP_2367[[#Headers],[SPCC]],
   COUNTIF(Herramientas_de_izaje2468[Herramientas_de_izaje], B7) &gt; 0, Herramientas_de_izaje2468[[#Headers],[Herramientas_de_izaje]],
COUNTIF(Tabla162670[Equipos], B7) &gt; 0, Tabla162670[[#Headers],[Equipos]],
    TRUE, "Sin clasificación"
)</f>
        <v>Herramientas_eléctricas</v>
      </c>
      <c r="F7" s="15"/>
      <c r="G7" s="15" t="s">
        <v>639</v>
      </c>
      <c r="H7" s="47" t="s">
        <v>644</v>
      </c>
      <c r="I7" s="87"/>
      <c r="J7" s="78" t="s">
        <v>640</v>
      </c>
      <c r="K7" s="78">
        <v>2200</v>
      </c>
      <c r="L7" s="78">
        <v>220</v>
      </c>
      <c r="M7" s="78" t="s">
        <v>643</v>
      </c>
      <c r="N7" t="s">
        <v>646</v>
      </c>
      <c r="O7" s="47" t="s">
        <v>645</v>
      </c>
      <c r="P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ZE-AM-ELT-0002</v>
      </c>
      <c r="R7" s="15"/>
      <c r="T7" s="48"/>
      <c r="W7" s="49">
        <v>6</v>
      </c>
      <c r="X7" s="50" t="s">
        <v>176</v>
      </c>
      <c r="AC7" s="55">
        <v>6</v>
      </c>
      <c r="AD7" s="56" t="s">
        <v>10</v>
      </c>
      <c r="AG7" t="s">
        <v>55</v>
      </c>
      <c r="AI7" s="11" t="s">
        <v>56</v>
      </c>
      <c r="AJ7" s="5" t="s">
        <v>57</v>
      </c>
      <c r="AK7" t="s">
        <v>58</v>
      </c>
      <c r="AP7" s="13" t="s">
        <v>59</v>
      </c>
      <c r="AS7" s="15" t="s">
        <v>228</v>
      </c>
      <c r="AT7" s="15" t="s">
        <v>229</v>
      </c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</row>
    <row r="8" spans="2:70" ht="33.6" customHeight="1" x14ac:dyDescent="0.3">
      <c r="B8" t="s">
        <v>23</v>
      </c>
      <c r="C8" s="11" t="s">
        <v>176</v>
      </c>
      <c r="D8">
        <v>1</v>
      </c>
      <c r="E8" s="11" t="str" cm="1">
        <f t="array" ref="E8">_xlfn.IFS(
    COUNTIF(Herramientas_eléctricas1862[Herramientas_eléctricas], B8) &gt; 0, Herramientas_eléctricas1862[[#Headers],[Herramientas_eléctricas]],
    COUNTIF(Herramientas_neumáticas1963[Herramientas_neumáticas], B8) &gt; 0, Herramientas_neumáticas1963[[#Headers],[Herramientas_neumáticas]],
    COUNTIF(Herramientas_de_medición2064[Herramientas_de_medición], B8) &gt; 0, Herramientas_de_medición2064[[#Headers],[Herramientas_de_medición]],
    COUNTIF(Herrramientas_mecánicas2165[Herramientas_mecánicas], B8) &gt; 0, Herrramientas_mecánicas2165[[#Headers],[Herramientas_mecánicas]],
    COUNTIF(AK8:AK14, B8) &gt; 0, Herramientas_hidráulicas2266[[#Headers],[Herramientas_hidráulicas]],
    COUNTIF(EPP_2367[SPCC], B8) &gt; 0, EPP_2367[[#Headers],[SPCC]],
   COUNTIF(Herramientas_de_izaje2468[Herramientas_de_izaje], B8) &gt; 0, Herramientas_de_izaje2468[[#Headers],[Herramientas_de_izaje]],
COUNTIF(Tabla162670[Equipos], B8) &gt; 0, Tabla162670[[#Headers],[Equipos]],
    TRUE, "Sin clasificación"
)</f>
        <v>Herramientas_eléctricas</v>
      </c>
      <c r="F8" s="15"/>
      <c r="G8" s="15" t="s">
        <v>611</v>
      </c>
      <c r="H8" s="47" t="s">
        <v>647</v>
      </c>
      <c r="I8" s="87">
        <v>3.4</v>
      </c>
      <c r="J8" s="78" t="s">
        <v>648</v>
      </c>
      <c r="K8" s="78">
        <v>750</v>
      </c>
      <c r="L8" s="78" t="s">
        <v>616</v>
      </c>
      <c r="M8" s="78">
        <v>28000</v>
      </c>
      <c r="N8" t="s">
        <v>649</v>
      </c>
      <c r="O8" s="47">
        <v>207541</v>
      </c>
      <c r="P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ZE-AM-ELT-0003</v>
      </c>
      <c r="R8" s="15"/>
      <c r="T8" s="48"/>
      <c r="W8" s="49">
        <v>7</v>
      </c>
      <c r="X8" s="50" t="s">
        <v>177</v>
      </c>
      <c r="AG8" t="s">
        <v>60</v>
      </c>
      <c r="AI8" s="11" t="s">
        <v>61</v>
      </c>
      <c r="AJ8" t="s">
        <v>62</v>
      </c>
      <c r="AK8" t="s">
        <v>35</v>
      </c>
      <c r="AP8" s="14" t="s">
        <v>63</v>
      </c>
      <c r="AS8" s="25" t="s">
        <v>230</v>
      </c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</row>
    <row r="9" spans="2:70" ht="30" customHeight="1" x14ac:dyDescent="0.3">
      <c r="B9" t="s">
        <v>23</v>
      </c>
      <c r="C9" s="11" t="s">
        <v>176</v>
      </c>
      <c r="D9">
        <v>1</v>
      </c>
      <c r="E9" s="11" t="str" cm="1">
        <f t="array" ref="E9">_xlfn.IFS(
    COUNTIF(Herramientas_eléctricas1862[Herramientas_eléctricas], B9) &gt; 0, Herramientas_eléctricas1862[[#Headers],[Herramientas_eléctricas]],
    COUNTIF(Herramientas_neumáticas1963[Herramientas_neumáticas], B9) &gt; 0, Herramientas_neumáticas1963[[#Headers],[Herramientas_neumáticas]],
    COUNTIF(Herramientas_de_medición2064[Herramientas_de_medición], B9) &gt; 0, Herramientas_de_medición2064[[#Headers],[Herramientas_de_medición]],
    COUNTIF(Herrramientas_mecánicas2165[Herramientas_mecánicas], B9) &gt; 0, Herrramientas_mecánicas2165[[#Headers],[Herramientas_mecánicas]],
    COUNTIF(AK9:AK15, B9) &gt; 0, Herramientas_hidráulicas2266[[#Headers],[Herramientas_hidráulicas]],
    COUNTIF(EPP_2367[SPCC], B9) &gt; 0, EPP_2367[[#Headers],[SPCC]],
   COUNTIF(Herramientas_de_izaje2468[Herramientas_de_izaje], B9) &gt; 0, Herramientas_de_izaje2468[[#Headers],[Herramientas_de_izaje]],
COUNTIF(Tabla162670[Equipos], B9) &gt; 0, Tabla162670[[#Headers],[Equipos]],
    TRUE, "Sin clasificación"
)</f>
        <v>Herramientas_eléctricas</v>
      </c>
      <c r="F9" s="15"/>
      <c r="G9" s="15" t="s">
        <v>572</v>
      </c>
      <c r="H9" s="47" t="s">
        <v>650</v>
      </c>
      <c r="I9" s="87"/>
      <c r="J9" s="78" t="s">
        <v>651</v>
      </c>
      <c r="K9" s="78">
        <v>1200</v>
      </c>
      <c r="L9" s="78">
        <v>220</v>
      </c>
      <c r="M9" s="78">
        <v>11000</v>
      </c>
      <c r="N9" t="s">
        <v>652</v>
      </c>
      <c r="O9" s="47">
        <v>521067696</v>
      </c>
      <c r="P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ZE-AM-ELT-0004</v>
      </c>
      <c r="R9" s="15"/>
      <c r="T9" s="48"/>
      <c r="W9" s="49">
        <v>8</v>
      </c>
      <c r="X9" s="57" t="s">
        <v>178</v>
      </c>
      <c r="AC9" s="58" t="s">
        <v>210</v>
      </c>
      <c r="AG9" t="s">
        <v>64</v>
      </c>
      <c r="AI9" s="15" t="s">
        <v>65</v>
      </c>
      <c r="AJ9" t="s">
        <v>66</v>
      </c>
      <c r="AK9" s="16"/>
      <c r="AP9" s="9" t="s">
        <v>67</v>
      </c>
      <c r="AS9" s="25" t="s">
        <v>231</v>
      </c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</row>
    <row r="10" spans="2:70" ht="26.4" customHeight="1" x14ac:dyDescent="0.3">
      <c r="B10" t="s">
        <v>23</v>
      </c>
      <c r="C10" s="11" t="s">
        <v>176</v>
      </c>
      <c r="D10">
        <v>1</v>
      </c>
      <c r="E10" s="11" t="str" cm="1">
        <f t="array" ref="E10">_xlfn.IFS(
    COUNTIF(Herramientas_eléctricas1862[Herramientas_eléctricas], B10) &gt; 0, Herramientas_eléctricas1862[[#Headers],[Herramientas_eléctricas]],
    COUNTIF(Herramientas_neumáticas1963[Herramientas_neumáticas], B10) &gt; 0, Herramientas_neumáticas1963[[#Headers],[Herramientas_neumáticas]],
    COUNTIF(Herramientas_de_medición2064[Herramientas_de_medición], B10) &gt; 0, Herramientas_de_medición2064[[#Headers],[Herramientas_de_medición]],
    COUNTIF(Herrramientas_mecánicas2165[Herramientas_mecánicas], B10) &gt; 0, Herrramientas_mecánicas2165[[#Headers],[Herramientas_mecánicas]],
    COUNTIF(AK10:AK16, B10) &gt; 0, Herramientas_hidráulicas2266[[#Headers],[Herramientas_hidráulicas]],
    COUNTIF(EPP_2367[SPCC], B10) &gt; 0, EPP_2367[[#Headers],[SPCC]],
   COUNTIF(Herramientas_de_izaje2468[Herramientas_de_izaje], B10) &gt; 0, Herramientas_de_izaje2468[[#Headers],[Herramientas_de_izaje]],
COUNTIF(Tabla162670[Equipos], B10) &gt; 0, Tabla162670[[#Headers],[Equipos]],
    TRUE, "Sin clasificación"
)</f>
        <v>Herramientas_eléctricas</v>
      </c>
      <c r="F10" s="15"/>
      <c r="G10" s="15" t="s">
        <v>572</v>
      </c>
      <c r="H10" s="47" t="s">
        <v>653</v>
      </c>
      <c r="I10" s="87"/>
      <c r="J10" s="78" t="s">
        <v>595</v>
      </c>
      <c r="K10" s="78">
        <v>670</v>
      </c>
      <c r="L10" s="78">
        <v>220</v>
      </c>
      <c r="M10" s="78">
        <v>12000</v>
      </c>
      <c r="N10" t="s">
        <v>654</v>
      </c>
      <c r="O10" s="47" t="s">
        <v>645</v>
      </c>
      <c r="P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ZE-AM-ELT-0005</v>
      </c>
      <c r="R10" s="15"/>
      <c r="T10" s="48"/>
      <c r="W10" s="49">
        <v>9</v>
      </c>
      <c r="X10" s="57" t="s">
        <v>179</v>
      </c>
      <c r="AC10" s="59" t="s">
        <v>232</v>
      </c>
      <c r="AG10" s="17" t="s">
        <v>68</v>
      </c>
      <c r="AI10" s="15" t="s">
        <v>69</v>
      </c>
      <c r="AJ10" t="s">
        <v>70</v>
      </c>
      <c r="AP10" s="18" t="s">
        <v>71</v>
      </c>
      <c r="AS10" s="15" t="s">
        <v>95</v>
      </c>
    </row>
    <row r="11" spans="2:70" ht="33.6" customHeight="1" x14ac:dyDescent="0.3">
      <c r="B11" t="s">
        <v>23</v>
      </c>
      <c r="C11" s="11" t="s">
        <v>176</v>
      </c>
      <c r="E11" s="11" t="str" cm="1">
        <f t="array" ref="E11">_xlfn.IFS(
    COUNTIF(Herramientas_eléctricas1862[Herramientas_eléctricas], B11) &gt; 0, Herramientas_eléctricas1862[[#Headers],[Herramientas_eléctricas]],
    COUNTIF(Herramientas_neumáticas1963[Herramientas_neumáticas], B11) &gt; 0, Herramientas_neumáticas1963[[#Headers],[Herramientas_neumáticas]],
    COUNTIF(Herramientas_de_medición2064[Herramientas_de_medición], B11) &gt; 0, Herramientas_de_medición2064[[#Headers],[Herramientas_de_medición]],
    COUNTIF(Herrramientas_mecánicas2165[Herramientas_mecánicas], B11) &gt; 0, Herrramientas_mecánicas2165[[#Headers],[Herramientas_mecánicas]],
    COUNTIF(AK11:AK17, B11) &gt; 0, Herramientas_hidráulicas2266[[#Headers],[Herramientas_hidráulicas]],
    COUNTIF(EPP_2367[SPCC], B11) &gt; 0, EPP_2367[[#Headers],[SPCC]],
   COUNTIF(Herramientas_de_izaje2468[Herramientas_de_izaje], B11) &gt; 0, Herramientas_de_izaje2468[[#Headers],[Herramientas_de_izaje]],
COUNTIF(Tabla162670[Equipos], B11) &gt; 0, Tabla162670[[#Headers],[Equipos]],
    TRUE, "Sin clasificación"
)</f>
        <v>Herramientas_eléctricas</v>
      </c>
      <c r="F11" s="15"/>
      <c r="G11" s="15" t="s">
        <v>611</v>
      </c>
      <c r="H11" s="85" t="s">
        <v>655</v>
      </c>
      <c r="I11" s="88">
        <v>3.8</v>
      </c>
      <c r="J11" s="86" t="s">
        <v>595</v>
      </c>
      <c r="K11" s="86">
        <v>840</v>
      </c>
      <c r="L11" s="86" t="s">
        <v>616</v>
      </c>
      <c r="M11" s="86">
        <v>11000</v>
      </c>
      <c r="N11" t="s">
        <v>656</v>
      </c>
      <c r="O11" s="47">
        <v>504192</v>
      </c>
      <c r="P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ZE-AM-ELT-0006</v>
      </c>
      <c r="R11" s="15"/>
      <c r="T11" s="48"/>
      <c r="W11" s="60">
        <v>10</v>
      </c>
      <c r="X11" s="61" t="s">
        <v>180</v>
      </c>
      <c r="AC11" s="59" t="s">
        <v>233</v>
      </c>
      <c r="AG11" s="8" t="s">
        <v>72</v>
      </c>
      <c r="AI11" s="15" t="s">
        <v>73</v>
      </c>
      <c r="AJ11" t="s">
        <v>74</v>
      </c>
      <c r="AP11" s="18" t="s">
        <v>75</v>
      </c>
      <c r="BD11" s="62"/>
    </row>
    <row r="12" spans="2:70" ht="28.8" x14ac:dyDescent="0.3">
      <c r="B12" t="s">
        <v>23</v>
      </c>
      <c r="C12" s="11" t="s">
        <v>176</v>
      </c>
      <c r="E12" s="11" t="str" cm="1">
        <f t="array" ref="E12">_xlfn.IFS(
    COUNTIF(Herramientas_eléctricas1862[Herramientas_eléctricas], B12) &gt; 0, Herramientas_eléctricas1862[[#Headers],[Herramientas_eléctricas]],
    COUNTIF(Herramientas_neumáticas1963[Herramientas_neumáticas], B12) &gt; 0, Herramientas_neumáticas1963[[#Headers],[Herramientas_neumáticas]],
    COUNTIF(Herramientas_de_medición2064[Herramientas_de_medición], B12) &gt; 0, Herramientas_de_medición2064[[#Headers],[Herramientas_de_medición]],
    COUNTIF(Herrramientas_mecánicas2165[Herramientas_mecánicas], B12) &gt; 0, Herrramientas_mecánicas2165[[#Headers],[Herramientas_mecánicas]],
    COUNTIF(AK12:AK18, B12) &gt; 0, Herramientas_hidráulicas2266[[#Headers],[Herramientas_hidráulicas]],
    COUNTIF(EPP_2367[SPCC], B12) &gt; 0, EPP_2367[[#Headers],[SPCC]],
   COUNTIF(Herramientas_de_izaje2468[Herramientas_de_izaje], B12) &gt; 0, Herramientas_de_izaje2468[[#Headers],[Herramientas_de_izaje]],
COUNTIF(Tabla162670[Equipos], B12) &gt; 0, Tabla162670[[#Headers],[Equipos]],
    TRUE, "Sin clasificación"
)</f>
        <v>Herramientas_eléctricas</v>
      </c>
      <c r="F12" s="15"/>
      <c r="G12" s="15" t="s">
        <v>572</v>
      </c>
      <c r="H12" s="47" t="s">
        <v>671</v>
      </c>
      <c r="I12" s="87">
        <v>12</v>
      </c>
      <c r="J12" s="78" t="s">
        <v>672</v>
      </c>
      <c r="K12" s="78">
        <v>2400</v>
      </c>
      <c r="L12" s="78" t="s">
        <v>616</v>
      </c>
      <c r="M12" s="78">
        <v>3800</v>
      </c>
      <c r="N12" t="s">
        <v>673</v>
      </c>
      <c r="O12" s="47">
        <v>524001606</v>
      </c>
      <c r="P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ZE-AM-ELT-0007</v>
      </c>
      <c r="R12" s="15"/>
      <c r="T12" s="48"/>
      <c r="W12" s="60">
        <v>11</v>
      </c>
      <c r="X12" s="61" t="s">
        <v>181</v>
      </c>
      <c r="AC12" s="33" t="s">
        <v>234</v>
      </c>
      <c r="AG12" t="s">
        <v>19</v>
      </c>
      <c r="AH12" t="s">
        <v>76</v>
      </c>
      <c r="AI12" s="15" t="s">
        <v>77</v>
      </c>
      <c r="AJ12" t="s">
        <v>78</v>
      </c>
      <c r="AP12" s="19" t="s">
        <v>79</v>
      </c>
      <c r="AS12" s="11"/>
    </row>
    <row r="13" spans="2:70" x14ac:dyDescent="0.3">
      <c r="B13" t="s">
        <v>23</v>
      </c>
      <c r="C13" s="11" t="s">
        <v>176</v>
      </c>
      <c r="E13" s="11" t="str" cm="1">
        <f t="array" ref="E13">_xlfn.IFS(
    COUNTIF(Herramientas_eléctricas1862[Herramientas_eléctricas], B13) &gt; 0, Herramientas_eléctricas1862[[#Headers],[Herramientas_eléctricas]],
    COUNTIF(Herramientas_neumáticas1963[Herramientas_neumáticas], B13) &gt; 0, Herramientas_neumáticas1963[[#Headers],[Herramientas_neumáticas]],
    COUNTIF(Herramientas_de_medición2064[Herramientas_de_medición], B13) &gt; 0, Herramientas_de_medición2064[[#Headers],[Herramientas_de_medición]],
    COUNTIF(Herrramientas_mecánicas2165[Herramientas_mecánicas], B13) &gt; 0, Herrramientas_mecánicas2165[[#Headers],[Herramientas_mecánicas]],
    COUNTIF(AK13:AK19, B13) &gt; 0, Herramientas_hidráulicas2266[[#Headers],[Herramientas_hidráulicas]],
    COUNTIF(EPP_2367[SPCC], B13) &gt; 0, EPP_2367[[#Headers],[SPCC]],
   COUNTIF(Herramientas_de_izaje2468[Herramientas_de_izaje], B13) &gt; 0, Herramientas_de_izaje2468[[#Headers],[Herramientas_de_izaje]],
COUNTIF(Tabla162670[Equipos], B13) &gt; 0, Tabla162670[[#Headers],[Equipos]],
    TRUE, "Sin clasificación"
)</f>
        <v>Herramientas_eléctricas</v>
      </c>
      <c r="F13" s="15"/>
      <c r="G13" s="15" t="s">
        <v>572</v>
      </c>
      <c r="H13" s="47" t="s">
        <v>683</v>
      </c>
      <c r="I13" s="87">
        <v>10.5</v>
      </c>
      <c r="J13" s="78" t="s">
        <v>672</v>
      </c>
      <c r="K13" s="78">
        <v>2300</v>
      </c>
      <c r="L13" s="78">
        <v>220</v>
      </c>
      <c r="M13" s="78">
        <v>4100</v>
      </c>
      <c r="N13" t="s">
        <v>684</v>
      </c>
      <c r="O13" s="47">
        <v>526000012</v>
      </c>
      <c r="P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ZE-AM-ELT-0008</v>
      </c>
      <c r="R13" s="15"/>
      <c r="T13" s="48"/>
      <c r="W13" s="60">
        <v>12</v>
      </c>
      <c r="X13" s="61" t="s">
        <v>892</v>
      </c>
      <c r="AG13" t="s">
        <v>80</v>
      </c>
      <c r="AI13" s="15" t="s">
        <v>81</v>
      </c>
      <c r="AJ13" t="s">
        <v>82</v>
      </c>
      <c r="AP13" s="20" t="s">
        <v>83</v>
      </c>
      <c r="AS13" s="11"/>
      <c r="AX13" s="11"/>
    </row>
    <row r="14" spans="2:70" x14ac:dyDescent="0.3">
      <c r="B14" t="s">
        <v>23</v>
      </c>
      <c r="C14" s="11" t="s">
        <v>176</v>
      </c>
      <c r="E14" s="11" t="str" cm="1">
        <f t="array" ref="E14">_xlfn.IFS(
    COUNTIF(Herramientas_eléctricas1862[Herramientas_eléctricas], B14) &gt; 0, Herramientas_eléctricas1862[[#Headers],[Herramientas_eléctricas]],
    COUNTIF(Herramientas_neumáticas1963[Herramientas_neumáticas], B14) &gt; 0, Herramientas_neumáticas1963[[#Headers],[Herramientas_neumáticas]],
    COUNTIF(Herramientas_de_medición2064[Herramientas_de_medición], B14) &gt; 0, Herramientas_de_medición2064[[#Headers],[Herramientas_de_medición]],
    COUNTIF(Herrramientas_mecánicas2165[Herramientas_mecánicas], B14) &gt; 0, Herrramientas_mecánicas2165[[#Headers],[Herramientas_mecánicas]],
    COUNTIF(AK14:AK20, B14) &gt; 0, Herramientas_hidráulicas2266[[#Headers],[Herramientas_hidráulicas]],
    COUNTIF(EPP_2367[SPCC], B14) &gt; 0, EPP_2367[[#Headers],[SPCC]],
   COUNTIF(Herramientas_de_izaje2468[Herramientas_de_izaje], B14) &gt; 0, Herramientas_de_izaje2468[[#Headers],[Herramientas_de_izaje]],
COUNTIF(Tabla162670[Equipos], B14) &gt; 0, Tabla162670[[#Headers],[Equipos]],
    TRUE, "Sin clasificación"
)</f>
        <v>Herramientas_eléctricas</v>
      </c>
      <c r="F14" s="15"/>
      <c r="G14" s="15" t="s">
        <v>572</v>
      </c>
      <c r="H14" s="47" t="s">
        <v>701</v>
      </c>
      <c r="I14" s="87"/>
      <c r="J14" s="78"/>
      <c r="K14" s="78"/>
      <c r="L14" s="78"/>
      <c r="M14" s="78"/>
      <c r="N14" t="s">
        <v>700</v>
      </c>
      <c r="O14" s="47"/>
      <c r="P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ZE-AM-ELT-0009</v>
      </c>
      <c r="R14" s="15"/>
      <c r="T14" s="48" t="s">
        <v>224</v>
      </c>
      <c r="U14" t="s">
        <v>702</v>
      </c>
      <c r="AG14" t="s">
        <v>84</v>
      </c>
      <c r="AI14" s="15" t="s">
        <v>85</v>
      </c>
      <c r="AJ14" t="s">
        <v>86</v>
      </c>
      <c r="AP14" s="18" t="s">
        <v>87</v>
      </c>
    </row>
    <row r="15" spans="2:70" ht="43.95" customHeight="1" x14ac:dyDescent="0.3">
      <c r="B15" t="s">
        <v>23</v>
      </c>
      <c r="C15" s="11" t="s">
        <v>180</v>
      </c>
      <c r="E15" s="11" t="str" cm="1">
        <f t="array" ref="E15">_xlfn.IFS(
    COUNTIF(Herramientas_eléctricas1862[Herramientas_eléctricas], B15) &gt; 0, Herramientas_eléctricas1862[[#Headers],[Herramientas_eléctricas]],
    COUNTIF(Herramientas_neumáticas1963[Herramientas_neumáticas], B15) &gt; 0, Herramientas_neumáticas1963[[#Headers],[Herramientas_neumáticas]],
    COUNTIF(Herramientas_de_medición2064[Herramientas_de_medición], B15) &gt; 0, Herramientas_de_medición2064[[#Headers],[Herramientas_de_medición]],
    COUNTIF(Herrramientas_mecánicas2165[Herramientas_mecánicas], B15) &gt; 0, Herrramientas_mecánicas2165[[#Headers],[Herramientas_mecánicas]],
    COUNTIF(AK15:AK21, B15) &gt; 0, Herramientas_hidráulicas2266[[#Headers],[Herramientas_hidráulicas]],
    COUNTIF(EPP_2367[SPCC], B15) &gt; 0, EPP_2367[[#Headers],[SPCC]],
   COUNTIF(Herramientas_de_izaje2468[Herramientas_de_izaje], B15) &gt; 0, Herramientas_de_izaje2468[[#Headers],[Herramientas_de_izaje]],
COUNTIF(Tabla162670[Equipos], B15) &gt; 0, Tabla162670[[#Headers],[Equipos]],
    TRUE, "Sin clasificación"
)</f>
        <v>Herramientas_eléctricas</v>
      </c>
      <c r="F15" s="15"/>
      <c r="G15" s="15" t="s">
        <v>572</v>
      </c>
      <c r="H15" s="47" t="s">
        <v>703</v>
      </c>
      <c r="I15" s="87">
        <v>6.1</v>
      </c>
      <c r="J15" s="78" t="s">
        <v>651</v>
      </c>
      <c r="K15" s="78">
        <v>1300</v>
      </c>
      <c r="L15" s="78">
        <v>220</v>
      </c>
      <c r="M15" s="78">
        <v>11500</v>
      </c>
      <c r="O15" s="47">
        <v>601000591</v>
      </c>
      <c r="P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ZE-AM-CO-0001</v>
      </c>
      <c r="R15" s="15"/>
      <c r="T15" s="48"/>
      <c r="AG15" t="s">
        <v>88</v>
      </c>
      <c r="AI15" t="s">
        <v>89</v>
      </c>
      <c r="AJ15" t="s">
        <v>90</v>
      </c>
      <c r="AP15" s="21" t="s">
        <v>91</v>
      </c>
      <c r="AS15" s="11"/>
    </row>
    <row r="16" spans="2:70" x14ac:dyDescent="0.3">
      <c r="B16" t="s">
        <v>23</v>
      </c>
      <c r="C16" s="11" t="s">
        <v>175</v>
      </c>
      <c r="E16" s="11" t="str" cm="1">
        <f t="array" ref="E16">_xlfn.IFS(
    COUNTIF(Herramientas_eléctricas1862[Herramientas_eléctricas], B16) &gt; 0, Herramientas_eléctricas1862[[#Headers],[Herramientas_eléctricas]],
    COUNTIF(Herramientas_neumáticas1963[Herramientas_neumáticas], B16) &gt; 0, Herramientas_neumáticas1963[[#Headers],[Herramientas_neumáticas]],
    COUNTIF(Herramientas_de_medición2064[Herramientas_de_medición], B16) &gt; 0, Herramientas_de_medición2064[[#Headers],[Herramientas_de_medición]],
    COUNTIF(Herrramientas_mecánicas2165[Herramientas_mecánicas], B16) &gt; 0, Herrramientas_mecánicas2165[[#Headers],[Herramientas_mecánicas]],
    COUNTIF(AK16:AK22, B16) &gt; 0, Herramientas_hidráulicas2266[[#Headers],[Herramientas_hidráulicas]],
    COUNTIF(EPP_2367[SPCC], B16) &gt; 0, EPP_2367[[#Headers],[SPCC]],
   COUNTIF(Herramientas_de_izaje2468[Herramientas_de_izaje], B16) &gt; 0, Herramientas_de_izaje2468[[#Headers],[Herramientas_de_izaje]],
COUNTIF(Tabla162670[Equipos], B16) &gt; 0, Tabla162670[[#Headers],[Equipos]],
    TRUE, "Sin clasificación"
)</f>
        <v>Herramientas_eléctricas</v>
      </c>
      <c r="F16" s="15"/>
      <c r="G16" s="15" t="s">
        <v>572</v>
      </c>
      <c r="H16" s="47" t="s">
        <v>704</v>
      </c>
      <c r="I16" s="87">
        <v>11.9</v>
      </c>
      <c r="J16" s="78" t="s">
        <v>746</v>
      </c>
      <c r="K16" s="78">
        <v>2600</v>
      </c>
      <c r="L16" s="78">
        <v>220</v>
      </c>
      <c r="M16" s="78">
        <v>8500</v>
      </c>
      <c r="N16" t="s">
        <v>705</v>
      </c>
      <c r="O16" s="47">
        <v>607270169</v>
      </c>
      <c r="P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ZE-AM-LU-0001</v>
      </c>
      <c r="R16" s="15"/>
      <c r="T16" s="48"/>
      <c r="AG16" t="s">
        <v>41</v>
      </c>
      <c r="AI16" t="s">
        <v>62</v>
      </c>
      <c r="AJ16" s="11" t="s">
        <v>92</v>
      </c>
      <c r="AK16" s="22"/>
      <c r="AP16" s="23" t="s">
        <v>93</v>
      </c>
    </row>
    <row r="17" spans="2:45" x14ac:dyDescent="0.3">
      <c r="B17" t="s">
        <v>23</v>
      </c>
      <c r="C17" s="11" t="s">
        <v>175</v>
      </c>
      <c r="E17" s="11" t="str" cm="1">
        <f t="array" ref="E17">_xlfn.IFS(
    COUNTIF(Herramientas_eléctricas1862[Herramientas_eléctricas], B17) &gt; 0, Herramientas_eléctricas1862[[#Headers],[Herramientas_eléctricas]],
    COUNTIF(Herramientas_neumáticas1963[Herramientas_neumáticas], B17) &gt; 0, Herramientas_neumáticas1963[[#Headers],[Herramientas_neumáticas]],
    COUNTIF(Herramientas_de_medición2064[Herramientas_de_medición], B17) &gt; 0, Herramientas_de_medición2064[[#Headers],[Herramientas_de_medición]],
    COUNTIF(Herrramientas_mecánicas2165[Herramientas_mecánicas], B17) &gt; 0, Herrramientas_mecánicas2165[[#Headers],[Herramientas_mecánicas]],
    COUNTIF(AK17:AK23, B17) &gt; 0, Herramientas_hidráulicas2266[[#Headers],[Herramientas_hidráulicas]],
    COUNTIF(EPP_2367[SPCC], B17) &gt; 0, EPP_2367[[#Headers],[SPCC]],
   COUNTIF(Herramientas_de_izaje2468[Herramientas_de_izaje], B17) &gt; 0, Herramientas_de_izaje2468[[#Headers],[Herramientas_de_izaje]],
COUNTIF(Tabla162670[Equipos], B17) &gt; 0, Tabla162670[[#Headers],[Equipos]],
    TRUE, "Sin clasificación"
)</f>
        <v>Herramientas_eléctricas</v>
      </c>
      <c r="F17" s="15"/>
      <c r="G17" s="15" t="s">
        <v>572</v>
      </c>
      <c r="H17" s="47" t="s">
        <v>704</v>
      </c>
      <c r="I17" s="87">
        <v>11.9</v>
      </c>
      <c r="J17" s="78" t="s">
        <v>746</v>
      </c>
      <c r="K17" s="78">
        <v>2600</v>
      </c>
      <c r="L17" s="78">
        <v>220</v>
      </c>
      <c r="M17" s="78">
        <v>8500</v>
      </c>
      <c r="N17" t="s">
        <v>706</v>
      </c>
      <c r="O17" s="47"/>
      <c r="P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ZE-AM-LU-0002</v>
      </c>
      <c r="R17" s="15"/>
      <c r="T17" s="48"/>
      <c r="AG17" s="24" t="s">
        <v>94</v>
      </c>
      <c r="AJ17" s="15" t="s">
        <v>95</v>
      </c>
      <c r="AK17" s="14"/>
      <c r="AP17" s="25" t="s">
        <v>96</v>
      </c>
      <c r="AS17" s="11"/>
    </row>
    <row r="18" spans="2:45" x14ac:dyDescent="0.3">
      <c r="B18" t="s">
        <v>23</v>
      </c>
      <c r="C18" s="11" t="s">
        <v>171</v>
      </c>
      <c r="E18" s="11" t="str" cm="1">
        <f t="array" ref="E18">_xlfn.IFS(
    COUNTIF(Herramientas_eléctricas1862[Herramientas_eléctricas], B18) &gt; 0, Herramientas_eléctricas1862[[#Headers],[Herramientas_eléctricas]],
    COUNTIF(Herramientas_neumáticas1963[Herramientas_neumáticas], B18) &gt; 0, Herramientas_neumáticas1963[[#Headers],[Herramientas_neumáticas]],
    COUNTIF(Herramientas_de_medición2064[Herramientas_de_medición], B18) &gt; 0, Herramientas_de_medición2064[[#Headers],[Herramientas_de_medición]],
    COUNTIF(Herrramientas_mecánicas2165[Herramientas_mecánicas], B18) &gt; 0, Herrramientas_mecánicas2165[[#Headers],[Herramientas_mecánicas]],
    COUNTIF(AK18:AK24, B18) &gt; 0, Herramientas_hidráulicas2266[[#Headers],[Herramientas_hidráulicas]],
    COUNTIF(EPP_2367[SPCC], B18) &gt; 0, EPP_2367[[#Headers],[SPCC]],
   COUNTIF(Herramientas_de_izaje2468[Herramientas_de_izaje], B18) &gt; 0, Herramientas_de_izaje2468[[#Headers],[Herramientas_de_izaje]],
COUNTIF(Tabla162670[Equipos], B18) &gt; 0, Tabla162670[[#Headers],[Equipos]],
    TRUE, "Sin clasificación"
)</f>
        <v>Herramientas_eléctricas</v>
      </c>
      <c r="F18" s="15"/>
      <c r="G18" s="15" t="s">
        <v>572</v>
      </c>
      <c r="H18" s="47" t="s">
        <v>704</v>
      </c>
      <c r="I18" s="87">
        <v>11.9</v>
      </c>
      <c r="J18" s="78" t="s">
        <v>746</v>
      </c>
      <c r="K18" s="78">
        <v>2600</v>
      </c>
      <c r="L18" s="78">
        <v>220</v>
      </c>
      <c r="M18" s="78">
        <v>8500</v>
      </c>
      <c r="N18" t="s">
        <v>747</v>
      </c>
      <c r="O18" s="47"/>
      <c r="P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ZE-AM-CH-0001</v>
      </c>
      <c r="R18" s="15"/>
      <c r="T18" s="48"/>
      <c r="AG18" t="s">
        <v>97</v>
      </c>
      <c r="AJ18" t="s">
        <v>98</v>
      </c>
      <c r="AP18" s="25" t="s">
        <v>99</v>
      </c>
    </row>
    <row r="19" spans="2:45" x14ac:dyDescent="0.3">
      <c r="B19" t="s">
        <v>23</v>
      </c>
      <c r="C19" s="11" t="s">
        <v>171</v>
      </c>
      <c r="E19" s="11" t="str" cm="1">
        <f t="array" ref="E19">_xlfn.IFS(
    COUNTIF(Herramientas_eléctricas1862[Herramientas_eléctricas], B19) &gt; 0, Herramientas_eléctricas1862[[#Headers],[Herramientas_eléctricas]],
    COUNTIF(Herramientas_neumáticas1963[Herramientas_neumáticas], B19) &gt; 0, Herramientas_neumáticas1963[[#Headers],[Herramientas_neumáticas]],
    COUNTIF(Herramientas_de_medición2064[Herramientas_de_medición], B19) &gt; 0, Herramientas_de_medición2064[[#Headers],[Herramientas_de_medición]],
    COUNTIF(Herrramientas_mecánicas2165[Herramientas_mecánicas], B19) &gt; 0, Herrramientas_mecánicas2165[[#Headers],[Herramientas_mecánicas]],
    COUNTIF(AK19:AK25, B19) &gt; 0, Herramientas_hidráulicas2266[[#Headers],[Herramientas_hidráulicas]],
    COUNTIF(EPP_2367[SPCC], B19) &gt; 0, EPP_2367[[#Headers],[SPCC]],
   COUNTIF(Herramientas_de_izaje2468[Herramientas_de_izaje], B19) &gt; 0, Herramientas_de_izaje2468[[#Headers],[Herramientas_de_izaje]],
COUNTIF(Tabla162670[Equipos], B19) &gt; 0, Tabla162670[[#Headers],[Equipos]],
    TRUE, "Sin clasificación"
)</f>
        <v>Herramientas_eléctricas</v>
      </c>
      <c r="F19" s="15"/>
      <c r="G19" s="15" t="s">
        <v>572</v>
      </c>
      <c r="H19" s="47" t="s">
        <v>748</v>
      </c>
      <c r="I19" s="87">
        <v>8</v>
      </c>
      <c r="J19" s="78">
        <v>125</v>
      </c>
      <c r="K19" s="78">
        <v>1700</v>
      </c>
      <c r="L19" s="78">
        <v>220</v>
      </c>
      <c r="M19" s="78"/>
      <c r="N19" t="s">
        <v>749</v>
      </c>
      <c r="O19" s="47">
        <v>230000192</v>
      </c>
      <c r="P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ZE-AM-CH-0002</v>
      </c>
      <c r="R19" s="15"/>
      <c r="T19" s="48"/>
      <c r="AG19" t="s">
        <v>42</v>
      </c>
      <c r="AJ19" s="11" t="s">
        <v>41</v>
      </c>
      <c r="AP19" t="s">
        <v>100</v>
      </c>
    </row>
    <row r="20" spans="2:45" x14ac:dyDescent="0.3">
      <c r="B20" t="s">
        <v>23</v>
      </c>
      <c r="C20" s="11" t="s">
        <v>171</v>
      </c>
      <c r="E20" s="11" t="str" cm="1">
        <f t="array" ref="E20">_xlfn.IFS(
    COUNTIF(Herramientas_eléctricas1862[Herramientas_eléctricas], B20) &gt; 0, Herramientas_eléctricas1862[[#Headers],[Herramientas_eléctricas]],
    COUNTIF(Herramientas_neumáticas1963[Herramientas_neumáticas], B20) &gt; 0, Herramientas_neumáticas1963[[#Headers],[Herramientas_neumáticas]],
    COUNTIF(Herramientas_de_medición2064[Herramientas_de_medición], B20) &gt; 0, Herramientas_de_medición2064[[#Headers],[Herramientas_de_medición]],
    COUNTIF(Herrramientas_mecánicas2165[Herramientas_mecánicas], B20) &gt; 0, Herrramientas_mecánicas2165[[#Headers],[Herramientas_mecánicas]],
    COUNTIF(AK20:AK26, B20) &gt; 0, Herramientas_hidráulicas2266[[#Headers],[Herramientas_hidráulicas]],
    COUNTIF(EPP_2367[SPCC], B20) &gt; 0, EPP_2367[[#Headers],[SPCC]],
   COUNTIF(Herramientas_de_izaje2468[Herramientas_de_izaje], B20) &gt; 0, Herramientas_de_izaje2468[[#Headers],[Herramientas_de_izaje]],
COUNTIF(Tabla162670[Equipos], B20) &gt; 0, Tabla162670[[#Headers],[Equipos]],
    TRUE, "Sin clasificación"
)</f>
        <v>Herramientas_eléctricas</v>
      </c>
      <c r="F20" s="15"/>
      <c r="G20" s="15" t="s">
        <v>572</v>
      </c>
      <c r="H20" s="47" t="s">
        <v>750</v>
      </c>
      <c r="I20" s="87">
        <v>13.4</v>
      </c>
      <c r="J20" s="78">
        <v>180</v>
      </c>
      <c r="K20" s="78">
        <v>2800</v>
      </c>
      <c r="L20" s="78">
        <v>220</v>
      </c>
      <c r="M20" s="78">
        <v>8500</v>
      </c>
      <c r="N20" t="s">
        <v>751</v>
      </c>
      <c r="O20" s="47">
        <v>523100131</v>
      </c>
      <c r="P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ZE-AM-CH-0003</v>
      </c>
      <c r="R20" s="15"/>
      <c r="T20" s="48" t="s">
        <v>224</v>
      </c>
      <c r="AG20" t="s">
        <v>101</v>
      </c>
      <c r="AJ20" t="s">
        <v>102</v>
      </c>
      <c r="AP20" s="26" t="s">
        <v>103</v>
      </c>
    </row>
    <row r="21" spans="2:45" x14ac:dyDescent="0.3">
      <c r="B21" t="s">
        <v>23</v>
      </c>
      <c r="C21" s="11" t="s">
        <v>171</v>
      </c>
      <c r="E21" s="11" t="str" cm="1">
        <f t="array" ref="E21">_xlfn.IFS(
    COUNTIF(Herramientas_eléctricas1862[Herramientas_eléctricas], B21) &gt; 0, Herramientas_eléctricas1862[[#Headers],[Herramientas_eléctricas]],
    COUNTIF(Herramientas_neumáticas1963[Herramientas_neumáticas], B21) &gt; 0, Herramientas_neumáticas1963[[#Headers],[Herramientas_neumáticas]],
    COUNTIF(Herramientas_de_medición2064[Herramientas_de_medición], B21) &gt; 0, Herramientas_de_medición2064[[#Headers],[Herramientas_de_medición]],
    COUNTIF(Herrramientas_mecánicas2165[Herramientas_mecánicas], B21) &gt; 0, Herrramientas_mecánicas2165[[#Headers],[Herramientas_mecánicas]],
    COUNTIF(AK21:AK27, B21) &gt; 0, Herramientas_hidráulicas2266[[#Headers],[Herramientas_hidráulicas]],
    COUNTIF(EPP_2367[SPCC], B21) &gt; 0, EPP_2367[[#Headers],[SPCC]],
   COUNTIF(Herramientas_de_izaje2468[Herramientas_de_izaje], B21) &gt; 0, Herramientas_de_izaje2468[[#Headers],[Herramientas_de_izaje]],
COUNTIF(Tabla162670[Equipos], B21) &gt; 0, Tabla162670[[#Headers],[Equipos]],
    TRUE, "Sin clasificación"
)</f>
        <v>Herramientas_eléctricas</v>
      </c>
      <c r="F21" s="15"/>
      <c r="G21" s="15" t="s">
        <v>572</v>
      </c>
      <c r="H21" s="47" t="s">
        <v>752</v>
      </c>
      <c r="I21" s="87"/>
      <c r="J21" s="78">
        <v>125</v>
      </c>
      <c r="K21" s="78">
        <v>1800</v>
      </c>
      <c r="L21" s="78">
        <v>220</v>
      </c>
      <c r="M21" s="78">
        <v>12000</v>
      </c>
      <c r="N21" t="s">
        <v>753</v>
      </c>
      <c r="O21" s="47">
        <v>521000330</v>
      </c>
      <c r="P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ZE-AM-CH-0004</v>
      </c>
      <c r="R21" s="15"/>
      <c r="T21" s="48"/>
      <c r="AG21" s="6"/>
      <c r="AJ21" s="6" t="s">
        <v>20</v>
      </c>
    </row>
    <row r="22" spans="2:45" x14ac:dyDescent="0.3">
      <c r="B22" t="s">
        <v>23</v>
      </c>
      <c r="C22" s="11" t="s">
        <v>171</v>
      </c>
      <c r="E22" s="11" t="str" cm="1">
        <f t="array" ref="E22">_xlfn.IFS(
    COUNTIF(Herramientas_eléctricas1862[Herramientas_eléctricas], B22) &gt; 0, Herramientas_eléctricas1862[[#Headers],[Herramientas_eléctricas]],
    COUNTIF(Herramientas_neumáticas1963[Herramientas_neumáticas], B22) &gt; 0, Herramientas_neumáticas1963[[#Headers],[Herramientas_neumáticas]],
    COUNTIF(Herramientas_de_medición2064[Herramientas_de_medición], B22) &gt; 0, Herramientas_de_medición2064[[#Headers],[Herramientas_de_medición]],
    COUNTIF(Herrramientas_mecánicas2165[Herramientas_mecánicas], B22) &gt; 0, Herrramientas_mecánicas2165[[#Headers],[Herramientas_mecánicas]],
    COUNTIF(AK22:AK28, B22) &gt; 0, Herramientas_hidráulicas2266[[#Headers],[Herramientas_hidráulicas]],
    COUNTIF(EPP_2367[SPCC], B22) &gt; 0, EPP_2367[[#Headers],[SPCC]],
   COUNTIF(Herramientas_de_izaje2468[Herramientas_de_izaje], B22) &gt; 0, Herramientas_de_izaje2468[[#Headers],[Herramientas_de_izaje]],
COUNTIF(Tabla162670[Equipos], B22) &gt; 0, Tabla162670[[#Headers],[Equipos]],
    TRUE, "Sin clasificación"
)</f>
        <v>Herramientas_eléctricas</v>
      </c>
      <c r="F22" s="15"/>
      <c r="G22" s="15" t="s">
        <v>572</v>
      </c>
      <c r="H22" s="47" t="s">
        <v>754</v>
      </c>
      <c r="I22" s="87">
        <v>5.6</v>
      </c>
      <c r="J22" s="78">
        <v>125</v>
      </c>
      <c r="K22" s="78">
        <v>1200</v>
      </c>
      <c r="L22" s="78">
        <v>220</v>
      </c>
      <c r="M22" s="78">
        <v>11500</v>
      </c>
      <c r="N22" t="s">
        <v>755</v>
      </c>
      <c r="O22" s="47">
        <v>502006250</v>
      </c>
      <c r="P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ZE-AM-CH-0005</v>
      </c>
      <c r="R22" s="15"/>
      <c r="T22" s="48"/>
    </row>
    <row r="23" spans="2:45" x14ac:dyDescent="0.3">
      <c r="B23" t="s">
        <v>23</v>
      </c>
      <c r="C23" s="11" t="s">
        <v>171</v>
      </c>
      <c r="E23" s="11" t="str" cm="1">
        <f t="array" ref="E23">_xlfn.IFS(
    COUNTIF(Herramientas_eléctricas1862[Herramientas_eléctricas], B23) &gt; 0, Herramientas_eléctricas1862[[#Headers],[Herramientas_eléctricas]],
    COUNTIF(Herramientas_neumáticas1963[Herramientas_neumáticas], B23) &gt; 0, Herramientas_neumáticas1963[[#Headers],[Herramientas_neumáticas]],
    COUNTIF(Herramientas_de_medición2064[Herramientas_de_medición], B23) &gt; 0, Herramientas_de_medición2064[[#Headers],[Herramientas_de_medición]],
    COUNTIF(Herrramientas_mecánicas2165[Herramientas_mecánicas], B23) &gt; 0, Herrramientas_mecánicas2165[[#Headers],[Herramientas_mecánicas]],
    COUNTIF(AK23:AK29, B23) &gt; 0, Herramientas_hidráulicas2266[[#Headers],[Herramientas_hidráulicas]],
    COUNTIF(EPP_2367[SPCC], B23) &gt; 0, EPP_2367[[#Headers],[SPCC]],
   COUNTIF(Herramientas_de_izaje2468[Herramientas_de_izaje], B23) &gt; 0, Herramientas_de_izaje2468[[#Headers],[Herramientas_de_izaje]],
COUNTIF(Tabla162670[Equipos], B23) &gt; 0, Tabla162670[[#Headers],[Equipos]],
    TRUE, "Sin clasificación"
)</f>
        <v>Herramientas_eléctricas</v>
      </c>
      <c r="F23" s="15"/>
      <c r="G23" s="15" t="s">
        <v>572</v>
      </c>
      <c r="H23" s="47" t="s">
        <v>780</v>
      </c>
      <c r="I23" s="87"/>
      <c r="J23" s="78"/>
      <c r="K23" s="78"/>
      <c r="L23" s="78"/>
      <c r="M23" s="78"/>
      <c r="N23" t="s">
        <v>781</v>
      </c>
      <c r="O23" s="47"/>
      <c r="P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ZE-AM-CH-0006</v>
      </c>
      <c r="R23" s="15"/>
      <c r="T23" s="48"/>
    </row>
    <row r="24" spans="2:45" x14ac:dyDescent="0.3">
      <c r="B24" t="s">
        <v>23</v>
      </c>
      <c r="C24" s="11" t="s">
        <v>173</v>
      </c>
      <c r="E24" s="11" t="str" cm="1">
        <f t="array" ref="E24">_xlfn.IFS(
    COUNTIF(Herramientas_eléctricas1862[Herramientas_eléctricas], B24) &gt; 0, Herramientas_eléctricas1862[[#Headers],[Herramientas_eléctricas]],
    COUNTIF(Herramientas_neumáticas1963[Herramientas_neumáticas], B24) &gt; 0, Herramientas_neumáticas1963[[#Headers],[Herramientas_neumáticas]],
    COUNTIF(Herramientas_de_medición2064[Herramientas_de_medición], B24) &gt; 0, Herramientas_de_medición2064[[#Headers],[Herramientas_de_medición]],
    COUNTIF(Herrramientas_mecánicas2165[Herramientas_mecánicas], B24) &gt; 0, Herrramientas_mecánicas2165[[#Headers],[Herramientas_mecánicas]],
    COUNTIF(AK24:AK30, B24) &gt; 0, Herramientas_hidráulicas2266[[#Headers],[Herramientas_hidráulicas]],
    COUNTIF(EPP_2367[SPCC], B24) &gt; 0, EPP_2367[[#Headers],[SPCC]],
   COUNTIF(Herramientas_de_izaje2468[Herramientas_de_izaje], B24) &gt; 0, Herramientas_de_izaje2468[[#Headers],[Herramientas_de_izaje]],
COUNTIF(Tabla162670[Equipos], B24) &gt; 0, Tabla162670[[#Headers],[Equipos]],
    TRUE, "Sin clasificación"
)</f>
        <v>Herramientas_eléctricas</v>
      </c>
      <c r="F24" s="15"/>
      <c r="G24" s="15" t="s">
        <v>572</v>
      </c>
      <c r="H24" s="47" t="s">
        <v>786</v>
      </c>
      <c r="I24" s="87"/>
      <c r="J24" s="78"/>
      <c r="K24" s="78"/>
      <c r="L24" s="78"/>
      <c r="M24" s="78"/>
      <c r="N24" t="s">
        <v>787</v>
      </c>
      <c r="O24" s="47"/>
      <c r="P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ZE-AM-FL-0001</v>
      </c>
      <c r="R24" s="15"/>
      <c r="T24" s="48" t="s">
        <v>224</v>
      </c>
      <c r="U24" t="s">
        <v>801</v>
      </c>
      <c r="AQ24" s="18"/>
    </row>
    <row r="25" spans="2:45" x14ac:dyDescent="0.3">
      <c r="B25" t="s">
        <v>23</v>
      </c>
      <c r="C25" s="11" t="s">
        <v>173</v>
      </c>
      <c r="E25" s="11" t="str" cm="1">
        <f t="array" ref="E25">_xlfn.IFS(
    COUNTIF(Herramientas_eléctricas1862[Herramientas_eléctricas], B25) &gt; 0, Herramientas_eléctricas1862[[#Headers],[Herramientas_eléctricas]],
    COUNTIF(Herramientas_neumáticas1963[Herramientas_neumáticas], B25) &gt; 0, Herramientas_neumáticas1963[[#Headers],[Herramientas_neumáticas]],
    COUNTIF(Herramientas_de_medición2064[Herramientas_de_medición], B25) &gt; 0, Herramientas_de_medición2064[[#Headers],[Herramientas_de_medición]],
    COUNTIF(Herrramientas_mecánicas2165[Herramientas_mecánicas], B25) &gt; 0, Herrramientas_mecánicas2165[[#Headers],[Herramientas_mecánicas]],
    COUNTIF(AK25:AK31, B25) &gt; 0, Herramientas_hidráulicas2266[[#Headers],[Herramientas_hidráulicas]],
    COUNTIF(EPP_2367[SPCC], B25) &gt; 0, EPP_2367[[#Headers],[SPCC]],
   COUNTIF(Herramientas_de_izaje2468[Herramientas_de_izaje], B25) &gt; 0, Herramientas_de_izaje2468[[#Headers],[Herramientas_de_izaje]],
COUNTIF(Tabla162670[Equipos], B25) &gt; 0, Tabla162670[[#Headers],[Equipos]],
    TRUE, "Sin clasificación"
)</f>
        <v>Herramientas_eléctricas</v>
      </c>
      <c r="F25" s="15"/>
      <c r="G25" s="15" t="s">
        <v>572</v>
      </c>
      <c r="H25" s="47" t="s">
        <v>789</v>
      </c>
      <c r="I25" s="87">
        <v>13.4</v>
      </c>
      <c r="J25" s="78">
        <v>180</v>
      </c>
      <c r="K25" s="78">
        <v>2800</v>
      </c>
      <c r="L25" s="78">
        <v>220</v>
      </c>
      <c r="M25" s="78">
        <v>8500</v>
      </c>
      <c r="N25" t="s">
        <v>788</v>
      </c>
      <c r="O25" s="47">
        <v>523100117</v>
      </c>
      <c r="P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ZE-AM-FL-0002</v>
      </c>
      <c r="R25" s="15"/>
      <c r="T25" s="48"/>
      <c r="U25" t="s">
        <v>799</v>
      </c>
      <c r="AQ25" s="22"/>
    </row>
    <row r="26" spans="2:45" x14ac:dyDescent="0.3">
      <c r="B26" t="s">
        <v>23</v>
      </c>
      <c r="C26" s="11" t="s">
        <v>173</v>
      </c>
      <c r="E26" s="11" t="str" cm="1">
        <f t="array" ref="E26">_xlfn.IFS(
    COUNTIF(Herramientas_eléctricas1862[Herramientas_eléctricas], B26) &gt; 0, Herramientas_eléctricas1862[[#Headers],[Herramientas_eléctricas]],
    COUNTIF(Herramientas_neumáticas1963[Herramientas_neumáticas], B26) &gt; 0, Herramientas_neumáticas1963[[#Headers],[Herramientas_neumáticas]],
    COUNTIF(Herramientas_de_medición2064[Herramientas_de_medición], B26) &gt; 0, Herramientas_de_medición2064[[#Headers],[Herramientas_de_medición]],
    COUNTIF(Herrramientas_mecánicas2165[Herramientas_mecánicas], B26) &gt; 0, Herrramientas_mecánicas2165[[#Headers],[Herramientas_mecánicas]],
    COUNTIF(AK26:AK32, B26) &gt; 0, Herramientas_hidráulicas2266[[#Headers],[Herramientas_hidráulicas]],
    COUNTIF(EPP_2367[SPCC], B26) &gt; 0, EPP_2367[[#Headers],[SPCC]],
   COUNTIF(Herramientas_de_izaje2468[Herramientas_de_izaje], B26) &gt; 0, Herramientas_de_izaje2468[[#Headers],[Herramientas_de_izaje]],
COUNTIF(Tabla162670[Equipos], B26) &gt; 0, Tabla162670[[#Headers],[Equipos]],
    TRUE, "Sin clasificación"
)</f>
        <v>Herramientas_eléctricas</v>
      </c>
      <c r="F26" s="15"/>
      <c r="G26" s="15" t="s">
        <v>572</v>
      </c>
      <c r="H26" s="47" t="s">
        <v>790</v>
      </c>
      <c r="I26" s="87">
        <v>10.5</v>
      </c>
      <c r="J26" s="78">
        <v>180</v>
      </c>
      <c r="K26" s="78">
        <v>2200</v>
      </c>
      <c r="L26" s="78">
        <v>220</v>
      </c>
      <c r="M26" s="78">
        <v>8500</v>
      </c>
      <c r="N26" t="s">
        <v>791</v>
      </c>
      <c r="O26" s="47">
        <v>325101741</v>
      </c>
      <c r="P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ZE-AM-FL-0003</v>
      </c>
      <c r="R26" s="15"/>
      <c r="T26" s="48" t="s">
        <v>224</v>
      </c>
      <c r="AH26" s="18"/>
      <c r="AR26" t="s">
        <v>235</v>
      </c>
    </row>
    <row r="27" spans="2:45" ht="28.8" x14ac:dyDescent="0.3">
      <c r="B27" t="s">
        <v>23</v>
      </c>
      <c r="C27" s="11" t="s">
        <v>173</v>
      </c>
      <c r="E27" s="11" t="str" cm="1">
        <f t="array" ref="E27">_xlfn.IFS(
    COUNTIF(Herramientas_eléctricas1862[Herramientas_eléctricas], B27) &gt; 0, Herramientas_eléctricas1862[[#Headers],[Herramientas_eléctricas]],
    COUNTIF(Herramientas_neumáticas1963[Herramientas_neumáticas], B27) &gt; 0, Herramientas_neumáticas1963[[#Headers],[Herramientas_neumáticas]],
    COUNTIF(Herramientas_de_medición2064[Herramientas_de_medición], B27) &gt; 0, Herramientas_de_medición2064[[#Headers],[Herramientas_de_medición]],
    COUNTIF(Herrramientas_mecánicas2165[Herramientas_mecánicas], B27) &gt; 0, Herrramientas_mecánicas2165[[#Headers],[Herramientas_mecánicas]],
    COUNTIF(AK27:AK33, B27) &gt; 0, Herramientas_hidráulicas2266[[#Headers],[Herramientas_hidráulicas]],
    COUNTIF(EPP_2367[SPCC], B27) &gt; 0, EPP_2367[[#Headers],[SPCC]],
   COUNTIF(Herramientas_de_izaje2468[Herramientas_de_izaje], B27) &gt; 0, Herramientas_de_izaje2468[[#Headers],[Herramientas_de_izaje]],
COUNTIF(Tabla162670[Equipos], B27) &gt; 0, Tabla162670[[#Headers],[Equipos]],
    TRUE, "Sin clasificación"
)</f>
        <v>Herramientas_eléctricas</v>
      </c>
      <c r="F27" s="15"/>
      <c r="G27" s="15" t="s">
        <v>572</v>
      </c>
      <c r="H27" s="47" t="s">
        <v>792</v>
      </c>
      <c r="I27" s="87"/>
      <c r="J27" s="78"/>
      <c r="K27" s="78"/>
      <c r="L27" s="78"/>
      <c r="M27" s="78"/>
      <c r="O27" s="47"/>
      <c r="P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ZE-AM-FL-0004</v>
      </c>
      <c r="R27" s="15"/>
      <c r="T27" s="48"/>
      <c r="AG27" s="11" t="s">
        <v>236</v>
      </c>
      <c r="AH27" s="11" t="s">
        <v>237</v>
      </c>
      <c r="AI27" s="11" t="s">
        <v>238</v>
      </c>
      <c r="AJ27" s="11" t="s">
        <v>239</v>
      </c>
      <c r="AK27" s="11" t="s">
        <v>240</v>
      </c>
      <c r="AL27" s="11" t="s">
        <v>241</v>
      </c>
      <c r="AM27" s="11" t="s">
        <v>242</v>
      </c>
      <c r="AN27" s="11" t="s">
        <v>243</v>
      </c>
      <c r="AO27" s="11" t="s">
        <v>244</v>
      </c>
      <c r="AP27" s="11" t="s">
        <v>245</v>
      </c>
    </row>
    <row r="28" spans="2:45" x14ac:dyDescent="0.3">
      <c r="B28" t="s">
        <v>23</v>
      </c>
      <c r="C28" s="11" t="s">
        <v>173</v>
      </c>
      <c r="E28" s="11" t="str" cm="1">
        <f t="array" ref="E28">_xlfn.IFS(
    COUNTIF(Herramientas_eléctricas1862[Herramientas_eléctricas], B28) &gt; 0, Herramientas_eléctricas1862[[#Headers],[Herramientas_eléctricas]],
    COUNTIF(Herramientas_neumáticas1963[Herramientas_neumáticas], B28) &gt; 0, Herramientas_neumáticas1963[[#Headers],[Herramientas_neumáticas]],
    COUNTIF(Herramientas_de_medición2064[Herramientas_de_medición], B28) &gt; 0, Herramientas_de_medición2064[[#Headers],[Herramientas_de_medición]],
    COUNTIF(Herrramientas_mecánicas2165[Herramientas_mecánicas], B28) &gt; 0, Herrramientas_mecánicas2165[[#Headers],[Herramientas_mecánicas]],
    COUNTIF(AK28:AK34, B28) &gt; 0, Herramientas_hidráulicas2266[[#Headers],[Herramientas_hidráulicas]],
    COUNTIF(EPP_2367[SPCC], B28) &gt; 0, EPP_2367[[#Headers],[SPCC]],
   COUNTIF(Herramientas_de_izaje2468[Herramientas_de_izaje], B28) &gt; 0, Herramientas_de_izaje2468[[#Headers],[Herramientas_de_izaje]],
COUNTIF(Tabla162670[Equipos], B28) &gt; 0, Tabla162670[[#Headers],[Equipos]],
    TRUE, "Sin clasificación"
)</f>
        <v>Herramientas_eléctricas</v>
      </c>
      <c r="F28" s="15"/>
      <c r="G28" s="15" t="s">
        <v>572</v>
      </c>
      <c r="H28" s="47" t="s">
        <v>793</v>
      </c>
      <c r="I28" s="87"/>
      <c r="J28" s="78"/>
      <c r="K28" s="78"/>
      <c r="L28" s="78"/>
      <c r="M28" s="78"/>
      <c r="O28" s="47"/>
      <c r="P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ZE-AM-FL-0005</v>
      </c>
      <c r="R28" s="15"/>
      <c r="T28" s="48"/>
    </row>
    <row r="29" spans="2:45" x14ac:dyDescent="0.3">
      <c r="B29" t="s">
        <v>23</v>
      </c>
      <c r="C29" s="11" t="s">
        <v>173</v>
      </c>
      <c r="E29" s="11" t="str" cm="1">
        <f t="array" ref="E29">_xlfn.IFS(
    COUNTIF(Herramientas_eléctricas1862[Herramientas_eléctricas], B29) &gt; 0, Herramientas_eléctricas1862[[#Headers],[Herramientas_eléctricas]],
    COUNTIF(Herramientas_neumáticas1963[Herramientas_neumáticas], B29) &gt; 0, Herramientas_neumáticas1963[[#Headers],[Herramientas_neumáticas]],
    COUNTIF(Herramientas_de_medición2064[Herramientas_de_medición], B29) &gt; 0, Herramientas_de_medición2064[[#Headers],[Herramientas_de_medición]],
    COUNTIF(Herrramientas_mecánicas2165[Herramientas_mecánicas], B29) &gt; 0, Herrramientas_mecánicas2165[[#Headers],[Herramientas_mecánicas]],
    COUNTIF(AK29:AK35, B29) &gt; 0, Herramientas_hidráulicas2266[[#Headers],[Herramientas_hidráulicas]],
    COUNTIF(EPP_2367[SPCC], B29) &gt; 0, EPP_2367[[#Headers],[SPCC]],
   COUNTIF(Herramientas_de_izaje2468[Herramientas_de_izaje], B29) &gt; 0, Herramientas_de_izaje2468[[#Headers],[Herramientas_de_izaje]],
COUNTIF(Tabla162670[Equipos], B29) &gt; 0, Tabla162670[[#Headers],[Equipos]],
    TRUE, "Sin clasificación"
)</f>
        <v>Herramientas_eléctricas</v>
      </c>
      <c r="F29" s="15"/>
      <c r="G29" s="15" t="s">
        <v>572</v>
      </c>
      <c r="H29" s="47" t="s">
        <v>794</v>
      </c>
      <c r="I29" s="87"/>
      <c r="J29" s="78"/>
      <c r="K29" s="78"/>
      <c r="L29" s="78"/>
      <c r="M29" s="78"/>
      <c r="O29" s="47"/>
      <c r="P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ZE-AM-FL-0006</v>
      </c>
      <c r="R29" s="15"/>
      <c r="T29" s="48" t="s">
        <v>224</v>
      </c>
      <c r="U29" t="s">
        <v>800</v>
      </c>
      <c r="AG29" t="s">
        <v>246</v>
      </c>
      <c r="AH29" t="s">
        <v>97</v>
      </c>
      <c r="AI29" t="s">
        <v>34</v>
      </c>
      <c r="AJ29" t="s">
        <v>66</v>
      </c>
      <c r="AK29" s="63" t="s">
        <v>247</v>
      </c>
      <c r="AM29" t="s">
        <v>19</v>
      </c>
      <c r="AP29" t="s">
        <v>75</v>
      </c>
    </row>
    <row r="30" spans="2:45" ht="28.8" x14ac:dyDescent="0.3">
      <c r="B30" t="s">
        <v>23</v>
      </c>
      <c r="C30" s="11" t="s">
        <v>173</v>
      </c>
      <c r="E30" s="11" t="str" cm="1">
        <f t="array" ref="E30">_xlfn.IFS(
    COUNTIF(Herramientas_eléctricas1862[Herramientas_eléctricas], B30) &gt; 0, Herramientas_eléctricas1862[[#Headers],[Herramientas_eléctricas]],
    COUNTIF(Herramientas_neumáticas1963[Herramientas_neumáticas], B30) &gt; 0, Herramientas_neumáticas1963[[#Headers],[Herramientas_neumáticas]],
    COUNTIF(Herramientas_de_medición2064[Herramientas_de_medición], B30) &gt; 0, Herramientas_de_medición2064[[#Headers],[Herramientas_de_medición]],
    COUNTIF(Herrramientas_mecánicas2165[Herramientas_mecánicas], B30) &gt; 0, Herrramientas_mecánicas2165[[#Headers],[Herramientas_mecánicas]],
    COUNTIF(AK30:AK36, B30) &gt; 0, Herramientas_hidráulicas2266[[#Headers],[Herramientas_hidráulicas]],
    COUNTIF(EPP_2367[SPCC], B30) &gt; 0, EPP_2367[[#Headers],[SPCC]],
   COUNTIF(Herramientas_de_izaje2468[Herramientas_de_izaje], B30) &gt; 0, Herramientas_de_izaje2468[[#Headers],[Herramientas_de_izaje]],
COUNTIF(Tabla162670[Equipos], B30) &gt; 0, Tabla162670[[#Headers],[Equipos]],
    TRUE, "Sin clasificación"
)</f>
        <v>Herramientas_eléctricas</v>
      </c>
      <c r="F30" s="15"/>
      <c r="G30" s="15" t="s">
        <v>572</v>
      </c>
      <c r="H30" s="47" t="s">
        <v>789</v>
      </c>
      <c r="I30" s="87">
        <v>13.4</v>
      </c>
      <c r="J30" s="78">
        <v>180</v>
      </c>
      <c r="K30" s="78">
        <v>2800</v>
      </c>
      <c r="L30" s="78">
        <v>220</v>
      </c>
      <c r="M30" s="78">
        <v>8500</v>
      </c>
      <c r="N30" t="s">
        <v>795</v>
      </c>
      <c r="O30" s="47">
        <v>523100107</v>
      </c>
      <c r="P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ZE-AM-FL-0007</v>
      </c>
      <c r="R30" s="15"/>
      <c r="T30" s="48" t="s">
        <v>224</v>
      </c>
      <c r="U30" t="s">
        <v>802</v>
      </c>
      <c r="AG30" s="22" t="s">
        <v>248</v>
      </c>
      <c r="AH30" t="s">
        <v>17</v>
      </c>
      <c r="AI30" s="18" t="s">
        <v>249</v>
      </c>
      <c r="AJ30" t="s">
        <v>250</v>
      </c>
      <c r="AK30" s="64" t="s">
        <v>251</v>
      </c>
      <c r="AM30" t="s">
        <v>252</v>
      </c>
      <c r="AP30" s="18" t="s">
        <v>253</v>
      </c>
    </row>
    <row r="31" spans="2:45" x14ac:dyDescent="0.3">
      <c r="B31" t="s">
        <v>23</v>
      </c>
      <c r="C31" s="11" t="s">
        <v>173</v>
      </c>
      <c r="E31" s="11" t="str" cm="1">
        <f t="array" ref="E31">_xlfn.IFS(
    COUNTIF(Herramientas_eléctricas1862[Herramientas_eléctricas], B31) &gt; 0, Herramientas_eléctricas1862[[#Headers],[Herramientas_eléctricas]],
    COUNTIF(Herramientas_neumáticas1963[Herramientas_neumáticas], B31) &gt; 0, Herramientas_neumáticas1963[[#Headers],[Herramientas_neumáticas]],
    COUNTIF(Herramientas_de_medición2064[Herramientas_de_medición], B31) &gt; 0, Herramientas_de_medición2064[[#Headers],[Herramientas_de_medición]],
    COUNTIF(Herrramientas_mecánicas2165[Herramientas_mecánicas], B31) &gt; 0, Herrramientas_mecánicas2165[[#Headers],[Herramientas_mecánicas]],
    COUNTIF(AK31:AK37, B31) &gt; 0, Herramientas_hidráulicas2266[[#Headers],[Herramientas_hidráulicas]],
    COUNTIF(EPP_2367[SPCC], B31) &gt; 0, EPP_2367[[#Headers],[SPCC]],
   COUNTIF(Herramientas_de_izaje2468[Herramientas_de_izaje], B31) &gt; 0, Herramientas_de_izaje2468[[#Headers],[Herramientas_de_izaje]],
COUNTIF(Tabla162670[Equipos], B31) &gt; 0, Tabla162670[[#Headers],[Equipos]],
    TRUE, "Sin clasificación"
)</f>
        <v>Herramientas_eléctricas</v>
      </c>
      <c r="F31" s="15"/>
      <c r="G31" s="15" t="s">
        <v>796</v>
      </c>
      <c r="H31" s="47" t="s">
        <v>797</v>
      </c>
      <c r="I31" s="87"/>
      <c r="J31" s="78"/>
      <c r="K31" s="78"/>
      <c r="L31" s="78"/>
      <c r="M31" s="78"/>
      <c r="O31" s="47"/>
      <c r="P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ZE-AM-FL-0008</v>
      </c>
      <c r="R31" s="15"/>
      <c r="T31" s="48" t="s">
        <v>222</v>
      </c>
      <c r="U31" t="s">
        <v>803</v>
      </c>
      <c r="AG31" s="65" t="s">
        <v>254</v>
      </c>
      <c r="AI31" t="s">
        <v>255</v>
      </c>
      <c r="AP31" s="26" t="s">
        <v>256</v>
      </c>
    </row>
    <row r="32" spans="2:45" ht="28.5" customHeight="1" x14ac:dyDescent="0.3">
      <c r="B32" t="s">
        <v>23</v>
      </c>
      <c r="C32" s="11" t="s">
        <v>173</v>
      </c>
      <c r="E32" s="11" t="str" cm="1">
        <f t="array" ref="E32">_xlfn.IFS(
    COUNTIF(Herramientas_eléctricas1862[Herramientas_eléctricas], B32) &gt; 0, Herramientas_eléctricas1862[[#Headers],[Herramientas_eléctricas]],
    COUNTIF(Herramientas_neumáticas1963[Herramientas_neumáticas], B32) &gt; 0, Herramientas_neumáticas1963[[#Headers],[Herramientas_neumáticas]],
    COUNTIF(Herramientas_de_medición2064[Herramientas_de_medición], B32) &gt; 0, Herramientas_de_medición2064[[#Headers],[Herramientas_de_medición]],
    COUNTIF(Herrramientas_mecánicas2165[Herramientas_mecánicas], B32) &gt; 0, Herrramientas_mecánicas2165[[#Headers],[Herramientas_mecánicas]],
    COUNTIF(AK32:AK38, B32) &gt; 0, Herramientas_hidráulicas2266[[#Headers],[Herramientas_hidráulicas]],
    COUNTIF(EPP_2367[SPCC], B32) &gt; 0, EPP_2367[[#Headers],[SPCC]],
   COUNTIF(Herramientas_de_izaje2468[Herramientas_de_izaje], B32) &gt; 0, Herramientas_de_izaje2468[[#Headers],[Herramientas_de_izaje]],
COUNTIF(Tabla162670[Equipos], B32) &gt; 0, Tabla162670[[#Headers],[Equipos]],
    TRUE, "Sin clasificación"
)</f>
        <v>Herramientas_eléctricas</v>
      </c>
      <c r="F32" s="15"/>
      <c r="G32" s="15" t="s">
        <v>572</v>
      </c>
      <c r="H32" s="47" t="s">
        <v>790</v>
      </c>
      <c r="I32" s="87"/>
      <c r="J32" s="78"/>
      <c r="K32" s="78"/>
      <c r="L32" s="78"/>
      <c r="M32" s="78"/>
      <c r="O32" s="47"/>
      <c r="P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ZE-AM-FL-0009</v>
      </c>
      <c r="R32" s="15"/>
      <c r="T32" s="48" t="s">
        <v>224</v>
      </c>
      <c r="U32" t="s">
        <v>804</v>
      </c>
    </row>
    <row r="33" spans="2:45" x14ac:dyDescent="0.3">
      <c r="B33" t="s">
        <v>23</v>
      </c>
      <c r="C33" s="11" t="s">
        <v>173</v>
      </c>
      <c r="E33" s="11" t="str" cm="1">
        <f t="array" ref="E33">_xlfn.IFS(
    COUNTIF(Herramientas_eléctricas1862[Herramientas_eléctricas], B33) &gt; 0, Herramientas_eléctricas1862[[#Headers],[Herramientas_eléctricas]],
    COUNTIF(Herramientas_neumáticas1963[Herramientas_neumáticas], B33) &gt; 0, Herramientas_neumáticas1963[[#Headers],[Herramientas_neumáticas]],
    COUNTIF(Herramientas_de_medición2064[Herramientas_de_medición], B33) &gt; 0, Herramientas_de_medición2064[[#Headers],[Herramientas_de_medición]],
    COUNTIF(Herrramientas_mecánicas2165[Herramientas_mecánicas], B33) &gt; 0, Herrramientas_mecánicas2165[[#Headers],[Herramientas_mecánicas]],
    COUNTIF(AK33:AK39, B33) &gt; 0, Herramientas_hidráulicas2266[[#Headers],[Herramientas_hidráulicas]],
    COUNTIF(EPP_2367[SPCC], B33) &gt; 0, EPP_2367[[#Headers],[SPCC]],
   COUNTIF(Herramientas_de_izaje2468[Herramientas_de_izaje], B33) &gt; 0, Herramientas_de_izaje2468[[#Headers],[Herramientas_de_izaje]],
COUNTIF(Tabla162670[Equipos], B33) &gt; 0, Tabla162670[[#Headers],[Equipos]],
    TRUE, "Sin clasificación"
)</f>
        <v>Herramientas_eléctricas</v>
      </c>
      <c r="F33" s="15"/>
      <c r="G33" s="15" t="s">
        <v>572</v>
      </c>
      <c r="H33" s="47" t="s">
        <v>798</v>
      </c>
      <c r="I33" s="87"/>
      <c r="J33" s="78"/>
      <c r="K33" s="78"/>
      <c r="L33" s="78"/>
      <c r="M33" s="78"/>
      <c r="O33" s="47"/>
      <c r="P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ZE-AM-FL-0010</v>
      </c>
      <c r="R33" s="15"/>
      <c r="T33" s="48" t="s">
        <v>224</v>
      </c>
      <c r="U33" t="s">
        <v>805</v>
      </c>
      <c r="AG33" t="s">
        <v>68</v>
      </c>
      <c r="AH33" t="s">
        <v>36</v>
      </c>
      <c r="AI33" t="s">
        <v>257</v>
      </c>
      <c r="AJ33" t="s">
        <v>258</v>
      </c>
    </row>
    <row r="34" spans="2:45" x14ac:dyDescent="0.3">
      <c r="B34" t="s">
        <v>23</v>
      </c>
      <c r="C34" s="11" t="s">
        <v>173</v>
      </c>
      <c r="E34" s="11" t="str" cm="1">
        <f t="array" ref="E34">_xlfn.IFS(
    COUNTIF(Herramientas_eléctricas1862[Herramientas_eléctricas], B34) &gt; 0, Herramientas_eléctricas1862[[#Headers],[Herramientas_eléctricas]],
    COUNTIF(Herramientas_neumáticas1963[Herramientas_neumáticas], B34) &gt; 0, Herramientas_neumáticas1963[[#Headers],[Herramientas_neumáticas]],
    COUNTIF(Herramientas_de_medición2064[Herramientas_de_medición], B34) &gt; 0, Herramientas_de_medición2064[[#Headers],[Herramientas_de_medición]],
    COUNTIF(Herrramientas_mecánicas2165[Herramientas_mecánicas], B34) &gt; 0, Herrramientas_mecánicas2165[[#Headers],[Herramientas_mecánicas]],
    COUNTIF(AK34:AK40, B34) &gt; 0, Herramientas_hidráulicas2266[[#Headers],[Herramientas_hidráulicas]],
    COUNTIF(EPP_2367[SPCC], B34) &gt; 0, EPP_2367[[#Headers],[SPCC]],
   COUNTIF(Herramientas_de_izaje2468[Herramientas_de_izaje], B34) &gt; 0, Herramientas_de_izaje2468[[#Headers],[Herramientas_de_izaje]],
COUNTIF(Tabla162670[Equipos], B34) &gt; 0, Tabla162670[[#Headers],[Equipos]],
    TRUE, "Sin clasificación"
)</f>
        <v>Herramientas_eléctricas</v>
      </c>
      <c r="F34" s="15"/>
      <c r="G34" s="15" t="s">
        <v>572</v>
      </c>
      <c r="H34" s="47" t="s">
        <v>806</v>
      </c>
      <c r="I34" s="87"/>
      <c r="J34" s="78"/>
      <c r="K34" s="78"/>
      <c r="L34" s="78"/>
      <c r="M34" s="78"/>
      <c r="N34" t="s">
        <v>807</v>
      </c>
      <c r="O34" s="47"/>
      <c r="P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ZE-AM-FL-0011</v>
      </c>
      <c r="R34" s="15"/>
      <c r="T34" s="48"/>
      <c r="AG34" s="20" t="s">
        <v>259</v>
      </c>
      <c r="AH34" t="s">
        <v>260</v>
      </c>
      <c r="AI34" s="19" t="s">
        <v>261</v>
      </c>
      <c r="AJ34" s="22" t="s">
        <v>262</v>
      </c>
    </row>
    <row r="35" spans="2:45" ht="28.8" x14ac:dyDescent="0.3">
      <c r="B35" t="s">
        <v>23</v>
      </c>
      <c r="C35" s="11" t="s">
        <v>173</v>
      </c>
      <c r="E35" s="11" t="str" cm="1">
        <f t="array" ref="E35">_xlfn.IFS(
    COUNTIF(Herramientas_eléctricas1862[Herramientas_eléctricas], B35) &gt; 0, Herramientas_eléctricas1862[[#Headers],[Herramientas_eléctricas]],
    COUNTIF(Herramientas_neumáticas1963[Herramientas_neumáticas], B35) &gt; 0, Herramientas_neumáticas1963[[#Headers],[Herramientas_neumáticas]],
    COUNTIF(Herramientas_de_medición2064[Herramientas_de_medición], B35) &gt; 0, Herramientas_de_medición2064[[#Headers],[Herramientas_de_medición]],
    COUNTIF(Herrramientas_mecánicas2165[Herramientas_mecánicas], B35) &gt; 0, Herrramientas_mecánicas2165[[#Headers],[Herramientas_mecánicas]],
    COUNTIF(AK35:AK41, B35) &gt; 0, Herramientas_hidráulicas2266[[#Headers],[Herramientas_hidráulicas]],
    COUNTIF(EPP_2367[SPCC], B35) &gt; 0, EPP_2367[[#Headers],[SPCC]],
   COUNTIF(Herramientas_de_izaje2468[Herramientas_de_izaje], B35) &gt; 0, Herramientas_de_izaje2468[[#Headers],[Herramientas_de_izaje]],
COUNTIF(Tabla162670[Equipos], B35) &gt; 0, Tabla162670[[#Headers],[Equipos]],
    TRUE, "Sin clasificación"
)</f>
        <v>Herramientas_eléctricas</v>
      </c>
      <c r="F35" s="15"/>
      <c r="G35" s="15" t="s">
        <v>572</v>
      </c>
      <c r="H35" s="47" t="s">
        <v>808</v>
      </c>
      <c r="I35" s="87"/>
      <c r="J35" s="78"/>
      <c r="K35" s="78"/>
      <c r="L35" s="78"/>
      <c r="M35" s="78"/>
      <c r="O35" s="47"/>
      <c r="P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ZE-AM-FL-0012</v>
      </c>
      <c r="R35" s="15"/>
      <c r="T35" s="48" t="s">
        <v>224</v>
      </c>
      <c r="U35" t="s">
        <v>804</v>
      </c>
      <c r="AG35" s="66" t="s">
        <v>263</v>
      </c>
      <c r="AI35" s="13" t="s">
        <v>264</v>
      </c>
      <c r="AJ35" s="67" t="s">
        <v>265</v>
      </c>
    </row>
    <row r="36" spans="2:45" x14ac:dyDescent="0.3">
      <c r="B36" t="s">
        <v>23</v>
      </c>
      <c r="C36" s="11" t="s">
        <v>173</v>
      </c>
      <c r="E36" s="11" t="str" cm="1">
        <f t="array" ref="E36">_xlfn.IFS(
    COUNTIF(Herramientas_eléctricas1862[Herramientas_eléctricas], B36) &gt; 0, Herramientas_eléctricas1862[[#Headers],[Herramientas_eléctricas]],
    COUNTIF(Herramientas_neumáticas1963[Herramientas_neumáticas], B36) &gt; 0, Herramientas_neumáticas1963[[#Headers],[Herramientas_neumáticas]],
    COUNTIF(Herramientas_de_medición2064[Herramientas_de_medición], B36) &gt; 0, Herramientas_de_medición2064[[#Headers],[Herramientas_de_medición]],
    COUNTIF(Herrramientas_mecánicas2165[Herramientas_mecánicas], B36) &gt; 0, Herrramientas_mecánicas2165[[#Headers],[Herramientas_mecánicas]],
    COUNTIF(AK36:AK42, B36) &gt; 0, Herramientas_hidráulicas2266[[#Headers],[Herramientas_hidráulicas]],
    COUNTIF(EPP_2367[SPCC], B36) &gt; 0, EPP_2367[[#Headers],[SPCC]],
   COUNTIF(Herramientas_de_izaje2468[Herramientas_de_izaje], B36) &gt; 0, Herramientas_de_izaje2468[[#Headers],[Herramientas_de_izaje]],
COUNTIF(Tabla162670[Equipos], B36) &gt; 0, Tabla162670[[#Headers],[Equipos]],
    TRUE, "Sin clasificación"
)</f>
        <v>Herramientas_eléctricas</v>
      </c>
      <c r="F36" s="15"/>
      <c r="G36" s="15" t="s">
        <v>572</v>
      </c>
      <c r="H36" s="47" t="s">
        <v>809</v>
      </c>
      <c r="I36" s="87"/>
      <c r="J36" s="78"/>
      <c r="K36" s="78"/>
      <c r="L36" s="78"/>
      <c r="M36" s="78"/>
      <c r="N36" t="s">
        <v>810</v>
      </c>
      <c r="O36" s="47"/>
      <c r="P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ZE-AM-FL-0013</v>
      </c>
      <c r="R36" s="15"/>
      <c r="T36" s="48"/>
      <c r="AI36" s="68" t="s">
        <v>266</v>
      </c>
      <c r="AJ36" s="22" t="s">
        <v>267</v>
      </c>
    </row>
    <row r="37" spans="2:45" x14ac:dyDescent="0.3">
      <c r="B37" t="s">
        <v>23</v>
      </c>
      <c r="C37" s="11" t="s">
        <v>173</v>
      </c>
      <c r="E37" s="11" t="str" cm="1">
        <f t="array" ref="E37">_xlfn.IFS(
    COUNTIF(Herramientas_eléctricas1862[Herramientas_eléctricas], B37) &gt; 0, Herramientas_eléctricas1862[[#Headers],[Herramientas_eléctricas]],
    COUNTIF(Herramientas_neumáticas1963[Herramientas_neumáticas], B37) &gt; 0, Herramientas_neumáticas1963[[#Headers],[Herramientas_neumáticas]],
    COUNTIF(Herramientas_de_medición2064[Herramientas_de_medición], B37) &gt; 0, Herramientas_de_medición2064[[#Headers],[Herramientas_de_medición]],
    COUNTIF(Herrramientas_mecánicas2165[Herramientas_mecánicas], B37) &gt; 0, Herrramientas_mecánicas2165[[#Headers],[Herramientas_mecánicas]],
    COUNTIF(AK37:AK43, B37) &gt; 0, Herramientas_hidráulicas2266[[#Headers],[Herramientas_hidráulicas]],
    COUNTIF(EPP_2367[SPCC], B37) &gt; 0, EPP_2367[[#Headers],[SPCC]],
   COUNTIF(Herramientas_de_izaje2468[Herramientas_de_izaje], B37) &gt; 0, Herramientas_de_izaje2468[[#Headers],[Herramientas_de_izaje]],
COUNTIF(Tabla162670[Equipos], B37) &gt; 0, Tabla162670[[#Headers],[Equipos]],
    TRUE, "Sin clasificación"
)</f>
        <v>Herramientas_eléctricas</v>
      </c>
      <c r="F37" s="15"/>
      <c r="G37" s="15" t="s">
        <v>572</v>
      </c>
      <c r="H37" s="47" t="s">
        <v>789</v>
      </c>
      <c r="I37" s="87">
        <v>13.4</v>
      </c>
      <c r="J37" s="78">
        <v>180</v>
      </c>
      <c r="K37" s="78">
        <v>2800</v>
      </c>
      <c r="L37" s="78">
        <v>220</v>
      </c>
      <c r="M37" s="78">
        <v>8500</v>
      </c>
      <c r="N37" t="s">
        <v>811</v>
      </c>
      <c r="O37" s="47">
        <v>523100116</v>
      </c>
      <c r="P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ZE-AM-FL-0014</v>
      </c>
      <c r="R37" s="15"/>
      <c r="T37" s="48"/>
      <c r="AJ37" s="18" t="s">
        <v>268</v>
      </c>
    </row>
    <row r="38" spans="2:45" x14ac:dyDescent="0.3">
      <c r="B38" t="s">
        <v>23</v>
      </c>
      <c r="C38" s="11" t="s">
        <v>173</v>
      </c>
      <c r="E38" s="11" t="str" cm="1">
        <f t="array" ref="E38">_xlfn.IFS(
    COUNTIF(Herramientas_eléctricas1862[Herramientas_eléctricas], B38) &gt; 0, Herramientas_eléctricas1862[[#Headers],[Herramientas_eléctricas]],
    COUNTIF(Herramientas_neumáticas1963[Herramientas_neumáticas], B38) &gt; 0, Herramientas_neumáticas1963[[#Headers],[Herramientas_neumáticas]],
    COUNTIF(Herramientas_de_medición2064[Herramientas_de_medición], B38) &gt; 0, Herramientas_de_medición2064[[#Headers],[Herramientas_de_medición]],
    COUNTIF(Herrramientas_mecánicas2165[Herramientas_mecánicas], B38) &gt; 0, Herrramientas_mecánicas2165[[#Headers],[Herramientas_mecánicas]],
    COUNTIF(AK38:AK44, B38) &gt; 0, Herramientas_hidráulicas2266[[#Headers],[Herramientas_hidráulicas]],
    COUNTIF(EPP_2367[SPCC], B38) &gt; 0, EPP_2367[[#Headers],[SPCC]],
   COUNTIF(Herramientas_de_izaje2468[Herramientas_de_izaje], B38) &gt; 0, Herramientas_de_izaje2468[[#Headers],[Herramientas_de_izaje]],
COUNTIF(Tabla162670[Equipos], B38) &gt; 0, Tabla162670[[#Headers],[Equipos]],
    TRUE, "Sin clasificación"
)</f>
        <v>Herramientas_eléctricas</v>
      </c>
      <c r="F38" s="15"/>
      <c r="G38" s="15" t="s">
        <v>639</v>
      </c>
      <c r="H38" s="47"/>
      <c r="I38" s="87"/>
      <c r="J38" s="78">
        <v>115</v>
      </c>
      <c r="K38" s="78">
        <v>1200</v>
      </c>
      <c r="L38" s="78">
        <v>220</v>
      </c>
      <c r="M38" s="78"/>
      <c r="N38" t="s">
        <v>812</v>
      </c>
      <c r="O38" s="47"/>
      <c r="P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ZE-AM-FL-0015</v>
      </c>
      <c r="R38" s="15"/>
      <c r="T38" s="48"/>
      <c r="U38" t="s">
        <v>815</v>
      </c>
      <c r="AG38" s="69" t="s">
        <v>24</v>
      </c>
      <c r="AI38" t="s">
        <v>269</v>
      </c>
      <c r="AJ38" s="18" t="s">
        <v>270</v>
      </c>
    </row>
    <row r="39" spans="2:45" ht="22.8" x14ac:dyDescent="0.3">
      <c r="B39" t="s">
        <v>23</v>
      </c>
      <c r="C39" s="11" t="s">
        <v>173</v>
      </c>
      <c r="E39" s="11" t="str" cm="1">
        <f t="array" ref="E39">_xlfn.IFS(
    COUNTIF(Herramientas_eléctricas1862[Herramientas_eléctricas], B39) &gt; 0, Herramientas_eléctricas1862[[#Headers],[Herramientas_eléctricas]],
    COUNTIF(Herramientas_neumáticas1963[Herramientas_neumáticas], B39) &gt; 0, Herramientas_neumáticas1963[[#Headers],[Herramientas_neumáticas]],
    COUNTIF(Herramientas_de_medición2064[Herramientas_de_medición], B39) &gt; 0, Herramientas_de_medición2064[[#Headers],[Herramientas_de_medición]],
    COUNTIF(Herrramientas_mecánicas2165[Herramientas_mecánicas], B39) &gt; 0, Herrramientas_mecánicas2165[[#Headers],[Herramientas_mecánicas]],
    COUNTIF(AK39:AK45, B39) &gt; 0, Herramientas_hidráulicas2266[[#Headers],[Herramientas_hidráulicas]],
    COUNTIF(EPP_2367[SPCC], B39) &gt; 0, EPP_2367[[#Headers],[SPCC]],
   COUNTIF(Herramientas_de_izaje2468[Herramientas_de_izaje], B39) &gt; 0, Herramientas_de_izaje2468[[#Headers],[Herramientas_de_izaje]],
COUNTIF(Tabla162670[Equipos], B39) &gt; 0, Tabla162670[[#Headers],[Equipos]],
    TRUE, "Sin clasificación"
)</f>
        <v>Herramientas_eléctricas</v>
      </c>
      <c r="F39" s="15"/>
      <c r="G39" s="15" t="s">
        <v>572</v>
      </c>
      <c r="H39" s="47" t="s">
        <v>789</v>
      </c>
      <c r="I39" s="87"/>
      <c r="J39" s="78"/>
      <c r="K39" s="78"/>
      <c r="L39" s="78"/>
      <c r="M39" s="78"/>
      <c r="N39" t="s">
        <v>814</v>
      </c>
      <c r="O39" s="47">
        <v>331460987</v>
      </c>
      <c r="P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ZE-AM-FL-0016</v>
      </c>
      <c r="R39" s="15"/>
      <c r="T39" s="48"/>
      <c r="U39" t="s">
        <v>815</v>
      </c>
      <c r="AG39" s="62" t="s">
        <v>271</v>
      </c>
      <c r="AI39" s="68" t="s">
        <v>272</v>
      </c>
      <c r="AJ39" s="22" t="s">
        <v>273</v>
      </c>
    </row>
    <row r="40" spans="2:45" x14ac:dyDescent="0.3">
      <c r="B40" t="s">
        <v>23</v>
      </c>
      <c r="C40" s="11" t="s">
        <v>173</v>
      </c>
      <c r="E40" s="11" t="str" cm="1">
        <f t="array" ref="E40">_xlfn.IFS(
    COUNTIF(Herramientas_eléctricas1862[Herramientas_eléctricas], B40) &gt; 0, Herramientas_eléctricas1862[[#Headers],[Herramientas_eléctricas]],
    COUNTIF(Herramientas_neumáticas1963[Herramientas_neumáticas], B40) &gt; 0, Herramientas_neumáticas1963[[#Headers],[Herramientas_neumáticas]],
    COUNTIF(Herramientas_de_medición2064[Herramientas_de_medición], B40) &gt; 0, Herramientas_de_medición2064[[#Headers],[Herramientas_de_medición]],
    COUNTIF(Herrramientas_mecánicas2165[Herramientas_mecánicas], B40) &gt; 0, Herrramientas_mecánicas2165[[#Headers],[Herramientas_mecánicas]],
    COUNTIF(AK40:AK46, B40) &gt; 0, Herramientas_hidráulicas2266[[#Headers],[Herramientas_hidráulicas]],
    COUNTIF(EPP_2367[SPCC], B40) &gt; 0, EPP_2367[[#Headers],[SPCC]],
   COUNTIF(Herramientas_de_izaje2468[Herramientas_de_izaje], B40) &gt; 0, Herramientas_de_izaje2468[[#Headers],[Herramientas_de_izaje]],
COUNTIF(Tabla162670[Equipos], B40) &gt; 0, Tabla162670[[#Headers],[Equipos]],
    TRUE, "Sin clasificación"
)</f>
        <v>Herramientas_eléctricas</v>
      </c>
      <c r="F40" s="15"/>
      <c r="G40" s="15" t="s">
        <v>796</v>
      </c>
      <c r="H40" s="47" t="s">
        <v>797</v>
      </c>
      <c r="I40" s="87"/>
      <c r="J40" s="78"/>
      <c r="K40" s="78"/>
      <c r="L40" s="78"/>
      <c r="M40" s="78"/>
      <c r="N40" t="s">
        <v>816</v>
      </c>
      <c r="O40" s="47"/>
      <c r="P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ZE-AM-FL-0017</v>
      </c>
      <c r="R40" s="15"/>
      <c r="T40" s="48"/>
      <c r="AG40" s="70" t="s">
        <v>17</v>
      </c>
      <c r="AJ40" t="s">
        <v>274</v>
      </c>
    </row>
    <row r="41" spans="2:45" x14ac:dyDescent="0.3">
      <c r="B41" t="s">
        <v>23</v>
      </c>
      <c r="C41" s="11" t="s">
        <v>173</v>
      </c>
      <c r="E41" s="11" t="str" cm="1">
        <f t="array" ref="E41">_xlfn.IFS(
    COUNTIF(Herramientas_eléctricas1862[Herramientas_eléctricas], B41) &gt; 0, Herramientas_eléctricas1862[[#Headers],[Herramientas_eléctricas]],
    COUNTIF(Herramientas_neumáticas1963[Herramientas_neumáticas], B41) &gt; 0, Herramientas_neumáticas1963[[#Headers],[Herramientas_neumáticas]],
    COUNTIF(Herramientas_de_medición2064[Herramientas_de_medición], B41) &gt; 0, Herramientas_de_medición2064[[#Headers],[Herramientas_de_medición]],
    COUNTIF(Herrramientas_mecánicas2165[Herramientas_mecánicas], B41) &gt; 0, Herrramientas_mecánicas2165[[#Headers],[Herramientas_mecánicas]],
    COUNTIF(AK41:AK47, B41) &gt; 0, Herramientas_hidráulicas2266[[#Headers],[Herramientas_hidráulicas]],
    COUNTIF(EPP_2367[SPCC], B41) &gt; 0, EPP_2367[[#Headers],[SPCC]],
   COUNTIF(Herramientas_de_izaje2468[Herramientas_de_izaje], B41) &gt; 0, Herramientas_de_izaje2468[[#Headers],[Herramientas_de_izaje]],
COUNTIF(Tabla162670[Equipos], B41) &gt; 0, Tabla162670[[#Headers],[Equipos]],
    TRUE, "Sin clasificación"
)</f>
        <v>Herramientas_eléctricas</v>
      </c>
      <c r="F41" s="15"/>
      <c r="G41" s="15" t="s">
        <v>572</v>
      </c>
      <c r="H41" s="47" t="s">
        <v>789</v>
      </c>
      <c r="I41" s="87"/>
      <c r="J41" s="78"/>
      <c r="K41" s="78"/>
      <c r="L41" s="78"/>
      <c r="M41" s="78"/>
      <c r="N41" t="s">
        <v>817</v>
      </c>
      <c r="O41" s="47"/>
      <c r="P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ZE-AM-FL-0018</v>
      </c>
      <c r="R41" s="15"/>
      <c r="T41" s="48"/>
      <c r="AI41" t="s">
        <v>61</v>
      </c>
    </row>
    <row r="42" spans="2:45" x14ac:dyDescent="0.3">
      <c r="B42" t="s">
        <v>23</v>
      </c>
      <c r="C42" s="11" t="s">
        <v>172</v>
      </c>
      <c r="E42" s="11" t="str" cm="1">
        <f t="array" ref="E42">_xlfn.IFS(
    COUNTIF(Herramientas_eléctricas1862[Herramientas_eléctricas], B42) &gt; 0, Herramientas_eléctricas1862[[#Headers],[Herramientas_eléctricas]],
    COUNTIF(Herramientas_neumáticas1963[Herramientas_neumáticas], B42) &gt; 0, Herramientas_neumáticas1963[[#Headers],[Herramientas_neumáticas]],
    COUNTIF(Herramientas_de_medición2064[Herramientas_de_medición], B42) &gt; 0, Herramientas_de_medición2064[[#Headers],[Herramientas_de_medición]],
    COUNTIF(Herrramientas_mecánicas2165[Herramientas_mecánicas], B42) &gt; 0, Herrramientas_mecánicas2165[[#Headers],[Herramientas_mecánicas]],
    COUNTIF(AK42:AK48, B42) &gt; 0, Herramientas_hidráulicas2266[[#Headers],[Herramientas_hidráulicas]],
    COUNTIF(EPP_2367[SPCC], B42) &gt; 0, EPP_2367[[#Headers],[SPCC]],
   COUNTIF(Herramientas_de_izaje2468[Herramientas_de_izaje], B42) &gt; 0, Herramientas_de_izaje2468[[#Headers],[Herramientas_de_izaje]],
COUNTIF(Tabla162670[Equipos], B42) &gt; 0, Tabla162670[[#Headers],[Equipos]],
    TRUE, "Sin clasificación"
)</f>
        <v>Herramientas_eléctricas</v>
      </c>
      <c r="F42" s="15"/>
      <c r="G42" s="15" t="s">
        <v>572</v>
      </c>
      <c r="H42" s="47" t="s">
        <v>704</v>
      </c>
      <c r="I42" s="87"/>
      <c r="J42" s="78"/>
      <c r="K42" s="78"/>
      <c r="L42" s="78"/>
      <c r="M42" s="78"/>
      <c r="O42" s="47"/>
      <c r="P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ZE-AM-ML-0001</v>
      </c>
      <c r="R42" s="15" t="s">
        <v>818</v>
      </c>
      <c r="T42" s="48"/>
      <c r="AG42" s="71" t="s">
        <v>94</v>
      </c>
      <c r="AI42" t="s">
        <v>275</v>
      </c>
    </row>
    <row r="43" spans="2:45" ht="28.8" x14ac:dyDescent="0.3">
      <c r="B43" t="s">
        <v>23</v>
      </c>
      <c r="C43" s="11" t="s">
        <v>172</v>
      </c>
      <c r="E43" s="11" t="str" cm="1">
        <f t="array" ref="E43">_xlfn.IFS(
    COUNTIF(Herramientas_eléctricas1862[Herramientas_eléctricas], B43) &gt; 0, Herramientas_eléctricas1862[[#Headers],[Herramientas_eléctricas]],
    COUNTIF(Herramientas_neumáticas1963[Herramientas_neumáticas], B43) &gt; 0, Herramientas_neumáticas1963[[#Headers],[Herramientas_neumáticas]],
    COUNTIF(Herramientas_de_medición2064[Herramientas_de_medición], B43) &gt; 0, Herramientas_de_medición2064[[#Headers],[Herramientas_de_medición]],
    COUNTIF(Herrramientas_mecánicas2165[Herramientas_mecánicas], B43) &gt; 0, Herrramientas_mecánicas2165[[#Headers],[Herramientas_mecánicas]],
    COUNTIF(AK43:AK49, B43) &gt; 0, Herramientas_hidráulicas2266[[#Headers],[Herramientas_hidráulicas]],
    COUNTIF(EPP_2367[SPCC], B43) &gt; 0, EPP_2367[[#Headers],[SPCC]],
   COUNTIF(Herramientas_de_izaje2468[Herramientas_de_izaje], B43) &gt; 0, Herramientas_de_izaje2468[[#Headers],[Herramientas_de_izaje]],
COUNTIF(Tabla162670[Equipos], B43) &gt; 0, Tabla162670[[#Headers],[Equipos]],
    TRUE, "Sin clasificación"
)</f>
        <v>Herramientas_eléctricas</v>
      </c>
      <c r="F43" s="15"/>
      <c r="G43" s="15" t="s">
        <v>572</v>
      </c>
      <c r="H43" s="47" t="s">
        <v>819</v>
      </c>
      <c r="I43" s="87"/>
      <c r="J43" s="78"/>
      <c r="K43" s="78"/>
      <c r="L43" s="78"/>
      <c r="M43" s="78"/>
      <c r="N43">
        <v>9</v>
      </c>
      <c r="O43" s="47"/>
      <c r="P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ZE-AM-ML-0002</v>
      </c>
      <c r="R43" s="15"/>
      <c r="T43" s="48"/>
      <c r="AG43" s="72" t="s">
        <v>276</v>
      </c>
      <c r="AI43" s="20" t="s">
        <v>277</v>
      </c>
      <c r="AJ43" t="s">
        <v>98</v>
      </c>
    </row>
    <row r="44" spans="2:45" x14ac:dyDescent="0.3">
      <c r="B44" t="s">
        <v>23</v>
      </c>
      <c r="C44" s="11" t="s">
        <v>172</v>
      </c>
      <c r="E44" s="11" t="str" cm="1">
        <f t="array" ref="E44">_xlfn.IFS(
    COUNTIF(Herramientas_eléctricas1862[Herramientas_eléctricas], B44) &gt; 0, Herramientas_eléctricas1862[[#Headers],[Herramientas_eléctricas]],
    COUNTIF(Herramientas_neumáticas1963[Herramientas_neumáticas], B44) &gt; 0, Herramientas_neumáticas1963[[#Headers],[Herramientas_neumáticas]],
    COUNTIF(Herramientas_de_medición2064[Herramientas_de_medición], B44) &gt; 0, Herramientas_de_medición2064[[#Headers],[Herramientas_de_medición]],
    COUNTIF(Herrramientas_mecánicas2165[Herramientas_mecánicas], B44) &gt; 0, Herrramientas_mecánicas2165[[#Headers],[Herramientas_mecánicas]],
    COUNTIF(AK44:AK50, B44) &gt; 0, Herramientas_hidráulicas2266[[#Headers],[Herramientas_hidráulicas]],
    COUNTIF(EPP_2367[SPCC], B44) &gt; 0, EPP_2367[[#Headers],[SPCC]],
   COUNTIF(Herramientas_de_izaje2468[Herramientas_de_izaje], B44) &gt; 0, Herramientas_de_izaje2468[[#Headers],[Herramientas_de_izaje]],
COUNTIF(Tabla162670[Equipos], B44) &gt; 0, Tabla162670[[#Headers],[Equipos]],
    TRUE, "Sin clasificación"
)</f>
        <v>Herramientas_eléctricas</v>
      </c>
      <c r="F44" s="15"/>
      <c r="G44" s="15" t="s">
        <v>572</v>
      </c>
      <c r="H44" s="47" t="s">
        <v>590</v>
      </c>
      <c r="I44" s="87"/>
      <c r="J44" s="78"/>
      <c r="K44" s="78"/>
      <c r="L44" s="78"/>
      <c r="M44" s="78"/>
      <c r="N44">
        <v>18</v>
      </c>
      <c r="O44" s="47"/>
      <c r="P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ZE-AM-ML-0003</v>
      </c>
      <c r="R44" s="15"/>
      <c r="T44" s="48"/>
      <c r="AG44" s="73" t="s">
        <v>278</v>
      </c>
      <c r="AI44" s="18" t="s">
        <v>279</v>
      </c>
      <c r="AJ44" s="26" t="s">
        <v>280</v>
      </c>
    </row>
    <row r="45" spans="2:45" x14ac:dyDescent="0.3">
      <c r="B45" t="s">
        <v>23</v>
      </c>
      <c r="C45" s="11" t="s">
        <v>172</v>
      </c>
      <c r="E45" s="11" t="str" cm="1">
        <f t="array" ref="E45">_xlfn.IFS(
    COUNTIF(Herramientas_eléctricas1862[Herramientas_eléctricas], B45) &gt; 0, Herramientas_eléctricas1862[[#Headers],[Herramientas_eléctricas]],
    COUNTIF(Herramientas_neumáticas1963[Herramientas_neumáticas], B45) &gt; 0, Herramientas_neumáticas1963[[#Headers],[Herramientas_neumáticas]],
    COUNTIF(Herramientas_de_medición2064[Herramientas_de_medición], B45) &gt; 0, Herramientas_de_medición2064[[#Headers],[Herramientas_de_medición]],
    COUNTIF(Herrramientas_mecánicas2165[Herramientas_mecánicas], B45) &gt; 0, Herrramientas_mecánicas2165[[#Headers],[Herramientas_mecánicas]],
    COUNTIF(AK45:AK51, B45) &gt; 0, Herramientas_hidráulicas2266[[#Headers],[Herramientas_hidráulicas]],
    COUNTIF(EPP_2367[SPCC], B45) &gt; 0, EPP_2367[[#Headers],[SPCC]],
   COUNTIF(Herramientas_de_izaje2468[Herramientas_de_izaje], B45) &gt; 0, Herramientas_de_izaje2468[[#Headers],[Herramientas_de_izaje]],
COUNTIF(Tabla162670[Equipos], B45) &gt; 0, Tabla162670[[#Headers],[Equipos]],
    TRUE, "Sin clasificación"
)</f>
        <v>Herramientas_eléctricas</v>
      </c>
      <c r="F45" s="15"/>
      <c r="G45" s="15" t="s">
        <v>611</v>
      </c>
      <c r="H45" s="47" t="s">
        <v>820</v>
      </c>
      <c r="I45" s="87">
        <v>10</v>
      </c>
      <c r="J45" s="78"/>
      <c r="K45" s="78">
        <v>2200</v>
      </c>
      <c r="L45" s="78" t="s">
        <v>605</v>
      </c>
      <c r="M45" s="78"/>
      <c r="O45" s="47">
        <v>384475</v>
      </c>
      <c r="P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ZE-AM-ML-0004</v>
      </c>
      <c r="R45" s="15"/>
      <c r="T45" s="48"/>
      <c r="AG45" t="s">
        <v>42</v>
      </c>
      <c r="AI45" s="26" t="s">
        <v>281</v>
      </c>
    </row>
    <row r="46" spans="2:45" x14ac:dyDescent="0.3">
      <c r="B46" t="s">
        <v>23</v>
      </c>
      <c r="C46" s="11" t="s">
        <v>172</v>
      </c>
      <c r="E46" s="11" t="str" cm="1">
        <f t="array" ref="E46">_xlfn.IFS(
    COUNTIF(Herramientas_eléctricas1862[Herramientas_eléctricas], B46) &gt; 0, Herramientas_eléctricas1862[[#Headers],[Herramientas_eléctricas]],
    COUNTIF(Herramientas_neumáticas1963[Herramientas_neumáticas], B46) &gt; 0, Herramientas_neumáticas1963[[#Headers],[Herramientas_neumáticas]],
    COUNTIF(Herramientas_de_medición2064[Herramientas_de_medición], B46) &gt; 0, Herramientas_de_medición2064[[#Headers],[Herramientas_de_medición]],
    COUNTIF(Herrramientas_mecánicas2165[Herramientas_mecánicas], B46) &gt; 0, Herrramientas_mecánicas2165[[#Headers],[Herramientas_mecánicas]],
    COUNTIF(AK46:AK52, B46) &gt; 0, Herramientas_hidráulicas2266[[#Headers],[Herramientas_hidráulicas]],
    COUNTIF(EPP_2367[SPCC], B46) &gt; 0, EPP_2367[[#Headers],[SPCC]],
   COUNTIF(Herramientas_de_izaje2468[Herramientas_de_izaje], B46) &gt; 0, Herramientas_de_izaje2468[[#Headers],[Herramientas_de_izaje]],
COUNTIF(Tabla162670[Equipos], B46) &gt; 0, Tabla162670[[#Headers],[Equipos]],
    TRUE, "Sin clasificación"
)</f>
        <v>Herramientas_eléctricas</v>
      </c>
      <c r="F46" s="15"/>
      <c r="G46" s="15" t="s">
        <v>572</v>
      </c>
      <c r="H46" s="47" t="s">
        <v>828</v>
      </c>
      <c r="I46" s="87"/>
      <c r="J46" s="78"/>
      <c r="K46" s="78"/>
      <c r="L46" s="78"/>
      <c r="M46" s="78"/>
      <c r="O46" s="47"/>
      <c r="P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ZE-AM-ML-0005</v>
      </c>
      <c r="R46" s="15" t="s">
        <v>728</v>
      </c>
      <c r="T46" s="48"/>
    </row>
    <row r="47" spans="2:45" x14ac:dyDescent="0.3">
      <c r="B47" t="s">
        <v>23</v>
      </c>
      <c r="C47" s="11" t="s">
        <v>172</v>
      </c>
      <c r="E47" s="11" t="str" cm="1">
        <f t="array" ref="E47">_xlfn.IFS(
    COUNTIF(Herramientas_eléctricas1862[Herramientas_eléctricas], B47) &gt; 0, Herramientas_eléctricas1862[[#Headers],[Herramientas_eléctricas]],
    COUNTIF(Herramientas_neumáticas1963[Herramientas_neumáticas], B47) &gt; 0, Herramientas_neumáticas1963[[#Headers],[Herramientas_neumáticas]],
    COUNTIF(Herramientas_de_medición2064[Herramientas_de_medición], B47) &gt; 0, Herramientas_de_medición2064[[#Headers],[Herramientas_de_medición]],
    COUNTIF(Herrramientas_mecánicas2165[Herramientas_mecánicas], B47) &gt; 0, Herrramientas_mecánicas2165[[#Headers],[Herramientas_mecánicas]],
    COUNTIF(AK47:AK53, B47) &gt; 0, Herramientas_hidráulicas2266[[#Headers],[Herramientas_hidráulicas]],
    COUNTIF(EPP_2367[SPCC], B47) &gt; 0, EPP_2367[[#Headers],[SPCC]],
   COUNTIF(Herramientas_de_izaje2468[Herramientas_de_izaje], B47) &gt; 0, Herramientas_de_izaje2468[[#Headers],[Herramientas_de_izaje]],
COUNTIF(Tabla162670[Equipos], B47) &gt; 0, Tabla162670[[#Headers],[Equipos]],
    TRUE, "Sin clasificación"
)</f>
        <v>Herramientas_eléctricas</v>
      </c>
      <c r="F47" s="15"/>
      <c r="G47" s="15" t="s">
        <v>572</v>
      </c>
      <c r="H47" s="47" t="s">
        <v>838</v>
      </c>
      <c r="I47" s="87">
        <v>11.9</v>
      </c>
      <c r="J47" s="78">
        <v>180</v>
      </c>
      <c r="K47" s="78">
        <v>2600</v>
      </c>
      <c r="L47" s="78">
        <v>220</v>
      </c>
      <c r="M47" s="78">
        <v>8500</v>
      </c>
      <c r="N47">
        <v>6</v>
      </c>
      <c r="O47" s="47"/>
      <c r="P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ZE-AM-ML-0006</v>
      </c>
      <c r="R47" s="15"/>
      <c r="T47" s="48"/>
      <c r="AG47" t="s">
        <v>41</v>
      </c>
      <c r="AJ47" t="s">
        <v>282</v>
      </c>
    </row>
    <row r="48" spans="2:45" ht="28.8" x14ac:dyDescent="0.3">
      <c r="B48" t="s">
        <v>23</v>
      </c>
      <c r="C48" s="11" t="s">
        <v>172</v>
      </c>
      <c r="E48" s="11" t="str" cm="1">
        <f t="array" ref="E48">_xlfn.IFS(
    COUNTIF(Herramientas_eléctricas1862[Herramientas_eléctricas], B48) &gt; 0, Herramientas_eléctricas1862[[#Headers],[Herramientas_eléctricas]],
    COUNTIF(Herramientas_neumáticas1963[Herramientas_neumáticas], B48) &gt; 0, Herramientas_neumáticas1963[[#Headers],[Herramientas_neumáticas]],
    COUNTIF(Herramientas_de_medición2064[Herramientas_de_medición], B48) &gt; 0, Herramientas_de_medición2064[[#Headers],[Herramientas_de_medición]],
    COUNTIF(Herrramientas_mecánicas2165[Herramientas_mecánicas], B48) &gt; 0, Herrramientas_mecánicas2165[[#Headers],[Herramientas_mecánicas]],
    COUNTIF(AK48:AK54, B48) &gt; 0, Herramientas_hidráulicas2266[[#Headers],[Herramientas_hidráulicas]],
    COUNTIF(EPP_2367[SPCC], B48) &gt; 0, EPP_2367[[#Headers],[SPCC]],
   COUNTIF(Herramientas_de_izaje2468[Herramientas_de_izaje], B48) &gt; 0, Herramientas_de_izaje2468[[#Headers],[Herramientas_de_izaje]],
COUNTIF(Tabla162670[Equipos], B48) &gt; 0, Tabla162670[[#Headers],[Equipos]],
    TRUE, "Sin clasificación"
)</f>
        <v>Herramientas_eléctricas</v>
      </c>
      <c r="F48" s="15"/>
      <c r="G48" s="15" t="s">
        <v>572</v>
      </c>
      <c r="H48" s="47" t="s">
        <v>748</v>
      </c>
      <c r="I48" s="87">
        <v>8</v>
      </c>
      <c r="J48" s="78">
        <v>150</v>
      </c>
      <c r="K48" s="78">
        <v>1700</v>
      </c>
      <c r="L48" s="78" t="s">
        <v>616</v>
      </c>
      <c r="M48" s="78">
        <v>11500</v>
      </c>
      <c r="O48" s="47">
        <v>223000621</v>
      </c>
      <c r="P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ZE-AM-ML-0007</v>
      </c>
      <c r="R48" s="15"/>
      <c r="T48" s="48"/>
      <c r="AG48" t="s">
        <v>41</v>
      </c>
      <c r="AI48" t="s">
        <v>283</v>
      </c>
      <c r="AJ48" s="74" t="s">
        <v>284</v>
      </c>
      <c r="AS48" t="s">
        <v>74</v>
      </c>
    </row>
    <row r="49" spans="1:45" x14ac:dyDescent="0.3">
      <c r="B49" t="s">
        <v>23</v>
      </c>
      <c r="C49" s="11" t="s">
        <v>172</v>
      </c>
      <c r="E49" s="11" t="str" cm="1">
        <f t="array" ref="E49">_xlfn.IFS(
    COUNTIF(Herramientas_eléctricas1862[Herramientas_eléctricas], B49) &gt; 0, Herramientas_eléctricas1862[[#Headers],[Herramientas_eléctricas]],
    COUNTIF(Herramientas_neumáticas1963[Herramientas_neumáticas], B49) &gt; 0, Herramientas_neumáticas1963[[#Headers],[Herramientas_neumáticas]],
    COUNTIF(Herramientas_de_medición2064[Herramientas_de_medición], B49) &gt; 0, Herramientas_de_medición2064[[#Headers],[Herramientas_de_medición]],
    COUNTIF(Herrramientas_mecánicas2165[Herramientas_mecánicas], B49) &gt; 0, Herrramientas_mecánicas2165[[#Headers],[Herramientas_mecánicas]],
    COUNTIF(AK49:AK55, B49) &gt; 0, Herramientas_hidráulicas2266[[#Headers],[Herramientas_hidráulicas]],
    COUNTIF(EPP_2367[SPCC], B49) &gt; 0, EPP_2367[[#Headers],[SPCC]],
   COUNTIF(Herramientas_de_izaje2468[Herramientas_de_izaje], B49) &gt; 0, Herramientas_de_izaje2468[[#Headers],[Herramientas_de_izaje]],
COUNTIF(Tabla162670[Equipos], B49) &gt; 0, Tabla162670[[#Headers],[Equipos]],
    TRUE, "Sin clasificación"
)</f>
        <v>Herramientas_eléctricas</v>
      </c>
      <c r="F49" s="15"/>
      <c r="G49" s="15" t="s">
        <v>572</v>
      </c>
      <c r="H49" s="47" t="s">
        <v>650</v>
      </c>
      <c r="I49" s="87"/>
      <c r="J49" s="78">
        <v>125</v>
      </c>
      <c r="K49" s="78">
        <v>1200</v>
      </c>
      <c r="L49" s="78">
        <v>220</v>
      </c>
      <c r="M49" s="78" t="s">
        <v>839</v>
      </c>
      <c r="O49" s="47">
        <v>521067351</v>
      </c>
      <c r="P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ZE-AM-ML-0008</v>
      </c>
      <c r="R49" s="15"/>
      <c r="T49" s="48"/>
      <c r="AG49" t="s">
        <v>285</v>
      </c>
      <c r="AI49" t="s">
        <v>286</v>
      </c>
      <c r="AS49" s="22" t="s">
        <v>74</v>
      </c>
    </row>
    <row r="50" spans="1:45" x14ac:dyDescent="0.3">
      <c r="A50" t="s">
        <v>840</v>
      </c>
      <c r="B50" t="s">
        <v>23</v>
      </c>
      <c r="C50" s="11" t="s">
        <v>172</v>
      </c>
      <c r="E50" s="11" t="str" cm="1">
        <f t="array" ref="E50">_xlfn.IFS(
    COUNTIF(Herramientas_eléctricas1862[Herramientas_eléctricas], B50) &gt; 0, Herramientas_eléctricas1862[[#Headers],[Herramientas_eléctricas]],
    COUNTIF(Herramientas_neumáticas1963[Herramientas_neumáticas], B50) &gt; 0, Herramientas_neumáticas1963[[#Headers],[Herramientas_neumáticas]],
    COUNTIF(Herramientas_de_medición2064[Herramientas_de_medición], B50) &gt; 0, Herramientas_de_medición2064[[#Headers],[Herramientas_de_medición]],
    COUNTIF(Herrramientas_mecánicas2165[Herramientas_mecánicas], B50) &gt; 0, Herrramientas_mecánicas2165[[#Headers],[Herramientas_mecánicas]],
    COUNTIF(AK50:AK56, B50) &gt; 0, Herramientas_hidráulicas2266[[#Headers],[Herramientas_hidráulicas]],
    COUNTIF(EPP_2367[SPCC], B50) &gt; 0, EPP_2367[[#Headers],[SPCC]],
   COUNTIF(Herramientas_de_izaje2468[Herramientas_de_izaje], B50) &gt; 0, Herramientas_de_izaje2468[[#Headers],[Herramientas_de_izaje]],
COUNTIF(Tabla162670[Equipos], B50) &gt; 0, Tabla162670[[#Headers],[Equipos]],
    TRUE, "Sin clasificación"
)</f>
        <v>Herramientas_eléctricas</v>
      </c>
      <c r="F50" s="15"/>
      <c r="G50" s="15" t="s">
        <v>572</v>
      </c>
      <c r="H50" s="47" t="s">
        <v>841</v>
      </c>
      <c r="I50" s="87">
        <v>9.6</v>
      </c>
      <c r="J50" s="78">
        <v>180</v>
      </c>
      <c r="K50" s="78">
        <v>2000</v>
      </c>
      <c r="L50" s="78">
        <v>220</v>
      </c>
      <c r="M50" s="78">
        <v>8500</v>
      </c>
      <c r="N50" t="s">
        <v>842</v>
      </c>
      <c r="O50" s="47">
        <v>8062300214</v>
      </c>
      <c r="P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ZE-AM-ML-0009</v>
      </c>
      <c r="R50" s="15"/>
      <c r="T50" s="48"/>
      <c r="AG50" t="s">
        <v>287</v>
      </c>
      <c r="AI50" t="s">
        <v>288</v>
      </c>
      <c r="AJ50" t="s">
        <v>289</v>
      </c>
      <c r="AS50" s="18" t="s">
        <v>290</v>
      </c>
    </row>
    <row r="51" spans="1:45" x14ac:dyDescent="0.3">
      <c r="B51" t="s">
        <v>23</v>
      </c>
      <c r="C51" s="11" t="s">
        <v>172</v>
      </c>
      <c r="E51" s="11" t="str" cm="1">
        <f t="array" ref="E51">_xlfn.IFS(
    COUNTIF(Herramientas_eléctricas1862[Herramientas_eléctricas], B51) &gt; 0, Herramientas_eléctricas1862[[#Headers],[Herramientas_eléctricas]],
    COUNTIF(Herramientas_neumáticas1963[Herramientas_neumáticas], B51) &gt; 0, Herramientas_neumáticas1963[[#Headers],[Herramientas_neumáticas]],
    COUNTIF(Herramientas_de_medición2064[Herramientas_de_medición], B51) &gt; 0, Herramientas_de_medición2064[[#Headers],[Herramientas_de_medición]],
    COUNTIF(Herrramientas_mecánicas2165[Herramientas_mecánicas], B51) &gt; 0, Herrramientas_mecánicas2165[[#Headers],[Herramientas_mecánicas]],
    COUNTIF(AK51:AK57, B51) &gt; 0, Herramientas_hidráulicas2266[[#Headers],[Herramientas_hidráulicas]],
    COUNTIF(EPP_2367[SPCC], B51) &gt; 0, EPP_2367[[#Headers],[SPCC]],
   COUNTIF(Herramientas_de_izaje2468[Herramientas_de_izaje], B51) &gt; 0, Herramientas_de_izaje2468[[#Headers],[Herramientas_de_izaje]],
COUNTIF(Tabla162670[Equipos], B51) &gt; 0, Tabla162670[[#Headers],[Equipos]],
    TRUE, "Sin clasificación"
)</f>
        <v>Herramientas_eléctricas</v>
      </c>
      <c r="F51" s="15"/>
      <c r="G51" s="15" t="s">
        <v>572</v>
      </c>
      <c r="H51" s="47"/>
      <c r="I51" s="87"/>
      <c r="J51" s="78"/>
      <c r="K51" s="78"/>
      <c r="L51" s="78"/>
      <c r="M51" s="78"/>
      <c r="N51">
        <v>13</v>
      </c>
      <c r="O51" s="47"/>
      <c r="P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ZE-AM-ML-0010</v>
      </c>
      <c r="R51" s="15"/>
      <c r="T51" s="48" t="s">
        <v>224</v>
      </c>
      <c r="AJ51" s="22" t="s">
        <v>291</v>
      </c>
    </row>
    <row r="52" spans="1:45" x14ac:dyDescent="0.3">
      <c r="B52" t="s">
        <v>23</v>
      </c>
      <c r="C52" s="11" t="s">
        <v>172</v>
      </c>
      <c r="E52" s="11" t="str" cm="1">
        <f t="array" ref="E52">_xlfn.IFS(
    COUNTIF(Herramientas_eléctricas1862[Herramientas_eléctricas], B52) &gt; 0, Herramientas_eléctricas1862[[#Headers],[Herramientas_eléctricas]],
    COUNTIF(Herramientas_neumáticas1963[Herramientas_neumáticas], B52) &gt; 0, Herramientas_neumáticas1963[[#Headers],[Herramientas_neumáticas]],
    COUNTIF(Herramientas_de_medición2064[Herramientas_de_medición], B52) &gt; 0, Herramientas_de_medición2064[[#Headers],[Herramientas_de_medición]],
    COUNTIF(Herrramientas_mecánicas2165[Herramientas_mecánicas], B52) &gt; 0, Herrramientas_mecánicas2165[[#Headers],[Herramientas_mecánicas]],
    COUNTIF(AK52:AK58, B52) &gt; 0, Herramientas_hidráulicas2266[[#Headers],[Herramientas_hidráulicas]],
    COUNTIF(EPP_2367[SPCC], B52) &gt; 0, EPP_2367[[#Headers],[SPCC]],
   COUNTIF(Herramientas_de_izaje2468[Herramientas_de_izaje], B52) &gt; 0, Herramientas_de_izaje2468[[#Headers],[Herramientas_de_izaje]],
COUNTIF(Tabla162670[Equipos], B52) &gt; 0, Tabla162670[[#Headers],[Equipos]],
    TRUE, "Sin clasificación"
)</f>
        <v>Herramientas_eléctricas</v>
      </c>
      <c r="F52" s="15"/>
      <c r="G52" s="15" t="s">
        <v>572</v>
      </c>
      <c r="H52" s="47" t="s">
        <v>843</v>
      </c>
      <c r="I52" s="87"/>
      <c r="J52" s="78"/>
      <c r="K52" s="78"/>
      <c r="L52" s="78"/>
      <c r="M52" s="78"/>
      <c r="N52">
        <v>8</v>
      </c>
      <c r="O52" s="47"/>
      <c r="P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ZE-AM-ML-0011</v>
      </c>
      <c r="R52" s="15"/>
      <c r="T52" s="48" t="s">
        <v>224</v>
      </c>
      <c r="AG52" t="s">
        <v>60</v>
      </c>
      <c r="AJ52" s="67" t="s">
        <v>292</v>
      </c>
    </row>
    <row r="53" spans="1:45" x14ac:dyDescent="0.3">
      <c r="B53" t="s">
        <v>23</v>
      </c>
      <c r="C53" s="11" t="s">
        <v>172</v>
      </c>
      <c r="E53" s="11" t="str" cm="1">
        <f t="array" ref="E53">_xlfn.IFS(
    COUNTIF(Herramientas_eléctricas1862[Herramientas_eléctricas], B53) &gt; 0, Herramientas_eléctricas1862[[#Headers],[Herramientas_eléctricas]],
    COUNTIF(Herramientas_neumáticas1963[Herramientas_neumáticas], B53) &gt; 0, Herramientas_neumáticas1963[[#Headers],[Herramientas_neumáticas]],
    COUNTIF(Herramientas_de_medición2064[Herramientas_de_medición], B53) &gt; 0, Herramientas_de_medición2064[[#Headers],[Herramientas_de_medición]],
    COUNTIF(Herrramientas_mecánicas2165[Herramientas_mecánicas], B53) &gt; 0, Herrramientas_mecánicas2165[[#Headers],[Herramientas_mecánicas]],
    COUNTIF(AK53:AK59, B53) &gt; 0, Herramientas_hidráulicas2266[[#Headers],[Herramientas_hidráulicas]],
    COUNTIF(EPP_2367[SPCC], B53) &gt; 0, EPP_2367[[#Headers],[SPCC]],
   COUNTIF(Herramientas_de_izaje2468[Herramientas_de_izaje], B53) &gt; 0, Herramientas_de_izaje2468[[#Headers],[Herramientas_de_izaje]],
COUNTIF(Tabla162670[Equipos], B53) &gt; 0, Tabla162670[[#Headers],[Equipos]],
    TRUE, "Sin clasificación"
)</f>
        <v>Herramientas_eléctricas</v>
      </c>
      <c r="F53" s="15"/>
      <c r="G53" s="15" t="s">
        <v>572</v>
      </c>
      <c r="H53" s="47"/>
      <c r="I53" s="87"/>
      <c r="J53" s="78"/>
      <c r="K53" s="78"/>
      <c r="L53" s="78"/>
      <c r="M53" s="78"/>
      <c r="N53">
        <v>5</v>
      </c>
      <c r="O53" s="47"/>
      <c r="P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ZE-AM-ML-0012</v>
      </c>
      <c r="R53" s="15" t="s">
        <v>728</v>
      </c>
      <c r="T53" s="48" t="s">
        <v>224</v>
      </c>
      <c r="AG53" s="70" t="s">
        <v>293</v>
      </c>
      <c r="AJ53" s="22" t="s">
        <v>294</v>
      </c>
    </row>
    <row r="54" spans="1:45" x14ac:dyDescent="0.3">
      <c r="B54" t="s">
        <v>23</v>
      </c>
      <c r="C54" s="11" t="s">
        <v>179</v>
      </c>
      <c r="E54" s="11" t="str" cm="1">
        <f t="array" ref="E54">_xlfn.IFS(
    COUNTIF(Herramientas_eléctricas1862[Herramientas_eléctricas], B54) &gt; 0, Herramientas_eléctricas1862[[#Headers],[Herramientas_eléctricas]],
    COUNTIF(Herramientas_neumáticas1963[Herramientas_neumáticas], B54) &gt; 0, Herramientas_neumáticas1963[[#Headers],[Herramientas_neumáticas]],
    COUNTIF(Herramientas_de_medición2064[Herramientas_de_medición], B54) &gt; 0, Herramientas_de_medición2064[[#Headers],[Herramientas_de_medición]],
    COUNTIF(Herrramientas_mecánicas2165[Herramientas_mecánicas], B54) &gt; 0, Herrramientas_mecánicas2165[[#Headers],[Herramientas_mecánicas]],
    COUNTIF(AK54:AK60, B54) &gt; 0, Herramientas_hidráulicas2266[[#Headers],[Herramientas_hidráulicas]],
    COUNTIF(EPP_2367[SPCC], B54) &gt; 0, EPP_2367[[#Headers],[SPCC]],
   COUNTIF(Herramientas_de_izaje2468[Herramientas_de_izaje], B54) &gt; 0, Herramientas_de_izaje2468[[#Headers],[Herramientas_de_izaje]],
COUNTIF(Tabla162670[Equipos], B54) &gt; 0, Tabla162670[[#Headers],[Equipos]],
    TRUE, "Sin clasificación"
)</f>
        <v>Herramientas_eléctricas</v>
      </c>
      <c r="F54" s="15"/>
      <c r="G54" s="15" t="s">
        <v>572</v>
      </c>
      <c r="H54" s="47" t="s">
        <v>704</v>
      </c>
      <c r="I54" s="87"/>
      <c r="J54" s="78"/>
      <c r="K54" s="78"/>
      <c r="L54" s="78"/>
      <c r="M54" s="78"/>
      <c r="O54" s="47"/>
      <c r="P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ZE-AM-GE-0001</v>
      </c>
      <c r="R54" s="15"/>
      <c r="T54" s="48"/>
      <c r="AJ54" s="22" t="s">
        <v>295</v>
      </c>
    </row>
    <row r="55" spans="1:45" x14ac:dyDescent="0.3">
      <c r="B55" t="s">
        <v>23</v>
      </c>
      <c r="C55" s="11" t="s">
        <v>179</v>
      </c>
      <c r="E55" s="11" t="str" cm="1">
        <f t="array" ref="E55">_xlfn.IFS(
    COUNTIF(Herramientas_eléctricas1862[Herramientas_eléctricas], B55) &gt; 0, Herramientas_eléctricas1862[[#Headers],[Herramientas_eléctricas]],
    COUNTIF(Herramientas_neumáticas1963[Herramientas_neumáticas], B55) &gt; 0, Herramientas_neumáticas1963[[#Headers],[Herramientas_neumáticas]],
    COUNTIF(Herramientas_de_medición2064[Herramientas_de_medición], B55) &gt; 0, Herramientas_de_medición2064[[#Headers],[Herramientas_de_medición]],
    COUNTIF(Herrramientas_mecánicas2165[Herramientas_mecánicas], B55) &gt; 0, Herrramientas_mecánicas2165[[#Headers],[Herramientas_mecánicas]],
    COUNTIF(AK55:AK61, B55) &gt; 0, Herramientas_hidráulicas2266[[#Headers],[Herramientas_hidráulicas]],
    COUNTIF(EPP_2367[SPCC], B55) &gt; 0, EPP_2367[[#Headers],[SPCC]],
   COUNTIF(Herramientas_de_izaje2468[Herramientas_de_izaje], B55) &gt; 0, Herramientas_de_izaje2468[[#Headers],[Herramientas_de_izaje]],
COUNTIF(Tabla162670[Equipos], B55) &gt; 0, Tabla162670[[#Headers],[Equipos]],
    TRUE, "Sin clasificación"
)</f>
        <v>Herramientas_eléctricas</v>
      </c>
      <c r="F55" s="15"/>
      <c r="G55" s="15" t="s">
        <v>572</v>
      </c>
      <c r="H55" s="47" t="s">
        <v>844</v>
      </c>
      <c r="I55" s="87">
        <v>8</v>
      </c>
      <c r="J55" s="78">
        <v>125</v>
      </c>
      <c r="K55" s="78">
        <v>1700</v>
      </c>
      <c r="L55" s="78">
        <v>220</v>
      </c>
      <c r="M55" s="78">
        <v>11500</v>
      </c>
      <c r="O55" s="47">
        <v>223000634</v>
      </c>
      <c r="P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ZE-AM-GE-0002</v>
      </c>
      <c r="R55" s="15"/>
      <c r="T55" s="48"/>
      <c r="AJ55" s="22" t="s">
        <v>296</v>
      </c>
    </row>
    <row r="56" spans="1:45" x14ac:dyDescent="0.3">
      <c r="B56" t="s">
        <v>23</v>
      </c>
      <c r="C56" s="11" t="s">
        <v>179</v>
      </c>
      <c r="E56" s="11" t="str" cm="1">
        <f t="array" ref="E56">_xlfn.IFS(
    COUNTIF(Herramientas_eléctricas1862[Herramientas_eléctricas], B56) &gt; 0, Herramientas_eléctricas1862[[#Headers],[Herramientas_eléctricas]],
    COUNTIF(Herramientas_neumáticas1963[Herramientas_neumáticas], B56) &gt; 0, Herramientas_neumáticas1963[[#Headers],[Herramientas_neumáticas]],
    COUNTIF(Herramientas_de_medición2064[Herramientas_de_medición], B56) &gt; 0, Herramientas_de_medición2064[[#Headers],[Herramientas_de_medición]],
    COUNTIF(Herrramientas_mecánicas2165[Herramientas_mecánicas], B56) &gt; 0, Herrramientas_mecánicas2165[[#Headers],[Herramientas_mecánicas]],
    COUNTIF(AK56:AK62, B56) &gt; 0, Herramientas_hidráulicas2266[[#Headers],[Herramientas_hidráulicas]],
    COUNTIF(EPP_2367[SPCC], B56) &gt; 0, EPP_2367[[#Headers],[SPCC]],
   COUNTIF(Herramientas_de_izaje2468[Herramientas_de_izaje], B56) &gt; 0, Herramientas_de_izaje2468[[#Headers],[Herramientas_de_izaje]],
COUNTIF(Tabla162670[Equipos], B56) &gt; 0, Tabla162670[[#Headers],[Equipos]],
    TRUE, "Sin clasificación"
)</f>
        <v>Herramientas_eléctricas</v>
      </c>
      <c r="F56" s="15"/>
      <c r="G56" s="15" t="s">
        <v>572</v>
      </c>
      <c r="H56" s="47" t="s">
        <v>704</v>
      </c>
      <c r="I56" s="87">
        <v>11.9</v>
      </c>
      <c r="J56" s="78">
        <v>180</v>
      </c>
      <c r="K56" s="78">
        <v>2600</v>
      </c>
      <c r="L56" s="78">
        <v>220</v>
      </c>
      <c r="M56" s="78">
        <v>8500</v>
      </c>
      <c r="O56" s="47">
        <v>7052000632</v>
      </c>
      <c r="P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ZE-AM-GE-0003</v>
      </c>
      <c r="R56" s="15"/>
      <c r="T56" s="48"/>
      <c r="AI56" t="s">
        <v>297</v>
      </c>
      <c r="AJ56" s="18" t="s">
        <v>298</v>
      </c>
    </row>
    <row r="57" spans="1:45" x14ac:dyDescent="0.3">
      <c r="B57" t="s">
        <v>23</v>
      </c>
      <c r="C57" s="11" t="s">
        <v>179</v>
      </c>
      <c r="E57" s="11" t="str" cm="1">
        <f t="array" ref="E57">_xlfn.IFS(
    COUNTIF(Herramientas_eléctricas1862[Herramientas_eléctricas], B57) &gt; 0, Herramientas_eléctricas1862[[#Headers],[Herramientas_eléctricas]],
    COUNTIF(Herramientas_neumáticas1963[Herramientas_neumáticas], B57) &gt; 0, Herramientas_neumáticas1963[[#Headers],[Herramientas_neumáticas]],
    COUNTIF(Herramientas_de_medición2064[Herramientas_de_medición], B57) &gt; 0, Herramientas_de_medición2064[[#Headers],[Herramientas_de_medición]],
    COUNTIF(Herrramientas_mecánicas2165[Herramientas_mecánicas], B57) &gt; 0, Herrramientas_mecánicas2165[[#Headers],[Herramientas_mecánicas]],
    COUNTIF(AK57:AK63, B57) &gt; 0, Herramientas_hidráulicas2266[[#Headers],[Herramientas_hidráulicas]],
    COUNTIF(EPP_2367[SPCC], B57) &gt; 0, EPP_2367[[#Headers],[SPCC]],
   COUNTIF(Herramientas_de_izaje2468[Herramientas_de_izaje], B57) &gt; 0, Herramientas_de_izaje2468[[#Headers],[Herramientas_de_izaje]],
COUNTIF(Tabla162670[Equipos], B57) &gt; 0, Tabla162670[[#Headers],[Equipos]],
    TRUE, "Sin clasificación"
)</f>
        <v>Herramientas_eléctricas</v>
      </c>
      <c r="F57" s="15"/>
      <c r="G57" s="15" t="s">
        <v>572</v>
      </c>
      <c r="H57" s="47" t="s">
        <v>845</v>
      </c>
      <c r="I57" s="87">
        <v>11.5</v>
      </c>
      <c r="J57" s="78">
        <v>180</v>
      </c>
      <c r="K57" s="78">
        <v>2400</v>
      </c>
      <c r="L57" s="78">
        <v>220</v>
      </c>
      <c r="M57" s="78">
        <v>8500</v>
      </c>
      <c r="O57" s="47">
        <v>908320276</v>
      </c>
      <c r="P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ZE-AM-GE-0004</v>
      </c>
      <c r="R57" s="15"/>
      <c r="T57" s="48"/>
      <c r="AI57" t="s">
        <v>299</v>
      </c>
      <c r="AJ57" s="22" t="s">
        <v>300</v>
      </c>
    </row>
    <row r="58" spans="1:45" x14ac:dyDescent="0.3">
      <c r="B58" t="s">
        <v>23</v>
      </c>
      <c r="C58" s="11" t="s">
        <v>174</v>
      </c>
      <c r="E58" s="11" t="str" cm="1">
        <f t="array" ref="E58">_xlfn.IFS(
    COUNTIF(Herramientas_eléctricas1862[Herramientas_eléctricas], B58) &gt; 0, Herramientas_eléctricas1862[[#Headers],[Herramientas_eléctricas]],
    COUNTIF(Herramientas_neumáticas1963[Herramientas_neumáticas], B58) &gt; 0, Herramientas_neumáticas1963[[#Headers],[Herramientas_neumáticas]],
    COUNTIF(Herramientas_de_medición2064[Herramientas_de_medición], B58) &gt; 0, Herramientas_de_medición2064[[#Headers],[Herramientas_de_medición]],
    COUNTIF(Herrramientas_mecánicas2165[Herramientas_mecánicas], B58) &gt; 0, Herrramientas_mecánicas2165[[#Headers],[Herramientas_mecánicas]],
    COUNTIF(AK58:AK64, B58) &gt; 0, Herramientas_hidráulicas2266[[#Headers],[Herramientas_hidráulicas]],
    COUNTIF(EPP_2367[SPCC], B58) &gt; 0, EPP_2367[[#Headers],[SPCC]],
   COUNTIF(Herramientas_de_izaje2468[Herramientas_de_izaje], B58) &gt; 0, Herramientas_de_izaje2468[[#Headers],[Herramientas_de_izaje]],
COUNTIF(Tabla162670[Equipos], B58) &gt; 0, Tabla162670[[#Headers],[Equipos]],
    TRUE, "Sin clasificación"
)</f>
        <v>Herramientas_eléctricas</v>
      </c>
      <c r="F58" s="15"/>
      <c r="G58" s="15" t="s">
        <v>796</v>
      </c>
      <c r="H58" s="47" t="s">
        <v>797</v>
      </c>
      <c r="I58" s="87"/>
      <c r="J58" s="78"/>
      <c r="K58" s="78"/>
      <c r="L58" s="78"/>
      <c r="M58" s="78"/>
      <c r="N58" t="s">
        <v>851</v>
      </c>
      <c r="O58" s="47"/>
      <c r="P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ZE-AM-FI-0001</v>
      </c>
      <c r="R58" s="15"/>
      <c r="T58" s="48"/>
      <c r="AG58" t="s">
        <v>23</v>
      </c>
      <c r="AJ58" s="18" t="s">
        <v>301</v>
      </c>
    </row>
    <row r="59" spans="1:45" x14ac:dyDescent="0.3">
      <c r="B59" t="s">
        <v>23</v>
      </c>
      <c r="C59" s="11" t="s">
        <v>174</v>
      </c>
      <c r="E59" s="11" t="str" cm="1">
        <f t="array" ref="E59">_xlfn.IFS(
    COUNTIF(Herramientas_eléctricas1862[Herramientas_eléctricas], B59) &gt; 0, Herramientas_eléctricas1862[[#Headers],[Herramientas_eléctricas]],
    COUNTIF(Herramientas_neumáticas1963[Herramientas_neumáticas], B59) &gt; 0, Herramientas_neumáticas1963[[#Headers],[Herramientas_neumáticas]],
    COUNTIF(Herramientas_de_medición2064[Herramientas_de_medición], B59) &gt; 0, Herramientas_de_medición2064[[#Headers],[Herramientas_de_medición]],
    COUNTIF(Herrramientas_mecánicas2165[Herramientas_mecánicas], B59) &gt; 0, Herrramientas_mecánicas2165[[#Headers],[Herramientas_mecánicas]],
    COUNTIF(AK59:AK65, B59) &gt; 0, Herramientas_hidráulicas2266[[#Headers],[Herramientas_hidráulicas]],
    COUNTIF(EPP_2367[SPCC], B59) &gt; 0, EPP_2367[[#Headers],[SPCC]],
   COUNTIF(Herramientas_de_izaje2468[Herramientas_de_izaje], B59) &gt; 0, Herramientas_de_izaje2468[[#Headers],[Herramientas_de_izaje]],
COUNTIF(Tabla162670[Equipos], B59) &gt; 0, Tabla162670[[#Headers],[Equipos]],
    TRUE, "Sin clasificación"
)</f>
        <v>Herramientas_eléctricas</v>
      </c>
      <c r="F59" s="15"/>
      <c r="G59" s="15" t="s">
        <v>572</v>
      </c>
      <c r="H59" s="47" t="s">
        <v>849</v>
      </c>
      <c r="I59" s="87">
        <v>4.2</v>
      </c>
      <c r="J59" s="78">
        <v>125</v>
      </c>
      <c r="K59" s="78">
        <v>900</v>
      </c>
      <c r="L59" s="78">
        <v>220</v>
      </c>
      <c r="M59" s="78">
        <v>11900</v>
      </c>
      <c r="N59" t="s">
        <v>848</v>
      </c>
      <c r="O59" s="47"/>
      <c r="P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ZE-AM-FI-0002</v>
      </c>
      <c r="R59" s="15"/>
      <c r="T59" s="48"/>
      <c r="AG59" t="s">
        <v>302</v>
      </c>
      <c r="AJ59" s="70" t="s">
        <v>303</v>
      </c>
    </row>
    <row r="60" spans="1:45" x14ac:dyDescent="0.3">
      <c r="B60" t="s">
        <v>23</v>
      </c>
      <c r="C60" s="11" t="s">
        <v>174</v>
      </c>
      <c r="E60" s="11" t="str" cm="1">
        <f t="array" ref="E60">_xlfn.IFS(
    COUNTIF(Herramientas_eléctricas1862[Herramientas_eléctricas], B60) &gt; 0, Herramientas_eléctricas1862[[#Headers],[Herramientas_eléctricas]],
    COUNTIF(Herramientas_neumáticas1963[Herramientas_neumáticas], B60) &gt; 0, Herramientas_neumáticas1963[[#Headers],[Herramientas_neumáticas]],
    COUNTIF(Herramientas_de_medición2064[Herramientas_de_medición], B60) &gt; 0, Herramientas_de_medición2064[[#Headers],[Herramientas_de_medición]],
    COUNTIF(Herrramientas_mecánicas2165[Herramientas_mecánicas], B60) &gt; 0, Herrramientas_mecánicas2165[[#Headers],[Herramientas_mecánicas]],
    COUNTIF(AK60:AK66, B60) &gt; 0, Herramientas_hidráulicas2266[[#Headers],[Herramientas_hidráulicas]],
    COUNTIF(EPP_2367[SPCC], B60) &gt; 0, EPP_2367[[#Headers],[SPCC]],
   COUNTIF(Herramientas_de_izaje2468[Herramientas_de_izaje], B60) &gt; 0, Herramientas_de_izaje2468[[#Headers],[Herramientas_de_izaje]],
COUNTIF(Tabla162670[Equipos], B60) &gt; 0, Tabla162670[[#Headers],[Equipos]],
    TRUE, "Sin clasificación"
)</f>
        <v>Herramientas_eléctricas</v>
      </c>
      <c r="F60" s="15"/>
      <c r="G60" s="15" t="s">
        <v>796</v>
      </c>
      <c r="H60" s="47" t="s">
        <v>797</v>
      </c>
      <c r="I60" s="87"/>
      <c r="J60" s="78"/>
      <c r="K60" s="78"/>
      <c r="L60" s="78"/>
      <c r="M60" s="78"/>
      <c r="N60" t="s">
        <v>850</v>
      </c>
      <c r="O60" s="47"/>
      <c r="P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ZE-AM-FI-0003</v>
      </c>
      <c r="R60" s="15"/>
      <c r="T60" s="48"/>
      <c r="AI60" t="s">
        <v>62</v>
      </c>
    </row>
    <row r="61" spans="1:45" x14ac:dyDescent="0.3">
      <c r="B61" t="s">
        <v>23</v>
      </c>
      <c r="C61" s="11" t="s">
        <v>174</v>
      </c>
      <c r="E61" s="11" t="str" cm="1">
        <f t="array" ref="E61">_xlfn.IFS(
    COUNTIF(Herramientas_eléctricas1862[Herramientas_eléctricas], B61) &gt; 0, Herramientas_eléctricas1862[[#Headers],[Herramientas_eléctricas]],
    COUNTIF(Herramientas_neumáticas1963[Herramientas_neumáticas], B61) &gt; 0, Herramientas_neumáticas1963[[#Headers],[Herramientas_neumáticas]],
    COUNTIF(Herramientas_de_medición2064[Herramientas_de_medición], B61) &gt; 0, Herramientas_de_medición2064[[#Headers],[Herramientas_de_medición]],
    COUNTIF(Herrramientas_mecánicas2165[Herramientas_mecánicas], B61) &gt; 0, Herrramientas_mecánicas2165[[#Headers],[Herramientas_mecánicas]],
    COUNTIF(AK61:AK67, B61) &gt; 0, Herramientas_hidráulicas2266[[#Headers],[Herramientas_hidráulicas]],
    COUNTIF(EPP_2367[SPCC], B61) &gt; 0, EPP_2367[[#Headers],[SPCC]],
   COUNTIF(Herramientas_de_izaje2468[Herramientas_de_izaje], B61) &gt; 0, Herramientas_de_izaje2468[[#Headers],[Herramientas_de_izaje]],
COUNTIF(Tabla162670[Equipos], B61) &gt; 0, Tabla162670[[#Headers],[Equipos]],
    TRUE, "Sin clasificación"
)</f>
        <v>Herramientas_eléctricas</v>
      </c>
      <c r="F61" s="15"/>
      <c r="G61" s="15" t="s">
        <v>796</v>
      </c>
      <c r="H61" s="47" t="s">
        <v>797</v>
      </c>
      <c r="I61" s="87"/>
      <c r="J61" s="78"/>
      <c r="K61" s="78"/>
      <c r="L61" s="78"/>
      <c r="M61" s="78"/>
      <c r="N61" t="s">
        <v>852</v>
      </c>
      <c r="O61" s="47"/>
      <c r="P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ZE-AM-FI-0004</v>
      </c>
      <c r="R61" s="15"/>
      <c r="T61" s="48"/>
      <c r="AI61" s="70" t="s">
        <v>304</v>
      </c>
      <c r="AJ61" t="s">
        <v>305</v>
      </c>
    </row>
    <row r="62" spans="1:45" x14ac:dyDescent="0.3">
      <c r="B62" t="s">
        <v>23</v>
      </c>
      <c r="C62" s="11" t="s">
        <v>174</v>
      </c>
      <c r="E62" s="11" t="str" cm="1">
        <f t="array" ref="E62">_xlfn.IFS(
    COUNTIF(Herramientas_eléctricas1862[Herramientas_eléctricas], B62) &gt; 0, Herramientas_eléctricas1862[[#Headers],[Herramientas_eléctricas]],
    COUNTIF(Herramientas_neumáticas1963[Herramientas_neumáticas], B62) &gt; 0, Herramientas_neumáticas1963[[#Headers],[Herramientas_neumáticas]],
    COUNTIF(Herramientas_de_medición2064[Herramientas_de_medición], B62) &gt; 0, Herramientas_de_medición2064[[#Headers],[Herramientas_de_medición]],
    COUNTIF(Herrramientas_mecánicas2165[Herramientas_mecánicas], B62) &gt; 0, Herrramientas_mecánicas2165[[#Headers],[Herramientas_mecánicas]],
    COUNTIF(AK62:AK68, B62) &gt; 0, Herramientas_hidráulicas2266[[#Headers],[Herramientas_hidráulicas]],
    COUNTIF(EPP_2367[SPCC], B62) &gt; 0, EPP_2367[[#Headers],[SPCC]],
   COUNTIF(Herramientas_de_izaje2468[Herramientas_de_izaje], B62) &gt; 0, Herramientas_de_izaje2468[[#Headers],[Herramientas_de_izaje]],
COUNTIF(Tabla162670[Equipos], B62) &gt; 0, Tabla162670[[#Headers],[Equipos]],
    TRUE, "Sin clasificación"
)</f>
        <v>Herramientas_eléctricas</v>
      </c>
      <c r="F62" s="15"/>
      <c r="G62" s="15" t="s">
        <v>572</v>
      </c>
      <c r="H62" s="47"/>
      <c r="I62" s="87"/>
      <c r="J62" s="78"/>
      <c r="K62" s="78"/>
      <c r="L62" s="78"/>
      <c r="M62" s="78"/>
      <c r="N62" t="s">
        <v>853</v>
      </c>
      <c r="O62" s="47"/>
      <c r="P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ZE-AM-FI-0005</v>
      </c>
      <c r="R62" s="15"/>
      <c r="T62" s="48"/>
      <c r="AG62" t="s">
        <v>64</v>
      </c>
      <c r="AJ62" t="s">
        <v>306</v>
      </c>
    </row>
    <row r="63" spans="1:45" x14ac:dyDescent="0.3">
      <c r="B63" t="s">
        <v>23</v>
      </c>
      <c r="C63" s="11" t="s">
        <v>174</v>
      </c>
      <c r="E63" s="11" t="str" cm="1">
        <f t="array" ref="E63">_xlfn.IFS(
    COUNTIF(Herramientas_eléctricas1862[Herramientas_eléctricas], B63) &gt; 0, Herramientas_eléctricas1862[[#Headers],[Herramientas_eléctricas]],
    COUNTIF(Herramientas_neumáticas1963[Herramientas_neumáticas], B63) &gt; 0, Herramientas_neumáticas1963[[#Headers],[Herramientas_neumáticas]],
    COUNTIF(Herramientas_de_medición2064[Herramientas_de_medición], B63) &gt; 0, Herramientas_de_medición2064[[#Headers],[Herramientas_de_medición]],
    COUNTIF(Herrramientas_mecánicas2165[Herramientas_mecánicas], B63) &gt; 0, Herrramientas_mecánicas2165[[#Headers],[Herramientas_mecánicas]],
    COUNTIF(AK63:AK69, B63) &gt; 0, Herramientas_hidráulicas2266[[#Headers],[Herramientas_hidráulicas]],
    COUNTIF(EPP_2367[SPCC], B63) &gt; 0, EPP_2367[[#Headers],[SPCC]],
   COUNTIF(Herramientas_de_izaje2468[Herramientas_de_izaje], B63) &gt; 0, Herramientas_de_izaje2468[[#Headers],[Herramientas_de_izaje]],
COUNTIF(Tabla162670[Equipos], B63) &gt; 0, Tabla162670[[#Headers],[Equipos]],
    TRUE, "Sin clasificación"
)</f>
        <v>Herramientas_eléctricas</v>
      </c>
      <c r="F63" s="15"/>
      <c r="G63" s="15" t="s">
        <v>572</v>
      </c>
      <c r="H63" s="47" t="s">
        <v>855</v>
      </c>
      <c r="I63" s="87"/>
      <c r="J63" s="78"/>
      <c r="K63" s="78">
        <v>1200</v>
      </c>
      <c r="L63" s="78">
        <v>220</v>
      </c>
      <c r="M63" s="78" t="s">
        <v>856</v>
      </c>
      <c r="N63" t="s">
        <v>854</v>
      </c>
      <c r="O63" s="47">
        <v>52105757</v>
      </c>
      <c r="P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ZE-AM-FI-0006</v>
      </c>
      <c r="R63" s="15"/>
      <c r="T63" s="48"/>
      <c r="AG63" s="75" t="s">
        <v>307</v>
      </c>
      <c r="AI63" t="s">
        <v>89</v>
      </c>
    </row>
    <row r="64" spans="1:45" ht="28.8" x14ac:dyDescent="0.3">
      <c r="B64" t="s">
        <v>23</v>
      </c>
      <c r="C64" s="11" t="s">
        <v>174</v>
      </c>
      <c r="E64" s="11" t="str" cm="1">
        <f t="array" ref="E64">_xlfn.IFS(
    COUNTIF(Herramientas_eléctricas1862[Herramientas_eléctricas], B64) &gt; 0, Herramientas_eléctricas1862[[#Headers],[Herramientas_eléctricas]],
    COUNTIF(Herramientas_neumáticas1963[Herramientas_neumáticas], B64) &gt; 0, Herramientas_neumáticas1963[[#Headers],[Herramientas_neumáticas]],
    COUNTIF(Herramientas_de_medición2064[Herramientas_de_medición], B64) &gt; 0, Herramientas_de_medición2064[[#Headers],[Herramientas_de_medición]],
    COUNTIF(Herrramientas_mecánicas2165[Herramientas_mecánicas], B64) &gt; 0, Herrramientas_mecánicas2165[[#Headers],[Herramientas_mecánicas]],
    COUNTIF(AK64:AK70, B64) &gt; 0, Herramientas_hidráulicas2266[[#Headers],[Herramientas_hidráulicas]],
    COUNTIF(EPP_2367[SPCC], B64) &gt; 0, EPP_2367[[#Headers],[SPCC]],
   COUNTIF(Herramientas_de_izaje2468[Herramientas_de_izaje], B64) &gt; 0, Herramientas_de_izaje2468[[#Headers],[Herramientas_de_izaje]],
COUNTIF(Tabla162670[Equipos], B64) &gt; 0, Tabla162670[[#Headers],[Equipos]],
    TRUE, "Sin clasificación"
)</f>
        <v>Herramientas_eléctricas</v>
      </c>
      <c r="F64" s="15"/>
      <c r="G64" s="15" t="s">
        <v>572</v>
      </c>
      <c r="H64" s="47" t="s">
        <v>857</v>
      </c>
      <c r="I64" s="87"/>
      <c r="J64" s="78"/>
      <c r="K64" s="78"/>
      <c r="L64" s="78"/>
      <c r="M64" s="78"/>
      <c r="N64" t="s">
        <v>858</v>
      </c>
      <c r="O64" s="47"/>
      <c r="P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ZE-AM-FI-0007</v>
      </c>
      <c r="R64" s="15"/>
      <c r="T64" s="48"/>
      <c r="AG64" s="70" t="s">
        <v>308</v>
      </c>
      <c r="AI64" s="12" t="s">
        <v>309</v>
      </c>
      <c r="AJ64" t="s">
        <v>102</v>
      </c>
    </row>
    <row r="65" spans="2:36" x14ac:dyDescent="0.3">
      <c r="B65" t="s">
        <v>23</v>
      </c>
      <c r="C65" s="11" t="s">
        <v>174</v>
      </c>
      <c r="E65" s="11" t="str" cm="1">
        <f t="array" ref="E65">_xlfn.IFS(
    COUNTIF(Herramientas_eléctricas1862[Herramientas_eléctricas], B65) &gt; 0, Herramientas_eléctricas1862[[#Headers],[Herramientas_eléctricas]],
    COUNTIF(Herramientas_neumáticas1963[Herramientas_neumáticas], B65) &gt; 0, Herramientas_neumáticas1963[[#Headers],[Herramientas_neumáticas]],
    COUNTIF(Herramientas_de_medición2064[Herramientas_de_medición], B65) &gt; 0, Herramientas_de_medición2064[[#Headers],[Herramientas_de_medición]],
    COUNTIF(Herrramientas_mecánicas2165[Herramientas_mecánicas], B65) &gt; 0, Herrramientas_mecánicas2165[[#Headers],[Herramientas_mecánicas]],
    COUNTIF(AK65:AK71, B65) &gt; 0, Herramientas_hidráulicas2266[[#Headers],[Herramientas_hidráulicas]],
    COUNTIF(EPP_2367[SPCC], B65) &gt; 0, EPP_2367[[#Headers],[SPCC]],
   COUNTIF(Herramientas_de_izaje2468[Herramientas_de_izaje], B65) &gt; 0, Herramientas_de_izaje2468[[#Headers],[Herramientas_de_izaje]],
COUNTIF(Tabla162670[Equipos], B65) &gt; 0, Tabla162670[[#Headers],[Equipos]],
    TRUE, "Sin clasificación"
)</f>
        <v>Herramientas_eléctricas</v>
      </c>
      <c r="F65" s="15"/>
      <c r="G65" s="15" t="s">
        <v>572</v>
      </c>
      <c r="H65" s="47" t="s">
        <v>806</v>
      </c>
      <c r="I65" s="87"/>
      <c r="J65" s="78">
        <v>180</v>
      </c>
      <c r="K65" s="78">
        <v>2400</v>
      </c>
      <c r="L65" s="78">
        <v>220</v>
      </c>
      <c r="M65" s="78">
        <v>8500</v>
      </c>
      <c r="N65" t="s">
        <v>859</v>
      </c>
      <c r="O65" s="47">
        <v>908320182</v>
      </c>
      <c r="P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ZE-AM-FI-0008</v>
      </c>
      <c r="R65" s="15"/>
      <c r="T65" s="48"/>
      <c r="AJ65" t="s">
        <v>310</v>
      </c>
    </row>
    <row r="66" spans="2:36" x14ac:dyDescent="0.3">
      <c r="B66" t="s">
        <v>23</v>
      </c>
      <c r="C66" s="11" t="s">
        <v>174</v>
      </c>
      <c r="E66" s="11" t="str" cm="1">
        <f t="array" ref="E66">_xlfn.IFS(
    COUNTIF(Herramientas_eléctricas1862[Herramientas_eléctricas], B66) &gt; 0, Herramientas_eléctricas1862[[#Headers],[Herramientas_eléctricas]],
    COUNTIF(Herramientas_neumáticas1963[Herramientas_neumáticas], B66) &gt; 0, Herramientas_neumáticas1963[[#Headers],[Herramientas_neumáticas]],
    COUNTIF(Herramientas_de_medición2064[Herramientas_de_medición], B66) &gt; 0, Herramientas_de_medición2064[[#Headers],[Herramientas_de_medición]],
    COUNTIF(Herrramientas_mecánicas2165[Herramientas_mecánicas], B66) &gt; 0, Herrramientas_mecánicas2165[[#Headers],[Herramientas_mecánicas]],
    COUNTIF(AK66:AK72, B66) &gt; 0, Herramientas_hidráulicas2266[[#Headers],[Herramientas_hidráulicas]],
    COUNTIF(EPP_2367[SPCC], B66) &gt; 0, EPP_2367[[#Headers],[SPCC]],
   COUNTIF(Herramientas_de_izaje2468[Herramientas_de_izaje], B66) &gt; 0, Herramientas_de_izaje2468[[#Headers],[Herramientas_de_izaje]],
COUNTIF(Tabla162670[Equipos], B66) &gt; 0, Tabla162670[[#Headers],[Equipos]],
    TRUE, "Sin clasificación"
)</f>
        <v>Herramientas_eléctricas</v>
      </c>
      <c r="F66" s="15"/>
      <c r="G66" s="15" t="s">
        <v>572</v>
      </c>
      <c r="H66" s="47" t="s">
        <v>813</v>
      </c>
      <c r="I66" s="87">
        <v>12</v>
      </c>
      <c r="J66" s="78">
        <v>180</v>
      </c>
      <c r="K66" s="78">
        <v>2500</v>
      </c>
      <c r="L66" s="78">
        <v>220</v>
      </c>
      <c r="M66" s="78">
        <v>8500</v>
      </c>
      <c r="N66" t="s">
        <v>860</v>
      </c>
      <c r="O66" s="47">
        <v>125190624</v>
      </c>
      <c r="P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ZE-AM-FI-0009</v>
      </c>
      <c r="R66" s="15"/>
      <c r="T66" s="48"/>
      <c r="AG66" t="s">
        <v>101</v>
      </c>
      <c r="AI66" s="34" t="s">
        <v>73</v>
      </c>
    </row>
    <row r="67" spans="2:36" x14ac:dyDescent="0.3">
      <c r="B67" t="s">
        <v>23</v>
      </c>
      <c r="C67" s="11" t="s">
        <v>174</v>
      </c>
      <c r="E67" s="11" t="str" cm="1">
        <f t="array" ref="E67">_xlfn.IFS(
    COUNTIF(Herramientas_eléctricas1862[Herramientas_eléctricas], B67) &gt; 0, Herramientas_eléctricas1862[[#Headers],[Herramientas_eléctricas]],
    COUNTIF(Herramientas_neumáticas1963[Herramientas_neumáticas], B67) &gt; 0, Herramientas_neumáticas1963[[#Headers],[Herramientas_neumáticas]],
    COUNTIF(Herramientas_de_medición2064[Herramientas_de_medición], B67) &gt; 0, Herramientas_de_medición2064[[#Headers],[Herramientas_de_medición]],
    COUNTIF(Herrramientas_mecánicas2165[Herramientas_mecánicas], B67) &gt; 0, Herrramientas_mecánicas2165[[#Headers],[Herramientas_mecánicas]],
    COUNTIF(AK67:AK73, B67) &gt; 0, Herramientas_hidráulicas2266[[#Headers],[Herramientas_hidráulicas]],
    COUNTIF(EPP_2367[SPCC], B67) &gt; 0, EPP_2367[[#Headers],[SPCC]],
   COUNTIF(Herramientas_de_izaje2468[Herramientas_de_izaje], B67) &gt; 0, Herramientas_de_izaje2468[[#Headers],[Herramientas_de_izaje]],
COUNTIF(Tabla162670[Equipos], B67) &gt; 0, Tabla162670[[#Headers],[Equipos]],
    TRUE, "Sin clasificación"
)</f>
        <v>Herramientas_eléctricas</v>
      </c>
      <c r="F67" s="15"/>
      <c r="G67" s="15" t="s">
        <v>572</v>
      </c>
      <c r="H67" s="47" t="s">
        <v>806</v>
      </c>
      <c r="I67" s="87"/>
      <c r="J67" s="78"/>
      <c r="K67" s="78"/>
      <c r="L67" s="78"/>
      <c r="M67" s="78"/>
      <c r="N67" t="s">
        <v>861</v>
      </c>
      <c r="O67" s="47"/>
      <c r="P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ZE-AM-FI-0010</v>
      </c>
      <c r="R67" s="15"/>
      <c r="T67" s="48"/>
      <c r="AG67" t="s">
        <v>311</v>
      </c>
      <c r="AI67" s="22" t="s">
        <v>312</v>
      </c>
      <c r="AJ67" t="s">
        <v>313</v>
      </c>
    </row>
    <row r="68" spans="2:36" ht="43.2" x14ac:dyDescent="0.3">
      <c r="B68" t="s">
        <v>23</v>
      </c>
      <c r="C68" s="11" t="s">
        <v>181</v>
      </c>
      <c r="E68" s="11" t="str" cm="1">
        <f t="array" ref="E68">_xlfn.IFS(
    COUNTIF(Herramientas_eléctricas1862[Herramientas_eléctricas], B68) &gt; 0, Herramientas_eléctricas1862[[#Headers],[Herramientas_eléctricas]],
    COUNTIF(Herramientas_neumáticas1963[Herramientas_neumáticas], B68) &gt; 0, Herramientas_neumáticas1963[[#Headers],[Herramientas_neumáticas]],
    COUNTIF(Herramientas_de_medición2064[Herramientas_de_medición], B68) &gt; 0, Herramientas_de_medición2064[[#Headers],[Herramientas_de_medición]],
    COUNTIF(Herrramientas_mecánicas2165[Herramientas_mecánicas], B68) &gt; 0, Herrramientas_mecánicas2165[[#Headers],[Herramientas_mecánicas]],
    COUNTIF(AK68:AK74, B68) &gt; 0, Herramientas_hidráulicas2266[[#Headers],[Herramientas_hidráulicas]],
    COUNTIF(EPP_2367[SPCC], B68) &gt; 0, EPP_2367[[#Headers],[SPCC]],
   COUNTIF(Herramientas_de_izaje2468[Herramientas_de_izaje], B68) &gt; 0, Herramientas_de_izaje2468[[#Headers],[Herramientas_de_izaje]],
COUNTIF(Tabla162670[Equipos], B68) &gt; 0, Tabla162670[[#Headers],[Equipos]],
    TRUE, "Sin clasificación"
)</f>
        <v>Herramientas_eléctricas</v>
      </c>
      <c r="F68" s="15"/>
      <c r="G68" s="15" t="s">
        <v>572</v>
      </c>
      <c r="H68" s="47" t="s">
        <v>650</v>
      </c>
      <c r="I68" s="87"/>
      <c r="J68" s="78">
        <v>125</v>
      </c>
      <c r="K68" s="78">
        <v>1200</v>
      </c>
      <c r="L68" s="78">
        <v>220</v>
      </c>
      <c r="M68" s="78">
        <v>11000</v>
      </c>
      <c r="N68" t="s">
        <v>873</v>
      </c>
      <c r="O68" s="47">
        <v>52106721201</v>
      </c>
      <c r="P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ZE-AM-RH-0001</v>
      </c>
      <c r="R68" s="15"/>
      <c r="T68" s="48"/>
      <c r="AJ68" s="21" t="s">
        <v>314</v>
      </c>
    </row>
    <row r="69" spans="2:36" ht="43.2" x14ac:dyDescent="0.3">
      <c r="B69" t="s">
        <v>23</v>
      </c>
      <c r="C69" s="11" t="s">
        <v>181</v>
      </c>
      <c r="E69" s="11" t="str" cm="1">
        <f t="array" ref="E69">_xlfn.IFS(
    COUNTIF(Herramientas_eléctricas1862[Herramientas_eléctricas], B69) &gt; 0, Herramientas_eléctricas1862[[#Headers],[Herramientas_eléctricas]],
    COUNTIF(Herramientas_neumáticas1963[Herramientas_neumáticas], B69) &gt; 0, Herramientas_neumáticas1963[[#Headers],[Herramientas_neumáticas]],
    COUNTIF(Herramientas_de_medición2064[Herramientas_de_medición], B69) &gt; 0, Herramientas_de_medición2064[[#Headers],[Herramientas_de_medición]],
    COUNTIF(Herrramientas_mecánicas2165[Herramientas_mecánicas], B69) &gt; 0, Herrramientas_mecánicas2165[[#Headers],[Herramientas_mecánicas]],
    COUNTIF(AK69:AK75, B69) &gt; 0, Herramientas_hidráulicas2266[[#Headers],[Herramientas_hidráulicas]],
    COUNTIF(EPP_2367[SPCC], B69) &gt; 0, EPP_2367[[#Headers],[SPCC]],
   COUNTIF(Herramientas_de_izaje2468[Herramientas_de_izaje], B69) &gt; 0, Herramientas_de_izaje2468[[#Headers],[Herramientas_de_izaje]],
COUNTIF(Tabla162670[Equipos], B69) &gt; 0, Tabla162670[[#Headers],[Equipos]],
    TRUE, "Sin clasificación"
)</f>
        <v>Herramientas_eléctricas</v>
      </c>
      <c r="F69" s="15"/>
      <c r="G69" s="15" t="s">
        <v>572</v>
      </c>
      <c r="H69" s="47" t="s">
        <v>789</v>
      </c>
      <c r="I69" s="87"/>
      <c r="J69" s="78">
        <v>180</v>
      </c>
      <c r="K69" s="78"/>
      <c r="L69" s="78">
        <v>220</v>
      </c>
      <c r="M69" s="78">
        <v>8500</v>
      </c>
      <c r="N69" s="47" t="s">
        <v>874</v>
      </c>
      <c r="O69">
        <v>429380522</v>
      </c>
      <c r="P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ZE-AM-RH-0002</v>
      </c>
      <c r="R69" s="15"/>
      <c r="T69" s="48"/>
      <c r="AJ69" s="70" t="s">
        <v>315</v>
      </c>
    </row>
    <row r="70" spans="2:36" x14ac:dyDescent="0.3">
      <c r="B70" t="s">
        <v>23</v>
      </c>
      <c r="C70" s="11" t="s">
        <v>892</v>
      </c>
      <c r="E70" s="11" t="str" cm="1">
        <f t="array" ref="E70">_xlfn.IFS(
    COUNTIF(Herramientas_eléctricas1862[Herramientas_eléctricas], B70) &gt; 0, Herramientas_eléctricas1862[[#Headers],[Herramientas_eléctricas]],
    COUNTIF(Herramientas_neumáticas1963[Herramientas_neumáticas], B70) &gt; 0, Herramientas_neumáticas1963[[#Headers],[Herramientas_neumáticas]],
    COUNTIF(Herramientas_de_medición2064[Herramientas_de_medición], B70) &gt; 0, Herramientas_de_medición2064[[#Headers],[Herramientas_de_medición]],
    COUNTIF(Herrramientas_mecánicas2165[Herramientas_mecánicas], B70) &gt; 0, Herrramientas_mecánicas2165[[#Headers],[Herramientas_mecánicas]],
    COUNTIF(AK70:AK76, B70) &gt; 0, Herramientas_hidráulicas2266[[#Headers],[Herramientas_hidráulicas]],
    COUNTIF(EPP_2367[SPCC], B70) &gt; 0, EPP_2367[[#Headers],[SPCC]],
   COUNTIF(Herramientas_de_izaje2468[Herramientas_de_izaje], B70) &gt; 0, Herramientas_de_izaje2468[[#Headers],[Herramientas_de_izaje]],
COUNTIF(Tabla162670[Equipos], B70) &gt; 0, Tabla162670[[#Headers],[Equipos]],
    TRUE, "Sin clasificación"
)</f>
        <v>Herramientas_eléctricas</v>
      </c>
      <c r="F70" s="15"/>
      <c r="G70" s="15" t="s">
        <v>572</v>
      </c>
      <c r="H70" s="47" t="s">
        <v>819</v>
      </c>
      <c r="I70" s="87">
        <v>10.5</v>
      </c>
      <c r="J70" s="78">
        <v>180</v>
      </c>
      <c r="K70" s="78"/>
      <c r="L70" s="78">
        <v>220</v>
      </c>
      <c r="M70" s="78">
        <v>8500</v>
      </c>
      <c r="N70" t="s">
        <v>891</v>
      </c>
      <c r="O70" s="47">
        <v>506240069</v>
      </c>
      <c r="P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ZE-AM-VF-0001</v>
      </c>
      <c r="R70" s="15"/>
      <c r="T70" s="48"/>
      <c r="U70" t="s">
        <v>892</v>
      </c>
    </row>
    <row r="71" spans="2:36" x14ac:dyDescent="0.3">
      <c r="B71" t="s">
        <v>23</v>
      </c>
      <c r="C71" s="11" t="s">
        <v>892</v>
      </c>
      <c r="E71" s="11" t="str" cm="1">
        <f t="array" ref="E71">_xlfn.IFS(
    COUNTIF(Herramientas_eléctricas1862[Herramientas_eléctricas], B71) &gt; 0, Herramientas_eléctricas1862[[#Headers],[Herramientas_eléctricas]],
    COUNTIF(Herramientas_neumáticas1963[Herramientas_neumáticas], B71) &gt; 0, Herramientas_neumáticas1963[[#Headers],[Herramientas_neumáticas]],
    COUNTIF(Herramientas_de_medición2064[Herramientas_de_medición], B71) &gt; 0, Herramientas_de_medición2064[[#Headers],[Herramientas_de_medición]],
    COUNTIF(Herrramientas_mecánicas2165[Herramientas_mecánicas], B71) &gt; 0, Herrramientas_mecánicas2165[[#Headers],[Herramientas_mecánicas]],
    COUNTIF(AK71:AK77, B71) &gt; 0, Herramientas_hidráulicas2266[[#Headers],[Herramientas_hidráulicas]],
    COUNTIF(EPP_2367[SPCC], B71) &gt; 0, EPP_2367[[#Headers],[SPCC]],
   COUNTIF(Herramientas_de_izaje2468[Herramientas_de_izaje], B71) &gt; 0, Herramientas_de_izaje2468[[#Headers],[Herramientas_de_izaje]],
COUNTIF(Tabla162670[Equipos], B71) &gt; 0, Tabla162670[[#Headers],[Equipos]],
    TRUE, "Sin clasificación"
)</f>
        <v>Herramientas_eléctricas</v>
      </c>
      <c r="F71" s="15"/>
      <c r="G71" s="15" t="s">
        <v>572</v>
      </c>
      <c r="H71" s="47" t="s">
        <v>819</v>
      </c>
      <c r="I71" s="87"/>
      <c r="J71" s="78"/>
      <c r="K71" s="78"/>
      <c r="L71" s="78"/>
      <c r="M71" s="78"/>
      <c r="O71" s="47"/>
      <c r="P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ZE-AM-VF-0002</v>
      </c>
      <c r="R71" s="15"/>
      <c r="T71" s="48"/>
    </row>
    <row r="72" spans="2:36" x14ac:dyDescent="0.3">
      <c r="B72" t="s">
        <v>23</v>
      </c>
      <c r="C72" s="11" t="s">
        <v>892</v>
      </c>
      <c r="E72" s="11" t="str" cm="1">
        <f t="array" ref="E72">_xlfn.IFS(
    COUNTIF(Herramientas_eléctricas1862[Herramientas_eléctricas], B72) &gt; 0, Herramientas_eléctricas1862[[#Headers],[Herramientas_eléctricas]],
    COUNTIF(Herramientas_neumáticas1963[Herramientas_neumáticas], B72) &gt; 0, Herramientas_neumáticas1963[[#Headers],[Herramientas_neumáticas]],
    COUNTIF(Herramientas_de_medición2064[Herramientas_de_medición], B72) &gt; 0, Herramientas_de_medición2064[[#Headers],[Herramientas_de_medición]],
    COUNTIF(Herrramientas_mecánicas2165[Herramientas_mecánicas], B72) &gt; 0, Herrramientas_mecánicas2165[[#Headers],[Herramientas_mecánicas]],
    COUNTIF(AK72:AK78, B72) &gt; 0, Herramientas_hidráulicas2266[[#Headers],[Herramientas_hidráulicas]],
    COUNTIF(EPP_2367[SPCC], B72) &gt; 0, EPP_2367[[#Headers],[SPCC]],
   COUNTIF(Herramientas_de_izaje2468[Herramientas_de_izaje], B72) &gt; 0, Herramientas_de_izaje2468[[#Headers],[Herramientas_de_izaje]],
COUNTIF(Tabla162670[Equipos], B72) &gt; 0, Tabla162670[[#Headers],[Equipos]],
    TRUE, "Sin clasificación"
)</f>
        <v>Herramientas_eléctricas</v>
      </c>
      <c r="F72" s="15"/>
      <c r="G72" s="15" t="s">
        <v>587</v>
      </c>
      <c r="H72" s="47" t="s">
        <v>902</v>
      </c>
      <c r="I72" s="87"/>
      <c r="J72" s="78">
        <v>180</v>
      </c>
      <c r="K72" s="78"/>
      <c r="L72" s="78">
        <v>220</v>
      </c>
      <c r="M72" s="78">
        <v>8500</v>
      </c>
      <c r="N72" t="s">
        <v>903</v>
      </c>
      <c r="O72" s="47">
        <v>11811</v>
      </c>
      <c r="P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ZE-AM-VF-0003</v>
      </c>
      <c r="R72" s="15"/>
      <c r="T72" s="48"/>
    </row>
    <row r="73" spans="2:36" x14ac:dyDescent="0.3">
      <c r="B73" t="s">
        <v>23</v>
      </c>
      <c r="C73" s="11" t="s">
        <v>892</v>
      </c>
      <c r="E73" s="11" t="str" cm="1">
        <f t="array" ref="E73">_xlfn.IFS(
    COUNTIF(Herramientas_eléctricas1862[Herramientas_eléctricas], B73) &gt; 0, Herramientas_eléctricas1862[[#Headers],[Herramientas_eléctricas]],
    COUNTIF(Herramientas_neumáticas1963[Herramientas_neumáticas], B73) &gt; 0, Herramientas_neumáticas1963[[#Headers],[Herramientas_neumáticas]],
    COUNTIF(Herramientas_de_medición2064[Herramientas_de_medición], B73) &gt; 0, Herramientas_de_medición2064[[#Headers],[Herramientas_de_medición]],
    COUNTIF(Herrramientas_mecánicas2165[Herramientas_mecánicas], B73) &gt; 0, Herrramientas_mecánicas2165[[#Headers],[Herramientas_mecánicas]],
    COUNTIF(AK73:AK79, B73) &gt; 0, Herramientas_hidráulicas2266[[#Headers],[Herramientas_hidráulicas]],
    COUNTIF(EPP_2367[SPCC], B73) &gt; 0, EPP_2367[[#Headers],[SPCC]],
   COUNTIF(Herramientas_de_izaje2468[Herramientas_de_izaje], B73) &gt; 0, Herramientas_de_izaje2468[[#Headers],[Herramientas_de_izaje]],
COUNTIF(Tabla162670[Equipos], B73) &gt; 0, Tabla162670[[#Headers],[Equipos]],
    TRUE, "Sin clasificación"
)</f>
        <v>Herramientas_eléctricas</v>
      </c>
      <c r="F73" s="15"/>
      <c r="G73" s="15" t="s">
        <v>572</v>
      </c>
      <c r="H73" s="47" t="s">
        <v>904</v>
      </c>
      <c r="I73" s="87"/>
      <c r="J73" s="78"/>
      <c r="K73" s="78"/>
      <c r="L73" s="78"/>
      <c r="M73" s="78"/>
      <c r="N73" t="s">
        <v>905</v>
      </c>
      <c r="O73" s="47"/>
      <c r="P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ZE-AM-VF-0004</v>
      </c>
      <c r="R73" s="15"/>
      <c r="T73" s="48"/>
    </row>
    <row r="74" spans="2:36" x14ac:dyDescent="0.3">
      <c r="B74" t="s">
        <v>23</v>
      </c>
      <c r="C74" s="11" t="s">
        <v>892</v>
      </c>
      <c r="E74" s="11" t="str" cm="1">
        <f t="array" ref="E74">_xlfn.IFS(
    COUNTIF(Herramientas_eléctricas1862[Herramientas_eléctricas], B74) &gt; 0, Herramientas_eléctricas1862[[#Headers],[Herramientas_eléctricas]],
    COUNTIF(Herramientas_neumáticas1963[Herramientas_neumáticas], B74) &gt; 0, Herramientas_neumáticas1963[[#Headers],[Herramientas_neumáticas]],
    COUNTIF(Herramientas_de_medición2064[Herramientas_de_medición], B74) &gt; 0, Herramientas_de_medición2064[[#Headers],[Herramientas_de_medición]],
    COUNTIF(Herrramientas_mecánicas2165[Herramientas_mecánicas], B74) &gt; 0, Herrramientas_mecánicas2165[[#Headers],[Herramientas_mecánicas]],
    COUNTIF(AK74:AK80, B74) &gt; 0, Herramientas_hidráulicas2266[[#Headers],[Herramientas_hidráulicas]],
    COUNTIF(EPP_2367[SPCC], B74) &gt; 0, EPP_2367[[#Headers],[SPCC]],
   COUNTIF(Herramientas_de_izaje2468[Herramientas_de_izaje], B74) &gt; 0, Herramientas_de_izaje2468[[#Headers],[Herramientas_de_izaje]],
COUNTIF(Tabla162670[Equipos], B74) &gt; 0, Tabla162670[[#Headers],[Equipos]],
    TRUE, "Sin clasificación"
)</f>
        <v>Herramientas_eléctricas</v>
      </c>
      <c r="F74" s="15"/>
      <c r="G74" s="15" t="s">
        <v>572</v>
      </c>
      <c r="H74" s="47"/>
      <c r="I74" s="87"/>
      <c r="J74" s="78"/>
      <c r="K74" s="78"/>
      <c r="L74" s="78"/>
      <c r="M74" s="78"/>
      <c r="O74" s="47"/>
      <c r="P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ZE-AM-VF-0005</v>
      </c>
      <c r="R74" s="15"/>
      <c r="T74" s="48"/>
    </row>
    <row r="75" spans="2:36" ht="57.6" x14ac:dyDescent="0.3">
      <c r="B75" t="s">
        <v>23</v>
      </c>
      <c r="C75" s="11" t="s">
        <v>178</v>
      </c>
      <c r="E75" s="11" t="str" cm="1">
        <f t="array" ref="E75">_xlfn.IFS(
    COUNTIF(Herramientas_eléctricas1862[Herramientas_eléctricas], B75) &gt; 0, Herramientas_eléctricas1862[[#Headers],[Herramientas_eléctricas]],
    COUNTIF(Herramientas_neumáticas1963[Herramientas_neumáticas], B75) &gt; 0, Herramientas_neumáticas1963[[#Headers],[Herramientas_neumáticas]],
    COUNTIF(Herramientas_de_medición2064[Herramientas_de_medición], B75) &gt; 0, Herramientas_de_medición2064[[#Headers],[Herramientas_de_medición]],
    COUNTIF(Herrramientas_mecánicas2165[Herramientas_mecánicas], B75) &gt; 0, Herrramientas_mecánicas2165[[#Headers],[Herramientas_mecánicas]],
    COUNTIF(AK75:AK81, B75) &gt; 0, Herramientas_hidráulicas2266[[#Headers],[Herramientas_hidráulicas]],
    COUNTIF(EPP_2367[SPCC], B75) &gt; 0, EPP_2367[[#Headers],[SPCC]],
   COUNTIF(Herramientas_de_izaje2468[Herramientas_de_izaje], B75) &gt; 0, Herramientas_de_izaje2468[[#Headers],[Herramientas_de_izaje]],
COUNTIF(Tabla162670[Equipos], B75) &gt; 0, Tabla162670[[#Headers],[Equipos]],
    TRUE, "Sin clasificación"
)</f>
        <v>Herramientas_eléctricas</v>
      </c>
      <c r="F75" s="15"/>
      <c r="G75" s="15" t="s">
        <v>572</v>
      </c>
      <c r="H75" s="47" t="s">
        <v>907</v>
      </c>
      <c r="I75" s="87"/>
      <c r="J75" s="78">
        <v>125</v>
      </c>
      <c r="K75" s="78"/>
      <c r="L75" s="78">
        <v>220</v>
      </c>
      <c r="M75" s="78">
        <v>11500</v>
      </c>
      <c r="N75" t="s">
        <v>906</v>
      </c>
      <c r="O75" s="47">
        <v>585060358</v>
      </c>
      <c r="P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ZE-AM-TG-0001</v>
      </c>
      <c r="R75" s="15"/>
      <c r="T75" s="48"/>
      <c r="AG75" s="11" t="s">
        <v>316</v>
      </c>
    </row>
    <row r="76" spans="2:36" ht="28.8" x14ac:dyDescent="0.3">
      <c r="B76" t="s">
        <v>23</v>
      </c>
      <c r="C76" s="11" t="s">
        <v>178</v>
      </c>
      <c r="E76" s="11" t="str" cm="1">
        <f t="array" ref="E76">_xlfn.IFS(
    COUNTIF(Herramientas_eléctricas1862[Herramientas_eléctricas], B76) &gt; 0, Herramientas_eléctricas1862[[#Headers],[Herramientas_eléctricas]],
    COUNTIF(Herramientas_neumáticas1963[Herramientas_neumáticas], B76) &gt; 0, Herramientas_neumáticas1963[[#Headers],[Herramientas_neumáticas]],
    COUNTIF(Herramientas_de_medición2064[Herramientas_de_medición], B76) &gt; 0, Herramientas_de_medición2064[[#Headers],[Herramientas_de_medición]],
    COUNTIF(Herrramientas_mecánicas2165[Herramientas_mecánicas], B76) &gt; 0, Herrramientas_mecánicas2165[[#Headers],[Herramientas_mecánicas]],
    COUNTIF(AK76:AK82, B76) &gt; 0, Herramientas_hidráulicas2266[[#Headers],[Herramientas_hidráulicas]],
    COUNTIF(EPP_2367[SPCC], B76) &gt; 0, EPP_2367[[#Headers],[SPCC]],
   COUNTIF(Herramientas_de_izaje2468[Herramientas_de_izaje], B76) &gt; 0, Herramientas_de_izaje2468[[#Headers],[Herramientas_de_izaje]],
COUNTIF(Tabla162670[Equipos], B76) &gt; 0, Tabla162670[[#Headers],[Equipos]],
    TRUE, "Sin clasificación"
)</f>
        <v>Herramientas_eléctricas</v>
      </c>
      <c r="F76" s="15"/>
      <c r="G76" s="15" t="s">
        <v>572</v>
      </c>
      <c r="H76" s="47"/>
      <c r="I76" s="87"/>
      <c r="J76" s="78"/>
      <c r="K76" s="78"/>
      <c r="L76" s="78"/>
      <c r="M76" s="78"/>
      <c r="N76" t="s">
        <v>906</v>
      </c>
      <c r="O76" s="47"/>
      <c r="P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ZE-AM-TG-0002</v>
      </c>
      <c r="R76" s="15"/>
      <c r="T76" s="48"/>
    </row>
    <row r="77" spans="2:36" ht="28.8" x14ac:dyDescent="0.3">
      <c r="B77" t="s">
        <v>23</v>
      </c>
      <c r="C77" s="11" t="s">
        <v>178</v>
      </c>
      <c r="E77" s="11" t="str" cm="1">
        <f t="array" ref="E77">_xlfn.IFS(
    COUNTIF(Herramientas_eléctricas1862[Herramientas_eléctricas], B77) &gt; 0, Herramientas_eléctricas1862[[#Headers],[Herramientas_eléctricas]],
    COUNTIF(Herramientas_neumáticas1963[Herramientas_neumáticas], B77) &gt; 0, Herramientas_neumáticas1963[[#Headers],[Herramientas_neumáticas]],
    COUNTIF(Herramientas_de_medición2064[Herramientas_de_medición], B77) &gt; 0, Herramientas_de_medición2064[[#Headers],[Herramientas_de_medición]],
    COUNTIF(Herrramientas_mecánicas2165[Herramientas_mecánicas], B77) &gt; 0, Herrramientas_mecánicas2165[[#Headers],[Herramientas_mecánicas]],
    COUNTIF(AK77:AK83, B77) &gt; 0, Herramientas_hidráulicas2266[[#Headers],[Herramientas_hidráulicas]],
    COUNTIF(EPP_2367[SPCC], B77) &gt; 0, EPP_2367[[#Headers],[SPCC]],
   COUNTIF(Herramientas_de_izaje2468[Herramientas_de_izaje], B77) &gt; 0, Herramientas_de_izaje2468[[#Headers],[Herramientas_de_izaje]],
COUNTIF(Tabla162670[Equipos], B77) &gt; 0, Tabla162670[[#Headers],[Equipos]],
    TRUE, "Sin clasificación"
)</f>
        <v>Herramientas_eléctricas</v>
      </c>
      <c r="F77" s="15"/>
      <c r="G77" s="15" t="s">
        <v>572</v>
      </c>
      <c r="H77" s="47" t="s">
        <v>748</v>
      </c>
      <c r="I77" s="87"/>
      <c r="J77" s="78">
        <v>125</v>
      </c>
      <c r="K77" s="78">
        <v>1700</v>
      </c>
      <c r="L77" s="78">
        <v>220</v>
      </c>
      <c r="M77" s="78">
        <v>11500</v>
      </c>
      <c r="N77" t="s">
        <v>918</v>
      </c>
      <c r="O77" s="47"/>
      <c r="P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ZE-AM-TG-0003</v>
      </c>
      <c r="R77" s="15"/>
      <c r="T77" s="48"/>
    </row>
    <row r="78" spans="2:36" ht="28.8" x14ac:dyDescent="0.3">
      <c r="B78" t="s">
        <v>23</v>
      </c>
      <c r="C78" s="11" t="s">
        <v>178</v>
      </c>
      <c r="E78" s="11" t="str" cm="1">
        <f t="array" ref="E78">_xlfn.IFS(
    COUNTIF(Herramientas_eléctricas1862[Herramientas_eléctricas], B78) &gt; 0, Herramientas_eléctricas1862[[#Headers],[Herramientas_eléctricas]],
    COUNTIF(Herramientas_neumáticas1963[Herramientas_neumáticas], B78) &gt; 0, Herramientas_neumáticas1963[[#Headers],[Herramientas_neumáticas]],
    COUNTIF(Herramientas_de_medición2064[Herramientas_de_medición], B78) &gt; 0, Herramientas_de_medición2064[[#Headers],[Herramientas_de_medición]],
    COUNTIF(Herrramientas_mecánicas2165[Herramientas_mecánicas], B78) &gt; 0, Herrramientas_mecánicas2165[[#Headers],[Herramientas_mecánicas]],
    COUNTIF(AK78:AK84, B78) &gt; 0, Herramientas_hidráulicas2266[[#Headers],[Herramientas_hidráulicas]],
    COUNTIF(EPP_2367[SPCC], B78) &gt; 0, EPP_2367[[#Headers],[SPCC]],
   COUNTIF(Herramientas_de_izaje2468[Herramientas_de_izaje], B78) &gt; 0, Herramientas_de_izaje2468[[#Headers],[Herramientas_de_izaje]],
COUNTIF(Tabla162670[Equipos], B78) &gt; 0, Tabla162670[[#Headers],[Equipos]],
    TRUE, "Sin clasificación"
)</f>
        <v>Herramientas_eléctricas</v>
      </c>
      <c r="F78" s="15"/>
      <c r="G78" s="15" t="s">
        <v>572</v>
      </c>
      <c r="H78" s="47"/>
      <c r="I78" s="87"/>
      <c r="J78" s="78"/>
      <c r="K78" s="78"/>
      <c r="L78" s="78"/>
      <c r="M78" s="78"/>
      <c r="N78" t="s">
        <v>908</v>
      </c>
      <c r="O78" s="47"/>
      <c r="P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ZE-AM-TG-0004</v>
      </c>
      <c r="R78" s="15"/>
      <c r="T78" s="48"/>
    </row>
    <row r="79" spans="2:36" ht="28.8" x14ac:dyDescent="0.3">
      <c r="B79" t="s">
        <v>23</v>
      </c>
      <c r="C79" s="11" t="s">
        <v>178</v>
      </c>
      <c r="E79" s="11" t="str" cm="1">
        <f t="array" ref="E79">_xlfn.IFS(
    COUNTIF(Herramientas_eléctricas1862[Herramientas_eléctricas], B79) &gt; 0, Herramientas_eléctricas1862[[#Headers],[Herramientas_eléctricas]],
    COUNTIF(Herramientas_neumáticas1963[Herramientas_neumáticas], B79) &gt; 0, Herramientas_neumáticas1963[[#Headers],[Herramientas_neumáticas]],
    COUNTIF(Herramientas_de_medición2064[Herramientas_de_medición], B79) &gt; 0, Herramientas_de_medición2064[[#Headers],[Herramientas_de_medición]],
    COUNTIF(Herrramientas_mecánicas2165[Herramientas_mecánicas], B79) &gt; 0, Herrramientas_mecánicas2165[[#Headers],[Herramientas_mecánicas]],
    COUNTIF(AK79:AK85, B79) &gt; 0, Herramientas_hidráulicas2266[[#Headers],[Herramientas_hidráulicas]],
    COUNTIF(EPP_2367[SPCC], B79) &gt; 0, EPP_2367[[#Headers],[SPCC]],
   COUNTIF(Herramientas_de_izaje2468[Herramientas_de_izaje], B79) &gt; 0, Herramientas_de_izaje2468[[#Headers],[Herramientas_de_izaje]],
COUNTIF(Tabla162670[Equipos], B79) &gt; 0, Tabla162670[[#Headers],[Equipos]],
    TRUE, "Sin clasificación"
)</f>
        <v>Herramientas_eléctricas</v>
      </c>
      <c r="F79" s="15"/>
      <c r="G79" s="15" t="s">
        <v>611</v>
      </c>
      <c r="H79" s="47" t="s">
        <v>909</v>
      </c>
      <c r="I79" s="87">
        <v>12</v>
      </c>
      <c r="J79" s="78">
        <v>180</v>
      </c>
      <c r="K79" s="78"/>
      <c r="L79" s="78"/>
      <c r="M79" s="78">
        <v>8500</v>
      </c>
      <c r="N79" t="s">
        <v>908</v>
      </c>
      <c r="O79" s="47">
        <v>51545</v>
      </c>
      <c r="P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ZE-AM-TG-0005</v>
      </c>
      <c r="R79" s="15"/>
      <c r="T79" s="48"/>
    </row>
    <row r="80" spans="2:36" ht="28.8" x14ac:dyDescent="0.3">
      <c r="B80" t="s">
        <v>23</v>
      </c>
      <c r="C80" s="11" t="s">
        <v>178</v>
      </c>
      <c r="E80" s="11" t="str" cm="1">
        <f t="array" ref="E80">_xlfn.IFS(
    COUNTIF(Herramientas_eléctricas1862[Herramientas_eléctricas], B80) &gt; 0, Herramientas_eléctricas1862[[#Headers],[Herramientas_eléctricas]],
    COUNTIF(Herramientas_neumáticas1963[Herramientas_neumáticas], B80) &gt; 0, Herramientas_neumáticas1963[[#Headers],[Herramientas_neumáticas]],
    COUNTIF(Herramientas_de_medición2064[Herramientas_de_medición], B80) &gt; 0, Herramientas_de_medición2064[[#Headers],[Herramientas_de_medición]],
    COUNTIF(Herrramientas_mecánicas2165[Herramientas_mecánicas], B80) &gt; 0, Herrramientas_mecánicas2165[[#Headers],[Herramientas_mecánicas]],
    COUNTIF(AK80:AK86, B80) &gt; 0, Herramientas_hidráulicas2266[[#Headers],[Herramientas_hidráulicas]],
    COUNTIF(EPP_2367[SPCC], B80) &gt; 0, EPP_2367[[#Headers],[SPCC]],
   COUNTIF(Herramientas_de_izaje2468[Herramientas_de_izaje], B80) &gt; 0, Herramientas_de_izaje2468[[#Headers],[Herramientas_de_izaje]],
COUNTIF(Tabla162670[Equipos], B80) &gt; 0, Tabla162670[[#Headers],[Equipos]],
    TRUE, "Sin clasificación"
)</f>
        <v>Herramientas_eléctricas</v>
      </c>
      <c r="F80" s="15"/>
      <c r="G80" s="15" t="s">
        <v>611</v>
      </c>
      <c r="H80" s="47" t="s">
        <v>910</v>
      </c>
      <c r="I80" s="87">
        <v>10.5</v>
      </c>
      <c r="J80" s="78">
        <v>180</v>
      </c>
      <c r="K80" s="78">
        <v>2200</v>
      </c>
      <c r="L80" s="78">
        <v>220</v>
      </c>
      <c r="M80" s="78">
        <v>8500</v>
      </c>
      <c r="N80" t="s">
        <v>911</v>
      </c>
      <c r="O80" s="47"/>
      <c r="P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ZE-AM-TG-0006</v>
      </c>
      <c r="R80" s="15"/>
      <c r="T80" s="48"/>
    </row>
    <row r="81" spans="2:20" ht="28.8" x14ac:dyDescent="0.3">
      <c r="B81" t="s">
        <v>23</v>
      </c>
      <c r="C81" s="11" t="s">
        <v>178</v>
      </c>
      <c r="E81" s="11" t="str" cm="1">
        <f t="array" ref="E81">_xlfn.IFS(
    COUNTIF(Herramientas_eléctricas1862[Herramientas_eléctricas], B81) &gt; 0, Herramientas_eléctricas1862[[#Headers],[Herramientas_eléctricas]],
    COUNTIF(Herramientas_neumáticas1963[Herramientas_neumáticas], B81) &gt; 0, Herramientas_neumáticas1963[[#Headers],[Herramientas_neumáticas]],
    COUNTIF(Herramientas_de_medición2064[Herramientas_de_medición], B81) &gt; 0, Herramientas_de_medición2064[[#Headers],[Herramientas_de_medición]],
    COUNTIF(Herrramientas_mecánicas2165[Herramientas_mecánicas], B81) &gt; 0, Herrramientas_mecánicas2165[[#Headers],[Herramientas_mecánicas]],
    COUNTIF(AK81:AK87, B81) &gt; 0, Herramientas_hidráulicas2266[[#Headers],[Herramientas_hidráulicas]],
    COUNTIF(EPP_2367[SPCC], B81) &gt; 0, EPP_2367[[#Headers],[SPCC]],
   COUNTIF(Herramientas_de_izaje2468[Herramientas_de_izaje], B81) &gt; 0, Herramientas_de_izaje2468[[#Headers],[Herramientas_de_izaje]],
COUNTIF(Tabla162670[Equipos], B81) &gt; 0, Tabla162670[[#Headers],[Equipos]],
    TRUE, "Sin clasificación"
)</f>
        <v>Herramientas_eléctricas</v>
      </c>
      <c r="F81" s="15"/>
      <c r="G81" s="15" t="s">
        <v>611</v>
      </c>
      <c r="H81" s="47" t="s">
        <v>909</v>
      </c>
      <c r="I81" s="87">
        <v>12</v>
      </c>
      <c r="J81" s="78">
        <v>180</v>
      </c>
      <c r="K81" s="78">
        <v>2600</v>
      </c>
      <c r="L81" s="78">
        <v>220</v>
      </c>
      <c r="M81" s="78">
        <v>8500</v>
      </c>
      <c r="N81" t="s">
        <v>911</v>
      </c>
      <c r="O81" s="47"/>
      <c r="P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ZE-AM-TG-0007</v>
      </c>
      <c r="R81" s="15"/>
      <c r="T81" s="48"/>
    </row>
    <row r="82" spans="2:20" ht="28.8" x14ac:dyDescent="0.3">
      <c r="B82" t="s">
        <v>23</v>
      </c>
      <c r="C82" s="11" t="s">
        <v>178</v>
      </c>
      <c r="E82" s="11" t="str" cm="1">
        <f t="array" ref="E82">_xlfn.IFS(
    COUNTIF(Herramientas_eléctricas1862[Herramientas_eléctricas], B82) &gt; 0, Herramientas_eléctricas1862[[#Headers],[Herramientas_eléctricas]],
    COUNTIF(Herramientas_neumáticas1963[Herramientas_neumáticas], B82) &gt; 0, Herramientas_neumáticas1963[[#Headers],[Herramientas_neumáticas]],
    COUNTIF(Herramientas_de_medición2064[Herramientas_de_medición], B82) &gt; 0, Herramientas_de_medición2064[[#Headers],[Herramientas_de_medición]],
    COUNTIF(Herrramientas_mecánicas2165[Herramientas_mecánicas], B82) &gt; 0, Herrramientas_mecánicas2165[[#Headers],[Herramientas_mecánicas]],
    COUNTIF(AK82:AK88, B82) &gt; 0, Herramientas_hidráulicas2266[[#Headers],[Herramientas_hidráulicas]],
    COUNTIF(EPP_2367[SPCC], B82) &gt; 0, EPP_2367[[#Headers],[SPCC]],
   COUNTIF(Herramientas_de_izaje2468[Herramientas_de_izaje], B82) &gt; 0, Herramientas_de_izaje2468[[#Headers],[Herramientas_de_izaje]],
COUNTIF(Tabla162670[Equipos], B82) &gt; 0, Tabla162670[[#Headers],[Equipos]],
    TRUE, "Sin clasificación"
)</f>
        <v>Herramientas_eléctricas</v>
      </c>
      <c r="F82" s="15"/>
      <c r="G82" s="15" t="s">
        <v>611</v>
      </c>
      <c r="H82" s="47" t="s">
        <v>912</v>
      </c>
      <c r="I82" s="87">
        <v>3.8</v>
      </c>
      <c r="J82" s="78">
        <v>115</v>
      </c>
      <c r="K82" s="78">
        <v>840</v>
      </c>
      <c r="L82" s="78">
        <v>220</v>
      </c>
      <c r="M82" s="78">
        <v>11000</v>
      </c>
      <c r="N82" t="s">
        <v>911</v>
      </c>
      <c r="O82" s="47"/>
      <c r="P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ZE-AM-TG-0008</v>
      </c>
      <c r="R82" s="15"/>
      <c r="T82" s="48"/>
    </row>
    <row r="83" spans="2:20" ht="28.8" x14ac:dyDescent="0.3">
      <c r="B83" t="s">
        <v>23</v>
      </c>
      <c r="C83" s="11" t="s">
        <v>178</v>
      </c>
      <c r="E83" s="11" t="str" cm="1">
        <f t="array" ref="E83">_xlfn.IFS(
    COUNTIF(Herramientas_eléctricas1862[Herramientas_eléctricas], B83) &gt; 0, Herramientas_eléctricas1862[[#Headers],[Herramientas_eléctricas]],
    COUNTIF(Herramientas_neumáticas1963[Herramientas_neumáticas], B83) &gt; 0, Herramientas_neumáticas1963[[#Headers],[Herramientas_neumáticas]],
    COUNTIF(Herramientas_de_medición2064[Herramientas_de_medición], B83) &gt; 0, Herramientas_de_medición2064[[#Headers],[Herramientas_de_medición]],
    COUNTIF(Herrramientas_mecánicas2165[Herramientas_mecánicas], B83) &gt; 0, Herrramientas_mecánicas2165[[#Headers],[Herramientas_mecánicas]],
    COUNTIF(AK83:AK89, B83) &gt; 0, Herramientas_hidráulicas2266[[#Headers],[Herramientas_hidráulicas]],
    COUNTIF(EPP_2367[SPCC], B83) &gt; 0, EPP_2367[[#Headers],[SPCC]],
   COUNTIF(Herramientas_de_izaje2468[Herramientas_de_izaje], B83) &gt; 0, Herramientas_de_izaje2468[[#Headers],[Herramientas_de_izaje]],
COUNTIF(Tabla162670[Equipos], B83) &gt; 0, Tabla162670[[#Headers],[Equipos]],
    TRUE, "Sin clasificación"
)</f>
        <v>Herramientas_eléctricas</v>
      </c>
      <c r="F83" s="15"/>
      <c r="G83" s="15" t="s">
        <v>611</v>
      </c>
      <c r="H83" s="47" t="s">
        <v>913</v>
      </c>
      <c r="I83" s="87">
        <v>6.4</v>
      </c>
      <c r="J83" s="78">
        <v>115</v>
      </c>
      <c r="K83" s="78">
        <v>1400</v>
      </c>
      <c r="L83" s="78">
        <v>220</v>
      </c>
      <c r="M83" s="78">
        <v>12000</v>
      </c>
      <c r="N83" t="s">
        <v>911</v>
      </c>
      <c r="O83" s="47"/>
      <c r="P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ZE-AM-TG-0009</v>
      </c>
      <c r="R83" s="15"/>
      <c r="T83" s="48"/>
    </row>
    <row r="84" spans="2:20" ht="28.8" x14ac:dyDescent="0.3">
      <c r="B84" t="s">
        <v>23</v>
      </c>
      <c r="C84" s="11" t="s">
        <v>178</v>
      </c>
      <c r="E84" s="11" t="str" cm="1">
        <f t="array" ref="E84">_xlfn.IFS(
    COUNTIF(Herramientas_eléctricas1862[Herramientas_eléctricas], B84) &gt; 0, Herramientas_eléctricas1862[[#Headers],[Herramientas_eléctricas]],
    COUNTIF(Herramientas_neumáticas1963[Herramientas_neumáticas], B84) &gt; 0, Herramientas_neumáticas1963[[#Headers],[Herramientas_neumáticas]],
    COUNTIF(Herramientas_de_medición2064[Herramientas_de_medición], B84) &gt; 0, Herramientas_de_medición2064[[#Headers],[Herramientas_de_medición]],
    COUNTIF(Herrramientas_mecánicas2165[Herramientas_mecánicas], B84) &gt; 0, Herrramientas_mecánicas2165[[#Headers],[Herramientas_mecánicas]],
    COUNTIF(AK84:AK90, B84) &gt; 0, Herramientas_hidráulicas2266[[#Headers],[Herramientas_hidráulicas]],
    COUNTIF(EPP_2367[SPCC], B84) &gt; 0, EPP_2367[[#Headers],[SPCC]],
   COUNTIF(Herramientas_de_izaje2468[Herramientas_de_izaje], B84) &gt; 0, Herramientas_de_izaje2468[[#Headers],[Herramientas_de_izaje]],
COUNTIF(Tabla162670[Equipos], B84) &gt; 0, Tabla162670[[#Headers],[Equipos]],
    TRUE, "Sin clasificación"
)</f>
        <v>Herramientas_eléctricas</v>
      </c>
      <c r="F84" s="15"/>
      <c r="G84" s="15" t="s">
        <v>572</v>
      </c>
      <c r="H84" s="47" t="s">
        <v>914</v>
      </c>
      <c r="I84" s="87"/>
      <c r="J84" s="78">
        <v>125</v>
      </c>
      <c r="K84" s="78"/>
      <c r="L84" s="78">
        <v>220</v>
      </c>
      <c r="M84" s="78">
        <v>12000</v>
      </c>
      <c r="N84" t="s">
        <v>916</v>
      </c>
      <c r="O84" s="47" t="s">
        <v>915</v>
      </c>
      <c r="P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ZE-AM-TG-0010</v>
      </c>
      <c r="R84" s="15"/>
      <c r="T84" s="48"/>
    </row>
    <row r="85" spans="2:20" ht="28.8" x14ac:dyDescent="0.3">
      <c r="B85" t="s">
        <v>23</v>
      </c>
      <c r="C85" s="11" t="s">
        <v>178</v>
      </c>
      <c r="E85" s="11" t="str" cm="1">
        <f t="array" ref="E85">_xlfn.IFS(
    COUNTIF(Herramientas_eléctricas1862[Herramientas_eléctricas], B85) &gt; 0, Herramientas_eléctricas1862[[#Headers],[Herramientas_eléctricas]],
    COUNTIF(Herramientas_neumáticas1963[Herramientas_neumáticas], B85) &gt; 0, Herramientas_neumáticas1963[[#Headers],[Herramientas_neumáticas]],
    COUNTIF(Herramientas_de_medición2064[Herramientas_de_medición], B85) &gt; 0, Herramientas_de_medición2064[[#Headers],[Herramientas_de_medición]],
    COUNTIF(Herrramientas_mecánicas2165[Herramientas_mecánicas], B85) &gt; 0, Herrramientas_mecánicas2165[[#Headers],[Herramientas_mecánicas]],
    COUNTIF(AK85:AK91, B85) &gt; 0, Herramientas_hidráulicas2266[[#Headers],[Herramientas_hidráulicas]],
    COUNTIF(EPP_2367[SPCC], B85) &gt; 0, EPP_2367[[#Headers],[SPCC]],
   COUNTIF(Herramientas_de_izaje2468[Herramientas_de_izaje], B85) &gt; 0, Herramientas_de_izaje2468[[#Headers],[Herramientas_de_izaje]],
COUNTIF(Tabla162670[Equipos], B85) &gt; 0, Tabla162670[[#Headers],[Equipos]],
    TRUE, "Sin clasificación"
)</f>
        <v>Herramientas_eléctricas</v>
      </c>
      <c r="F85" s="15"/>
      <c r="G85" s="15" t="s">
        <v>572</v>
      </c>
      <c r="H85" s="47"/>
      <c r="I85" s="87"/>
      <c r="J85" s="78"/>
      <c r="K85" s="78"/>
      <c r="L85" s="78"/>
      <c r="M85" s="78"/>
      <c r="N85" t="s">
        <v>916</v>
      </c>
      <c r="O85" s="47"/>
      <c r="P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ZE-AM-TG-0011</v>
      </c>
      <c r="R85" s="15"/>
      <c r="T85" s="48"/>
    </row>
    <row r="86" spans="2:20" ht="28.8" x14ac:dyDescent="0.3">
      <c r="B86" t="s">
        <v>23</v>
      </c>
      <c r="C86" s="11" t="s">
        <v>178</v>
      </c>
      <c r="E86" s="11" t="str" cm="1">
        <f t="array" ref="E86">_xlfn.IFS(
    COUNTIF(Herramientas_eléctricas1862[Herramientas_eléctricas], B86) &gt; 0, Herramientas_eléctricas1862[[#Headers],[Herramientas_eléctricas]],
    COUNTIF(Herramientas_neumáticas1963[Herramientas_neumáticas], B86) &gt; 0, Herramientas_neumáticas1963[[#Headers],[Herramientas_neumáticas]],
    COUNTIF(Herramientas_de_medición2064[Herramientas_de_medición], B86) &gt; 0, Herramientas_de_medición2064[[#Headers],[Herramientas_de_medición]],
    COUNTIF(Herrramientas_mecánicas2165[Herramientas_mecánicas], B86) &gt; 0, Herrramientas_mecánicas2165[[#Headers],[Herramientas_mecánicas]],
    COUNTIF(AK86:AK92, B86) &gt; 0, Herramientas_hidráulicas2266[[#Headers],[Herramientas_hidráulicas]],
    COUNTIF(EPP_2367[SPCC], B86) &gt; 0, EPP_2367[[#Headers],[SPCC]],
   COUNTIF(Herramientas_de_izaje2468[Herramientas_de_izaje], B86) &gt; 0, Herramientas_de_izaje2468[[#Headers],[Herramientas_de_izaje]],
COUNTIF(Tabla162670[Equipos], B86) &gt; 0, Tabla162670[[#Headers],[Equipos]],
    TRUE, "Sin clasificación"
)</f>
        <v>Herramientas_eléctricas</v>
      </c>
      <c r="F86" s="15"/>
      <c r="G86" s="15" t="s">
        <v>572</v>
      </c>
      <c r="H86" s="47" t="s">
        <v>806</v>
      </c>
      <c r="I86" s="87"/>
      <c r="J86" s="78"/>
      <c r="K86" s="78"/>
      <c r="L86" s="78"/>
      <c r="M86" s="78"/>
      <c r="N86" t="s">
        <v>916</v>
      </c>
      <c r="O86" s="47"/>
      <c r="P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ZE-AM-TG-0012</v>
      </c>
      <c r="R86" s="15"/>
      <c r="T86" s="48"/>
    </row>
    <row r="87" spans="2:20" ht="28.8" x14ac:dyDescent="0.3">
      <c r="B87" t="s">
        <v>23</v>
      </c>
      <c r="C87" s="11" t="s">
        <v>178</v>
      </c>
      <c r="E87" s="11" t="str" cm="1">
        <f t="array" ref="E87">_xlfn.IFS(
    COUNTIF(Herramientas_eléctricas1862[Herramientas_eléctricas], B87) &gt; 0, Herramientas_eléctricas1862[[#Headers],[Herramientas_eléctricas]],
    COUNTIF(Herramientas_neumáticas1963[Herramientas_neumáticas], B87) &gt; 0, Herramientas_neumáticas1963[[#Headers],[Herramientas_neumáticas]],
    COUNTIF(Herramientas_de_medición2064[Herramientas_de_medición], B87) &gt; 0, Herramientas_de_medición2064[[#Headers],[Herramientas_de_medición]],
    COUNTIF(Herrramientas_mecánicas2165[Herramientas_mecánicas], B87) &gt; 0, Herrramientas_mecánicas2165[[#Headers],[Herramientas_mecánicas]],
    COUNTIF(AK87:AK93, B87) &gt; 0, Herramientas_hidráulicas2266[[#Headers],[Herramientas_hidráulicas]],
    COUNTIF(EPP_2367[SPCC], B87) &gt; 0, EPP_2367[[#Headers],[SPCC]],
   COUNTIF(Herramientas_de_izaje2468[Herramientas_de_izaje], B87) &gt; 0, Herramientas_de_izaje2468[[#Headers],[Herramientas_de_izaje]],
COUNTIF(Tabla162670[Equipos], B87) &gt; 0, Tabla162670[[#Headers],[Equipos]],
    TRUE, "Sin clasificación"
)</f>
        <v>Herramientas_eléctricas</v>
      </c>
      <c r="F87" s="15"/>
      <c r="G87" s="15" t="s">
        <v>572</v>
      </c>
      <c r="H87" s="47" t="s">
        <v>917</v>
      </c>
      <c r="I87" s="87"/>
      <c r="J87" s="78"/>
      <c r="K87" s="78">
        <v>2600</v>
      </c>
      <c r="L87" s="78"/>
      <c r="M87" s="78">
        <v>8500</v>
      </c>
      <c r="N87" t="s">
        <v>916</v>
      </c>
      <c r="O87" s="47"/>
      <c r="P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ZE-AM-TG-0013</v>
      </c>
      <c r="R87" s="15"/>
      <c r="T87" s="48"/>
    </row>
    <row r="88" spans="2:20" ht="28.8" x14ac:dyDescent="0.3">
      <c r="B88" t="s">
        <v>23</v>
      </c>
      <c r="C88" s="11" t="s">
        <v>178</v>
      </c>
      <c r="E88" s="11" t="str" cm="1">
        <f t="array" ref="E88">_xlfn.IFS(
    COUNTIF(Herramientas_eléctricas1862[Herramientas_eléctricas], B88) &gt; 0, Herramientas_eléctricas1862[[#Headers],[Herramientas_eléctricas]],
    COUNTIF(Herramientas_neumáticas1963[Herramientas_neumáticas], B88) &gt; 0, Herramientas_neumáticas1963[[#Headers],[Herramientas_neumáticas]],
    COUNTIF(Herramientas_de_medición2064[Herramientas_de_medición], B88) &gt; 0, Herramientas_de_medición2064[[#Headers],[Herramientas_de_medición]],
    COUNTIF(Herrramientas_mecánicas2165[Herramientas_mecánicas], B88) &gt; 0, Herrramientas_mecánicas2165[[#Headers],[Herramientas_mecánicas]],
    COUNTIF(AK88:AK94, B88) &gt; 0, Herramientas_hidráulicas2266[[#Headers],[Herramientas_hidráulicas]],
    COUNTIF(EPP_2367[SPCC], B88) &gt; 0, EPP_2367[[#Headers],[SPCC]],
   COUNTIF(Herramientas_de_izaje2468[Herramientas_de_izaje], B88) &gt; 0, Herramientas_de_izaje2468[[#Headers],[Herramientas_de_izaje]],
COUNTIF(Tabla162670[Equipos], B88) &gt; 0, Tabla162670[[#Headers],[Equipos]],
    TRUE, "Sin clasificación"
)</f>
        <v>Herramientas_eléctricas</v>
      </c>
      <c r="F88" s="15"/>
      <c r="G88" s="15" t="s">
        <v>611</v>
      </c>
      <c r="H88" s="47" t="s">
        <v>912</v>
      </c>
      <c r="I88" s="87">
        <v>3.8</v>
      </c>
      <c r="J88" s="78">
        <v>115</v>
      </c>
      <c r="K88" s="78">
        <v>840</v>
      </c>
      <c r="L88" s="78">
        <v>220</v>
      </c>
      <c r="M88" s="78">
        <v>11000</v>
      </c>
      <c r="N88" t="s">
        <v>922</v>
      </c>
      <c r="O88" s="47">
        <v>81012</v>
      </c>
      <c r="P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ZE-AM-TG-0014</v>
      </c>
      <c r="R88" s="15"/>
      <c r="T88" s="48"/>
    </row>
    <row r="89" spans="2:20" ht="28.8" x14ac:dyDescent="0.3">
      <c r="B89" t="s">
        <v>23</v>
      </c>
      <c r="C89" s="11" t="s">
        <v>178</v>
      </c>
      <c r="E89" s="11" t="str" cm="1">
        <f t="array" ref="E89">_xlfn.IFS(
    COUNTIF(Herramientas_eléctricas1862[Herramientas_eléctricas], B89) &gt; 0, Herramientas_eléctricas1862[[#Headers],[Herramientas_eléctricas]],
    COUNTIF(Herramientas_neumáticas1963[Herramientas_neumáticas], B89) &gt; 0, Herramientas_neumáticas1963[[#Headers],[Herramientas_neumáticas]],
    COUNTIF(Herramientas_de_medición2064[Herramientas_de_medición], B89) &gt; 0, Herramientas_de_medición2064[[#Headers],[Herramientas_de_medición]],
    COUNTIF(Herrramientas_mecánicas2165[Herramientas_mecánicas], B89) &gt; 0, Herrramientas_mecánicas2165[[#Headers],[Herramientas_mecánicas]],
    COUNTIF(AK89:AK95, B89) &gt; 0, Herramientas_hidráulicas2266[[#Headers],[Herramientas_hidráulicas]],
    COUNTIF(EPP_2367[SPCC], B89) &gt; 0, EPP_2367[[#Headers],[SPCC]],
   COUNTIF(Herramientas_de_izaje2468[Herramientas_de_izaje], B89) &gt; 0, Herramientas_de_izaje2468[[#Headers],[Herramientas_de_izaje]],
COUNTIF(Tabla162670[Equipos], B89) &gt; 0, Tabla162670[[#Headers],[Equipos]],
    TRUE, "Sin clasificación"
)</f>
        <v>Herramientas_eléctricas</v>
      </c>
      <c r="F89" s="15"/>
      <c r="G89" s="15" t="s">
        <v>572</v>
      </c>
      <c r="H89" s="47" t="s">
        <v>806</v>
      </c>
      <c r="I89" s="87"/>
      <c r="J89" s="78"/>
      <c r="K89" s="78"/>
      <c r="L89" s="78"/>
      <c r="M89" s="78"/>
      <c r="N89" t="s">
        <v>922</v>
      </c>
      <c r="O89" s="47"/>
      <c r="P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ZE-AM-TG-0015</v>
      </c>
      <c r="R89" s="15"/>
      <c r="T89" s="48"/>
    </row>
    <row r="90" spans="2:20" ht="28.8" x14ac:dyDescent="0.3">
      <c r="B90" t="s">
        <v>23</v>
      </c>
      <c r="C90" s="11" t="s">
        <v>178</v>
      </c>
      <c r="E90" s="11" t="str" cm="1">
        <f t="array" ref="E90">_xlfn.IFS(
    COUNTIF(Herramientas_eléctricas1862[Herramientas_eléctricas], B90) &gt; 0, Herramientas_eléctricas1862[[#Headers],[Herramientas_eléctricas]],
    COUNTIF(Herramientas_neumáticas1963[Herramientas_neumáticas], B90) &gt; 0, Herramientas_neumáticas1963[[#Headers],[Herramientas_neumáticas]],
    COUNTIF(Herramientas_de_medición2064[Herramientas_de_medición], B90) &gt; 0, Herramientas_de_medición2064[[#Headers],[Herramientas_de_medición]],
    COUNTIF(Herrramientas_mecánicas2165[Herramientas_mecánicas], B90) &gt; 0, Herrramientas_mecánicas2165[[#Headers],[Herramientas_mecánicas]],
    COUNTIF(AK90:AK96, B90) &gt; 0, Herramientas_hidráulicas2266[[#Headers],[Herramientas_hidráulicas]],
    COUNTIF(EPP_2367[SPCC], B90) &gt; 0, EPP_2367[[#Headers],[SPCC]],
   COUNTIF(Herramientas_de_izaje2468[Herramientas_de_izaje], B90) &gt; 0, Herramientas_de_izaje2468[[#Headers],[Herramientas_de_izaje]],
COUNTIF(Tabla162670[Equipos], B90) &gt; 0, Tabla162670[[#Headers],[Equipos]],
    TRUE, "Sin clasificación"
)</f>
        <v>Herramientas_eléctricas</v>
      </c>
      <c r="F90" s="15"/>
      <c r="G90" s="15" t="s">
        <v>611</v>
      </c>
      <c r="H90" s="47" t="s">
        <v>909</v>
      </c>
      <c r="I90" s="87">
        <v>12</v>
      </c>
      <c r="J90" s="78">
        <v>180</v>
      </c>
      <c r="K90" s="78">
        <v>2600</v>
      </c>
      <c r="L90" s="78">
        <v>220</v>
      </c>
      <c r="M90" s="78">
        <v>8500</v>
      </c>
      <c r="N90" t="s">
        <v>922</v>
      </c>
      <c r="O90" s="47" t="s">
        <v>919</v>
      </c>
      <c r="P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ZE-AM-TG-0016</v>
      </c>
      <c r="R90" s="15"/>
      <c r="T90" s="48"/>
    </row>
    <row r="91" spans="2:20" ht="28.8" x14ac:dyDescent="0.3">
      <c r="B91" t="s">
        <v>23</v>
      </c>
      <c r="C91" s="11" t="s">
        <v>178</v>
      </c>
      <c r="E91" s="11" t="str" cm="1">
        <f t="array" ref="E91">_xlfn.IFS(
    COUNTIF(Herramientas_eléctricas1862[Herramientas_eléctricas], B91) &gt; 0, Herramientas_eléctricas1862[[#Headers],[Herramientas_eléctricas]],
    COUNTIF(Herramientas_neumáticas1963[Herramientas_neumáticas], B91) &gt; 0, Herramientas_neumáticas1963[[#Headers],[Herramientas_neumáticas]],
    COUNTIF(Herramientas_de_medición2064[Herramientas_de_medición], B91) &gt; 0, Herramientas_de_medición2064[[#Headers],[Herramientas_de_medición]],
    COUNTIF(Herrramientas_mecánicas2165[Herramientas_mecánicas], B91) &gt; 0, Herrramientas_mecánicas2165[[#Headers],[Herramientas_mecánicas]],
    COUNTIF(AK91:AK97, B91) &gt; 0, Herramientas_hidráulicas2266[[#Headers],[Herramientas_hidráulicas]],
    COUNTIF(EPP_2367[SPCC], B91) &gt; 0, EPP_2367[[#Headers],[SPCC]],
   COUNTIF(Herramientas_de_izaje2468[Herramientas_de_izaje], B91) &gt; 0, Herramientas_de_izaje2468[[#Headers],[Herramientas_de_izaje]],
COUNTIF(Tabla162670[Equipos], B91) &gt; 0, Tabla162670[[#Headers],[Equipos]],
    TRUE, "Sin clasificación"
)</f>
        <v>Herramientas_eléctricas</v>
      </c>
      <c r="F91" s="15"/>
      <c r="G91" s="15" t="s">
        <v>572</v>
      </c>
      <c r="H91" s="47"/>
      <c r="I91" s="87"/>
      <c r="J91" s="78"/>
      <c r="K91" s="78"/>
      <c r="L91" s="78"/>
      <c r="M91" s="78"/>
      <c r="N91" t="s">
        <v>920</v>
      </c>
      <c r="O91" s="47"/>
      <c r="P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ZE-AM-TG-0017</v>
      </c>
      <c r="R91" s="15"/>
      <c r="T91" s="48"/>
    </row>
    <row r="92" spans="2:20" ht="28.8" x14ac:dyDescent="0.3">
      <c r="B92" t="s">
        <v>23</v>
      </c>
      <c r="C92" s="11" t="s">
        <v>178</v>
      </c>
      <c r="E92" s="11" t="str" cm="1">
        <f t="array" ref="E92">_xlfn.IFS(
    COUNTIF(Herramientas_eléctricas1862[Herramientas_eléctricas], B92) &gt; 0, Herramientas_eléctricas1862[[#Headers],[Herramientas_eléctricas]],
    COUNTIF(Herramientas_neumáticas1963[Herramientas_neumáticas], B92) &gt; 0, Herramientas_neumáticas1963[[#Headers],[Herramientas_neumáticas]],
    COUNTIF(Herramientas_de_medición2064[Herramientas_de_medición], B92) &gt; 0, Herramientas_de_medición2064[[#Headers],[Herramientas_de_medición]],
    COUNTIF(Herrramientas_mecánicas2165[Herramientas_mecánicas], B92) &gt; 0, Herrramientas_mecánicas2165[[#Headers],[Herramientas_mecánicas]],
    COUNTIF(AK92:AK98, B92) &gt; 0, Herramientas_hidráulicas2266[[#Headers],[Herramientas_hidráulicas]],
    COUNTIF(EPP_2367[SPCC], B92) &gt; 0, EPP_2367[[#Headers],[SPCC]],
   COUNTIF(Herramientas_de_izaje2468[Herramientas_de_izaje], B92) &gt; 0, Herramientas_de_izaje2468[[#Headers],[Herramientas_de_izaje]],
COUNTIF(Tabla162670[Equipos], B92) &gt; 0, Tabla162670[[#Headers],[Equipos]],
    TRUE, "Sin clasificación"
)</f>
        <v>Herramientas_eléctricas</v>
      </c>
      <c r="F92" s="15"/>
      <c r="G92" s="15" t="s">
        <v>572</v>
      </c>
      <c r="H92" s="47" t="s">
        <v>789</v>
      </c>
      <c r="I92" s="87">
        <v>13.4</v>
      </c>
      <c r="J92" s="78">
        <v>180</v>
      </c>
      <c r="K92" s="78">
        <v>2800</v>
      </c>
      <c r="L92" s="78">
        <v>220</v>
      </c>
      <c r="M92" s="78">
        <v>8500</v>
      </c>
      <c r="N92" t="s">
        <v>920</v>
      </c>
      <c r="O92" s="47"/>
      <c r="P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ZE-AM-TG-0018</v>
      </c>
      <c r="R92" s="15"/>
      <c r="T92" s="48"/>
    </row>
    <row r="93" spans="2:20" ht="28.8" x14ac:dyDescent="0.3">
      <c r="B93" t="s">
        <v>23</v>
      </c>
      <c r="C93" s="11" t="s">
        <v>178</v>
      </c>
      <c r="E93" s="11" t="str" cm="1">
        <f t="array" ref="E93">_xlfn.IFS(
    COUNTIF(Herramientas_eléctricas1862[Herramientas_eléctricas], B93) &gt; 0, Herramientas_eléctricas1862[[#Headers],[Herramientas_eléctricas]],
    COUNTIF(Herramientas_neumáticas1963[Herramientas_neumáticas], B93) &gt; 0, Herramientas_neumáticas1963[[#Headers],[Herramientas_neumáticas]],
    COUNTIF(Herramientas_de_medición2064[Herramientas_de_medición], B93) &gt; 0, Herramientas_de_medición2064[[#Headers],[Herramientas_de_medición]],
    COUNTIF(Herrramientas_mecánicas2165[Herramientas_mecánicas], B93) &gt; 0, Herrramientas_mecánicas2165[[#Headers],[Herramientas_mecánicas]],
    COUNTIF(AK93:AK99, B93) &gt; 0, Herramientas_hidráulicas2266[[#Headers],[Herramientas_hidráulicas]],
    COUNTIF(EPP_2367[SPCC], B93) &gt; 0, EPP_2367[[#Headers],[SPCC]],
   COUNTIF(Herramientas_de_izaje2468[Herramientas_de_izaje], B93) &gt; 0, Herramientas_de_izaje2468[[#Headers],[Herramientas_de_izaje]],
COUNTIF(Tabla162670[Equipos], B93) &gt; 0, Tabla162670[[#Headers],[Equipos]],
    TRUE, "Sin clasificación"
)</f>
        <v>Herramientas_eléctricas</v>
      </c>
      <c r="F93" s="15"/>
      <c r="G93" s="15" t="s">
        <v>611</v>
      </c>
      <c r="H93" s="47" t="s">
        <v>921</v>
      </c>
      <c r="I93" s="87">
        <v>12</v>
      </c>
      <c r="J93" s="78">
        <v>180</v>
      </c>
      <c r="K93" s="78">
        <v>2600</v>
      </c>
      <c r="L93" s="78">
        <v>220</v>
      </c>
      <c r="M93" s="78">
        <v>8500</v>
      </c>
      <c r="N93" t="s">
        <v>920</v>
      </c>
      <c r="O93" s="47">
        <v>38040</v>
      </c>
      <c r="P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ZE-AM-TG-0019</v>
      </c>
      <c r="R93" s="15"/>
      <c r="T93" s="48"/>
    </row>
    <row r="94" spans="2:20" ht="28.8" x14ac:dyDescent="0.3">
      <c r="B94" t="s">
        <v>23</v>
      </c>
      <c r="C94" s="11" t="s">
        <v>178</v>
      </c>
      <c r="E94" s="11" t="str" cm="1">
        <f t="array" ref="E94">_xlfn.IFS(
    COUNTIF(Herramientas_eléctricas1862[Herramientas_eléctricas], B94) &gt; 0, Herramientas_eléctricas1862[[#Headers],[Herramientas_eléctricas]],
    COUNTIF(Herramientas_neumáticas1963[Herramientas_neumáticas], B94) &gt; 0, Herramientas_neumáticas1963[[#Headers],[Herramientas_neumáticas]],
    COUNTIF(Herramientas_de_medición2064[Herramientas_de_medición], B94) &gt; 0, Herramientas_de_medición2064[[#Headers],[Herramientas_de_medición]],
    COUNTIF(Herrramientas_mecánicas2165[Herramientas_mecánicas], B94) &gt; 0, Herrramientas_mecánicas2165[[#Headers],[Herramientas_mecánicas]],
    COUNTIF(AK94:AK100, B94) &gt; 0, Herramientas_hidráulicas2266[[#Headers],[Herramientas_hidráulicas]],
    COUNTIF(EPP_2367[SPCC], B94) &gt; 0, EPP_2367[[#Headers],[SPCC]],
   COUNTIF(Herramientas_de_izaje2468[Herramientas_de_izaje], B94) &gt; 0, Herramientas_de_izaje2468[[#Headers],[Herramientas_de_izaje]],
COUNTIF(Tabla162670[Equipos], B94) &gt; 0, Tabla162670[[#Headers],[Equipos]],
    TRUE, "Sin clasificación"
)</f>
        <v>Herramientas_eléctricas</v>
      </c>
      <c r="F94" s="15"/>
      <c r="G94" s="15" t="s">
        <v>572</v>
      </c>
      <c r="H94" s="47"/>
      <c r="I94" s="87"/>
      <c r="J94" s="78">
        <v>180</v>
      </c>
      <c r="K94" s="78">
        <v>2800</v>
      </c>
      <c r="L94" s="78">
        <v>220</v>
      </c>
      <c r="M94" s="78"/>
      <c r="N94" t="s">
        <v>935</v>
      </c>
      <c r="O94" s="47">
        <v>912000098</v>
      </c>
      <c r="P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ZE-AM-TG-0020</v>
      </c>
      <c r="R94" s="15" t="s">
        <v>934</v>
      </c>
      <c r="T94" s="48"/>
    </row>
    <row r="95" spans="2:20" ht="28.8" x14ac:dyDescent="0.3">
      <c r="B95" t="s">
        <v>23</v>
      </c>
      <c r="C95" s="11" t="s">
        <v>178</v>
      </c>
      <c r="E95" s="11" t="str" cm="1">
        <f t="array" ref="E95">_xlfn.IFS(
    COUNTIF(Herramientas_eléctricas1862[Herramientas_eléctricas], B95) &gt; 0, Herramientas_eléctricas1862[[#Headers],[Herramientas_eléctricas]],
    COUNTIF(Herramientas_neumáticas1963[Herramientas_neumáticas], B95) &gt; 0, Herramientas_neumáticas1963[[#Headers],[Herramientas_neumáticas]],
    COUNTIF(Herramientas_de_medición2064[Herramientas_de_medición], B95) &gt; 0, Herramientas_de_medición2064[[#Headers],[Herramientas_de_medición]],
    COUNTIF(Herrramientas_mecánicas2165[Herramientas_mecánicas], B95) &gt; 0, Herrramientas_mecánicas2165[[#Headers],[Herramientas_mecánicas]],
    COUNTIF(AK95:AK101, B95) &gt; 0, Herramientas_hidráulicas2266[[#Headers],[Herramientas_hidráulicas]],
    COUNTIF(EPP_2367[SPCC], B95) &gt; 0, EPP_2367[[#Headers],[SPCC]],
   COUNTIF(Herramientas_de_izaje2468[Herramientas_de_izaje], B95) &gt; 0, Herramientas_de_izaje2468[[#Headers],[Herramientas_de_izaje]],
COUNTIF(Tabla162670[Equipos], B95) &gt; 0, Tabla162670[[#Headers],[Equipos]],
    TRUE, "Sin clasificación"
)</f>
        <v>Herramientas_eléctricas</v>
      </c>
      <c r="F95" s="15"/>
      <c r="G95" s="15" t="s">
        <v>572</v>
      </c>
      <c r="H95" s="47" t="s">
        <v>748</v>
      </c>
      <c r="I95" s="87">
        <v>8</v>
      </c>
      <c r="J95" s="78">
        <v>125</v>
      </c>
      <c r="K95" s="78">
        <v>1700</v>
      </c>
      <c r="L95" s="78">
        <v>220</v>
      </c>
      <c r="M95" s="78">
        <v>11500</v>
      </c>
      <c r="N95" t="s">
        <v>935</v>
      </c>
      <c r="O95" s="47">
        <v>223000619</v>
      </c>
      <c r="P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ZE-AM-TG-0021</v>
      </c>
      <c r="R95" s="15" t="s">
        <v>934</v>
      </c>
      <c r="T95" s="48"/>
    </row>
    <row r="96" spans="2:20" ht="28.8" x14ac:dyDescent="0.3">
      <c r="B96" t="s">
        <v>23</v>
      </c>
      <c r="C96" s="11" t="s">
        <v>178</v>
      </c>
      <c r="E96" s="11" t="str" cm="1">
        <f t="array" ref="E96">_xlfn.IFS(
    COUNTIF(Herramientas_eléctricas1862[Herramientas_eléctricas], B96) &gt; 0, Herramientas_eléctricas1862[[#Headers],[Herramientas_eléctricas]],
    COUNTIF(Herramientas_neumáticas1963[Herramientas_neumáticas], B96) &gt; 0, Herramientas_neumáticas1963[[#Headers],[Herramientas_neumáticas]],
    COUNTIF(Herramientas_de_medición2064[Herramientas_de_medición], B96) &gt; 0, Herramientas_de_medición2064[[#Headers],[Herramientas_de_medición]],
    COUNTIF(Herrramientas_mecánicas2165[Herramientas_mecánicas], B96) &gt; 0, Herrramientas_mecánicas2165[[#Headers],[Herramientas_mecánicas]],
    COUNTIF(AK96:AK102, B96) &gt; 0, Herramientas_hidráulicas2266[[#Headers],[Herramientas_hidráulicas]],
    COUNTIF(EPP_2367[SPCC], B96) &gt; 0, EPP_2367[[#Headers],[SPCC]],
   COUNTIF(Herramientas_de_izaje2468[Herramientas_de_izaje], B96) &gt; 0, Herramientas_de_izaje2468[[#Headers],[Herramientas_de_izaje]],
COUNTIF(Tabla162670[Equipos], B96) &gt; 0, Tabla162670[[#Headers],[Equipos]],
    TRUE, "Sin clasificación"
)</f>
        <v>Herramientas_eléctricas</v>
      </c>
      <c r="F96" s="15"/>
      <c r="G96" s="15" t="s">
        <v>572</v>
      </c>
      <c r="H96" s="47" t="s">
        <v>976</v>
      </c>
      <c r="I96" s="87"/>
      <c r="J96" s="78">
        <v>125</v>
      </c>
      <c r="K96" s="78">
        <v>1800</v>
      </c>
      <c r="L96" s="78"/>
      <c r="M96" s="78"/>
      <c r="N96" t="s">
        <v>920</v>
      </c>
      <c r="O96" s="47">
        <v>321000073</v>
      </c>
      <c r="P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ZE-AM-TG-0022</v>
      </c>
      <c r="R96" s="15" t="s">
        <v>977</v>
      </c>
      <c r="T96" s="48"/>
    </row>
    <row r="97" spans="2:20" ht="28.8" x14ac:dyDescent="0.3">
      <c r="B97" t="s">
        <v>23</v>
      </c>
      <c r="C97" s="11" t="s">
        <v>178</v>
      </c>
      <c r="E97" s="11" t="str" cm="1">
        <f t="array" ref="E97">_xlfn.IFS(
    COUNTIF(Herramientas_eléctricas1862[Herramientas_eléctricas], B97) &gt; 0, Herramientas_eléctricas1862[[#Headers],[Herramientas_eléctricas]],
    COUNTIF(Herramientas_neumáticas1963[Herramientas_neumáticas], B97) &gt; 0, Herramientas_neumáticas1963[[#Headers],[Herramientas_neumáticas]],
    COUNTIF(Herramientas_de_medición2064[Herramientas_de_medición], B97) &gt; 0, Herramientas_de_medición2064[[#Headers],[Herramientas_de_medición]],
    COUNTIF(Herrramientas_mecánicas2165[Herramientas_mecánicas], B97) &gt; 0, Herrramientas_mecánicas2165[[#Headers],[Herramientas_mecánicas]],
    COUNTIF(AK97:AK103, B97) &gt; 0, Herramientas_hidráulicas2266[[#Headers],[Herramientas_hidráulicas]],
    COUNTIF(EPP_2367[SPCC], B97) &gt; 0, EPP_2367[[#Headers],[SPCC]],
   COUNTIF(Herramientas_de_izaje2468[Herramientas_de_izaje], B97) &gt; 0, Herramientas_de_izaje2468[[#Headers],[Herramientas_de_izaje]],
COUNTIF(Tabla162670[Equipos], B97) &gt; 0, Tabla162670[[#Headers],[Equipos]],
    TRUE, "Sin clasificación"
)</f>
        <v>Herramientas_eléctricas</v>
      </c>
      <c r="F97" s="15"/>
      <c r="G97" s="15" t="s">
        <v>572</v>
      </c>
      <c r="H97" s="47"/>
      <c r="I97" s="87"/>
      <c r="J97" s="78"/>
      <c r="K97" s="78"/>
      <c r="L97" s="78"/>
      <c r="M97" s="78"/>
      <c r="N97" t="s">
        <v>978</v>
      </c>
      <c r="O97" s="47"/>
      <c r="P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ZE-AM-TG-0023</v>
      </c>
      <c r="R97" s="15"/>
      <c r="T97" s="48"/>
    </row>
    <row r="98" spans="2:20" ht="28.8" x14ac:dyDescent="0.3">
      <c r="B98" t="s">
        <v>23</v>
      </c>
      <c r="C98" s="11" t="s">
        <v>178</v>
      </c>
      <c r="E98" s="11" t="str" cm="1">
        <f t="array" ref="E98">_xlfn.IFS(
    COUNTIF(Herramientas_eléctricas1862[Herramientas_eléctricas], B98) &gt; 0, Herramientas_eléctricas1862[[#Headers],[Herramientas_eléctricas]],
    COUNTIF(Herramientas_neumáticas1963[Herramientas_neumáticas], B98) &gt; 0, Herramientas_neumáticas1963[[#Headers],[Herramientas_neumáticas]],
    COUNTIF(Herramientas_de_medición2064[Herramientas_de_medición], B98) &gt; 0, Herramientas_de_medición2064[[#Headers],[Herramientas_de_medición]],
    COUNTIF(Herrramientas_mecánicas2165[Herramientas_mecánicas], B98) &gt; 0, Herrramientas_mecánicas2165[[#Headers],[Herramientas_mecánicas]],
    COUNTIF(AK98:AK104, B98) &gt; 0, Herramientas_hidráulicas2266[[#Headers],[Herramientas_hidráulicas]],
    COUNTIF(EPP_2367[SPCC], B98) &gt; 0, EPP_2367[[#Headers],[SPCC]],
   COUNTIF(Herramientas_de_izaje2468[Herramientas_de_izaje], B98) &gt; 0, Herramientas_de_izaje2468[[#Headers],[Herramientas_de_izaje]],
COUNTIF(Tabla162670[Equipos], B98) &gt; 0, Tabla162670[[#Headers],[Equipos]],
    TRUE, "Sin clasificación"
)</f>
        <v>Herramientas_eléctricas</v>
      </c>
      <c r="F98" s="15"/>
      <c r="G98" s="15" t="s">
        <v>611</v>
      </c>
      <c r="H98" s="47"/>
      <c r="I98" s="87"/>
      <c r="J98" s="78">
        <v>180</v>
      </c>
      <c r="K98" s="78"/>
      <c r="L98" s="78"/>
      <c r="M98" s="78"/>
      <c r="N98" t="s">
        <v>978</v>
      </c>
      <c r="O98" s="47"/>
      <c r="P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ZE-AM-TG-0024</v>
      </c>
      <c r="R98" s="15"/>
      <c r="T98" s="48"/>
    </row>
    <row r="99" spans="2:20" ht="28.8" x14ac:dyDescent="0.3">
      <c r="B99" t="s">
        <v>23</v>
      </c>
      <c r="C99" s="11" t="s">
        <v>178</v>
      </c>
      <c r="E99" s="11" t="str" cm="1">
        <f t="array" ref="E99">_xlfn.IFS(
    COUNTIF(Herramientas_eléctricas1862[Herramientas_eléctricas], B99) &gt; 0, Herramientas_eléctricas1862[[#Headers],[Herramientas_eléctricas]],
    COUNTIF(Herramientas_neumáticas1963[Herramientas_neumáticas], B99) &gt; 0, Herramientas_neumáticas1963[[#Headers],[Herramientas_neumáticas]],
    COUNTIF(Herramientas_de_medición2064[Herramientas_de_medición], B99) &gt; 0, Herramientas_de_medición2064[[#Headers],[Herramientas_de_medición]],
    COUNTIF(Herrramientas_mecánicas2165[Herramientas_mecánicas], B99) &gt; 0, Herrramientas_mecánicas2165[[#Headers],[Herramientas_mecánicas]],
    COUNTIF(AK99:AK105, B99) &gt; 0, Herramientas_hidráulicas2266[[#Headers],[Herramientas_hidráulicas]],
    COUNTIF(EPP_2367[SPCC], B99) &gt; 0, EPP_2367[[#Headers],[SPCC]],
   COUNTIF(Herramientas_de_izaje2468[Herramientas_de_izaje], B99) &gt; 0, Herramientas_de_izaje2468[[#Headers],[Herramientas_de_izaje]],
COUNTIF(Tabla162670[Equipos], B99) &gt; 0, Tabla162670[[#Headers],[Equipos]],
    TRUE, "Sin clasificación"
)</f>
        <v>Herramientas_eléctricas</v>
      </c>
      <c r="F99" s="15"/>
      <c r="G99" s="15" t="s">
        <v>572</v>
      </c>
      <c r="H99" s="47" t="s">
        <v>979</v>
      </c>
      <c r="I99" s="87">
        <v>8</v>
      </c>
      <c r="J99" s="78">
        <v>125</v>
      </c>
      <c r="K99" s="78"/>
      <c r="L99" s="78">
        <v>220</v>
      </c>
      <c r="M99" s="78">
        <v>11000</v>
      </c>
      <c r="N99" t="s">
        <v>980</v>
      </c>
      <c r="O99" s="47">
        <v>123000131</v>
      </c>
      <c r="P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ZE-AM-TG-0025</v>
      </c>
      <c r="R99" s="15"/>
      <c r="T99" s="48"/>
    </row>
    <row r="100" spans="2:20" ht="28.8" x14ac:dyDescent="0.3">
      <c r="B100" t="s">
        <v>23</v>
      </c>
      <c r="C100" s="11" t="s">
        <v>178</v>
      </c>
      <c r="E100" s="11" t="str" cm="1">
        <f t="array" ref="E100">_xlfn.IFS(
    COUNTIF(Herramientas_eléctricas1862[Herramientas_eléctricas], B100) &gt; 0, Herramientas_eléctricas1862[[#Headers],[Herramientas_eléctricas]],
    COUNTIF(Herramientas_neumáticas1963[Herramientas_neumáticas], B100) &gt; 0, Herramientas_neumáticas1963[[#Headers],[Herramientas_neumáticas]],
    COUNTIF(Herramientas_de_medición2064[Herramientas_de_medición], B100) &gt; 0, Herramientas_de_medición2064[[#Headers],[Herramientas_de_medición]],
    COUNTIF(Herrramientas_mecánicas2165[Herramientas_mecánicas], B100) &gt; 0, Herrramientas_mecánicas2165[[#Headers],[Herramientas_mecánicas]],
    COUNTIF(AK100:AK106, B100) &gt; 0, Herramientas_hidráulicas2266[[#Headers],[Herramientas_hidráulicas]],
    COUNTIF(EPP_2367[SPCC], B100) &gt; 0, EPP_2367[[#Headers],[SPCC]],
   COUNTIF(Herramientas_de_izaje2468[Herramientas_de_izaje], B100) &gt; 0, Herramientas_de_izaje2468[[#Headers],[Herramientas_de_izaje]],
COUNTIF(Tabla162670[Equipos], B100) &gt; 0, Tabla162670[[#Headers],[Equipos]],
    TRUE, "Sin clasificación"
)</f>
        <v>Herramientas_eléctricas</v>
      </c>
      <c r="F100" s="15"/>
      <c r="G100" s="15" t="s">
        <v>572</v>
      </c>
      <c r="H100" s="47" t="s">
        <v>984</v>
      </c>
      <c r="I100" s="87"/>
      <c r="J100" s="78" t="s">
        <v>985</v>
      </c>
      <c r="K100" s="78"/>
      <c r="L100" s="78"/>
      <c r="M100" s="78"/>
      <c r="N100" t="s">
        <v>804</v>
      </c>
      <c r="O100" s="47">
        <v>71997</v>
      </c>
      <c r="P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ZE-AM-TG-0026</v>
      </c>
      <c r="R100" s="15"/>
      <c r="T100" s="48"/>
    </row>
    <row r="101" spans="2:20" x14ac:dyDescent="0.3">
      <c r="B101" t="s">
        <v>23</v>
      </c>
      <c r="C101" s="11" t="s">
        <v>173</v>
      </c>
      <c r="E101" s="11" t="str" cm="1">
        <f t="array" ref="E101">_xlfn.IFS(
    COUNTIF(Herramientas_eléctricas1862[Herramientas_eléctricas], B101) &gt; 0, Herramientas_eléctricas1862[[#Headers],[Herramientas_eléctricas]],
    COUNTIF(Herramientas_neumáticas1963[Herramientas_neumáticas], B101) &gt; 0, Herramientas_neumáticas1963[[#Headers],[Herramientas_neumáticas]],
    COUNTIF(Herramientas_de_medición2064[Herramientas_de_medición], B101) &gt; 0, Herramientas_de_medición2064[[#Headers],[Herramientas_de_medición]],
    COUNTIF(Herrramientas_mecánicas2165[Herramientas_mecánicas], B101) &gt; 0, Herrramientas_mecánicas2165[[#Headers],[Herramientas_mecánicas]],
    COUNTIF(AK101:AK107, B101) &gt; 0, Herramientas_hidráulicas2266[[#Headers],[Herramientas_hidráulicas]],
    COUNTIF(EPP_2367[SPCC], B101) &gt; 0, EPP_2367[[#Headers],[SPCC]],
   COUNTIF(Herramientas_de_izaje2468[Herramientas_de_izaje], B101) &gt; 0, Herramientas_de_izaje2468[[#Headers],[Herramientas_de_izaje]],
COUNTIF(Tabla162670[Equipos], B101) &gt; 0, Tabla162670[[#Headers],[Equipos]],
    TRUE, "Sin clasificación"
)</f>
        <v>Herramientas_eléctricas</v>
      </c>
      <c r="F101" s="15"/>
      <c r="G101" s="15" t="s">
        <v>796</v>
      </c>
      <c r="H101" s="47" t="s">
        <v>1010</v>
      </c>
      <c r="I101" s="87"/>
      <c r="J101" s="78" t="s">
        <v>896</v>
      </c>
      <c r="K101" s="78"/>
      <c r="L101" s="78"/>
      <c r="M101" s="78">
        <v>11000</v>
      </c>
      <c r="N101" t="s">
        <v>1011</v>
      </c>
      <c r="O101" s="47"/>
      <c r="P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ZE-AM-FL-0019</v>
      </c>
      <c r="R101" s="15" t="s">
        <v>1009</v>
      </c>
      <c r="T101" s="48"/>
    </row>
    <row r="102" spans="2:20" x14ac:dyDescent="0.3">
      <c r="B102" t="s">
        <v>23</v>
      </c>
      <c r="C102" s="11" t="s">
        <v>173</v>
      </c>
      <c r="E102" s="11" t="str" cm="1">
        <f t="array" ref="E102">_xlfn.IFS(
    COUNTIF(Herramientas_eléctricas1862[Herramientas_eléctricas], B102) &gt; 0, Herramientas_eléctricas1862[[#Headers],[Herramientas_eléctricas]],
    COUNTIF(Herramientas_neumáticas1963[Herramientas_neumáticas], B102) &gt; 0, Herramientas_neumáticas1963[[#Headers],[Herramientas_neumáticas]],
    COUNTIF(Herramientas_de_medición2064[Herramientas_de_medición], B102) &gt; 0, Herramientas_de_medición2064[[#Headers],[Herramientas_de_medición]],
    COUNTIF(Herrramientas_mecánicas2165[Herramientas_mecánicas], B102) &gt; 0, Herrramientas_mecánicas2165[[#Headers],[Herramientas_mecánicas]],
    COUNTIF(AK102:AK108, B102) &gt; 0, Herramientas_hidráulicas2266[[#Headers],[Herramientas_hidráulicas]],
    COUNTIF(EPP_2367[SPCC], B102) &gt; 0, EPP_2367[[#Headers],[SPCC]],
   COUNTIF(Herramientas_de_izaje2468[Herramientas_de_izaje], B102) &gt; 0, Herramientas_de_izaje2468[[#Headers],[Herramientas_de_izaje]],
COUNTIF(Tabla162670[Equipos], B102) &gt; 0, Tabla162670[[#Headers],[Equipos]],
    TRUE, "Sin clasificación"
)</f>
        <v>Herramientas_eléctricas</v>
      </c>
      <c r="F102" s="15"/>
      <c r="G102" s="15" t="s">
        <v>572</v>
      </c>
      <c r="H102" s="47" t="s">
        <v>789</v>
      </c>
      <c r="I102" s="87"/>
      <c r="J102" s="78" t="s">
        <v>1013</v>
      </c>
      <c r="K102" s="78"/>
      <c r="L102" s="78"/>
      <c r="M102" s="78">
        <v>8500</v>
      </c>
      <c r="N102" t="s">
        <v>1012</v>
      </c>
      <c r="O102" s="47"/>
      <c r="P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ZE-AM-FL-0020</v>
      </c>
      <c r="R102" s="15" t="s">
        <v>1009</v>
      </c>
      <c r="T102" s="48"/>
    </row>
    <row r="103" spans="2:20" x14ac:dyDescent="0.3">
      <c r="B103" t="s">
        <v>23</v>
      </c>
      <c r="C103" s="11" t="s">
        <v>173</v>
      </c>
      <c r="E103" s="11" t="str" cm="1">
        <f t="array" ref="E103">_xlfn.IFS(
    COUNTIF(Herramientas_eléctricas1862[Herramientas_eléctricas], B103) &gt; 0, Herramientas_eléctricas1862[[#Headers],[Herramientas_eléctricas]],
    COUNTIF(Herramientas_neumáticas1963[Herramientas_neumáticas], B103) &gt; 0, Herramientas_neumáticas1963[[#Headers],[Herramientas_neumáticas]],
    COUNTIF(Herramientas_de_medición2064[Herramientas_de_medición], B103) &gt; 0, Herramientas_de_medición2064[[#Headers],[Herramientas_de_medición]],
    COUNTIF(Herrramientas_mecánicas2165[Herramientas_mecánicas], B103) &gt; 0, Herrramientas_mecánicas2165[[#Headers],[Herramientas_mecánicas]],
    COUNTIF(AK103:AK109, B103) &gt; 0, Herramientas_hidráulicas2266[[#Headers],[Herramientas_hidráulicas]],
    COUNTIF(EPP_2367[SPCC], B103) &gt; 0, EPP_2367[[#Headers],[SPCC]],
   COUNTIF(Herramientas_de_izaje2468[Herramientas_de_izaje], B103) &gt; 0, Herramientas_de_izaje2468[[#Headers],[Herramientas_de_izaje]],
COUNTIF(Tabla162670[Equipos], B103) &gt; 0, Tabla162670[[#Headers],[Equipos]],
    TRUE, "Sin clasificación"
)</f>
        <v>Herramientas_eléctricas</v>
      </c>
      <c r="F103" s="15"/>
      <c r="G103" s="15" t="s">
        <v>572</v>
      </c>
      <c r="H103" s="47" t="s">
        <v>1014</v>
      </c>
      <c r="I103" s="87"/>
      <c r="J103" s="78" t="s">
        <v>651</v>
      </c>
      <c r="K103" s="78"/>
      <c r="L103" s="78" t="s">
        <v>616</v>
      </c>
      <c r="M103" s="78">
        <v>11500</v>
      </c>
      <c r="N103" t="s">
        <v>1015</v>
      </c>
      <c r="O103" s="47">
        <v>526000798</v>
      </c>
      <c r="P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ZE-AM-FL-0021</v>
      </c>
      <c r="R103" s="15" t="s">
        <v>1009</v>
      </c>
      <c r="T103" s="48"/>
    </row>
    <row r="104" spans="2:20" ht="28.8" x14ac:dyDescent="0.3">
      <c r="B104" t="s">
        <v>23</v>
      </c>
      <c r="C104" s="11" t="s">
        <v>178</v>
      </c>
      <c r="E104" s="11" t="str" cm="1">
        <f t="array" ref="E104">_xlfn.IFS(
    COUNTIF(Herramientas_eléctricas1862[Herramientas_eléctricas], B104) &gt; 0, Herramientas_eléctricas1862[[#Headers],[Herramientas_eléctricas]],
    COUNTIF(Herramientas_neumáticas1963[Herramientas_neumáticas], B104) &gt; 0, Herramientas_neumáticas1963[[#Headers],[Herramientas_neumáticas]],
    COUNTIF(Herramientas_de_medición2064[Herramientas_de_medición], B104) &gt; 0, Herramientas_de_medición2064[[#Headers],[Herramientas_de_medición]],
    COUNTIF(Herrramientas_mecánicas2165[Herramientas_mecánicas], B104) &gt; 0, Herrramientas_mecánicas2165[[#Headers],[Herramientas_mecánicas]],
    COUNTIF(AK104:AK110, B104) &gt; 0, Herramientas_hidráulicas2266[[#Headers],[Herramientas_hidráulicas]],
    COUNTIF(EPP_2367[SPCC], B104) &gt; 0, EPP_2367[[#Headers],[SPCC]],
   COUNTIF(Herramientas_de_izaje2468[Herramientas_de_izaje], B104) &gt; 0, Herramientas_de_izaje2468[[#Headers],[Herramientas_de_izaje]],
COUNTIF(Tabla162670[Equipos], B104) &gt; 0, Tabla162670[[#Headers],[Equipos]],
    TRUE, "Sin clasificación"
)</f>
        <v>Herramientas_eléctricas</v>
      </c>
      <c r="F104" s="15"/>
      <c r="G104" s="15" t="s">
        <v>572</v>
      </c>
      <c r="H104" s="47" t="s">
        <v>789</v>
      </c>
      <c r="I104" s="87"/>
      <c r="J104" s="78"/>
      <c r="K104" s="78"/>
      <c r="L104" s="78"/>
      <c r="M104" s="78"/>
      <c r="N104" t="s">
        <v>1018</v>
      </c>
      <c r="O104" s="47"/>
      <c r="P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ZE-AM-TG-0027</v>
      </c>
      <c r="R104" s="15"/>
      <c r="T104" s="48"/>
    </row>
    <row r="105" spans="2:20" ht="28.8" x14ac:dyDescent="0.3">
      <c r="B105" t="s">
        <v>23</v>
      </c>
      <c r="C105" s="11" t="s">
        <v>178</v>
      </c>
      <c r="E105" s="11" t="str" cm="1">
        <f t="array" ref="E105">_xlfn.IFS(
    COUNTIF(Herramientas_eléctricas1862[Herramientas_eléctricas], B105) &gt; 0, Herramientas_eléctricas1862[[#Headers],[Herramientas_eléctricas]],
    COUNTIF(Herramientas_neumáticas1963[Herramientas_neumáticas], B105) &gt; 0, Herramientas_neumáticas1963[[#Headers],[Herramientas_neumáticas]],
    COUNTIF(Herramientas_de_medición2064[Herramientas_de_medición], B105) &gt; 0, Herramientas_de_medición2064[[#Headers],[Herramientas_de_medición]],
    COUNTIF(Herrramientas_mecánicas2165[Herramientas_mecánicas], B105) &gt; 0, Herrramientas_mecánicas2165[[#Headers],[Herramientas_mecánicas]],
    COUNTIF(AK105:AK111, B105) &gt; 0, Herramientas_hidráulicas2266[[#Headers],[Herramientas_hidráulicas]],
    COUNTIF(EPP_2367[SPCC], B105) &gt; 0, EPP_2367[[#Headers],[SPCC]],
   COUNTIF(Herramientas_de_izaje2468[Herramientas_de_izaje], B105) &gt; 0, Herramientas_de_izaje2468[[#Headers],[Herramientas_de_izaje]],
COUNTIF(Tabla162670[Equipos], B105) &gt; 0, Tabla162670[[#Headers],[Equipos]],
    TRUE, "Sin clasificación"
)</f>
        <v>Herramientas_eléctricas</v>
      </c>
      <c r="F105" s="15"/>
      <c r="G105" s="15" t="s">
        <v>611</v>
      </c>
      <c r="H105" s="47" t="s">
        <v>909</v>
      </c>
      <c r="I105" s="87">
        <v>12</v>
      </c>
      <c r="J105" s="78">
        <v>180</v>
      </c>
      <c r="K105" s="78">
        <v>2600</v>
      </c>
      <c r="L105" s="78" t="s">
        <v>605</v>
      </c>
      <c r="M105" s="78">
        <v>8500</v>
      </c>
      <c r="N105" t="s">
        <v>1018</v>
      </c>
      <c r="O105" s="47" t="s">
        <v>1016</v>
      </c>
      <c r="P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ZE-AM-TG-0028</v>
      </c>
      <c r="R105" s="15"/>
      <c r="T105" s="48"/>
    </row>
    <row r="106" spans="2:20" ht="28.8" x14ac:dyDescent="0.3">
      <c r="B106" t="s">
        <v>23</v>
      </c>
      <c r="C106" s="11" t="s">
        <v>178</v>
      </c>
      <c r="E106" s="11" t="str" cm="1">
        <f t="array" ref="E106">_xlfn.IFS(
    COUNTIF(Herramientas_eléctricas1862[Herramientas_eléctricas], B106) &gt; 0, Herramientas_eléctricas1862[[#Headers],[Herramientas_eléctricas]],
    COUNTIF(Herramientas_neumáticas1963[Herramientas_neumáticas], B106) &gt; 0, Herramientas_neumáticas1963[[#Headers],[Herramientas_neumáticas]],
    COUNTIF(Herramientas_de_medición2064[Herramientas_de_medición], B106) &gt; 0, Herramientas_de_medición2064[[#Headers],[Herramientas_de_medición]],
    COUNTIF(Herrramientas_mecánicas2165[Herramientas_mecánicas], B106) &gt; 0, Herrramientas_mecánicas2165[[#Headers],[Herramientas_mecánicas]],
    COUNTIF(AK106:AK112, B106) &gt; 0, Herramientas_hidráulicas2266[[#Headers],[Herramientas_hidráulicas]],
    COUNTIF(EPP_2367[SPCC], B106) &gt; 0, EPP_2367[[#Headers],[SPCC]],
   COUNTIF(Herramientas_de_izaje2468[Herramientas_de_izaje], B106) &gt; 0, Herramientas_de_izaje2468[[#Headers],[Herramientas_de_izaje]],
COUNTIF(Tabla162670[Equipos], B106) &gt; 0, Tabla162670[[#Headers],[Equipos]],
    TRUE, "Sin clasificación"
)</f>
        <v>Herramientas_eléctricas</v>
      </c>
      <c r="F106" s="15"/>
      <c r="G106" s="15" t="s">
        <v>572</v>
      </c>
      <c r="H106" s="47"/>
      <c r="I106" s="87"/>
      <c r="J106" s="78">
        <v>180</v>
      </c>
      <c r="K106" s="78"/>
      <c r="L106" s="78">
        <v>220</v>
      </c>
      <c r="M106" s="78">
        <v>8500</v>
      </c>
      <c r="N106" t="s">
        <v>1018</v>
      </c>
      <c r="O106" s="47" t="s">
        <v>1017</v>
      </c>
      <c r="P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ZE-AM-TG-0029</v>
      </c>
      <c r="R106" s="15"/>
      <c r="T106" s="48"/>
    </row>
    <row r="107" spans="2:20" ht="28.8" x14ac:dyDescent="0.3">
      <c r="B107" t="s">
        <v>23</v>
      </c>
      <c r="C107" s="11" t="s">
        <v>178</v>
      </c>
      <c r="E107" s="11" t="str" cm="1">
        <f t="array" ref="E107">_xlfn.IFS(
    COUNTIF(Herramientas_eléctricas1862[Herramientas_eléctricas], B107) &gt; 0, Herramientas_eléctricas1862[[#Headers],[Herramientas_eléctricas]],
    COUNTIF(Herramientas_neumáticas1963[Herramientas_neumáticas], B107) &gt; 0, Herramientas_neumáticas1963[[#Headers],[Herramientas_neumáticas]],
    COUNTIF(Herramientas_de_medición2064[Herramientas_de_medición], B107) &gt; 0, Herramientas_de_medición2064[[#Headers],[Herramientas_de_medición]],
    COUNTIF(Herrramientas_mecánicas2165[Herramientas_mecánicas], B107) &gt; 0, Herrramientas_mecánicas2165[[#Headers],[Herramientas_mecánicas]],
    COUNTIF(AK107:AK113, B107) &gt; 0, Herramientas_hidráulicas2266[[#Headers],[Herramientas_hidráulicas]],
    COUNTIF(EPP_2367[SPCC], B107) &gt; 0, EPP_2367[[#Headers],[SPCC]],
   COUNTIF(Herramientas_de_izaje2468[Herramientas_de_izaje], B107) &gt; 0, Herramientas_de_izaje2468[[#Headers],[Herramientas_de_izaje]],
COUNTIF(Tabla162670[Equipos], B107) &gt; 0, Tabla162670[[#Headers],[Equipos]],
    TRUE, "Sin clasificación"
)</f>
        <v>Herramientas_eléctricas</v>
      </c>
      <c r="F107" s="15"/>
      <c r="G107" s="15" t="s">
        <v>572</v>
      </c>
      <c r="H107" s="47" t="s">
        <v>752</v>
      </c>
      <c r="I107" s="87"/>
      <c r="J107" s="78">
        <v>125</v>
      </c>
      <c r="K107" s="78">
        <v>1800</v>
      </c>
      <c r="L107" s="78">
        <v>220</v>
      </c>
      <c r="M107" s="78">
        <v>12000</v>
      </c>
      <c r="N107" t="s">
        <v>1018</v>
      </c>
      <c r="O107" s="47">
        <v>321000229</v>
      </c>
      <c r="P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ZE-AM-TG-0030</v>
      </c>
      <c r="R107" s="15"/>
      <c r="T107" s="48"/>
    </row>
    <row r="108" spans="2:20" ht="28.8" x14ac:dyDescent="0.3">
      <c r="B108" t="s">
        <v>23</v>
      </c>
      <c r="C108" s="11" t="s">
        <v>178</v>
      </c>
      <c r="E108" s="11" t="str" cm="1">
        <f t="array" ref="E108">_xlfn.IFS(
    COUNTIF(Herramientas_eléctricas1862[Herramientas_eléctricas], B108) &gt; 0, Herramientas_eléctricas1862[[#Headers],[Herramientas_eléctricas]],
    COUNTIF(Herramientas_neumáticas1963[Herramientas_neumáticas], B108) &gt; 0, Herramientas_neumáticas1963[[#Headers],[Herramientas_neumáticas]],
    COUNTIF(Herramientas_de_medición2064[Herramientas_de_medición], B108) &gt; 0, Herramientas_de_medición2064[[#Headers],[Herramientas_de_medición]],
    COUNTIF(Herrramientas_mecánicas2165[Herramientas_mecánicas], B108) &gt; 0, Herrramientas_mecánicas2165[[#Headers],[Herramientas_mecánicas]],
    COUNTIF(AK108:AK114, B108) &gt; 0, Herramientas_hidráulicas2266[[#Headers],[Herramientas_hidráulicas]],
    COUNTIF(EPP_2367[SPCC], B108) &gt; 0, EPP_2367[[#Headers],[SPCC]],
   COUNTIF(Herramientas_de_izaje2468[Herramientas_de_izaje], B108) &gt; 0, Herramientas_de_izaje2468[[#Headers],[Herramientas_de_izaje]],
COUNTIF(Tabla162670[Equipos], B108) &gt; 0, Tabla162670[[#Headers],[Equipos]],
    TRUE, "Sin clasificación"
)</f>
        <v>Herramientas_eléctricas</v>
      </c>
      <c r="F108" s="15"/>
      <c r="G108" s="15" t="s">
        <v>572</v>
      </c>
      <c r="H108" s="47"/>
      <c r="I108" s="87"/>
      <c r="J108" s="78">
        <v>125</v>
      </c>
      <c r="K108" s="78"/>
      <c r="L108" s="78">
        <v>220</v>
      </c>
      <c r="M108" s="78">
        <v>12000</v>
      </c>
      <c r="N108" t="s">
        <v>1018</v>
      </c>
      <c r="O108" s="47"/>
      <c r="P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ZE-AM-TG-0031</v>
      </c>
      <c r="R108" s="15"/>
      <c r="T108" s="48"/>
    </row>
    <row r="109" spans="2:20" ht="28.8" x14ac:dyDescent="0.3">
      <c r="B109" t="s">
        <v>23</v>
      </c>
      <c r="C109" s="11" t="s">
        <v>178</v>
      </c>
      <c r="E109" s="11" t="str" cm="1">
        <f t="array" ref="E109">_xlfn.IFS(
    COUNTIF(Herramientas_eléctricas1862[Herramientas_eléctricas], B109) &gt; 0, Herramientas_eléctricas1862[[#Headers],[Herramientas_eléctricas]],
    COUNTIF(Herramientas_neumáticas1963[Herramientas_neumáticas], B109) &gt; 0, Herramientas_neumáticas1963[[#Headers],[Herramientas_neumáticas]],
    COUNTIF(Herramientas_de_medición2064[Herramientas_de_medición], B109) &gt; 0, Herramientas_de_medición2064[[#Headers],[Herramientas_de_medición]],
    COUNTIF(Herrramientas_mecánicas2165[Herramientas_mecánicas], B109) &gt; 0, Herrramientas_mecánicas2165[[#Headers],[Herramientas_mecánicas]],
    COUNTIF(AK109:AK115, B109) &gt; 0, Herramientas_hidráulicas2266[[#Headers],[Herramientas_hidráulicas]],
    COUNTIF(EPP_2367[SPCC], B109) &gt; 0, EPP_2367[[#Headers],[SPCC]],
   COUNTIF(Herramientas_de_izaje2468[Herramientas_de_izaje], B109) &gt; 0, Herramientas_de_izaje2468[[#Headers],[Herramientas_de_izaje]],
COUNTIF(Tabla162670[Equipos], B109) &gt; 0, Tabla162670[[#Headers],[Equipos]],
    TRUE, "Sin clasificación"
)</f>
        <v>Herramientas_eléctricas</v>
      </c>
      <c r="F109" s="15"/>
      <c r="G109" s="15" t="s">
        <v>572</v>
      </c>
      <c r="H109" s="47" t="s">
        <v>786</v>
      </c>
      <c r="I109" s="87"/>
      <c r="J109" s="78"/>
      <c r="K109" s="78"/>
      <c r="L109" s="78"/>
      <c r="M109" s="78"/>
      <c r="N109" t="s">
        <v>908</v>
      </c>
      <c r="O109" s="47"/>
      <c r="P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ZE-AM-TG-0032</v>
      </c>
      <c r="R109" s="15"/>
      <c r="T109" s="48"/>
    </row>
    <row r="110" spans="2:20" ht="28.8" x14ac:dyDescent="0.3">
      <c r="B110" t="s">
        <v>23</v>
      </c>
      <c r="C110" s="11" t="s">
        <v>178</v>
      </c>
      <c r="E110" s="11" t="str" cm="1">
        <f t="array" ref="E110">_xlfn.IFS(
    COUNTIF(Herramientas_eléctricas1862[Herramientas_eléctricas], B110) &gt; 0, Herramientas_eléctricas1862[[#Headers],[Herramientas_eléctricas]],
    COUNTIF(Herramientas_neumáticas1963[Herramientas_neumáticas], B110) &gt; 0, Herramientas_neumáticas1963[[#Headers],[Herramientas_neumáticas]],
    COUNTIF(Herramientas_de_medición2064[Herramientas_de_medición], B110) &gt; 0, Herramientas_de_medición2064[[#Headers],[Herramientas_de_medición]],
    COUNTIF(Herrramientas_mecánicas2165[Herramientas_mecánicas], B110) &gt; 0, Herrramientas_mecánicas2165[[#Headers],[Herramientas_mecánicas]],
    COUNTIF(AK110:AK116, B110) &gt; 0, Herramientas_hidráulicas2266[[#Headers],[Herramientas_hidráulicas]],
    COUNTIF(EPP_2367[SPCC], B110) &gt; 0, EPP_2367[[#Headers],[SPCC]],
   COUNTIF(Herramientas_de_izaje2468[Herramientas_de_izaje], B110) &gt; 0, Herramientas_de_izaje2468[[#Headers],[Herramientas_de_izaje]],
COUNTIF(Tabla162670[Equipos], B110) &gt; 0, Tabla162670[[#Headers],[Equipos]],
    TRUE, "Sin clasificación"
)</f>
        <v>Herramientas_eléctricas</v>
      </c>
      <c r="F110" s="15"/>
      <c r="G110" s="15" t="s">
        <v>611</v>
      </c>
      <c r="H110" s="47" t="s">
        <v>912</v>
      </c>
      <c r="I110" s="87">
        <v>3.8</v>
      </c>
      <c r="J110" s="78">
        <v>115</v>
      </c>
      <c r="K110" s="78">
        <v>840</v>
      </c>
      <c r="L110" s="78">
        <v>220</v>
      </c>
      <c r="M110" s="78">
        <v>11000</v>
      </c>
      <c r="N110" t="s">
        <v>964</v>
      </c>
      <c r="O110" s="47">
        <v>1081011</v>
      </c>
      <c r="P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ZE-AM-TG-0033</v>
      </c>
      <c r="R110" s="15"/>
      <c r="T110" s="48"/>
    </row>
    <row r="111" spans="2:20" ht="28.8" x14ac:dyDescent="0.3">
      <c r="B111" t="s">
        <v>23</v>
      </c>
      <c r="C111" s="11" t="s">
        <v>178</v>
      </c>
      <c r="E111" s="11" t="str" cm="1">
        <f t="array" ref="E111">_xlfn.IFS(
    COUNTIF(Herramientas_eléctricas1862[Herramientas_eléctricas], B111) &gt; 0, Herramientas_eléctricas1862[[#Headers],[Herramientas_eléctricas]],
    COUNTIF(Herramientas_neumáticas1963[Herramientas_neumáticas], B111) &gt; 0, Herramientas_neumáticas1963[[#Headers],[Herramientas_neumáticas]],
    COUNTIF(Herramientas_de_medición2064[Herramientas_de_medición], B111) &gt; 0, Herramientas_de_medición2064[[#Headers],[Herramientas_de_medición]],
    COUNTIF(Herrramientas_mecánicas2165[Herramientas_mecánicas], B111) &gt; 0, Herrramientas_mecánicas2165[[#Headers],[Herramientas_mecánicas]],
    COUNTIF(AK111:AK117, B111) &gt; 0, Herramientas_hidráulicas2266[[#Headers],[Herramientas_hidráulicas]],
    COUNTIF(EPP_2367[SPCC], B111) &gt; 0, EPP_2367[[#Headers],[SPCC]],
   COUNTIF(Herramientas_de_izaje2468[Herramientas_de_izaje], B111) &gt; 0, Herramientas_de_izaje2468[[#Headers],[Herramientas_de_izaje]],
COUNTIF(Tabla162670[Equipos], B111) &gt; 0, Tabla162670[[#Headers],[Equipos]],
    TRUE, "Sin clasificación"
)</f>
        <v>Herramientas_eléctricas</v>
      </c>
      <c r="F111" s="15"/>
      <c r="G111" s="15" t="s">
        <v>611</v>
      </c>
      <c r="H111" s="47" t="s">
        <v>913</v>
      </c>
      <c r="I111" s="87">
        <v>6.4</v>
      </c>
      <c r="J111" s="78">
        <v>115</v>
      </c>
      <c r="K111" s="78">
        <v>1400</v>
      </c>
      <c r="L111" s="78" t="s">
        <v>616</v>
      </c>
      <c r="M111" s="78">
        <v>12000</v>
      </c>
      <c r="N111" t="s">
        <v>964</v>
      </c>
      <c r="O111" s="47" t="s">
        <v>1020</v>
      </c>
      <c r="P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ZE-AM-TG-0034</v>
      </c>
      <c r="R111" s="15"/>
      <c r="T111" s="48"/>
    </row>
    <row r="112" spans="2:20" ht="28.8" x14ac:dyDescent="0.3">
      <c r="B112" t="s">
        <v>23</v>
      </c>
      <c r="C112" s="11" t="s">
        <v>178</v>
      </c>
      <c r="E112" s="11" t="str" cm="1">
        <f t="array" ref="E112">_xlfn.IFS(
    COUNTIF(Herramientas_eléctricas1862[Herramientas_eléctricas], B112) &gt; 0, Herramientas_eléctricas1862[[#Headers],[Herramientas_eléctricas]],
    COUNTIF(Herramientas_neumáticas1963[Herramientas_neumáticas], B112) &gt; 0, Herramientas_neumáticas1963[[#Headers],[Herramientas_neumáticas]],
    COUNTIF(Herramientas_de_medición2064[Herramientas_de_medición], B112) &gt; 0, Herramientas_de_medición2064[[#Headers],[Herramientas_de_medición]],
    COUNTIF(Herrramientas_mecánicas2165[Herramientas_mecánicas], B112) &gt; 0, Herrramientas_mecánicas2165[[#Headers],[Herramientas_mecánicas]],
    COUNTIF(AK112:AK118, B112) &gt; 0, Herramientas_hidráulicas2266[[#Headers],[Herramientas_hidráulicas]],
    COUNTIF(EPP_2367[SPCC], B112) &gt; 0, EPP_2367[[#Headers],[SPCC]],
   COUNTIF(Herramientas_de_izaje2468[Herramientas_de_izaje], B112) &gt; 0, Herramientas_de_izaje2468[[#Headers],[Herramientas_de_izaje]],
COUNTIF(Tabla162670[Equipos], B112) &gt; 0, Tabla162670[[#Headers],[Equipos]],
    TRUE, "Sin clasificación"
)</f>
        <v>Herramientas_eléctricas</v>
      </c>
      <c r="F112" s="15"/>
      <c r="G112" s="15" t="s">
        <v>572</v>
      </c>
      <c r="H112" s="47" t="s">
        <v>789</v>
      </c>
      <c r="I112" s="87">
        <v>13.4</v>
      </c>
      <c r="J112" s="78">
        <v>180</v>
      </c>
      <c r="K112" s="78">
        <v>2800</v>
      </c>
      <c r="L112" s="78">
        <v>220</v>
      </c>
      <c r="M112" s="78">
        <v>8300</v>
      </c>
      <c r="N112" t="s">
        <v>964</v>
      </c>
      <c r="O112" s="47">
        <v>325200985</v>
      </c>
      <c r="P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ZE-AM-TG-0035</v>
      </c>
      <c r="R112" s="15"/>
      <c r="T112" s="48"/>
    </row>
    <row r="113" spans="2:20" ht="28.8" x14ac:dyDescent="0.3">
      <c r="B113" t="s">
        <v>23</v>
      </c>
      <c r="C113" s="11" t="s">
        <v>178</v>
      </c>
      <c r="E113" s="11" t="str" cm="1">
        <f t="array" ref="E113">_xlfn.IFS(
    COUNTIF(Herramientas_eléctricas1862[Herramientas_eléctricas], B113) &gt; 0, Herramientas_eléctricas1862[[#Headers],[Herramientas_eléctricas]],
    COUNTIF(Herramientas_neumáticas1963[Herramientas_neumáticas], B113) &gt; 0, Herramientas_neumáticas1963[[#Headers],[Herramientas_neumáticas]],
    COUNTIF(Herramientas_de_medición2064[Herramientas_de_medición], B113) &gt; 0, Herramientas_de_medición2064[[#Headers],[Herramientas_de_medición]],
    COUNTIF(Herrramientas_mecánicas2165[Herramientas_mecánicas], B113) &gt; 0, Herrramientas_mecánicas2165[[#Headers],[Herramientas_mecánicas]],
    COUNTIF(AK113:AK119, B113) &gt; 0, Herramientas_hidráulicas2266[[#Headers],[Herramientas_hidráulicas]],
    COUNTIF(EPP_2367[SPCC], B113) &gt; 0, EPP_2367[[#Headers],[SPCC]],
   COUNTIF(Herramientas_de_izaje2468[Herramientas_de_izaje], B113) &gt; 0, Herramientas_de_izaje2468[[#Headers],[Herramientas_de_izaje]],
COUNTIF(Tabla162670[Equipos], B113) &gt; 0, Tabla162670[[#Headers],[Equipos]],
    TRUE, "Sin clasificación"
)</f>
        <v>Herramientas_eléctricas</v>
      </c>
      <c r="F113" s="15"/>
      <c r="G113" s="15" t="s">
        <v>611</v>
      </c>
      <c r="H113" s="47" t="s">
        <v>1021</v>
      </c>
      <c r="I113" s="87">
        <v>12</v>
      </c>
      <c r="J113" s="78">
        <v>180</v>
      </c>
      <c r="K113" s="78">
        <v>2600</v>
      </c>
      <c r="L113" s="78" t="s">
        <v>605</v>
      </c>
      <c r="M113" s="78">
        <v>8500</v>
      </c>
      <c r="N113" t="s">
        <v>942</v>
      </c>
      <c r="O113" s="47" t="s">
        <v>1022</v>
      </c>
      <c r="P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ZE-AM-TG-0036</v>
      </c>
      <c r="R113" s="15"/>
      <c r="T113" s="48"/>
    </row>
    <row r="114" spans="2:20" ht="28.8" x14ac:dyDescent="0.3">
      <c r="B114" t="s">
        <v>23</v>
      </c>
      <c r="C114" s="11" t="s">
        <v>178</v>
      </c>
      <c r="E114" s="11" t="str" cm="1">
        <f t="array" ref="E114">_xlfn.IFS(
    COUNTIF(Herramientas_eléctricas1862[Herramientas_eléctricas], B114) &gt; 0, Herramientas_eléctricas1862[[#Headers],[Herramientas_eléctricas]],
    COUNTIF(Herramientas_neumáticas1963[Herramientas_neumáticas], B114) &gt; 0, Herramientas_neumáticas1963[[#Headers],[Herramientas_neumáticas]],
    COUNTIF(Herramientas_de_medición2064[Herramientas_de_medición], B114) &gt; 0, Herramientas_de_medición2064[[#Headers],[Herramientas_de_medición]],
    COUNTIF(Herrramientas_mecánicas2165[Herramientas_mecánicas], B114) &gt; 0, Herrramientas_mecánicas2165[[#Headers],[Herramientas_mecánicas]],
    COUNTIF(AK114:AK120, B114) &gt; 0, Herramientas_hidráulicas2266[[#Headers],[Herramientas_hidráulicas]],
    COUNTIF(EPP_2367[SPCC], B114) &gt; 0, EPP_2367[[#Headers],[SPCC]],
   COUNTIF(Herramientas_de_izaje2468[Herramientas_de_izaje], B114) &gt; 0, Herramientas_de_izaje2468[[#Headers],[Herramientas_de_izaje]],
COUNTIF(Tabla162670[Equipos], B114) &gt; 0, Tabla162670[[#Headers],[Equipos]],
    TRUE, "Sin clasificación"
)</f>
        <v>Herramientas_eléctricas</v>
      </c>
      <c r="F114" s="15"/>
      <c r="G114" s="15" t="s">
        <v>572</v>
      </c>
      <c r="H114" s="47" t="s">
        <v>1023</v>
      </c>
      <c r="I114" s="87"/>
      <c r="J114" s="78"/>
      <c r="K114" s="78"/>
      <c r="L114" s="78"/>
      <c r="M114" s="78"/>
      <c r="N114" t="s">
        <v>942</v>
      </c>
      <c r="O114" s="47"/>
      <c r="P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ZE-AM-TG-0037</v>
      </c>
      <c r="R114" s="15"/>
      <c r="T114" s="48"/>
    </row>
    <row r="115" spans="2:20" ht="28.8" x14ac:dyDescent="0.3">
      <c r="B115" t="s">
        <v>23</v>
      </c>
      <c r="C115" s="11" t="s">
        <v>178</v>
      </c>
      <c r="E115" s="11" t="str" cm="1">
        <f t="array" ref="E115">_xlfn.IFS(
    COUNTIF(Herramientas_eléctricas1862[Herramientas_eléctricas], B115) &gt; 0, Herramientas_eléctricas1862[[#Headers],[Herramientas_eléctricas]],
    COUNTIF(Herramientas_neumáticas1963[Herramientas_neumáticas], B115) &gt; 0, Herramientas_neumáticas1963[[#Headers],[Herramientas_neumáticas]],
    COUNTIF(Herramientas_de_medición2064[Herramientas_de_medición], B115) &gt; 0, Herramientas_de_medición2064[[#Headers],[Herramientas_de_medición]],
    COUNTIF(Herrramientas_mecánicas2165[Herramientas_mecánicas], B115) &gt; 0, Herrramientas_mecánicas2165[[#Headers],[Herramientas_mecánicas]],
    COUNTIF(AK115:AK121, B115) &gt; 0, Herramientas_hidráulicas2266[[#Headers],[Herramientas_hidráulicas]],
    COUNTIF(EPP_2367[SPCC], B115) &gt; 0, EPP_2367[[#Headers],[SPCC]],
   COUNTIF(Herramientas_de_izaje2468[Herramientas_de_izaje], B115) &gt; 0, Herramientas_de_izaje2468[[#Headers],[Herramientas_de_izaje]],
COUNTIF(Tabla162670[Equipos], B115) &gt; 0, Tabla162670[[#Headers],[Equipos]],
    TRUE, "Sin clasificación"
)</f>
        <v>Herramientas_eléctricas</v>
      </c>
      <c r="F115" s="15"/>
      <c r="G115" s="15" t="s">
        <v>572</v>
      </c>
      <c r="H115" s="47" t="s">
        <v>1024</v>
      </c>
      <c r="I115" s="87"/>
      <c r="J115" s="78">
        <v>125</v>
      </c>
      <c r="K115" s="78">
        <v>1700</v>
      </c>
      <c r="L115" s="78" t="s">
        <v>616</v>
      </c>
      <c r="M115" s="78">
        <v>11500</v>
      </c>
      <c r="N115" t="s">
        <v>942</v>
      </c>
      <c r="O115" s="47">
        <v>123000165</v>
      </c>
      <c r="P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ZE-AM-TG-0038</v>
      </c>
      <c r="R115" s="15"/>
      <c r="T115" s="48"/>
    </row>
    <row r="116" spans="2:20" x14ac:dyDescent="0.3">
      <c r="B116" t="s">
        <v>23</v>
      </c>
      <c r="C116" s="11" t="s">
        <v>173</v>
      </c>
      <c r="E116" s="11" t="str" cm="1">
        <f t="array" ref="E116">_xlfn.IFS(
    COUNTIF(Herramientas_eléctricas1862[Herramientas_eléctricas], B116) &gt; 0, Herramientas_eléctricas1862[[#Headers],[Herramientas_eléctricas]],
    COUNTIF(Herramientas_neumáticas1963[Herramientas_neumáticas], B116) &gt; 0, Herramientas_neumáticas1963[[#Headers],[Herramientas_neumáticas]],
    COUNTIF(Herramientas_de_medición2064[Herramientas_de_medición], B116) &gt; 0, Herramientas_de_medición2064[[#Headers],[Herramientas_de_medición]],
    COUNTIF(Herrramientas_mecánicas2165[Herramientas_mecánicas], B116) &gt; 0, Herrramientas_mecánicas2165[[#Headers],[Herramientas_mecánicas]],
    COUNTIF(AK116:AK122, B116) &gt; 0, Herramientas_hidráulicas2266[[#Headers],[Herramientas_hidráulicas]],
    COUNTIF(EPP_2367[SPCC], B116) &gt; 0, EPP_2367[[#Headers],[SPCC]],
   COUNTIF(Herramientas_de_izaje2468[Herramientas_de_izaje], B116) &gt; 0, Herramientas_de_izaje2468[[#Headers],[Herramientas_de_izaje]],
COUNTIF(Tabla162670[Equipos], B116) &gt; 0, Tabla162670[[#Headers],[Equipos]],
    TRUE, "Sin clasificación"
)</f>
        <v>Herramientas_eléctricas</v>
      </c>
      <c r="F116" s="15"/>
      <c r="G116" s="15" t="s">
        <v>572</v>
      </c>
      <c r="H116" s="47" t="s">
        <v>1027</v>
      </c>
      <c r="I116" s="87"/>
      <c r="J116" s="78">
        <v>125</v>
      </c>
      <c r="K116" s="78">
        <v>1700</v>
      </c>
      <c r="L116" s="78" t="s">
        <v>616</v>
      </c>
      <c r="M116" s="78">
        <v>11500</v>
      </c>
      <c r="O116" s="47">
        <v>526000843</v>
      </c>
      <c r="P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ZE-AM-FL-0022</v>
      </c>
      <c r="R116" s="15" t="s">
        <v>1028</v>
      </c>
      <c r="T116" s="48"/>
    </row>
    <row r="117" spans="2:20" x14ac:dyDescent="0.3">
      <c r="B117" t="s">
        <v>23</v>
      </c>
      <c r="C117" s="11" t="s">
        <v>173</v>
      </c>
      <c r="E117" s="11" t="str" cm="1">
        <f t="array" ref="E117">_xlfn.IFS(
    COUNTIF(Herramientas_eléctricas1862[Herramientas_eléctricas], B117) &gt; 0, Herramientas_eléctricas1862[[#Headers],[Herramientas_eléctricas]],
    COUNTIF(Herramientas_neumáticas1963[Herramientas_neumáticas], B117) &gt; 0, Herramientas_neumáticas1963[[#Headers],[Herramientas_neumáticas]],
    COUNTIF(Herramientas_de_medición2064[Herramientas_de_medición], B117) &gt; 0, Herramientas_de_medición2064[[#Headers],[Herramientas_de_medición]],
    COUNTIF(Herrramientas_mecánicas2165[Herramientas_mecánicas], B117) &gt; 0, Herrramientas_mecánicas2165[[#Headers],[Herramientas_mecánicas]],
    COUNTIF(AK117:AK123, B117) &gt; 0, Herramientas_hidráulicas2266[[#Headers],[Herramientas_hidráulicas]],
    COUNTIF(EPP_2367[SPCC], B117) &gt; 0, EPP_2367[[#Headers],[SPCC]],
   COUNTIF(Herramientas_de_izaje2468[Herramientas_de_izaje], B117) &gt; 0, Herramientas_de_izaje2468[[#Headers],[Herramientas_de_izaje]],
COUNTIF(Tabla162670[Equipos], B117) &gt; 0, Tabla162670[[#Headers],[Equipos]],
    TRUE, "Sin clasificación"
)</f>
        <v>Herramientas_eléctricas</v>
      </c>
      <c r="F117" s="15"/>
      <c r="G117" s="15" t="s">
        <v>572</v>
      </c>
      <c r="H117" s="47" t="s">
        <v>806</v>
      </c>
      <c r="I117" s="87"/>
      <c r="J117" s="78"/>
      <c r="K117" s="78"/>
      <c r="L117" s="78"/>
      <c r="M117" s="78"/>
      <c r="O117" s="47"/>
      <c r="P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ZE-AM-FL-0023</v>
      </c>
      <c r="R117" s="15" t="s">
        <v>1029</v>
      </c>
      <c r="T117" s="48"/>
    </row>
    <row r="118" spans="2:20" x14ac:dyDescent="0.3">
      <c r="C118" s="11"/>
      <c r="E118" s="11" t="str" cm="1">
        <f t="array" ref="E118">_xlfn.IFS(
    COUNTIF(Herramientas_eléctricas1862[Herramientas_eléctricas], B118) &gt; 0, Herramientas_eléctricas1862[[#Headers],[Herramientas_eléctricas]],
    COUNTIF(Herramientas_neumáticas1963[Herramientas_neumáticas], B118) &gt; 0, Herramientas_neumáticas1963[[#Headers],[Herramientas_neumáticas]],
    COUNTIF(Herramientas_de_medición2064[Herramientas_de_medición], B118) &gt; 0, Herramientas_de_medición2064[[#Headers],[Herramientas_de_medición]],
    COUNTIF(Herrramientas_mecánicas2165[Herramientas_mecánicas], B118) &gt; 0, Herrramientas_mecánicas2165[[#Headers],[Herramientas_mecánicas]],
    COUNTIF(AK118:AK124, B118) &gt; 0, Herramientas_hidráulicas2266[[#Headers],[Herramientas_hidráulicas]],
    COUNTIF(EPP_2367[SPCC], B118) &gt; 0, EPP_2367[[#Headers],[SPCC]],
   COUNTIF(Herramientas_de_izaje2468[Herramientas_de_izaje], B118) &gt; 0, Herramientas_de_izaje2468[[#Headers],[Herramientas_de_izaje]],
COUNTIF(Tabla162670[Equipos], B118) &gt; 0, Tabla162670[[#Headers],[Equipos]],
    TRUE, "Sin clasificación"
)</f>
        <v>Sin clasificación</v>
      </c>
      <c r="F118" s="15"/>
      <c r="G118" s="15"/>
      <c r="H118" s="47"/>
      <c r="I118" s="87"/>
      <c r="J118" s="78"/>
      <c r="K118" s="78"/>
      <c r="L118" s="78"/>
      <c r="M118" s="78"/>
      <c r="O118" s="47"/>
      <c r="P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-SinArea-0000</v>
      </c>
      <c r="R118" s="15"/>
      <c r="T118" s="48"/>
    </row>
    <row r="119" spans="2:20" x14ac:dyDescent="0.3">
      <c r="C119" s="11"/>
      <c r="E119" s="11" t="str" cm="1">
        <f t="array" ref="E119">_xlfn.IFS(
    COUNTIF(Herramientas_eléctricas1862[Herramientas_eléctricas], B119) &gt; 0, Herramientas_eléctricas1862[[#Headers],[Herramientas_eléctricas]],
    COUNTIF(Herramientas_neumáticas1963[Herramientas_neumáticas], B119) &gt; 0, Herramientas_neumáticas1963[[#Headers],[Herramientas_neumáticas]],
    COUNTIF(Herramientas_de_medición2064[Herramientas_de_medición], B119) &gt; 0, Herramientas_de_medición2064[[#Headers],[Herramientas_de_medición]],
    COUNTIF(Herrramientas_mecánicas2165[Herramientas_mecánicas], B119) &gt; 0, Herrramientas_mecánicas2165[[#Headers],[Herramientas_mecánicas]],
    COUNTIF(AK119:AK125, B119) &gt; 0, Herramientas_hidráulicas2266[[#Headers],[Herramientas_hidráulicas]],
    COUNTIF(EPP_2367[SPCC], B119) &gt; 0, EPP_2367[[#Headers],[SPCC]],
   COUNTIF(Herramientas_de_izaje2468[Herramientas_de_izaje], B119) &gt; 0, Herramientas_de_izaje2468[[#Headers],[Herramientas_de_izaje]],
COUNTIF(Tabla162670[Equipos], B119) &gt; 0, Tabla162670[[#Headers],[Equipos]],
    TRUE, "Sin clasificación"
)</f>
        <v>Sin clasificación</v>
      </c>
      <c r="F119" s="15"/>
      <c r="G119" s="15"/>
      <c r="H119" s="47"/>
      <c r="I119" s="87"/>
      <c r="J119" s="78"/>
      <c r="K119" s="78"/>
      <c r="L119" s="78"/>
      <c r="M119" s="78"/>
      <c r="O119" s="47"/>
      <c r="P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-SinArea-0000</v>
      </c>
      <c r="R119" s="15"/>
      <c r="T119" s="48"/>
    </row>
    <row r="120" spans="2:20" x14ac:dyDescent="0.3">
      <c r="C120" s="11"/>
      <c r="E120" s="11" t="str" cm="1">
        <f t="array" ref="E120">_xlfn.IFS(
    COUNTIF(Herramientas_eléctricas1862[Herramientas_eléctricas], B120) &gt; 0, Herramientas_eléctricas1862[[#Headers],[Herramientas_eléctricas]],
    COUNTIF(Herramientas_neumáticas1963[Herramientas_neumáticas], B120) &gt; 0, Herramientas_neumáticas1963[[#Headers],[Herramientas_neumáticas]],
    COUNTIF(Herramientas_de_medición2064[Herramientas_de_medición], B120) &gt; 0, Herramientas_de_medición2064[[#Headers],[Herramientas_de_medición]],
    COUNTIF(Herrramientas_mecánicas2165[Herramientas_mecánicas], B120) &gt; 0, Herrramientas_mecánicas2165[[#Headers],[Herramientas_mecánicas]],
    COUNTIF(AK120:AK126, B120) &gt; 0, Herramientas_hidráulicas2266[[#Headers],[Herramientas_hidráulicas]],
    COUNTIF(EPP_2367[SPCC], B120) &gt; 0, EPP_2367[[#Headers],[SPCC]],
   COUNTIF(Herramientas_de_izaje2468[Herramientas_de_izaje], B120) &gt; 0, Herramientas_de_izaje2468[[#Headers],[Herramientas_de_izaje]],
COUNTIF(Tabla162670[Equipos], B120) &gt; 0, Tabla162670[[#Headers],[Equipos]],
    TRUE, "Sin clasificación"
)</f>
        <v>Sin clasificación</v>
      </c>
      <c r="F120" s="15"/>
      <c r="G120" s="15"/>
      <c r="H120" s="47"/>
      <c r="I120" s="87"/>
      <c r="J120" s="78"/>
      <c r="K120" s="78"/>
      <c r="L120" s="78"/>
      <c r="M120" s="78"/>
      <c r="O120" s="47"/>
      <c r="P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-SinArea-0000</v>
      </c>
      <c r="R120" s="15"/>
      <c r="T120" s="48"/>
    </row>
    <row r="121" spans="2:20" x14ac:dyDescent="0.3">
      <c r="C121" s="11"/>
      <c r="E121" s="11" t="str" cm="1">
        <f t="array" ref="E121">_xlfn.IFS(
    COUNTIF(Herramientas_eléctricas1862[Herramientas_eléctricas], B121) &gt; 0, Herramientas_eléctricas1862[[#Headers],[Herramientas_eléctricas]],
    COUNTIF(Herramientas_neumáticas1963[Herramientas_neumáticas], B121) &gt; 0, Herramientas_neumáticas1963[[#Headers],[Herramientas_neumáticas]],
    COUNTIF(Herramientas_de_medición2064[Herramientas_de_medición], B121) &gt; 0, Herramientas_de_medición2064[[#Headers],[Herramientas_de_medición]],
    COUNTIF(Herrramientas_mecánicas2165[Herramientas_mecánicas], B121) &gt; 0, Herrramientas_mecánicas2165[[#Headers],[Herramientas_mecánicas]],
    COUNTIF(AK121:AK127, B121) &gt; 0, Herramientas_hidráulicas2266[[#Headers],[Herramientas_hidráulicas]],
    COUNTIF(EPP_2367[SPCC], B121) &gt; 0, EPP_2367[[#Headers],[SPCC]],
   COUNTIF(Herramientas_de_izaje2468[Herramientas_de_izaje], B121) &gt; 0, Herramientas_de_izaje2468[[#Headers],[Herramientas_de_izaje]],
COUNTIF(Tabla162670[Equipos], B121) &gt; 0, Tabla162670[[#Headers],[Equipos]],
    TRUE, "Sin clasificación"
)</f>
        <v>Sin clasificación</v>
      </c>
      <c r="F121" s="15"/>
      <c r="G121" s="15"/>
      <c r="H121" s="47"/>
      <c r="I121" s="87"/>
      <c r="J121" s="78"/>
      <c r="K121" s="78"/>
      <c r="L121" s="78"/>
      <c r="M121" s="78"/>
      <c r="O121" s="47"/>
      <c r="P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-SinArea-0000</v>
      </c>
      <c r="R121" s="15"/>
      <c r="T121" s="48"/>
    </row>
    <row r="122" spans="2:20" x14ac:dyDescent="0.3">
      <c r="C122" s="11"/>
      <c r="E122" s="11" t="str" cm="1">
        <f t="array" ref="E122">_xlfn.IFS(
    COUNTIF(Herramientas_eléctricas1862[Herramientas_eléctricas], B122) &gt; 0, Herramientas_eléctricas1862[[#Headers],[Herramientas_eléctricas]],
    COUNTIF(Herramientas_neumáticas1963[Herramientas_neumáticas], B122) &gt; 0, Herramientas_neumáticas1963[[#Headers],[Herramientas_neumáticas]],
    COUNTIF(Herramientas_de_medición2064[Herramientas_de_medición], B122) &gt; 0, Herramientas_de_medición2064[[#Headers],[Herramientas_de_medición]],
    COUNTIF(Herrramientas_mecánicas2165[Herramientas_mecánicas], B122) &gt; 0, Herrramientas_mecánicas2165[[#Headers],[Herramientas_mecánicas]],
    COUNTIF(AK122:AK128, B122) &gt; 0, Herramientas_hidráulicas2266[[#Headers],[Herramientas_hidráulicas]],
    COUNTIF(EPP_2367[SPCC], B122) &gt; 0, EPP_2367[[#Headers],[SPCC]],
   COUNTIF(Herramientas_de_izaje2468[Herramientas_de_izaje], B122) &gt; 0, Herramientas_de_izaje2468[[#Headers],[Herramientas_de_izaje]],
COUNTIF(Tabla162670[Equipos], B122) &gt; 0, Tabla162670[[#Headers],[Equipos]],
    TRUE, "Sin clasificación"
)</f>
        <v>Sin clasificación</v>
      </c>
      <c r="F122" s="15"/>
      <c r="G122" s="15"/>
      <c r="H122" s="47"/>
      <c r="I122" s="87"/>
      <c r="J122" s="78"/>
      <c r="K122" s="78"/>
      <c r="L122" s="78"/>
      <c r="M122" s="78"/>
      <c r="O122" s="47"/>
      <c r="P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-SinArea-0000</v>
      </c>
      <c r="R122" s="15"/>
      <c r="T122" s="48"/>
    </row>
    <row r="123" spans="2:20" x14ac:dyDescent="0.3">
      <c r="C123" s="11"/>
      <c r="E123" s="11" t="str" cm="1">
        <f t="array" ref="E123">_xlfn.IFS(
    COUNTIF(Herramientas_eléctricas1862[Herramientas_eléctricas], B123) &gt; 0, Herramientas_eléctricas1862[[#Headers],[Herramientas_eléctricas]],
    COUNTIF(Herramientas_neumáticas1963[Herramientas_neumáticas], B123) &gt; 0, Herramientas_neumáticas1963[[#Headers],[Herramientas_neumáticas]],
    COUNTIF(Herramientas_de_medición2064[Herramientas_de_medición], B123) &gt; 0, Herramientas_de_medición2064[[#Headers],[Herramientas_de_medición]],
    COUNTIF(Herrramientas_mecánicas2165[Herramientas_mecánicas], B123) &gt; 0, Herrramientas_mecánicas2165[[#Headers],[Herramientas_mecánicas]],
    COUNTIF(AK123:AK129, B123) &gt; 0, Herramientas_hidráulicas2266[[#Headers],[Herramientas_hidráulicas]],
    COUNTIF(EPP_2367[SPCC], B123) &gt; 0, EPP_2367[[#Headers],[SPCC]],
   COUNTIF(Herramientas_de_izaje2468[Herramientas_de_izaje], B123) &gt; 0, Herramientas_de_izaje2468[[#Headers],[Herramientas_de_izaje]],
COUNTIF(Tabla162670[Equipos], B123) &gt; 0, Tabla162670[[#Headers],[Equipos]],
    TRUE, "Sin clasificación"
)</f>
        <v>Sin clasificación</v>
      </c>
      <c r="F123" s="15"/>
      <c r="G123" s="15"/>
      <c r="H123" s="47"/>
      <c r="I123" s="87"/>
      <c r="J123" s="78"/>
      <c r="K123" s="78"/>
      <c r="L123" s="78"/>
      <c r="M123" s="78"/>
      <c r="O123" s="47"/>
      <c r="P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-SinArea-0000</v>
      </c>
      <c r="R123" s="15"/>
      <c r="T123" s="48"/>
    </row>
    <row r="124" spans="2:20" x14ac:dyDescent="0.3">
      <c r="C124" s="11"/>
      <c r="E124" s="11" t="str" cm="1">
        <f t="array" ref="E124">_xlfn.IFS(
    COUNTIF(Herramientas_eléctricas1862[Herramientas_eléctricas], B124) &gt; 0, Herramientas_eléctricas1862[[#Headers],[Herramientas_eléctricas]],
    COUNTIF(Herramientas_neumáticas1963[Herramientas_neumáticas], B124) &gt; 0, Herramientas_neumáticas1963[[#Headers],[Herramientas_neumáticas]],
    COUNTIF(Herramientas_de_medición2064[Herramientas_de_medición], B124) &gt; 0, Herramientas_de_medición2064[[#Headers],[Herramientas_de_medición]],
    COUNTIF(Herrramientas_mecánicas2165[Herramientas_mecánicas], B124) &gt; 0, Herrramientas_mecánicas2165[[#Headers],[Herramientas_mecánicas]],
    COUNTIF(AK124:AK130, B124) &gt; 0, Herramientas_hidráulicas2266[[#Headers],[Herramientas_hidráulicas]],
    COUNTIF(EPP_2367[SPCC], B124) &gt; 0, EPP_2367[[#Headers],[SPCC]],
   COUNTIF(Herramientas_de_izaje2468[Herramientas_de_izaje], B124) &gt; 0, Herramientas_de_izaje2468[[#Headers],[Herramientas_de_izaje]],
COUNTIF(Tabla162670[Equipos], B124) &gt; 0, Tabla162670[[#Headers],[Equipos]],
    TRUE, "Sin clasificación"
)</f>
        <v>Sin clasificación</v>
      </c>
      <c r="F124" s="15"/>
      <c r="G124" s="15"/>
      <c r="H124" s="47"/>
      <c r="I124" s="87"/>
      <c r="J124" s="78"/>
      <c r="K124" s="78"/>
      <c r="L124" s="78"/>
      <c r="M124" s="78"/>
      <c r="O124" s="47"/>
      <c r="P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-SinArea-0000</v>
      </c>
      <c r="R124" s="15"/>
      <c r="T124" s="48"/>
    </row>
    <row r="125" spans="2:20" x14ac:dyDescent="0.3">
      <c r="C125" s="11"/>
      <c r="E125" s="11" t="str" cm="1">
        <f t="array" ref="E125">_xlfn.IFS(
    COUNTIF(Herramientas_eléctricas1862[Herramientas_eléctricas], B125) &gt; 0, Herramientas_eléctricas1862[[#Headers],[Herramientas_eléctricas]],
    COUNTIF(Herramientas_neumáticas1963[Herramientas_neumáticas], B125) &gt; 0, Herramientas_neumáticas1963[[#Headers],[Herramientas_neumáticas]],
    COUNTIF(Herramientas_de_medición2064[Herramientas_de_medición], B125) &gt; 0, Herramientas_de_medición2064[[#Headers],[Herramientas_de_medición]],
    COUNTIF(Herrramientas_mecánicas2165[Herramientas_mecánicas], B125) &gt; 0, Herrramientas_mecánicas2165[[#Headers],[Herramientas_mecánicas]],
    COUNTIF(AK125:AK131, B125) &gt; 0, Herramientas_hidráulicas2266[[#Headers],[Herramientas_hidráulicas]],
    COUNTIF(EPP_2367[SPCC], B125) &gt; 0, EPP_2367[[#Headers],[SPCC]],
   COUNTIF(Herramientas_de_izaje2468[Herramientas_de_izaje], B125) &gt; 0, Herramientas_de_izaje2468[[#Headers],[Herramientas_de_izaje]],
COUNTIF(Tabla162670[Equipos], B125) &gt; 0, Tabla162670[[#Headers],[Equipos]],
    TRUE, "Sin clasificación"
)</f>
        <v>Sin clasificación</v>
      </c>
      <c r="F125" s="15"/>
      <c r="G125" s="15"/>
      <c r="H125" s="47"/>
      <c r="I125" s="87"/>
      <c r="J125" s="78"/>
      <c r="K125" s="78"/>
      <c r="L125" s="78"/>
      <c r="M125" s="78"/>
      <c r="O125" s="47"/>
      <c r="P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-SinArea-0000</v>
      </c>
      <c r="R125" s="15"/>
      <c r="T125" s="48"/>
    </row>
    <row r="126" spans="2:20" x14ac:dyDescent="0.3">
      <c r="C126" s="11"/>
      <c r="E126" s="11" t="str" cm="1">
        <f t="array" ref="E126">_xlfn.IFS(
    COUNTIF(Herramientas_eléctricas1862[Herramientas_eléctricas], B126) &gt; 0, Herramientas_eléctricas1862[[#Headers],[Herramientas_eléctricas]],
    COUNTIF(Herramientas_neumáticas1963[Herramientas_neumáticas], B126) &gt; 0, Herramientas_neumáticas1963[[#Headers],[Herramientas_neumáticas]],
    COUNTIF(Herramientas_de_medición2064[Herramientas_de_medición], B126) &gt; 0, Herramientas_de_medición2064[[#Headers],[Herramientas_de_medición]],
    COUNTIF(Herrramientas_mecánicas2165[Herramientas_mecánicas], B126) &gt; 0, Herrramientas_mecánicas2165[[#Headers],[Herramientas_mecánicas]],
    COUNTIF(AK126:AK132, B126) &gt; 0, Herramientas_hidráulicas2266[[#Headers],[Herramientas_hidráulicas]],
    COUNTIF(EPP_2367[SPCC], B126) &gt; 0, EPP_2367[[#Headers],[SPCC]],
   COUNTIF(Herramientas_de_izaje2468[Herramientas_de_izaje], B126) &gt; 0, Herramientas_de_izaje2468[[#Headers],[Herramientas_de_izaje]],
COUNTIF(Tabla162670[Equipos], B126) &gt; 0, Tabla162670[[#Headers],[Equipos]],
    TRUE, "Sin clasificación"
)</f>
        <v>Sin clasificación</v>
      </c>
      <c r="F126" s="15"/>
      <c r="G126" s="15"/>
      <c r="H126" s="47"/>
      <c r="I126" s="87"/>
      <c r="J126" s="78"/>
      <c r="K126" s="78"/>
      <c r="L126" s="78"/>
      <c r="M126" s="78"/>
      <c r="O126" s="47"/>
      <c r="P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-SinArea-0000</v>
      </c>
      <c r="R126" s="15"/>
      <c r="T126" s="48"/>
    </row>
    <row r="127" spans="2:20" x14ac:dyDescent="0.3">
      <c r="C127" s="11"/>
      <c r="E127" s="11" t="str" cm="1">
        <f t="array" ref="E127">_xlfn.IFS(
    COUNTIF(Herramientas_eléctricas1862[Herramientas_eléctricas], B127) &gt; 0, Herramientas_eléctricas1862[[#Headers],[Herramientas_eléctricas]],
    COUNTIF(Herramientas_neumáticas1963[Herramientas_neumáticas], B127) &gt; 0, Herramientas_neumáticas1963[[#Headers],[Herramientas_neumáticas]],
    COUNTIF(Herramientas_de_medición2064[Herramientas_de_medición], B127) &gt; 0, Herramientas_de_medición2064[[#Headers],[Herramientas_de_medición]],
    COUNTIF(Herrramientas_mecánicas2165[Herramientas_mecánicas], B127) &gt; 0, Herrramientas_mecánicas2165[[#Headers],[Herramientas_mecánicas]],
    COUNTIF(AK127:AK133, B127) &gt; 0, Herramientas_hidráulicas2266[[#Headers],[Herramientas_hidráulicas]],
    COUNTIF(EPP_2367[SPCC], B127) &gt; 0, EPP_2367[[#Headers],[SPCC]],
   COUNTIF(Herramientas_de_izaje2468[Herramientas_de_izaje], B127) &gt; 0, Herramientas_de_izaje2468[[#Headers],[Herramientas_de_izaje]],
COUNTIF(Tabla162670[Equipos], B127) &gt; 0, Tabla162670[[#Headers],[Equipos]],
    TRUE, "Sin clasificación"
)</f>
        <v>Sin clasificación</v>
      </c>
      <c r="F127" s="15"/>
      <c r="G127" s="15"/>
      <c r="H127" s="47"/>
      <c r="I127" s="87"/>
      <c r="J127" s="78"/>
      <c r="K127" s="78"/>
      <c r="L127" s="78"/>
      <c r="M127" s="78"/>
      <c r="O127" s="47"/>
      <c r="P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-SinArea-0000</v>
      </c>
      <c r="R127" s="15"/>
      <c r="T127" s="48"/>
    </row>
    <row r="128" spans="2:20" x14ac:dyDescent="0.3">
      <c r="C128" s="11"/>
      <c r="E128" s="11" t="str" cm="1">
        <f t="array" ref="E128">_xlfn.IFS(
    COUNTIF(Herramientas_eléctricas1862[Herramientas_eléctricas], B128) &gt; 0, Herramientas_eléctricas1862[[#Headers],[Herramientas_eléctricas]],
    COUNTIF(Herramientas_neumáticas1963[Herramientas_neumáticas], B128) &gt; 0, Herramientas_neumáticas1963[[#Headers],[Herramientas_neumáticas]],
    COUNTIF(Herramientas_de_medición2064[Herramientas_de_medición], B128) &gt; 0, Herramientas_de_medición2064[[#Headers],[Herramientas_de_medición]],
    COUNTIF(Herrramientas_mecánicas2165[Herramientas_mecánicas], B128) &gt; 0, Herrramientas_mecánicas2165[[#Headers],[Herramientas_mecánicas]],
    COUNTIF(AK128:AK134, B128) &gt; 0, Herramientas_hidráulicas2266[[#Headers],[Herramientas_hidráulicas]],
    COUNTIF(EPP_2367[SPCC], B128) &gt; 0, EPP_2367[[#Headers],[SPCC]],
   COUNTIF(Herramientas_de_izaje2468[Herramientas_de_izaje], B128) &gt; 0, Herramientas_de_izaje2468[[#Headers],[Herramientas_de_izaje]],
COUNTIF(Tabla162670[Equipos], B128) &gt; 0, Tabla162670[[#Headers],[Equipos]],
    TRUE, "Sin clasificación"
)</f>
        <v>Sin clasificación</v>
      </c>
      <c r="F128" s="15"/>
      <c r="G128" s="15"/>
      <c r="H128" s="47"/>
      <c r="I128" s="87"/>
      <c r="J128" s="78"/>
      <c r="K128" s="78"/>
      <c r="L128" s="78"/>
      <c r="M128" s="78"/>
      <c r="O128" s="47"/>
      <c r="P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-SinArea-0000</v>
      </c>
      <c r="R128" s="15"/>
      <c r="T128" s="48"/>
    </row>
    <row r="129" spans="3:21" x14ac:dyDescent="0.3">
      <c r="C129" s="11"/>
      <c r="E129" s="11" t="str" cm="1">
        <f t="array" ref="E129">_xlfn.IFS(
    COUNTIF(Herramientas_eléctricas1862[Herramientas_eléctricas], B129) &gt; 0, Herramientas_eléctricas1862[[#Headers],[Herramientas_eléctricas]],
    COUNTIF(Herramientas_neumáticas1963[Herramientas_neumáticas], B129) &gt; 0, Herramientas_neumáticas1963[[#Headers],[Herramientas_neumáticas]],
    COUNTIF(Herramientas_de_medición2064[Herramientas_de_medición], B129) &gt; 0, Herramientas_de_medición2064[[#Headers],[Herramientas_de_medición]],
    COUNTIF(Herrramientas_mecánicas2165[Herramientas_mecánicas], B129) &gt; 0, Herrramientas_mecánicas2165[[#Headers],[Herramientas_mecánicas]],
    COUNTIF(AK129:AK135, B129) &gt; 0, Herramientas_hidráulicas2266[[#Headers],[Herramientas_hidráulicas]],
    COUNTIF(EPP_2367[SPCC], B129) &gt; 0, EPP_2367[[#Headers],[SPCC]],
   COUNTIF(Herramientas_de_izaje2468[Herramientas_de_izaje], B129) &gt; 0, Herramientas_de_izaje2468[[#Headers],[Herramientas_de_izaje]],
COUNTIF(Tabla162670[Equipos], B129) &gt; 0, Tabla162670[[#Headers],[Equipos]],
    TRUE, "Sin clasificación"
)</f>
        <v>Sin clasificación</v>
      </c>
      <c r="F129" s="15"/>
      <c r="G129" s="15"/>
      <c r="H129" s="47"/>
      <c r="I129" s="87"/>
      <c r="J129" s="78"/>
      <c r="K129" s="78"/>
      <c r="L129" s="78"/>
      <c r="M129" s="78"/>
      <c r="O129" s="47"/>
      <c r="P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-SinArea-0000</v>
      </c>
      <c r="R129" s="15"/>
      <c r="T129" s="48"/>
    </row>
    <row r="130" spans="3:21" x14ac:dyDescent="0.3">
      <c r="C130" s="11"/>
      <c r="E130" s="11" t="str" cm="1">
        <f t="array" ref="E130">_xlfn.IFS(
    COUNTIF(Herramientas_eléctricas1862[Herramientas_eléctricas], B130) &gt; 0, Herramientas_eléctricas1862[[#Headers],[Herramientas_eléctricas]],
    COUNTIF(Herramientas_neumáticas1963[Herramientas_neumáticas], B130) &gt; 0, Herramientas_neumáticas1963[[#Headers],[Herramientas_neumáticas]],
    COUNTIF(Herramientas_de_medición2064[Herramientas_de_medición], B130) &gt; 0, Herramientas_de_medición2064[[#Headers],[Herramientas_de_medición]],
    COUNTIF(Herrramientas_mecánicas2165[Herramientas_mecánicas], B130) &gt; 0, Herrramientas_mecánicas2165[[#Headers],[Herramientas_mecánicas]],
    COUNTIF(AK130:AK136, B130) &gt; 0, Herramientas_hidráulicas2266[[#Headers],[Herramientas_hidráulicas]],
    COUNTIF(EPP_2367[SPCC], B130) &gt; 0, EPP_2367[[#Headers],[SPCC]],
   COUNTIF(Herramientas_de_izaje2468[Herramientas_de_izaje], B130) &gt; 0, Herramientas_de_izaje2468[[#Headers],[Herramientas_de_izaje]],
COUNTIF(Tabla162670[Equipos], B130) &gt; 0, Tabla162670[[#Headers],[Equipos]],
    TRUE, "Sin clasificación"
)</f>
        <v>Sin clasificación</v>
      </c>
      <c r="F130" s="15"/>
      <c r="G130" s="15"/>
      <c r="H130" s="47"/>
      <c r="I130" s="87"/>
      <c r="J130" s="78"/>
      <c r="K130" s="78"/>
      <c r="L130" s="78"/>
      <c r="M130" s="78"/>
      <c r="O130" s="47"/>
      <c r="P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-SinArea-0000</v>
      </c>
      <c r="R130" s="15"/>
      <c r="T130" s="48"/>
    </row>
    <row r="131" spans="3:21" x14ac:dyDescent="0.3">
      <c r="C131" s="11"/>
      <c r="E131" s="11" t="str" cm="1">
        <f t="array" ref="E131">_xlfn.IFS(
    COUNTIF(Herramientas_eléctricas1862[Herramientas_eléctricas], B131) &gt; 0, Herramientas_eléctricas1862[[#Headers],[Herramientas_eléctricas]],
    COUNTIF(Herramientas_neumáticas1963[Herramientas_neumáticas], B131) &gt; 0, Herramientas_neumáticas1963[[#Headers],[Herramientas_neumáticas]],
    COUNTIF(Herramientas_de_medición2064[Herramientas_de_medición], B131) &gt; 0, Herramientas_de_medición2064[[#Headers],[Herramientas_de_medición]],
    COUNTIF(Herrramientas_mecánicas2165[Herramientas_mecánicas], B131) &gt; 0, Herrramientas_mecánicas2165[[#Headers],[Herramientas_mecánicas]],
    COUNTIF(AK131:AK137, B131) &gt; 0, Herramientas_hidráulicas2266[[#Headers],[Herramientas_hidráulicas]],
    COUNTIF(EPP_2367[SPCC], B131) &gt; 0, EPP_2367[[#Headers],[SPCC]],
   COUNTIF(Herramientas_de_izaje2468[Herramientas_de_izaje], B131) &gt; 0, Herramientas_de_izaje2468[[#Headers],[Herramientas_de_izaje]],
COUNTIF(Tabla162670[Equipos], B131) &gt; 0, Tabla162670[[#Headers],[Equipos]],
    TRUE, "Sin clasificación"
)</f>
        <v>Sin clasificación</v>
      </c>
      <c r="F131" s="15"/>
      <c r="G131" s="15"/>
      <c r="H131" s="47"/>
      <c r="I131" s="87"/>
      <c r="J131" s="78"/>
      <c r="K131" s="78"/>
      <c r="L131" s="78"/>
      <c r="M131" s="78"/>
      <c r="O131" s="47"/>
      <c r="P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-SinArea-0000</v>
      </c>
      <c r="R131" s="15"/>
      <c r="T131" s="48"/>
    </row>
    <row r="132" spans="3:21" x14ac:dyDescent="0.3">
      <c r="C132" s="11"/>
      <c r="E132" s="11" t="str" cm="1">
        <f t="array" ref="E132">_xlfn.IFS(
    COUNTIF(Herramientas_eléctricas1862[Herramientas_eléctricas], B132) &gt; 0, Herramientas_eléctricas1862[[#Headers],[Herramientas_eléctricas]],
    COUNTIF(Herramientas_neumáticas1963[Herramientas_neumáticas], B132) &gt; 0, Herramientas_neumáticas1963[[#Headers],[Herramientas_neumáticas]],
    COUNTIF(Herramientas_de_medición2064[Herramientas_de_medición], B132) &gt; 0, Herramientas_de_medición2064[[#Headers],[Herramientas_de_medición]],
    COUNTIF(Herrramientas_mecánicas2165[Herramientas_mecánicas], B132) &gt; 0, Herrramientas_mecánicas2165[[#Headers],[Herramientas_mecánicas]],
    COUNTIF(AK132:AK138, B132) &gt; 0, Herramientas_hidráulicas2266[[#Headers],[Herramientas_hidráulicas]],
    COUNTIF(EPP_2367[SPCC], B132) &gt; 0, EPP_2367[[#Headers],[SPCC]],
   COUNTIF(Herramientas_de_izaje2468[Herramientas_de_izaje], B132) &gt; 0, Herramientas_de_izaje2468[[#Headers],[Herramientas_de_izaje]],
COUNTIF(Tabla162670[Equipos], B132) &gt; 0, Tabla162670[[#Headers],[Equipos]],
    TRUE, "Sin clasificación"
)</f>
        <v>Sin clasificación</v>
      </c>
      <c r="F132" s="15"/>
      <c r="G132" s="15"/>
      <c r="H132" s="47"/>
      <c r="I132" s="87"/>
      <c r="J132" s="78"/>
      <c r="K132" s="78"/>
      <c r="L132" s="78"/>
      <c r="M132" s="78"/>
      <c r="O132" s="47"/>
      <c r="P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-SinArea-0000</v>
      </c>
      <c r="R132" s="15"/>
      <c r="T132" s="48"/>
    </row>
    <row r="133" spans="3:21" x14ac:dyDescent="0.3">
      <c r="C133" s="11"/>
      <c r="E133" s="11" t="str" cm="1">
        <f t="array" ref="E133">_xlfn.IFS(
    COUNTIF(Herramientas_eléctricas1862[Herramientas_eléctricas], B133) &gt; 0, Herramientas_eléctricas1862[[#Headers],[Herramientas_eléctricas]],
    COUNTIF(Herramientas_neumáticas1963[Herramientas_neumáticas], B133) &gt; 0, Herramientas_neumáticas1963[[#Headers],[Herramientas_neumáticas]],
    COUNTIF(Herramientas_de_medición2064[Herramientas_de_medición], B133) &gt; 0, Herramientas_de_medición2064[[#Headers],[Herramientas_de_medición]],
    COUNTIF(Herrramientas_mecánicas2165[Herramientas_mecánicas], B133) &gt; 0, Herrramientas_mecánicas2165[[#Headers],[Herramientas_mecánicas]],
    COUNTIF(AK133:AK139, B133) &gt; 0, Herramientas_hidráulicas2266[[#Headers],[Herramientas_hidráulicas]],
    COUNTIF(EPP_2367[SPCC], B133) &gt; 0, EPP_2367[[#Headers],[SPCC]],
   COUNTIF(Herramientas_de_izaje2468[Herramientas_de_izaje], B133) &gt; 0, Herramientas_de_izaje2468[[#Headers],[Herramientas_de_izaje]],
COUNTIF(Tabla162670[Equipos], B133) &gt; 0, Tabla162670[[#Headers],[Equipos]],
    TRUE, "Sin clasificación"
)</f>
        <v>Sin clasificación</v>
      </c>
      <c r="F133" s="15"/>
      <c r="G133" s="15"/>
      <c r="H133" s="47"/>
      <c r="I133" s="87"/>
      <c r="J133" s="78"/>
      <c r="K133" s="78"/>
      <c r="L133" s="78"/>
      <c r="M133" s="78"/>
      <c r="O133" s="47"/>
      <c r="P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-SinArea-0000</v>
      </c>
      <c r="R133" s="15"/>
      <c r="T133" s="48"/>
    </row>
    <row r="134" spans="3:21" x14ac:dyDescent="0.3">
      <c r="C134" s="11"/>
      <c r="E134" s="11" t="str" cm="1">
        <f t="array" ref="E134">_xlfn.IFS(
    COUNTIF(Herramientas_eléctricas1862[Herramientas_eléctricas], B134) &gt; 0, Herramientas_eléctricas1862[[#Headers],[Herramientas_eléctricas]],
    COUNTIF(Herramientas_neumáticas1963[Herramientas_neumáticas], B134) &gt; 0, Herramientas_neumáticas1963[[#Headers],[Herramientas_neumáticas]],
    COUNTIF(Herramientas_de_medición2064[Herramientas_de_medición], B134) &gt; 0, Herramientas_de_medición2064[[#Headers],[Herramientas_de_medición]],
    COUNTIF(Herrramientas_mecánicas2165[Herramientas_mecánicas], B134) &gt; 0, Herrramientas_mecánicas2165[[#Headers],[Herramientas_mecánicas]],
    COUNTIF(AK134:AK140, B134) &gt; 0, Herramientas_hidráulicas2266[[#Headers],[Herramientas_hidráulicas]],
    COUNTIF(EPP_2367[SPCC], B134) &gt; 0, EPP_2367[[#Headers],[SPCC]],
   COUNTIF(Herramientas_de_izaje2468[Herramientas_de_izaje], B134) &gt; 0, Herramientas_de_izaje2468[[#Headers],[Herramientas_de_izaje]],
COUNTIF(Tabla162670[Equipos], B134) &gt; 0, Tabla162670[[#Headers],[Equipos]],
    TRUE, "Sin clasificación"
)</f>
        <v>Sin clasificación</v>
      </c>
      <c r="F134" s="15"/>
      <c r="G134" s="15"/>
      <c r="H134" s="47"/>
      <c r="I134" s="87"/>
      <c r="J134" s="78"/>
      <c r="K134" s="78"/>
      <c r="L134" s="78"/>
      <c r="M134" s="78"/>
      <c r="O134" s="47"/>
      <c r="P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-SinArea-0000</v>
      </c>
      <c r="R134" s="15"/>
      <c r="T134" s="48"/>
    </row>
    <row r="135" spans="3:21" x14ac:dyDescent="0.3">
      <c r="C135" s="11"/>
      <c r="E135" s="11" t="str" cm="1">
        <f t="array" ref="E135">_xlfn.IFS(
    COUNTIF(Herramientas_eléctricas1862[Herramientas_eléctricas], B135) &gt; 0, Herramientas_eléctricas1862[[#Headers],[Herramientas_eléctricas]],
    COUNTIF(Herramientas_neumáticas1963[Herramientas_neumáticas], B135) &gt; 0, Herramientas_neumáticas1963[[#Headers],[Herramientas_neumáticas]],
    COUNTIF(Herramientas_de_medición2064[Herramientas_de_medición], B135) &gt; 0, Herramientas_de_medición2064[[#Headers],[Herramientas_de_medición]],
    COUNTIF(Herrramientas_mecánicas2165[Herramientas_mecánicas], B135) &gt; 0, Herrramientas_mecánicas2165[[#Headers],[Herramientas_mecánicas]],
    COUNTIF(AK135:AK141, B135) &gt; 0, Herramientas_hidráulicas2266[[#Headers],[Herramientas_hidráulicas]],
    COUNTIF(EPP_2367[SPCC], B135) &gt; 0, EPP_2367[[#Headers],[SPCC]],
   COUNTIF(Herramientas_de_izaje2468[Herramientas_de_izaje], B135) &gt; 0, Herramientas_de_izaje2468[[#Headers],[Herramientas_de_izaje]],
COUNTIF(Tabla162670[Equipos], B135) &gt; 0, Tabla162670[[#Headers],[Equipos]],
    TRUE, "Sin clasificación"
)</f>
        <v>Sin clasificación</v>
      </c>
      <c r="F135" s="15"/>
      <c r="G135" s="15"/>
      <c r="H135" s="47"/>
      <c r="I135" s="87"/>
      <c r="J135" s="78"/>
      <c r="K135" s="78"/>
      <c r="L135" s="78"/>
      <c r="M135" s="78"/>
      <c r="O135" s="47"/>
      <c r="P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-SinArea-0000</v>
      </c>
      <c r="R135" s="15"/>
      <c r="T135" s="48"/>
    </row>
    <row r="136" spans="3:21" x14ac:dyDescent="0.3">
      <c r="C136" s="11"/>
      <c r="E136" s="11" t="str" cm="1">
        <f t="array" ref="E136">_xlfn.IFS(
    COUNTIF(Herramientas_eléctricas1862[Herramientas_eléctricas], B136) &gt; 0, Herramientas_eléctricas1862[[#Headers],[Herramientas_eléctricas]],
    COUNTIF(Herramientas_neumáticas1963[Herramientas_neumáticas], B136) &gt; 0, Herramientas_neumáticas1963[[#Headers],[Herramientas_neumáticas]],
    COUNTIF(Herramientas_de_medición2064[Herramientas_de_medición], B136) &gt; 0, Herramientas_de_medición2064[[#Headers],[Herramientas_de_medición]],
    COUNTIF(Herrramientas_mecánicas2165[Herramientas_mecánicas], B136) &gt; 0, Herrramientas_mecánicas2165[[#Headers],[Herramientas_mecánicas]],
    COUNTIF(AK136:AK142, B136) &gt; 0, Herramientas_hidráulicas2266[[#Headers],[Herramientas_hidráulicas]],
    COUNTIF(EPP_2367[SPCC], B136) &gt; 0, EPP_2367[[#Headers],[SPCC]],
   COUNTIF(Herramientas_de_izaje2468[Herramientas_de_izaje], B136) &gt; 0, Herramientas_de_izaje2468[[#Headers],[Herramientas_de_izaje]],
COUNTIF(Tabla162670[Equipos], B136) &gt; 0, Tabla162670[[#Headers],[Equipos]],
    TRUE, "Sin clasificación"
)</f>
        <v>Sin clasificación</v>
      </c>
      <c r="F136" s="15"/>
      <c r="G136" s="15"/>
      <c r="H136" s="47"/>
      <c r="I136" s="87"/>
      <c r="J136" s="78"/>
      <c r="K136" s="78"/>
      <c r="L136" s="78"/>
      <c r="M136" s="78"/>
      <c r="O136" s="47"/>
      <c r="P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-SinArea-0000</v>
      </c>
      <c r="R136" s="15"/>
      <c r="T136" s="48"/>
    </row>
    <row r="137" spans="3:21" x14ac:dyDescent="0.3">
      <c r="C137" s="11"/>
      <c r="E137" s="11" t="str" cm="1">
        <f t="array" ref="E137">_xlfn.IFS(
    COUNTIF(Herramientas_eléctricas1862[Herramientas_eléctricas], B137) &gt; 0, Herramientas_eléctricas1862[[#Headers],[Herramientas_eléctricas]],
    COUNTIF(Herramientas_neumáticas1963[Herramientas_neumáticas], B137) &gt; 0, Herramientas_neumáticas1963[[#Headers],[Herramientas_neumáticas]],
    COUNTIF(Herramientas_de_medición2064[Herramientas_de_medición], B137) &gt; 0, Herramientas_de_medición2064[[#Headers],[Herramientas_de_medición]],
    COUNTIF(Herrramientas_mecánicas2165[Herramientas_mecánicas], B137) &gt; 0, Herrramientas_mecánicas2165[[#Headers],[Herramientas_mecánicas]],
    COUNTIF(AK137:AK143, B137) &gt; 0, Herramientas_hidráulicas2266[[#Headers],[Herramientas_hidráulicas]],
    COUNTIF(EPP_2367[SPCC], B137) &gt; 0, EPP_2367[[#Headers],[SPCC]],
   COUNTIF(Herramientas_de_izaje2468[Herramientas_de_izaje], B137) &gt; 0, Herramientas_de_izaje2468[[#Headers],[Herramientas_de_izaje]],
COUNTIF(Tabla162670[Equipos], B137) &gt; 0, Tabla162670[[#Headers],[Equipos]],
    TRUE, "Sin clasificación"
)</f>
        <v>Sin clasificación</v>
      </c>
      <c r="F137" s="15"/>
      <c r="G137" s="15"/>
      <c r="H137" s="47"/>
      <c r="I137" s="87"/>
      <c r="J137" s="78"/>
      <c r="K137" s="78"/>
      <c r="L137" s="78"/>
      <c r="M137" s="78"/>
      <c r="O137" s="47"/>
      <c r="P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-SinArea-0000</v>
      </c>
      <c r="R137" s="15"/>
      <c r="T137" s="48"/>
    </row>
    <row r="138" spans="3:21" x14ac:dyDescent="0.3">
      <c r="C138" s="11"/>
      <c r="E138" s="11" t="str" cm="1">
        <f t="array" ref="E138">_xlfn.IFS(
    COUNTIF(Herramientas_eléctricas1862[Herramientas_eléctricas], B138) &gt; 0, Herramientas_eléctricas1862[[#Headers],[Herramientas_eléctricas]],
    COUNTIF(Herramientas_neumáticas1963[Herramientas_neumáticas], B138) &gt; 0, Herramientas_neumáticas1963[[#Headers],[Herramientas_neumáticas]],
    COUNTIF(Herramientas_de_medición2064[Herramientas_de_medición], B138) &gt; 0, Herramientas_de_medición2064[[#Headers],[Herramientas_de_medición]],
    COUNTIF(Herrramientas_mecánicas2165[Herramientas_mecánicas], B138) &gt; 0, Herrramientas_mecánicas2165[[#Headers],[Herramientas_mecánicas]],
    COUNTIF(AK138:AK144, B138) &gt; 0, Herramientas_hidráulicas2266[[#Headers],[Herramientas_hidráulicas]],
    COUNTIF(EPP_2367[SPCC], B138) &gt; 0, EPP_2367[[#Headers],[SPCC]],
   COUNTIF(Herramientas_de_izaje2468[Herramientas_de_izaje], B138) &gt; 0, Herramientas_de_izaje2468[[#Headers],[Herramientas_de_izaje]],
COUNTIF(Tabla162670[Equipos], B138) &gt; 0, Tabla162670[[#Headers],[Equipos]],
    TRUE, "Sin clasificación"
)</f>
        <v>Sin clasificación</v>
      </c>
      <c r="F138" s="15"/>
      <c r="G138" s="15"/>
      <c r="H138" s="47"/>
      <c r="I138" s="87"/>
      <c r="J138" s="78"/>
      <c r="K138" s="78"/>
      <c r="L138" s="78"/>
      <c r="M138" s="78"/>
      <c r="O138" s="47"/>
      <c r="P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-SinArea-0000</v>
      </c>
      <c r="R138" s="15"/>
      <c r="T138" s="48"/>
    </row>
    <row r="139" spans="3:21" x14ac:dyDescent="0.3">
      <c r="C139" s="11"/>
      <c r="E139" s="11" t="str" cm="1">
        <f t="array" ref="E139">_xlfn.IFS(
    COUNTIF(Herramientas_eléctricas1862[Herramientas_eléctricas], B139) &gt; 0, Herramientas_eléctricas1862[[#Headers],[Herramientas_eléctricas]],
    COUNTIF(Herramientas_neumáticas1963[Herramientas_neumáticas], B139) &gt; 0, Herramientas_neumáticas1963[[#Headers],[Herramientas_neumáticas]],
    COUNTIF(Herramientas_de_medición2064[Herramientas_de_medición], B139) &gt; 0, Herramientas_de_medición2064[[#Headers],[Herramientas_de_medición]],
    COUNTIF(Herrramientas_mecánicas2165[Herramientas_mecánicas], B139) &gt; 0, Herrramientas_mecánicas2165[[#Headers],[Herramientas_mecánicas]],
    COUNTIF(AK139:AK145, B139) &gt; 0, Herramientas_hidráulicas2266[[#Headers],[Herramientas_hidráulicas]],
    COUNTIF(EPP_2367[SPCC], B139) &gt; 0, EPP_2367[[#Headers],[SPCC]],
   COUNTIF(Herramientas_de_izaje2468[Herramientas_de_izaje], B139) &gt; 0, Herramientas_de_izaje2468[[#Headers],[Herramientas_de_izaje]],
COUNTIF(Tabla162670[Equipos], B139) &gt; 0, Tabla162670[[#Headers],[Equipos]],
    TRUE, "Sin clasificación"
)</f>
        <v>Sin clasificación</v>
      </c>
      <c r="F139" s="15"/>
      <c r="G139" s="15"/>
      <c r="H139" s="47"/>
      <c r="I139" s="87"/>
      <c r="J139" s="78"/>
      <c r="K139" s="78"/>
      <c r="L139" s="78"/>
      <c r="M139" s="78"/>
      <c r="O139" s="47"/>
      <c r="P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-SinArea-0000</v>
      </c>
      <c r="R139" s="15"/>
      <c r="T139" s="48"/>
    </row>
    <row r="140" spans="3:21" x14ac:dyDescent="0.3">
      <c r="C140" s="11"/>
      <c r="D140" s="32"/>
      <c r="E140" s="11" t="str" cm="1">
        <f t="array" ref="E140">_xlfn.IFS(
    COUNTIF(Herramientas_eléctricas1862[Herramientas_eléctricas], B140) &gt; 0, Herramientas_eléctricas1862[[#Headers],[Herramientas_eléctricas]],
    COUNTIF(Herramientas_neumáticas1963[Herramientas_neumáticas], B140) &gt; 0, Herramientas_neumáticas1963[[#Headers],[Herramientas_neumáticas]],
    COUNTIF(Herramientas_de_medición2064[Herramientas_de_medición], B140) &gt; 0, Herramientas_de_medición2064[[#Headers],[Herramientas_de_medición]],
    COUNTIF(Herrramientas_mecánicas2165[Herramientas_mecánicas], B140) &gt; 0, Herrramientas_mecánicas2165[[#Headers],[Herramientas_mecánicas]],
    COUNTIF(AK140:AK146, B140) &gt; 0, Herramientas_hidráulicas2266[[#Headers],[Herramientas_hidráulicas]],
    COUNTIF(EPP_2367[SPCC], B140) &gt; 0, EPP_2367[[#Headers],[SPCC]],
   COUNTIF(Herramientas_de_izaje2468[Herramientas_de_izaje], B140) &gt; 0, Herramientas_de_izaje2468[[#Headers],[Herramientas_de_izaje]],
COUNTIF(Tabla162670[Equipos], B140) &gt; 0, Tabla162670[[#Headers],[Equipos]],
    TRUE, "Sin clasificación"
)</f>
        <v>Sin clasificación</v>
      </c>
      <c r="F140" s="15"/>
      <c r="G140" s="15"/>
      <c r="H140" s="47"/>
      <c r="I140" s="87"/>
      <c r="J140" s="78"/>
      <c r="K140" s="78"/>
      <c r="L140" s="78"/>
      <c r="M140" s="78"/>
      <c r="N140" s="76"/>
      <c r="O140" s="47"/>
      <c r="P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-SinArea-0000</v>
      </c>
      <c r="Q140" s="77"/>
      <c r="R140" s="15"/>
      <c r="S140" s="32"/>
      <c r="T140" s="48"/>
    </row>
    <row r="141" spans="3:21" x14ac:dyDescent="0.3">
      <c r="C141" s="11"/>
      <c r="D141" s="32"/>
      <c r="E141" s="11" t="str" cm="1">
        <f t="array" ref="E141">_xlfn.IFS(
    COUNTIF(Herramientas_eléctricas1862[Herramientas_eléctricas], B141) &gt; 0, Herramientas_eléctricas1862[[#Headers],[Herramientas_eléctricas]],
    COUNTIF(Herramientas_neumáticas1963[Herramientas_neumáticas], B141) &gt; 0, Herramientas_neumáticas1963[[#Headers],[Herramientas_neumáticas]],
    COUNTIF(Herramientas_de_medición2064[Herramientas_de_medición], B141) &gt; 0, Herramientas_de_medición2064[[#Headers],[Herramientas_de_medición]],
    COUNTIF(Herrramientas_mecánicas2165[Herramientas_mecánicas], B141) &gt; 0, Herrramientas_mecánicas2165[[#Headers],[Herramientas_mecánicas]],
    COUNTIF(AK141:AK147, B141) &gt; 0, Herramientas_hidráulicas2266[[#Headers],[Herramientas_hidráulicas]],
    COUNTIF(EPP_2367[SPCC], B141) &gt; 0, EPP_2367[[#Headers],[SPCC]],
   COUNTIF(Herramientas_de_izaje2468[Herramientas_de_izaje], B141) &gt; 0, Herramientas_de_izaje2468[[#Headers],[Herramientas_de_izaje]],
COUNTIF(Tabla162670[Equipos], B141) &gt; 0, Tabla162670[[#Headers],[Equipos]],
    TRUE, "Sin clasificación"
)</f>
        <v>Sin clasificación</v>
      </c>
      <c r="G141" s="15"/>
      <c r="H141" s="47"/>
      <c r="I141" s="87"/>
      <c r="J141" s="78"/>
      <c r="K141" s="78"/>
      <c r="L141" s="78"/>
      <c r="M141" s="78"/>
      <c r="N141" s="76"/>
      <c r="O141" s="76"/>
      <c r="P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-SinArea-0000</v>
      </c>
      <c r="Q141" s="77"/>
      <c r="R141" s="32"/>
      <c r="S141" s="32"/>
      <c r="T141" s="32"/>
      <c r="U141" s="32"/>
    </row>
    <row r="142" spans="3:21" x14ac:dyDescent="0.3">
      <c r="C142" s="11"/>
      <c r="D142" s="32"/>
      <c r="E142" s="11" t="str" cm="1">
        <f t="array" ref="E142">_xlfn.IFS(
    COUNTIF(Herramientas_eléctricas1862[Herramientas_eléctricas], B142) &gt; 0, Herramientas_eléctricas1862[[#Headers],[Herramientas_eléctricas]],
    COUNTIF(Herramientas_neumáticas1963[Herramientas_neumáticas], B142) &gt; 0, Herramientas_neumáticas1963[[#Headers],[Herramientas_neumáticas]],
    COUNTIF(Herramientas_de_medición2064[Herramientas_de_medición], B142) &gt; 0, Herramientas_de_medición2064[[#Headers],[Herramientas_de_medición]],
    COUNTIF(Herrramientas_mecánicas2165[Herramientas_mecánicas], B142) &gt; 0, Herrramientas_mecánicas2165[[#Headers],[Herramientas_mecánicas]],
    COUNTIF(AK142:AK148, B142) &gt; 0, Herramientas_hidráulicas2266[[#Headers],[Herramientas_hidráulicas]],
    COUNTIF(EPP_2367[SPCC], B142) &gt; 0, EPP_2367[[#Headers],[SPCC]],
   COUNTIF(Herramientas_de_izaje2468[Herramientas_de_izaje], B142) &gt; 0, Herramientas_de_izaje2468[[#Headers],[Herramientas_de_izaje]],
COUNTIF(Tabla162670[Equipos], B142) &gt; 0, Tabla162670[[#Headers],[Equipos]],
    TRUE, "Sin clasificación"
)</f>
        <v>Sin clasificación</v>
      </c>
      <c r="G142" s="15"/>
      <c r="H142" s="47"/>
      <c r="I142" s="87"/>
      <c r="J142" s="78"/>
      <c r="K142" s="78"/>
      <c r="L142" s="78"/>
      <c r="M142" s="78"/>
      <c r="N142" s="76"/>
      <c r="O142" s="76"/>
      <c r="P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-SinArea-0000</v>
      </c>
      <c r="Q142" s="77"/>
      <c r="R142" s="32"/>
      <c r="S142" s="32"/>
      <c r="T142" s="32"/>
      <c r="U142" s="32"/>
    </row>
    <row r="143" spans="3:21" x14ac:dyDescent="0.3">
      <c r="C143" s="11"/>
      <c r="D143" s="32"/>
      <c r="E143" s="11" t="str" cm="1">
        <f t="array" ref="E143">_xlfn.IFS(
    COUNTIF(Herramientas_eléctricas1862[Herramientas_eléctricas], B143) &gt; 0, Herramientas_eléctricas1862[[#Headers],[Herramientas_eléctricas]],
    COUNTIF(Herramientas_neumáticas1963[Herramientas_neumáticas], B143) &gt; 0, Herramientas_neumáticas1963[[#Headers],[Herramientas_neumáticas]],
    COUNTIF(Herramientas_de_medición2064[Herramientas_de_medición], B143) &gt; 0, Herramientas_de_medición2064[[#Headers],[Herramientas_de_medición]],
    COUNTIF(Herrramientas_mecánicas2165[Herramientas_mecánicas], B143) &gt; 0, Herrramientas_mecánicas2165[[#Headers],[Herramientas_mecánicas]],
    COUNTIF(AK143:AK149, B143) &gt; 0, Herramientas_hidráulicas2266[[#Headers],[Herramientas_hidráulicas]],
    COUNTIF(EPP_2367[SPCC], B143) &gt; 0, EPP_2367[[#Headers],[SPCC]],
   COUNTIF(Herramientas_de_izaje2468[Herramientas_de_izaje], B143) &gt; 0, Herramientas_de_izaje2468[[#Headers],[Herramientas_de_izaje]],
COUNTIF(Tabla162670[Equipos], B143) &gt; 0, Tabla162670[[#Headers],[Equipos]],
    TRUE, "Sin clasificación"
)</f>
        <v>Sin clasificación</v>
      </c>
      <c r="G143" s="15"/>
      <c r="H143" s="47"/>
      <c r="I143" s="87"/>
      <c r="J143" s="78"/>
      <c r="K143" s="78"/>
      <c r="L143" s="78"/>
      <c r="M143" s="78"/>
      <c r="N143" s="76"/>
      <c r="O143" s="76"/>
      <c r="P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-SinArea-0000</v>
      </c>
      <c r="Q143" s="77"/>
      <c r="R143" s="32"/>
      <c r="S143" s="32"/>
      <c r="T143" s="32"/>
      <c r="U143" s="32"/>
    </row>
    <row r="144" spans="3:21" x14ac:dyDescent="0.3">
      <c r="C144" s="11"/>
      <c r="D144" s="32"/>
      <c r="E144" s="11" t="str" cm="1">
        <f t="array" ref="E144">_xlfn.IFS(
    COUNTIF(Herramientas_eléctricas1862[Herramientas_eléctricas], B144) &gt; 0, Herramientas_eléctricas1862[[#Headers],[Herramientas_eléctricas]],
    COUNTIF(Herramientas_neumáticas1963[Herramientas_neumáticas], B144) &gt; 0, Herramientas_neumáticas1963[[#Headers],[Herramientas_neumáticas]],
    COUNTIF(Herramientas_de_medición2064[Herramientas_de_medición], B144) &gt; 0, Herramientas_de_medición2064[[#Headers],[Herramientas_de_medición]],
    COUNTIF(Herrramientas_mecánicas2165[Herramientas_mecánicas], B144) &gt; 0, Herrramientas_mecánicas2165[[#Headers],[Herramientas_mecánicas]],
    COUNTIF(AK144:AK150, B144) &gt; 0, Herramientas_hidráulicas2266[[#Headers],[Herramientas_hidráulicas]],
    COUNTIF(EPP_2367[SPCC], B144) &gt; 0, EPP_2367[[#Headers],[SPCC]],
   COUNTIF(Herramientas_de_izaje2468[Herramientas_de_izaje], B144) &gt; 0, Herramientas_de_izaje2468[[#Headers],[Herramientas_de_izaje]],
COUNTIF(Tabla162670[Equipos], B144) &gt; 0, Tabla162670[[#Headers],[Equipos]],
    TRUE, "Sin clasificación"
)</f>
        <v>Sin clasificación</v>
      </c>
      <c r="G144" s="15"/>
      <c r="H144" s="47"/>
      <c r="I144" s="87"/>
      <c r="J144" s="78"/>
      <c r="K144" s="78"/>
      <c r="L144" s="78"/>
      <c r="M144" s="78"/>
      <c r="N144" s="76"/>
      <c r="O144" s="76"/>
      <c r="P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-SinArea-0000</v>
      </c>
      <c r="Q144" s="77"/>
      <c r="R144" s="32"/>
      <c r="S144" s="32"/>
      <c r="T144" s="32"/>
      <c r="U144" s="32"/>
    </row>
    <row r="145" spans="3:21" x14ac:dyDescent="0.3">
      <c r="C145" s="11"/>
      <c r="D145" s="32"/>
      <c r="E145" s="11" t="str" cm="1">
        <f t="array" ref="E145">_xlfn.IFS(
    COUNTIF(Herramientas_eléctricas1862[Herramientas_eléctricas], B145) &gt; 0, Herramientas_eléctricas1862[[#Headers],[Herramientas_eléctricas]],
    COUNTIF(Herramientas_neumáticas1963[Herramientas_neumáticas], B145) &gt; 0, Herramientas_neumáticas1963[[#Headers],[Herramientas_neumáticas]],
    COUNTIF(Herramientas_de_medición2064[Herramientas_de_medición], B145) &gt; 0, Herramientas_de_medición2064[[#Headers],[Herramientas_de_medición]],
    COUNTIF(Herrramientas_mecánicas2165[Herramientas_mecánicas], B145) &gt; 0, Herrramientas_mecánicas2165[[#Headers],[Herramientas_mecánicas]],
    COUNTIF(AK145:AK151, B145) &gt; 0, Herramientas_hidráulicas2266[[#Headers],[Herramientas_hidráulicas]],
    COUNTIF(EPP_2367[SPCC], B145) &gt; 0, EPP_2367[[#Headers],[SPCC]],
   COUNTIF(Herramientas_de_izaje2468[Herramientas_de_izaje], B145) &gt; 0, Herramientas_de_izaje2468[[#Headers],[Herramientas_de_izaje]],
COUNTIF(Tabla162670[Equipos], B145) &gt; 0, Tabla162670[[#Headers],[Equipos]],
    TRUE, "Sin clasificación"
)</f>
        <v>Sin clasificación</v>
      </c>
      <c r="G145" s="15"/>
      <c r="H145" s="47"/>
      <c r="I145" s="87"/>
      <c r="J145" s="78"/>
      <c r="K145" s="78"/>
      <c r="L145" s="78"/>
      <c r="M145" s="78"/>
      <c r="N145" s="76"/>
      <c r="O145" s="76"/>
      <c r="P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-SinArea-0000</v>
      </c>
      <c r="Q145" s="77"/>
      <c r="R145" s="32"/>
      <c r="S145" s="32"/>
      <c r="T145" s="32"/>
      <c r="U145" s="32"/>
    </row>
    <row r="146" spans="3:21" x14ac:dyDescent="0.3">
      <c r="C146" s="11"/>
      <c r="D146" s="32"/>
      <c r="E146" s="11" t="str" cm="1">
        <f t="array" ref="E146">_xlfn.IFS(
    COUNTIF(Herramientas_eléctricas1862[Herramientas_eléctricas], B146) &gt; 0, Herramientas_eléctricas1862[[#Headers],[Herramientas_eléctricas]],
    COUNTIF(Herramientas_neumáticas1963[Herramientas_neumáticas], B146) &gt; 0, Herramientas_neumáticas1963[[#Headers],[Herramientas_neumáticas]],
    COUNTIF(Herramientas_de_medición2064[Herramientas_de_medición], B146) &gt; 0, Herramientas_de_medición2064[[#Headers],[Herramientas_de_medición]],
    COUNTIF(Herrramientas_mecánicas2165[Herramientas_mecánicas], B146) &gt; 0, Herrramientas_mecánicas2165[[#Headers],[Herramientas_mecánicas]],
    COUNTIF(AK146:AK152, B146) &gt; 0, Herramientas_hidráulicas2266[[#Headers],[Herramientas_hidráulicas]],
    COUNTIF(EPP_2367[SPCC], B146) &gt; 0, EPP_2367[[#Headers],[SPCC]],
   COUNTIF(Herramientas_de_izaje2468[Herramientas_de_izaje], B146) &gt; 0, Herramientas_de_izaje2468[[#Headers],[Herramientas_de_izaje]],
COUNTIF(Tabla162670[Equipos], B146) &gt; 0, Tabla162670[[#Headers],[Equipos]],
    TRUE, "Sin clasificación"
)</f>
        <v>Sin clasificación</v>
      </c>
      <c r="G146" s="15"/>
      <c r="H146" s="47"/>
      <c r="I146" s="87"/>
      <c r="J146" s="78"/>
      <c r="K146" s="78"/>
      <c r="L146" s="78"/>
      <c r="M146" s="78"/>
      <c r="N146" s="76"/>
      <c r="O146" s="76"/>
      <c r="P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-SinArea-0000</v>
      </c>
      <c r="Q146" s="77"/>
      <c r="R146" s="32"/>
      <c r="S146" s="32"/>
      <c r="T146" s="32"/>
      <c r="U146" s="32"/>
    </row>
    <row r="147" spans="3:21" x14ac:dyDescent="0.3">
      <c r="C147" s="11"/>
      <c r="D147" s="32"/>
      <c r="E147" s="11" t="str" cm="1">
        <f t="array" ref="E147">_xlfn.IFS(
    COUNTIF(Herramientas_eléctricas1862[Herramientas_eléctricas], B147) &gt; 0, Herramientas_eléctricas1862[[#Headers],[Herramientas_eléctricas]],
    COUNTIF(Herramientas_neumáticas1963[Herramientas_neumáticas], B147) &gt; 0, Herramientas_neumáticas1963[[#Headers],[Herramientas_neumáticas]],
    COUNTIF(Herramientas_de_medición2064[Herramientas_de_medición], B147) &gt; 0, Herramientas_de_medición2064[[#Headers],[Herramientas_de_medición]],
    COUNTIF(Herrramientas_mecánicas2165[Herramientas_mecánicas], B147) &gt; 0, Herrramientas_mecánicas2165[[#Headers],[Herramientas_mecánicas]],
    COUNTIF(AK147:AK153, B147) &gt; 0, Herramientas_hidráulicas2266[[#Headers],[Herramientas_hidráulicas]],
    COUNTIF(EPP_2367[SPCC], B147) &gt; 0, EPP_2367[[#Headers],[SPCC]],
   COUNTIF(Herramientas_de_izaje2468[Herramientas_de_izaje], B147) &gt; 0, Herramientas_de_izaje2468[[#Headers],[Herramientas_de_izaje]],
COUNTIF(Tabla162670[Equipos], B147) &gt; 0, Tabla162670[[#Headers],[Equipos]],
    TRUE, "Sin clasificación"
)</f>
        <v>Sin clasificación</v>
      </c>
      <c r="G147" s="15"/>
      <c r="H147" s="47"/>
      <c r="I147" s="87"/>
      <c r="J147" s="78"/>
      <c r="K147" s="78"/>
      <c r="L147" s="78"/>
      <c r="M147" s="78"/>
      <c r="N147" s="76"/>
      <c r="O147" s="76"/>
      <c r="P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-SinArea-0000</v>
      </c>
      <c r="Q147" s="77"/>
      <c r="R147" s="32"/>
      <c r="S147" s="32"/>
      <c r="T147" s="32"/>
      <c r="U147" s="32"/>
    </row>
    <row r="148" spans="3:21" x14ac:dyDescent="0.3">
      <c r="C148" s="11"/>
      <c r="D148" s="32"/>
      <c r="E148" s="11" t="str" cm="1">
        <f t="array" ref="E148">_xlfn.IFS(
    COUNTIF(Herramientas_eléctricas1862[Herramientas_eléctricas], B148) &gt; 0, Herramientas_eléctricas1862[[#Headers],[Herramientas_eléctricas]],
    COUNTIF(Herramientas_neumáticas1963[Herramientas_neumáticas], B148) &gt; 0, Herramientas_neumáticas1963[[#Headers],[Herramientas_neumáticas]],
    COUNTIF(Herramientas_de_medición2064[Herramientas_de_medición], B148) &gt; 0, Herramientas_de_medición2064[[#Headers],[Herramientas_de_medición]],
    COUNTIF(Herrramientas_mecánicas2165[Herramientas_mecánicas], B148) &gt; 0, Herrramientas_mecánicas2165[[#Headers],[Herramientas_mecánicas]],
    COUNTIF(AK148:AK154, B148) &gt; 0, Herramientas_hidráulicas2266[[#Headers],[Herramientas_hidráulicas]],
    COUNTIF(EPP_2367[SPCC], B148) &gt; 0, EPP_2367[[#Headers],[SPCC]],
   COUNTIF(Herramientas_de_izaje2468[Herramientas_de_izaje], B148) &gt; 0, Herramientas_de_izaje2468[[#Headers],[Herramientas_de_izaje]],
COUNTIF(Tabla162670[Equipos], B148) &gt; 0, Tabla162670[[#Headers],[Equipos]],
    TRUE, "Sin clasificación"
)</f>
        <v>Sin clasificación</v>
      </c>
      <c r="G148" s="15"/>
      <c r="H148" s="47"/>
      <c r="I148" s="87"/>
      <c r="J148" s="78"/>
      <c r="K148" s="78"/>
      <c r="L148" s="78"/>
      <c r="M148" s="78"/>
      <c r="N148" s="76"/>
      <c r="O148" s="76"/>
      <c r="P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-SinArea-0000</v>
      </c>
      <c r="Q148" s="77"/>
      <c r="R148" s="32"/>
      <c r="S148" s="32"/>
      <c r="T148" s="32"/>
      <c r="U148" s="32"/>
    </row>
    <row r="149" spans="3:21" x14ac:dyDescent="0.3">
      <c r="C149" s="11"/>
      <c r="D149" s="32"/>
      <c r="E149" s="11" t="str" cm="1">
        <f t="array" ref="E149">_xlfn.IFS(
    COUNTIF(Herramientas_eléctricas1862[Herramientas_eléctricas], B149) &gt; 0, Herramientas_eléctricas1862[[#Headers],[Herramientas_eléctricas]],
    COUNTIF(Herramientas_neumáticas1963[Herramientas_neumáticas], B149) &gt; 0, Herramientas_neumáticas1963[[#Headers],[Herramientas_neumáticas]],
    COUNTIF(Herramientas_de_medición2064[Herramientas_de_medición], B149) &gt; 0, Herramientas_de_medición2064[[#Headers],[Herramientas_de_medición]],
    COUNTIF(Herrramientas_mecánicas2165[Herramientas_mecánicas], B149) &gt; 0, Herrramientas_mecánicas2165[[#Headers],[Herramientas_mecánicas]],
    COUNTIF(AK149:AK155, B149) &gt; 0, Herramientas_hidráulicas2266[[#Headers],[Herramientas_hidráulicas]],
    COUNTIF(EPP_2367[SPCC], B149) &gt; 0, EPP_2367[[#Headers],[SPCC]],
   COUNTIF(Herramientas_de_izaje2468[Herramientas_de_izaje], B149) &gt; 0, Herramientas_de_izaje2468[[#Headers],[Herramientas_de_izaje]],
COUNTIF(Tabla162670[Equipos], B149) &gt; 0, Tabla162670[[#Headers],[Equipos]],
    TRUE, "Sin clasificación"
)</f>
        <v>Sin clasificación</v>
      </c>
      <c r="G149" s="15"/>
      <c r="H149" s="47"/>
      <c r="I149" s="87"/>
      <c r="J149" s="78"/>
      <c r="K149" s="78"/>
      <c r="L149" s="78"/>
      <c r="M149" s="78"/>
      <c r="N149" s="76"/>
      <c r="O149" s="76"/>
      <c r="P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-SinArea-0000</v>
      </c>
      <c r="Q149" s="77"/>
      <c r="R149" s="32"/>
      <c r="S149" s="32"/>
      <c r="T149" s="32"/>
      <c r="U149" s="32"/>
    </row>
    <row r="150" spans="3:21" x14ac:dyDescent="0.3">
      <c r="C150" s="11"/>
      <c r="D150" s="32"/>
      <c r="E150" s="11" t="str" cm="1">
        <f t="array" ref="E150">_xlfn.IFS(
    COUNTIF(Herramientas_eléctricas1862[Herramientas_eléctricas], B150) &gt; 0, Herramientas_eléctricas1862[[#Headers],[Herramientas_eléctricas]],
    COUNTIF(Herramientas_neumáticas1963[Herramientas_neumáticas], B150) &gt; 0, Herramientas_neumáticas1963[[#Headers],[Herramientas_neumáticas]],
    COUNTIF(Herramientas_de_medición2064[Herramientas_de_medición], B150) &gt; 0, Herramientas_de_medición2064[[#Headers],[Herramientas_de_medición]],
    COUNTIF(Herrramientas_mecánicas2165[Herramientas_mecánicas], B150) &gt; 0, Herrramientas_mecánicas2165[[#Headers],[Herramientas_mecánicas]],
    COUNTIF(AK150:AK156, B150) &gt; 0, Herramientas_hidráulicas2266[[#Headers],[Herramientas_hidráulicas]],
    COUNTIF(EPP_2367[SPCC], B150) &gt; 0, EPP_2367[[#Headers],[SPCC]],
   COUNTIF(Herramientas_de_izaje2468[Herramientas_de_izaje], B150) &gt; 0, Herramientas_de_izaje2468[[#Headers],[Herramientas_de_izaje]],
COUNTIF(Tabla162670[Equipos], B150) &gt; 0, Tabla162670[[#Headers],[Equipos]],
    TRUE, "Sin clasificación"
)</f>
        <v>Sin clasificación</v>
      </c>
      <c r="G150" s="15"/>
      <c r="H150" s="47"/>
      <c r="I150" s="87"/>
      <c r="J150" s="78"/>
      <c r="K150" s="78"/>
      <c r="L150" s="78"/>
      <c r="M150" s="78"/>
      <c r="N150" s="76"/>
      <c r="O150" s="76"/>
      <c r="P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-SinArea-0000</v>
      </c>
      <c r="Q150" s="77"/>
      <c r="R150" s="32"/>
      <c r="S150" s="32"/>
      <c r="T150" s="32"/>
      <c r="U150" s="32"/>
    </row>
    <row r="151" spans="3:21" x14ac:dyDescent="0.3">
      <c r="C151" s="11"/>
      <c r="D151" s="32"/>
      <c r="E151" s="11" t="str" cm="1">
        <f t="array" ref="E151">_xlfn.IFS(
    COUNTIF(Herramientas_eléctricas1862[Herramientas_eléctricas], B151) &gt; 0, Herramientas_eléctricas1862[[#Headers],[Herramientas_eléctricas]],
    COUNTIF(Herramientas_neumáticas1963[Herramientas_neumáticas], B151) &gt; 0, Herramientas_neumáticas1963[[#Headers],[Herramientas_neumáticas]],
    COUNTIF(Herramientas_de_medición2064[Herramientas_de_medición], B151) &gt; 0, Herramientas_de_medición2064[[#Headers],[Herramientas_de_medición]],
    COUNTIF(Herrramientas_mecánicas2165[Herramientas_mecánicas], B151) &gt; 0, Herrramientas_mecánicas2165[[#Headers],[Herramientas_mecánicas]],
    COUNTIF(AK151:AK157, B151) &gt; 0, Herramientas_hidráulicas2266[[#Headers],[Herramientas_hidráulicas]],
    COUNTIF(EPP_2367[SPCC], B151) &gt; 0, EPP_2367[[#Headers],[SPCC]],
   COUNTIF(Herramientas_de_izaje2468[Herramientas_de_izaje], B151) &gt; 0, Herramientas_de_izaje2468[[#Headers],[Herramientas_de_izaje]],
COUNTIF(Tabla162670[Equipos], B151) &gt; 0, Tabla162670[[#Headers],[Equipos]],
    TRUE, "Sin clasificación"
)</f>
        <v>Sin clasificación</v>
      </c>
      <c r="G151" s="15"/>
      <c r="H151" s="47"/>
      <c r="I151" s="87"/>
      <c r="J151" s="78"/>
      <c r="K151" s="78"/>
      <c r="L151" s="78"/>
      <c r="M151" s="78"/>
      <c r="N151" s="76"/>
      <c r="O151" s="76"/>
      <c r="P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-SinArea-0000</v>
      </c>
      <c r="Q151" s="77"/>
      <c r="R151" s="32"/>
      <c r="S151" s="32"/>
      <c r="T151" s="32"/>
      <c r="U151" s="32"/>
    </row>
    <row r="152" spans="3:21" x14ac:dyDescent="0.3">
      <c r="C152" s="11"/>
      <c r="D152" s="32"/>
      <c r="E152" s="11" t="str" cm="1">
        <f t="array" ref="E152">_xlfn.IFS(
    COUNTIF(Herramientas_eléctricas1862[Herramientas_eléctricas], B152) &gt; 0, Herramientas_eléctricas1862[[#Headers],[Herramientas_eléctricas]],
    COUNTIF(Herramientas_neumáticas1963[Herramientas_neumáticas], B152) &gt; 0, Herramientas_neumáticas1963[[#Headers],[Herramientas_neumáticas]],
    COUNTIF(Herramientas_de_medición2064[Herramientas_de_medición], B152) &gt; 0, Herramientas_de_medición2064[[#Headers],[Herramientas_de_medición]],
    COUNTIF(Herrramientas_mecánicas2165[Herramientas_mecánicas], B152) &gt; 0, Herrramientas_mecánicas2165[[#Headers],[Herramientas_mecánicas]],
    COUNTIF(AK152:AK158, B152) &gt; 0, Herramientas_hidráulicas2266[[#Headers],[Herramientas_hidráulicas]],
    COUNTIF(EPP_2367[SPCC], B152) &gt; 0, EPP_2367[[#Headers],[SPCC]],
   COUNTIF(Herramientas_de_izaje2468[Herramientas_de_izaje], B152) &gt; 0, Herramientas_de_izaje2468[[#Headers],[Herramientas_de_izaje]],
COUNTIF(Tabla162670[Equipos], B152) &gt; 0, Tabla162670[[#Headers],[Equipos]],
    TRUE, "Sin clasificación"
)</f>
        <v>Sin clasificación</v>
      </c>
      <c r="G152" s="15"/>
      <c r="H152" s="47"/>
      <c r="I152" s="87"/>
      <c r="J152" s="78"/>
      <c r="K152" s="78"/>
      <c r="L152" s="78"/>
      <c r="M152" s="78"/>
      <c r="N152" s="76"/>
      <c r="O152" s="76"/>
      <c r="P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-SinArea-0000</v>
      </c>
      <c r="Q152" s="77"/>
      <c r="R152" s="32"/>
      <c r="S152" s="32"/>
      <c r="T152" s="32"/>
      <c r="U152" s="32"/>
    </row>
    <row r="153" spans="3:21" x14ac:dyDescent="0.3">
      <c r="C153" s="11"/>
      <c r="D153" s="32"/>
      <c r="E153" s="11" t="str" cm="1">
        <f t="array" ref="E153">_xlfn.IFS(
    COUNTIF(Herramientas_eléctricas1862[Herramientas_eléctricas], B153) &gt; 0, Herramientas_eléctricas1862[[#Headers],[Herramientas_eléctricas]],
    COUNTIF(Herramientas_neumáticas1963[Herramientas_neumáticas], B153) &gt; 0, Herramientas_neumáticas1963[[#Headers],[Herramientas_neumáticas]],
    COUNTIF(Herramientas_de_medición2064[Herramientas_de_medición], B153) &gt; 0, Herramientas_de_medición2064[[#Headers],[Herramientas_de_medición]],
    COUNTIF(Herrramientas_mecánicas2165[Herramientas_mecánicas], B153) &gt; 0, Herrramientas_mecánicas2165[[#Headers],[Herramientas_mecánicas]],
    COUNTIF(AK153:AK159, B153) &gt; 0, Herramientas_hidráulicas2266[[#Headers],[Herramientas_hidráulicas]],
    COUNTIF(EPP_2367[SPCC], B153) &gt; 0, EPP_2367[[#Headers],[SPCC]],
   COUNTIF(Herramientas_de_izaje2468[Herramientas_de_izaje], B153) &gt; 0, Herramientas_de_izaje2468[[#Headers],[Herramientas_de_izaje]],
COUNTIF(Tabla162670[Equipos], B153) &gt; 0, Tabla162670[[#Headers],[Equipos]],
    TRUE, "Sin clasificación"
)</f>
        <v>Sin clasificación</v>
      </c>
      <c r="G153" s="15"/>
      <c r="H153" s="47"/>
      <c r="I153" s="87"/>
      <c r="J153" s="78"/>
      <c r="K153" s="78"/>
      <c r="L153" s="78"/>
      <c r="M153" s="78"/>
      <c r="N153" s="76"/>
      <c r="O153" s="76"/>
      <c r="P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-SinArea-0000</v>
      </c>
      <c r="Q153" s="77"/>
      <c r="R153" s="32"/>
      <c r="S153" s="32"/>
      <c r="T153" s="32"/>
      <c r="U153" s="32"/>
    </row>
    <row r="154" spans="3:21" x14ac:dyDescent="0.3">
      <c r="C154" s="11"/>
      <c r="D154" s="32"/>
      <c r="E154" s="11" t="str" cm="1">
        <f t="array" ref="E154">_xlfn.IFS(
    COUNTIF(Herramientas_eléctricas1862[Herramientas_eléctricas], B154) &gt; 0, Herramientas_eléctricas1862[[#Headers],[Herramientas_eléctricas]],
    COUNTIF(Herramientas_neumáticas1963[Herramientas_neumáticas], B154) &gt; 0, Herramientas_neumáticas1963[[#Headers],[Herramientas_neumáticas]],
    COUNTIF(Herramientas_de_medición2064[Herramientas_de_medición], B154) &gt; 0, Herramientas_de_medición2064[[#Headers],[Herramientas_de_medición]],
    COUNTIF(Herrramientas_mecánicas2165[Herramientas_mecánicas], B154) &gt; 0, Herrramientas_mecánicas2165[[#Headers],[Herramientas_mecánicas]],
    COUNTIF(AK154:AK160, B154) &gt; 0, Herramientas_hidráulicas2266[[#Headers],[Herramientas_hidráulicas]],
    COUNTIF(EPP_2367[SPCC], B154) &gt; 0, EPP_2367[[#Headers],[SPCC]],
   COUNTIF(Herramientas_de_izaje2468[Herramientas_de_izaje], B154) &gt; 0, Herramientas_de_izaje2468[[#Headers],[Herramientas_de_izaje]],
COUNTIF(Tabla162670[Equipos], B154) &gt; 0, Tabla162670[[#Headers],[Equipos]],
    TRUE, "Sin clasificación"
)</f>
        <v>Sin clasificación</v>
      </c>
      <c r="G154" s="15"/>
      <c r="H154" s="47"/>
      <c r="I154" s="87"/>
      <c r="J154" s="78"/>
      <c r="K154" s="78"/>
      <c r="L154" s="78"/>
      <c r="M154" s="78"/>
      <c r="N154" s="76"/>
      <c r="O154" s="76"/>
      <c r="P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-SinArea-0000</v>
      </c>
      <c r="Q154" s="77"/>
      <c r="R154" s="32"/>
      <c r="S154" s="32"/>
      <c r="T154" s="32"/>
      <c r="U154" s="32"/>
    </row>
    <row r="155" spans="3:21" x14ac:dyDescent="0.3">
      <c r="C155" s="11"/>
      <c r="D155" s="32"/>
      <c r="E155" s="11" t="str" cm="1">
        <f t="array" ref="E155">_xlfn.IFS(
    COUNTIF(Herramientas_eléctricas1862[Herramientas_eléctricas], B155) &gt; 0, Herramientas_eléctricas1862[[#Headers],[Herramientas_eléctricas]],
    COUNTIF(Herramientas_neumáticas1963[Herramientas_neumáticas], B155) &gt; 0, Herramientas_neumáticas1963[[#Headers],[Herramientas_neumáticas]],
    COUNTIF(Herramientas_de_medición2064[Herramientas_de_medición], B155) &gt; 0, Herramientas_de_medición2064[[#Headers],[Herramientas_de_medición]],
    COUNTIF(Herrramientas_mecánicas2165[Herramientas_mecánicas], B155) &gt; 0, Herrramientas_mecánicas2165[[#Headers],[Herramientas_mecánicas]],
    COUNTIF(AK155:AK161, B155) &gt; 0, Herramientas_hidráulicas2266[[#Headers],[Herramientas_hidráulicas]],
    COUNTIF(EPP_2367[SPCC], B155) &gt; 0, EPP_2367[[#Headers],[SPCC]],
   COUNTIF(Herramientas_de_izaje2468[Herramientas_de_izaje], B155) &gt; 0, Herramientas_de_izaje2468[[#Headers],[Herramientas_de_izaje]],
COUNTIF(Tabla162670[Equipos], B155) &gt; 0, Tabla162670[[#Headers],[Equipos]],
    TRUE, "Sin clasificación"
)</f>
        <v>Sin clasificación</v>
      </c>
      <c r="G155" s="15"/>
      <c r="H155" s="47"/>
      <c r="I155" s="87"/>
      <c r="J155" s="78"/>
      <c r="K155" s="78"/>
      <c r="L155" s="78"/>
      <c r="M155" s="78"/>
      <c r="N155" s="76"/>
      <c r="O155" s="76"/>
      <c r="P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-SinArea-0000</v>
      </c>
      <c r="Q155" s="77"/>
      <c r="R155" s="32"/>
      <c r="S155" s="32"/>
      <c r="T155" s="32"/>
      <c r="U155" s="32"/>
    </row>
    <row r="156" spans="3:21" x14ac:dyDescent="0.3">
      <c r="C156" s="11"/>
      <c r="D156" s="32"/>
      <c r="E156" s="11" t="str" cm="1">
        <f t="array" ref="E156">_xlfn.IFS(
    COUNTIF(Herramientas_eléctricas1862[Herramientas_eléctricas], B156) &gt; 0, Herramientas_eléctricas1862[[#Headers],[Herramientas_eléctricas]],
    COUNTIF(Herramientas_neumáticas1963[Herramientas_neumáticas], B156) &gt; 0, Herramientas_neumáticas1963[[#Headers],[Herramientas_neumáticas]],
    COUNTIF(Herramientas_de_medición2064[Herramientas_de_medición], B156) &gt; 0, Herramientas_de_medición2064[[#Headers],[Herramientas_de_medición]],
    COUNTIF(Herrramientas_mecánicas2165[Herramientas_mecánicas], B156) &gt; 0, Herrramientas_mecánicas2165[[#Headers],[Herramientas_mecánicas]],
    COUNTIF(AK156:AK162, B156) &gt; 0, Herramientas_hidráulicas2266[[#Headers],[Herramientas_hidráulicas]],
    COUNTIF(EPP_2367[SPCC], B156) &gt; 0, EPP_2367[[#Headers],[SPCC]],
   COUNTIF(Herramientas_de_izaje2468[Herramientas_de_izaje], B156) &gt; 0, Herramientas_de_izaje2468[[#Headers],[Herramientas_de_izaje]],
COUNTIF(Tabla162670[Equipos], B156) &gt; 0, Tabla162670[[#Headers],[Equipos]],
    TRUE, "Sin clasificación"
)</f>
        <v>Sin clasificación</v>
      </c>
      <c r="G156" s="15"/>
      <c r="H156" s="47"/>
      <c r="I156" s="87"/>
      <c r="J156" s="78"/>
      <c r="K156" s="78"/>
      <c r="L156" s="78"/>
      <c r="M156" s="78"/>
      <c r="N156" s="76"/>
      <c r="O156" s="76"/>
      <c r="P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-SinArea-0000</v>
      </c>
      <c r="Q156" s="77"/>
      <c r="R156" s="32"/>
      <c r="S156" s="32"/>
      <c r="T156" s="32"/>
      <c r="U156" s="32"/>
    </row>
    <row r="157" spans="3:21" x14ac:dyDescent="0.3">
      <c r="C157" s="11"/>
      <c r="D157" s="32"/>
      <c r="E157" s="11" t="str" cm="1">
        <f t="array" ref="E157">_xlfn.IFS(
    COUNTIF(Herramientas_eléctricas1862[Herramientas_eléctricas], B157) &gt; 0, Herramientas_eléctricas1862[[#Headers],[Herramientas_eléctricas]],
    COUNTIF(Herramientas_neumáticas1963[Herramientas_neumáticas], B157) &gt; 0, Herramientas_neumáticas1963[[#Headers],[Herramientas_neumáticas]],
    COUNTIF(Herramientas_de_medición2064[Herramientas_de_medición], B157) &gt; 0, Herramientas_de_medición2064[[#Headers],[Herramientas_de_medición]],
    COUNTIF(Herrramientas_mecánicas2165[Herramientas_mecánicas], B157) &gt; 0, Herrramientas_mecánicas2165[[#Headers],[Herramientas_mecánicas]],
    COUNTIF(AK157:AK163, B157) &gt; 0, Herramientas_hidráulicas2266[[#Headers],[Herramientas_hidráulicas]],
    COUNTIF(EPP_2367[SPCC], B157) &gt; 0, EPP_2367[[#Headers],[SPCC]],
   COUNTIF(Herramientas_de_izaje2468[Herramientas_de_izaje], B157) &gt; 0, Herramientas_de_izaje2468[[#Headers],[Herramientas_de_izaje]],
COUNTIF(Tabla162670[Equipos], B157) &gt; 0, Tabla162670[[#Headers],[Equipos]],
    TRUE, "Sin clasificación"
)</f>
        <v>Sin clasificación</v>
      </c>
      <c r="G157" s="15"/>
      <c r="H157" s="47"/>
      <c r="I157" s="87"/>
      <c r="J157" s="78"/>
      <c r="K157" s="78"/>
      <c r="L157" s="78"/>
      <c r="M157" s="78"/>
      <c r="N157" s="76"/>
      <c r="O157" s="76"/>
      <c r="P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Q157" s="77"/>
      <c r="R157" s="32"/>
      <c r="S157" s="32"/>
      <c r="T157" s="32"/>
      <c r="U157" s="32"/>
    </row>
    <row r="158" spans="3:21" x14ac:dyDescent="0.3">
      <c r="C158" s="11"/>
      <c r="D158" s="32"/>
      <c r="E158" s="11" t="str" cm="1">
        <f t="array" ref="E158">_xlfn.IFS(
    COUNTIF(Herramientas_eléctricas1862[Herramientas_eléctricas], B158) &gt; 0, Herramientas_eléctricas1862[[#Headers],[Herramientas_eléctricas]],
    COUNTIF(Herramientas_neumáticas1963[Herramientas_neumáticas], B158) &gt; 0, Herramientas_neumáticas1963[[#Headers],[Herramientas_neumáticas]],
    COUNTIF(Herramientas_de_medición2064[Herramientas_de_medición], B158) &gt; 0, Herramientas_de_medición2064[[#Headers],[Herramientas_de_medición]],
    COUNTIF(Herrramientas_mecánicas2165[Herramientas_mecánicas], B158) &gt; 0, Herrramientas_mecánicas2165[[#Headers],[Herramientas_mecánicas]],
    COUNTIF(AK158:AK164, B158) &gt; 0, Herramientas_hidráulicas2266[[#Headers],[Herramientas_hidráulicas]],
    COUNTIF(EPP_2367[SPCC], B158) &gt; 0, EPP_2367[[#Headers],[SPCC]],
   COUNTIF(Herramientas_de_izaje2468[Herramientas_de_izaje], B158) &gt; 0, Herramientas_de_izaje2468[[#Headers],[Herramientas_de_izaje]],
COUNTIF(Tabla162670[Equipos], B158) &gt; 0, Tabla162670[[#Headers],[Equipos]],
    TRUE, "Sin clasificación"
)</f>
        <v>Sin clasificación</v>
      </c>
      <c r="G158" s="15"/>
      <c r="H158" s="47"/>
      <c r="I158" s="87"/>
      <c r="J158" s="78"/>
      <c r="K158" s="78"/>
      <c r="L158" s="78"/>
      <c r="M158" s="78"/>
      <c r="N158" s="76"/>
      <c r="O158" s="76"/>
      <c r="P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Q158" s="77"/>
      <c r="R158" s="32"/>
      <c r="S158" s="32"/>
      <c r="T158" s="32"/>
      <c r="U158" s="32"/>
    </row>
    <row r="159" spans="3:21" x14ac:dyDescent="0.3">
      <c r="C159" s="11"/>
      <c r="D159" s="32"/>
      <c r="E159" s="11" t="str" cm="1">
        <f t="array" ref="E159">_xlfn.IFS(
    COUNTIF(Herramientas_eléctricas1862[Herramientas_eléctricas], B159) &gt; 0, Herramientas_eléctricas1862[[#Headers],[Herramientas_eléctricas]],
    COUNTIF(Herramientas_neumáticas1963[Herramientas_neumáticas], B159) &gt; 0, Herramientas_neumáticas1963[[#Headers],[Herramientas_neumáticas]],
    COUNTIF(Herramientas_de_medición2064[Herramientas_de_medición], B159) &gt; 0, Herramientas_de_medición2064[[#Headers],[Herramientas_de_medición]],
    COUNTIF(Herrramientas_mecánicas2165[Herramientas_mecánicas], B159) &gt; 0, Herrramientas_mecánicas2165[[#Headers],[Herramientas_mecánicas]],
    COUNTIF(AK159:AK165, B159) &gt; 0, Herramientas_hidráulicas2266[[#Headers],[Herramientas_hidráulicas]],
    COUNTIF(EPP_2367[SPCC], B159) &gt; 0, EPP_2367[[#Headers],[SPCC]],
   COUNTIF(Herramientas_de_izaje2468[Herramientas_de_izaje], B159) &gt; 0, Herramientas_de_izaje2468[[#Headers],[Herramientas_de_izaje]],
COUNTIF(Tabla162670[Equipos], B159) &gt; 0, Tabla162670[[#Headers],[Equipos]],
    TRUE, "Sin clasificación"
)</f>
        <v>Sin clasificación</v>
      </c>
      <c r="G159" s="15"/>
      <c r="H159" s="47"/>
      <c r="I159" s="87"/>
      <c r="J159" s="78"/>
      <c r="K159" s="78"/>
      <c r="L159" s="78"/>
      <c r="M159" s="78"/>
      <c r="N159" s="76"/>
      <c r="O159" s="76"/>
      <c r="P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Q159" s="77"/>
      <c r="R159" s="32"/>
      <c r="S159" s="32"/>
      <c r="T159" s="32"/>
      <c r="U159" s="32"/>
    </row>
    <row r="160" spans="3:21" x14ac:dyDescent="0.3">
      <c r="C160" s="11"/>
      <c r="D160" s="32"/>
      <c r="E160" s="11" t="str" cm="1">
        <f t="array" ref="E160">_xlfn.IFS(
    COUNTIF(Herramientas_eléctricas1862[Herramientas_eléctricas], B160) &gt; 0, Herramientas_eléctricas1862[[#Headers],[Herramientas_eléctricas]],
    COUNTIF(Herramientas_neumáticas1963[Herramientas_neumáticas], B160) &gt; 0, Herramientas_neumáticas1963[[#Headers],[Herramientas_neumáticas]],
    COUNTIF(Herramientas_de_medición2064[Herramientas_de_medición], B160) &gt; 0, Herramientas_de_medición2064[[#Headers],[Herramientas_de_medición]],
    COUNTIF(Herrramientas_mecánicas2165[Herramientas_mecánicas], B160) &gt; 0, Herrramientas_mecánicas2165[[#Headers],[Herramientas_mecánicas]],
    COUNTIF(AK160:AK166, B160) &gt; 0, Herramientas_hidráulicas2266[[#Headers],[Herramientas_hidráulicas]],
    COUNTIF(EPP_2367[SPCC], B160) &gt; 0, EPP_2367[[#Headers],[SPCC]],
   COUNTIF(Herramientas_de_izaje2468[Herramientas_de_izaje], B160) &gt; 0, Herramientas_de_izaje2468[[#Headers],[Herramientas_de_izaje]],
COUNTIF(Tabla162670[Equipos], B160) &gt; 0, Tabla162670[[#Headers],[Equipos]],
    TRUE, "Sin clasificación"
)</f>
        <v>Sin clasificación</v>
      </c>
      <c r="G160" s="15"/>
      <c r="H160" s="47"/>
      <c r="I160" s="87"/>
      <c r="J160" s="78"/>
      <c r="K160" s="78"/>
      <c r="L160" s="78"/>
      <c r="M160" s="78"/>
      <c r="N160" s="76"/>
      <c r="O160" s="76"/>
      <c r="P160" s="78" t="str">
        <f>_xlfn.LET(
    _xlpm.itemBuscado, B160,
    _xlpm.areaBuscada, C160,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TEXT(COUNTIF($C$2:C160, _xlpm.areaBuscada), "0000"),
    _xlpm.codItem &amp; "-" &amp; _xlpm.codArea &amp; "-" &amp; _xlpm.secuencia
)</f>
        <v>-SinArea-0000</v>
      </c>
      <c r="Q160" s="77"/>
      <c r="R160" s="32"/>
      <c r="S160" s="32"/>
      <c r="T160" s="32"/>
      <c r="U160" s="32"/>
    </row>
    <row r="161" spans="3:21" x14ac:dyDescent="0.3">
      <c r="C161" s="11"/>
      <c r="D161" s="32"/>
      <c r="E161" s="11" t="str" cm="1">
        <f t="array" ref="E161">_xlfn.IFS(
    COUNTIF(Herramientas_eléctricas1862[Herramientas_eléctricas], B161) &gt; 0, Herramientas_eléctricas1862[[#Headers],[Herramientas_eléctricas]],
    COUNTIF(Herramientas_neumáticas1963[Herramientas_neumáticas], B161) &gt; 0, Herramientas_neumáticas1963[[#Headers],[Herramientas_neumáticas]],
    COUNTIF(Herramientas_de_medición2064[Herramientas_de_medición], B161) &gt; 0, Herramientas_de_medición2064[[#Headers],[Herramientas_de_medición]],
    COUNTIF(Herrramientas_mecánicas2165[Herramientas_mecánicas], B161) &gt; 0, Herrramientas_mecánicas2165[[#Headers],[Herramientas_mecánicas]],
    COUNTIF(AK161:AK167, B161) &gt; 0, Herramientas_hidráulicas2266[[#Headers],[Herramientas_hidráulicas]],
    COUNTIF(EPP_2367[SPCC], B161) &gt; 0, EPP_2367[[#Headers],[SPCC]],
   COUNTIF(Herramientas_de_izaje2468[Herramientas_de_izaje], B161) &gt; 0, Herramientas_de_izaje2468[[#Headers],[Herramientas_de_izaje]],
COUNTIF(Tabla162670[Equipos], B161) &gt; 0, Tabla162670[[#Headers],[Equipos]],
    TRUE, "Sin clasificación"
)</f>
        <v>Sin clasificación</v>
      </c>
      <c r="G161" s="15"/>
      <c r="H161" s="47"/>
      <c r="I161" s="87"/>
      <c r="J161" s="78"/>
      <c r="K161" s="78"/>
      <c r="L161" s="78"/>
      <c r="M161" s="78"/>
      <c r="N161" s="76"/>
      <c r="O161" s="76"/>
      <c r="P161" s="78" t="str">
        <f>_xlfn.LET(
    _xlpm.itemBuscado, B161,
    _xlpm.areaBuscada, C161,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TEXT(COUNTIF($C$2:C161, _xlpm.areaBuscada), "0000"),
    _xlpm.codItem &amp; "-" &amp; _xlpm.codArea &amp; "-" &amp; _xlpm.secuencia
)</f>
        <v>-SinArea-0000</v>
      </c>
      <c r="Q161" s="77"/>
      <c r="R161" s="32"/>
      <c r="S161" s="32"/>
      <c r="T161" s="32"/>
      <c r="U161" s="32"/>
    </row>
    <row r="162" spans="3:21" x14ac:dyDescent="0.3">
      <c r="C162" s="11"/>
      <c r="D162" s="32"/>
      <c r="E162" s="11" t="str" cm="1">
        <f t="array" ref="E162">_xlfn.IFS(
    COUNTIF(Herramientas_eléctricas1862[Herramientas_eléctricas], B162) &gt; 0, Herramientas_eléctricas1862[[#Headers],[Herramientas_eléctricas]],
    COUNTIF(Herramientas_neumáticas1963[Herramientas_neumáticas], B162) &gt; 0, Herramientas_neumáticas1963[[#Headers],[Herramientas_neumáticas]],
    COUNTIF(Herramientas_de_medición2064[Herramientas_de_medición], B162) &gt; 0, Herramientas_de_medición2064[[#Headers],[Herramientas_de_medición]],
    COUNTIF(Herrramientas_mecánicas2165[Herramientas_mecánicas], B162) &gt; 0, Herrramientas_mecánicas2165[[#Headers],[Herramientas_mecánicas]],
    COUNTIF(AK162:AK168, B162) &gt; 0, Herramientas_hidráulicas2266[[#Headers],[Herramientas_hidráulicas]],
    COUNTIF(EPP_2367[SPCC], B162) &gt; 0, EPP_2367[[#Headers],[SPCC]],
   COUNTIF(Herramientas_de_izaje2468[Herramientas_de_izaje], B162) &gt; 0, Herramientas_de_izaje2468[[#Headers],[Herramientas_de_izaje]],
COUNTIF(Tabla162670[Equipos], B162) &gt; 0, Tabla162670[[#Headers],[Equipos]],
    TRUE, "Sin clasificación"
)</f>
        <v>Sin clasificación</v>
      </c>
      <c r="G162" s="15"/>
      <c r="H162" s="47"/>
      <c r="I162" s="87"/>
      <c r="J162" s="78"/>
      <c r="K162" s="78"/>
      <c r="L162" s="78"/>
      <c r="M162" s="78"/>
      <c r="N162" s="76"/>
      <c r="O162" s="76"/>
      <c r="P162" s="78" t="str">
        <f>_xlfn.LET(
    _xlpm.itemBuscado, B162,
    _xlpm.areaBuscada, C162,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TEXT(COUNTIF($C$2:C162, _xlpm.areaBuscada), "0000"),
    _xlpm.codItem &amp; "-" &amp; _xlpm.codArea &amp; "-" &amp; _xlpm.secuencia
)</f>
        <v>-SinArea-0000</v>
      </c>
      <c r="Q162" s="77"/>
      <c r="R162" s="32"/>
      <c r="S162" s="32"/>
      <c r="T162" s="32"/>
      <c r="U162" s="32"/>
    </row>
    <row r="163" spans="3:21" x14ac:dyDescent="0.3">
      <c r="C163" s="11"/>
      <c r="D163" s="32"/>
      <c r="E163" s="11" t="str" cm="1">
        <f t="array" ref="E163">_xlfn.IFS(
    COUNTIF(Herramientas_eléctricas1862[Herramientas_eléctricas], B163) &gt; 0, Herramientas_eléctricas1862[[#Headers],[Herramientas_eléctricas]],
    COUNTIF(Herramientas_neumáticas1963[Herramientas_neumáticas], B163) &gt; 0, Herramientas_neumáticas1963[[#Headers],[Herramientas_neumáticas]],
    COUNTIF(Herramientas_de_medición2064[Herramientas_de_medición], B163) &gt; 0, Herramientas_de_medición2064[[#Headers],[Herramientas_de_medición]],
    COUNTIF(Herrramientas_mecánicas2165[Herramientas_mecánicas], B163) &gt; 0, Herrramientas_mecánicas2165[[#Headers],[Herramientas_mecánicas]],
    COUNTIF(AK163:AK169, B163) &gt; 0, Herramientas_hidráulicas2266[[#Headers],[Herramientas_hidráulicas]],
    COUNTIF(EPP_2367[SPCC], B163) &gt; 0, EPP_2367[[#Headers],[SPCC]],
   COUNTIF(Herramientas_de_izaje2468[Herramientas_de_izaje], B163) &gt; 0, Herramientas_de_izaje2468[[#Headers],[Herramientas_de_izaje]],
COUNTIF(Tabla162670[Equipos], B163) &gt; 0, Tabla162670[[#Headers],[Equipos]],
    TRUE, "Sin clasificación"
)</f>
        <v>Sin clasificación</v>
      </c>
      <c r="G163" s="15"/>
      <c r="H163" s="47"/>
      <c r="I163" s="87"/>
      <c r="J163" s="78"/>
      <c r="K163" s="78"/>
      <c r="L163" s="78"/>
      <c r="M163" s="78"/>
      <c r="N163" s="76"/>
      <c r="O163" s="76"/>
      <c r="P163" s="78" t="str">
        <f>_xlfn.LET(
    _xlpm.itemBuscado, B163,
    _xlpm.areaBuscada, C163,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TEXT(COUNTIF($C$2:C163, _xlpm.areaBuscada), "0000"),
    _xlpm.codItem &amp; "-" &amp; _xlpm.codArea &amp; "-" &amp; _xlpm.secuencia
)</f>
        <v>-SinArea-0000</v>
      </c>
      <c r="Q163" s="77"/>
      <c r="R163" s="32"/>
      <c r="S163" s="32"/>
      <c r="T163" s="32"/>
      <c r="U163" s="32"/>
    </row>
    <row r="164" spans="3:21" x14ac:dyDescent="0.3">
      <c r="C164" s="11"/>
      <c r="D164" s="32"/>
      <c r="E164" s="11" t="str" cm="1">
        <f t="array" ref="E164">_xlfn.IFS(
    COUNTIF(Herramientas_eléctricas1862[Herramientas_eléctricas], B164) &gt; 0, Herramientas_eléctricas1862[[#Headers],[Herramientas_eléctricas]],
    COUNTIF(Herramientas_neumáticas1963[Herramientas_neumáticas], B164) &gt; 0, Herramientas_neumáticas1963[[#Headers],[Herramientas_neumáticas]],
    COUNTIF(Herramientas_de_medición2064[Herramientas_de_medición], B164) &gt; 0, Herramientas_de_medición2064[[#Headers],[Herramientas_de_medición]],
    COUNTIF(Herrramientas_mecánicas2165[Herramientas_mecánicas], B164) &gt; 0, Herrramientas_mecánicas2165[[#Headers],[Herramientas_mecánicas]],
    COUNTIF(AK164:AK170, B164) &gt; 0, Herramientas_hidráulicas2266[[#Headers],[Herramientas_hidráulicas]],
    COUNTIF(EPP_2367[SPCC], B164) &gt; 0, EPP_2367[[#Headers],[SPCC]],
   COUNTIF(Herramientas_de_izaje2468[Herramientas_de_izaje], B164) &gt; 0, Herramientas_de_izaje2468[[#Headers],[Herramientas_de_izaje]],
COUNTIF(Tabla162670[Equipos], B164) &gt; 0, Tabla162670[[#Headers],[Equipos]],
    TRUE, "Sin clasificación"
)</f>
        <v>Sin clasificación</v>
      </c>
      <c r="G164" s="15"/>
      <c r="H164" s="47"/>
      <c r="I164" s="87"/>
      <c r="J164" s="78"/>
      <c r="K164" s="78"/>
      <c r="L164" s="78"/>
      <c r="M164" s="78"/>
      <c r="N164" s="76"/>
      <c r="O164" s="76"/>
      <c r="P164" s="78" t="str">
        <f>_xlfn.LET(
    _xlpm.itemBuscado, B164,
    _xlpm.areaBuscada, C164,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TEXT(COUNTIF($C$2:C164, _xlpm.areaBuscada), "0000"),
    _xlpm.codItem &amp; "-" &amp; _xlpm.codArea &amp; "-" &amp; _xlpm.secuencia
)</f>
        <v>-SinArea-0000</v>
      </c>
      <c r="Q164" s="77"/>
      <c r="R164" s="32"/>
      <c r="S164" s="32"/>
      <c r="T164" s="32"/>
      <c r="U164" s="32"/>
    </row>
    <row r="165" spans="3:21" x14ac:dyDescent="0.3">
      <c r="C165" s="11"/>
      <c r="D165" s="32"/>
      <c r="E165" s="11" t="str" cm="1">
        <f t="array" ref="E165">_xlfn.IFS(
    COUNTIF(Herramientas_eléctricas1862[Herramientas_eléctricas], B165) &gt; 0, Herramientas_eléctricas1862[[#Headers],[Herramientas_eléctricas]],
    COUNTIF(Herramientas_neumáticas1963[Herramientas_neumáticas], B165) &gt; 0, Herramientas_neumáticas1963[[#Headers],[Herramientas_neumáticas]],
    COUNTIF(Herramientas_de_medición2064[Herramientas_de_medición], B165) &gt; 0, Herramientas_de_medición2064[[#Headers],[Herramientas_de_medición]],
    COUNTIF(Herrramientas_mecánicas2165[Herramientas_mecánicas], B165) &gt; 0, Herrramientas_mecánicas2165[[#Headers],[Herramientas_mecánicas]],
    COUNTIF(AK165:AK171, B165) &gt; 0, Herramientas_hidráulicas2266[[#Headers],[Herramientas_hidráulicas]],
    COUNTIF(EPP_2367[SPCC], B165) &gt; 0, EPP_2367[[#Headers],[SPCC]],
   COUNTIF(Herramientas_de_izaje2468[Herramientas_de_izaje], B165) &gt; 0, Herramientas_de_izaje2468[[#Headers],[Herramientas_de_izaje]],
COUNTIF(Tabla162670[Equipos], B165) &gt; 0, Tabla162670[[#Headers],[Equipos]],
    TRUE, "Sin clasificación"
)</f>
        <v>Sin clasificación</v>
      </c>
      <c r="G165" s="15"/>
      <c r="H165" s="47"/>
      <c r="I165" s="87"/>
      <c r="J165" s="78"/>
      <c r="K165" s="78"/>
      <c r="L165" s="78"/>
      <c r="M165" s="78"/>
      <c r="N165" s="76"/>
      <c r="O165" s="76"/>
      <c r="P165" s="78" t="str">
        <f>_xlfn.LET(
    _xlpm.itemBuscado, B165,
    _xlpm.areaBuscada, C165,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TEXT(COUNTIF($C$2:C165, _xlpm.areaBuscada), "0000"),
    _xlpm.codItem &amp; "-" &amp; _xlpm.codArea &amp; "-" &amp; _xlpm.secuencia
)</f>
        <v>-SinArea-0000</v>
      </c>
      <c r="Q165" s="77"/>
      <c r="R165" s="32"/>
      <c r="S165" s="32"/>
      <c r="T165" s="32"/>
      <c r="U165" s="32"/>
    </row>
    <row r="166" spans="3:21" x14ac:dyDescent="0.3">
      <c r="C166" s="11"/>
      <c r="D166" s="32"/>
      <c r="E166" s="11" t="str" cm="1">
        <f t="array" ref="E166">_xlfn.IFS(
    COUNTIF(Herramientas_eléctricas1862[Herramientas_eléctricas], B166) &gt; 0, Herramientas_eléctricas1862[[#Headers],[Herramientas_eléctricas]],
    COUNTIF(Herramientas_neumáticas1963[Herramientas_neumáticas], B166) &gt; 0, Herramientas_neumáticas1963[[#Headers],[Herramientas_neumáticas]],
    COUNTIF(Herramientas_de_medición2064[Herramientas_de_medición], B166) &gt; 0, Herramientas_de_medición2064[[#Headers],[Herramientas_de_medición]],
    COUNTIF(Herrramientas_mecánicas2165[Herramientas_mecánicas], B166) &gt; 0, Herrramientas_mecánicas2165[[#Headers],[Herramientas_mecánicas]],
    COUNTIF(AK166:AK172, B166) &gt; 0, Herramientas_hidráulicas2266[[#Headers],[Herramientas_hidráulicas]],
    COUNTIF(EPP_2367[SPCC], B166) &gt; 0, EPP_2367[[#Headers],[SPCC]],
   COUNTIF(Herramientas_de_izaje2468[Herramientas_de_izaje], B166) &gt; 0, Herramientas_de_izaje2468[[#Headers],[Herramientas_de_izaje]],
COUNTIF(Tabla162670[Equipos], B166) &gt; 0, Tabla162670[[#Headers],[Equipos]],
    TRUE, "Sin clasificación"
)</f>
        <v>Sin clasificación</v>
      </c>
      <c r="G166" s="15"/>
      <c r="H166" s="47"/>
      <c r="I166" s="87"/>
      <c r="J166" s="78"/>
      <c r="K166" s="78"/>
      <c r="L166" s="78"/>
      <c r="M166" s="78"/>
      <c r="N166" s="76"/>
      <c r="O166" s="76"/>
      <c r="P166" s="78" t="str">
        <f>_xlfn.LET(
    _xlpm.itemBuscado, B166,
    _xlpm.areaBuscada, C166,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TEXT(COUNTIF($C$2:C166, _xlpm.areaBuscada), "0000"),
    _xlpm.codItem &amp; "-" &amp; _xlpm.codArea &amp; "-" &amp; _xlpm.secuencia
)</f>
        <v>-SinArea-0000</v>
      </c>
      <c r="Q166" s="77"/>
      <c r="R166" s="32"/>
      <c r="S166" s="32"/>
      <c r="T166" s="32"/>
      <c r="U166" s="32"/>
    </row>
    <row r="167" spans="3:21" x14ac:dyDescent="0.3">
      <c r="C167" s="11"/>
      <c r="D167" s="32"/>
      <c r="E167" s="11" t="str" cm="1">
        <f t="array" ref="E167">_xlfn.IFS(
    COUNTIF(Herramientas_eléctricas1862[Herramientas_eléctricas], B167) &gt; 0, Herramientas_eléctricas1862[[#Headers],[Herramientas_eléctricas]],
    COUNTIF(Herramientas_neumáticas1963[Herramientas_neumáticas], B167) &gt; 0, Herramientas_neumáticas1963[[#Headers],[Herramientas_neumáticas]],
    COUNTIF(Herramientas_de_medición2064[Herramientas_de_medición], B167) &gt; 0, Herramientas_de_medición2064[[#Headers],[Herramientas_de_medición]],
    COUNTIF(Herrramientas_mecánicas2165[Herramientas_mecánicas], B167) &gt; 0, Herrramientas_mecánicas2165[[#Headers],[Herramientas_mecánicas]],
    COUNTIF(AK167:AK173, B167) &gt; 0, Herramientas_hidráulicas2266[[#Headers],[Herramientas_hidráulicas]],
    COUNTIF(EPP_2367[SPCC], B167) &gt; 0, EPP_2367[[#Headers],[SPCC]],
   COUNTIF(Herramientas_de_izaje2468[Herramientas_de_izaje], B167) &gt; 0, Herramientas_de_izaje2468[[#Headers],[Herramientas_de_izaje]],
COUNTIF(Tabla162670[Equipos], B167) &gt; 0, Tabla162670[[#Headers],[Equipos]],
    TRUE, "Sin clasificación"
)</f>
        <v>Sin clasificación</v>
      </c>
      <c r="G167" s="15"/>
      <c r="H167" s="47"/>
      <c r="I167" s="87"/>
      <c r="J167" s="78"/>
      <c r="K167" s="78"/>
      <c r="L167" s="78"/>
      <c r="M167" s="78"/>
      <c r="N167" s="76"/>
      <c r="O167" s="76"/>
      <c r="P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Q167" s="77"/>
      <c r="R167" s="32"/>
      <c r="S167" s="32"/>
      <c r="T167" s="32"/>
      <c r="U167" s="32"/>
    </row>
    <row r="168" spans="3:21" x14ac:dyDescent="0.3">
      <c r="C168" s="11"/>
      <c r="D168" s="32"/>
      <c r="E168" s="11" t="str" cm="1">
        <f t="array" ref="E168">_xlfn.IFS(
    COUNTIF(Herramientas_eléctricas1862[Herramientas_eléctricas], B168) &gt; 0, Herramientas_eléctricas1862[[#Headers],[Herramientas_eléctricas]],
    COUNTIF(Herramientas_neumáticas1963[Herramientas_neumáticas], B168) &gt; 0, Herramientas_neumáticas1963[[#Headers],[Herramientas_neumáticas]],
    COUNTIF(Herramientas_de_medición2064[Herramientas_de_medición], B168) &gt; 0, Herramientas_de_medición2064[[#Headers],[Herramientas_de_medición]],
    COUNTIF(Herrramientas_mecánicas2165[Herramientas_mecánicas], B168) &gt; 0, Herrramientas_mecánicas2165[[#Headers],[Herramientas_mecánicas]],
    COUNTIF(AK168:AK174, B168) &gt; 0, Herramientas_hidráulicas2266[[#Headers],[Herramientas_hidráulicas]],
    COUNTIF(EPP_2367[SPCC], B168) &gt; 0, EPP_2367[[#Headers],[SPCC]],
   COUNTIF(Herramientas_de_izaje2468[Herramientas_de_izaje], B168) &gt; 0, Herramientas_de_izaje2468[[#Headers],[Herramientas_de_izaje]],
COUNTIF(Tabla162670[Equipos], B168) &gt; 0, Tabla162670[[#Headers],[Equipos]],
    TRUE, "Sin clasificación"
)</f>
        <v>Sin clasificación</v>
      </c>
      <c r="G168" s="15"/>
      <c r="H168" s="47"/>
      <c r="I168" s="87"/>
      <c r="J168" s="78"/>
      <c r="K168" s="78"/>
      <c r="L168" s="78"/>
      <c r="M168" s="78"/>
      <c r="N168" s="76"/>
      <c r="O168" s="76"/>
      <c r="P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Q168" s="77"/>
      <c r="R168" s="32"/>
      <c r="S168" s="32"/>
      <c r="T168" s="32"/>
      <c r="U168" s="32"/>
    </row>
    <row r="169" spans="3:21" x14ac:dyDescent="0.3">
      <c r="C169" s="11"/>
      <c r="D169" s="32"/>
      <c r="E169" s="11" t="str" cm="1">
        <f t="array" ref="E169">_xlfn.IFS(
    COUNTIF(Herramientas_eléctricas1862[Herramientas_eléctricas], B169) &gt; 0, Herramientas_eléctricas1862[[#Headers],[Herramientas_eléctricas]],
    COUNTIF(Herramientas_neumáticas1963[Herramientas_neumáticas], B169) &gt; 0, Herramientas_neumáticas1963[[#Headers],[Herramientas_neumáticas]],
    COUNTIF(Herramientas_de_medición2064[Herramientas_de_medición], B169) &gt; 0, Herramientas_de_medición2064[[#Headers],[Herramientas_de_medición]],
    COUNTIF(Herrramientas_mecánicas2165[Herramientas_mecánicas], B169) &gt; 0, Herrramientas_mecánicas2165[[#Headers],[Herramientas_mecánicas]],
    COUNTIF(AK169:AK175, B169) &gt; 0, Herramientas_hidráulicas2266[[#Headers],[Herramientas_hidráulicas]],
    COUNTIF(EPP_2367[SPCC], B169) &gt; 0, EPP_2367[[#Headers],[SPCC]],
   COUNTIF(Herramientas_de_izaje2468[Herramientas_de_izaje], B169) &gt; 0, Herramientas_de_izaje2468[[#Headers],[Herramientas_de_izaje]],
COUNTIF(Tabla162670[Equipos], B169) &gt; 0, Tabla162670[[#Headers],[Equipos]],
    TRUE, "Sin clasificación"
)</f>
        <v>Sin clasificación</v>
      </c>
      <c r="G169" s="15"/>
      <c r="H169" s="47"/>
      <c r="I169" s="87"/>
      <c r="J169" s="78"/>
      <c r="K169" s="78"/>
      <c r="L169" s="78"/>
      <c r="M169" s="78"/>
      <c r="N169" s="76"/>
      <c r="O169" s="76"/>
      <c r="P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Q169" s="77"/>
      <c r="R169" s="32"/>
      <c r="S169" s="32"/>
      <c r="T169" s="32"/>
      <c r="U169" s="32"/>
    </row>
    <row r="170" spans="3:21" x14ac:dyDescent="0.3">
      <c r="C170" s="11"/>
      <c r="D170" s="32"/>
      <c r="E170" s="11" t="str" cm="1">
        <f t="array" ref="E170">_xlfn.IFS(
    COUNTIF(Herramientas_eléctricas1862[Herramientas_eléctricas], B170) &gt; 0, Herramientas_eléctricas1862[[#Headers],[Herramientas_eléctricas]],
    COUNTIF(Herramientas_neumáticas1963[Herramientas_neumáticas], B170) &gt; 0, Herramientas_neumáticas1963[[#Headers],[Herramientas_neumáticas]],
    COUNTIF(Herramientas_de_medición2064[Herramientas_de_medición], B170) &gt; 0, Herramientas_de_medición2064[[#Headers],[Herramientas_de_medición]],
    COUNTIF(Herrramientas_mecánicas2165[Herramientas_mecánicas], B170) &gt; 0, Herrramientas_mecánicas2165[[#Headers],[Herramientas_mecánicas]],
    COUNTIF(AK170:AK176, B170) &gt; 0, Herramientas_hidráulicas2266[[#Headers],[Herramientas_hidráulicas]],
    COUNTIF(EPP_2367[SPCC], B170) &gt; 0, EPP_2367[[#Headers],[SPCC]],
   COUNTIF(Herramientas_de_izaje2468[Herramientas_de_izaje], B170) &gt; 0, Herramientas_de_izaje2468[[#Headers],[Herramientas_de_izaje]],
COUNTIF(Tabla162670[Equipos], B170) &gt; 0, Tabla162670[[#Headers],[Equipos]],
    TRUE, "Sin clasificación"
)</f>
        <v>Sin clasificación</v>
      </c>
      <c r="G170" s="15"/>
      <c r="H170" s="47"/>
      <c r="I170" s="87"/>
      <c r="J170" s="78"/>
      <c r="K170" s="78"/>
      <c r="L170" s="78"/>
      <c r="M170" s="78"/>
      <c r="N170" s="76"/>
      <c r="O170" s="76"/>
      <c r="P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Q170" s="77"/>
      <c r="R170" s="32"/>
      <c r="S170" s="32"/>
      <c r="T170" s="32"/>
      <c r="U170" s="32"/>
    </row>
    <row r="171" spans="3:21" x14ac:dyDescent="0.3">
      <c r="C171" s="11"/>
      <c r="D171" s="32"/>
      <c r="E171" s="11" t="str" cm="1">
        <f t="array" ref="E171">_xlfn.IFS(
    COUNTIF(Herramientas_eléctricas1862[Herramientas_eléctricas], B171) &gt; 0, Herramientas_eléctricas1862[[#Headers],[Herramientas_eléctricas]],
    COUNTIF(Herramientas_neumáticas1963[Herramientas_neumáticas], B171) &gt; 0, Herramientas_neumáticas1963[[#Headers],[Herramientas_neumáticas]],
    COUNTIF(Herramientas_de_medición2064[Herramientas_de_medición], B171) &gt; 0, Herramientas_de_medición2064[[#Headers],[Herramientas_de_medición]],
    COUNTIF(Herrramientas_mecánicas2165[Herramientas_mecánicas], B171) &gt; 0, Herrramientas_mecánicas2165[[#Headers],[Herramientas_mecánicas]],
    COUNTIF(AK171:AK177, B171) &gt; 0, Herramientas_hidráulicas2266[[#Headers],[Herramientas_hidráulicas]],
    COUNTIF(EPP_2367[SPCC], B171) &gt; 0, EPP_2367[[#Headers],[SPCC]],
   COUNTIF(Herramientas_de_izaje2468[Herramientas_de_izaje], B171) &gt; 0, Herramientas_de_izaje2468[[#Headers],[Herramientas_de_izaje]],
COUNTIF(Tabla162670[Equipos], B171) &gt; 0, Tabla162670[[#Headers],[Equipos]],
    TRUE, "Sin clasificación"
)</f>
        <v>Sin clasificación</v>
      </c>
      <c r="G171" s="15"/>
      <c r="H171" s="47"/>
      <c r="I171" s="87"/>
      <c r="J171" s="78"/>
      <c r="K171" s="78"/>
      <c r="L171" s="78"/>
      <c r="M171" s="78"/>
      <c r="N171" s="76"/>
      <c r="O171" s="76"/>
      <c r="P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Q171" s="77"/>
      <c r="R171" s="32"/>
      <c r="S171" s="32"/>
      <c r="T171" s="32"/>
      <c r="U171" s="32"/>
    </row>
    <row r="172" spans="3:21" x14ac:dyDescent="0.3">
      <c r="C172" s="11"/>
      <c r="D172" s="32"/>
      <c r="E172" s="11" t="str" cm="1">
        <f t="array" ref="E172">_xlfn.IFS(
    COUNTIF(Herramientas_eléctricas1862[Herramientas_eléctricas], B172) &gt; 0, Herramientas_eléctricas1862[[#Headers],[Herramientas_eléctricas]],
    COUNTIF(Herramientas_neumáticas1963[Herramientas_neumáticas], B172) &gt; 0, Herramientas_neumáticas1963[[#Headers],[Herramientas_neumáticas]],
    COUNTIF(Herramientas_de_medición2064[Herramientas_de_medición], B172) &gt; 0, Herramientas_de_medición2064[[#Headers],[Herramientas_de_medición]],
    COUNTIF(Herrramientas_mecánicas2165[Herramientas_mecánicas], B172) &gt; 0, Herrramientas_mecánicas2165[[#Headers],[Herramientas_mecánicas]],
    COUNTIF(AK172:AK178, B172) &gt; 0, Herramientas_hidráulicas2266[[#Headers],[Herramientas_hidráulicas]],
    COUNTIF(EPP_2367[SPCC], B172) &gt; 0, EPP_2367[[#Headers],[SPCC]],
   COUNTIF(Herramientas_de_izaje2468[Herramientas_de_izaje], B172) &gt; 0, Herramientas_de_izaje2468[[#Headers],[Herramientas_de_izaje]],
COUNTIF(Tabla162670[Equipos], B172) &gt; 0, Tabla162670[[#Headers],[Equipos]],
    TRUE, "Sin clasificación"
)</f>
        <v>Sin clasificación</v>
      </c>
      <c r="G172" s="15"/>
      <c r="H172" s="47"/>
      <c r="I172" s="87"/>
      <c r="J172" s="78"/>
      <c r="K172" s="78"/>
      <c r="L172" s="78"/>
      <c r="M172" s="78"/>
      <c r="N172" s="76"/>
      <c r="O172" s="76"/>
      <c r="P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Q172" s="77"/>
      <c r="R172" s="32"/>
      <c r="S172" s="32"/>
      <c r="T172" s="32"/>
      <c r="U172" s="32"/>
    </row>
    <row r="173" spans="3:21" x14ac:dyDescent="0.3">
      <c r="C173" s="11"/>
      <c r="D173" s="32"/>
      <c r="E173" s="11" t="str" cm="1">
        <f t="array" ref="E173">_xlfn.IFS(
    COUNTIF(Herramientas_eléctricas1862[Herramientas_eléctricas], B173) &gt; 0, Herramientas_eléctricas1862[[#Headers],[Herramientas_eléctricas]],
    COUNTIF(Herramientas_neumáticas1963[Herramientas_neumáticas], B173) &gt; 0, Herramientas_neumáticas1963[[#Headers],[Herramientas_neumáticas]],
    COUNTIF(Herramientas_de_medición2064[Herramientas_de_medición], B173) &gt; 0, Herramientas_de_medición2064[[#Headers],[Herramientas_de_medición]],
    COUNTIF(Herrramientas_mecánicas2165[Herramientas_mecánicas], B173) &gt; 0, Herrramientas_mecánicas2165[[#Headers],[Herramientas_mecánicas]],
    COUNTIF(AK173:AK179, B173) &gt; 0, Herramientas_hidráulicas2266[[#Headers],[Herramientas_hidráulicas]],
    COUNTIF(EPP_2367[SPCC], B173) &gt; 0, EPP_2367[[#Headers],[SPCC]],
   COUNTIF(Herramientas_de_izaje2468[Herramientas_de_izaje], B173) &gt; 0, Herramientas_de_izaje2468[[#Headers],[Herramientas_de_izaje]],
COUNTIF(Tabla162670[Equipos], B173) &gt; 0, Tabla162670[[#Headers],[Equipos]],
    TRUE, "Sin clasificación"
)</f>
        <v>Sin clasificación</v>
      </c>
      <c r="G173" s="15"/>
      <c r="H173" s="47"/>
      <c r="I173" s="87"/>
      <c r="J173" s="78"/>
      <c r="K173" s="78"/>
      <c r="L173" s="78"/>
      <c r="M173" s="78"/>
      <c r="N173" s="76"/>
      <c r="O173" s="76"/>
      <c r="P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Q173" s="77"/>
      <c r="R173" s="32"/>
      <c r="S173" s="32"/>
      <c r="T173" s="32"/>
      <c r="U173" s="32"/>
    </row>
    <row r="174" spans="3:21" x14ac:dyDescent="0.3">
      <c r="C174" s="11"/>
      <c r="D174" s="32"/>
      <c r="E174" s="11" t="str" cm="1">
        <f t="array" ref="E174">_xlfn.IFS(
    COUNTIF(Herramientas_eléctricas1862[Herramientas_eléctricas], B174) &gt; 0, Herramientas_eléctricas1862[[#Headers],[Herramientas_eléctricas]],
    COUNTIF(Herramientas_neumáticas1963[Herramientas_neumáticas], B174) &gt; 0, Herramientas_neumáticas1963[[#Headers],[Herramientas_neumáticas]],
    COUNTIF(Herramientas_de_medición2064[Herramientas_de_medición], B174) &gt; 0, Herramientas_de_medición2064[[#Headers],[Herramientas_de_medición]],
    COUNTIF(Herrramientas_mecánicas2165[Herramientas_mecánicas], B174) &gt; 0, Herrramientas_mecánicas2165[[#Headers],[Herramientas_mecánicas]],
    COUNTIF(AK174:AK180, B174) &gt; 0, Herramientas_hidráulicas2266[[#Headers],[Herramientas_hidráulicas]],
    COUNTIF(EPP_2367[SPCC], B174) &gt; 0, EPP_2367[[#Headers],[SPCC]],
   COUNTIF(Herramientas_de_izaje2468[Herramientas_de_izaje], B174) &gt; 0, Herramientas_de_izaje2468[[#Headers],[Herramientas_de_izaje]],
COUNTIF(Tabla162670[Equipos], B174) &gt; 0, Tabla162670[[#Headers],[Equipos]],
    TRUE, "Sin clasificación"
)</f>
        <v>Sin clasificación</v>
      </c>
      <c r="G174" s="15"/>
      <c r="H174" s="47"/>
      <c r="I174" s="87"/>
      <c r="J174" s="78"/>
      <c r="K174" s="78"/>
      <c r="L174" s="78"/>
      <c r="M174" s="78"/>
      <c r="N174" s="76"/>
      <c r="O174" s="76"/>
      <c r="P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Q174" s="77"/>
      <c r="R174" s="32"/>
      <c r="S174" s="32"/>
      <c r="T174" s="32"/>
      <c r="U174" s="32"/>
    </row>
    <row r="175" spans="3:21" x14ac:dyDescent="0.3">
      <c r="C175" s="11"/>
      <c r="D175" s="32"/>
      <c r="E175" s="11" t="str" cm="1">
        <f t="array" ref="E175">_xlfn.IFS(
    COUNTIF(Herramientas_eléctricas1862[Herramientas_eléctricas], B175) &gt; 0, Herramientas_eléctricas1862[[#Headers],[Herramientas_eléctricas]],
    COUNTIF(Herramientas_neumáticas1963[Herramientas_neumáticas], B175) &gt; 0, Herramientas_neumáticas1963[[#Headers],[Herramientas_neumáticas]],
    COUNTIF(Herramientas_de_medición2064[Herramientas_de_medición], B175) &gt; 0, Herramientas_de_medición2064[[#Headers],[Herramientas_de_medición]],
    COUNTIF(Herrramientas_mecánicas2165[Herramientas_mecánicas], B175) &gt; 0, Herrramientas_mecánicas2165[[#Headers],[Herramientas_mecánicas]],
    COUNTIF(AK175:AK181, B175) &gt; 0, Herramientas_hidráulicas2266[[#Headers],[Herramientas_hidráulicas]],
    COUNTIF(EPP_2367[SPCC], B175) &gt; 0, EPP_2367[[#Headers],[SPCC]],
   COUNTIF(Herramientas_de_izaje2468[Herramientas_de_izaje], B175) &gt; 0, Herramientas_de_izaje2468[[#Headers],[Herramientas_de_izaje]],
COUNTIF(Tabla162670[Equipos], B175) &gt; 0, Tabla162670[[#Headers],[Equipos]],
    TRUE, "Sin clasificación"
)</f>
        <v>Sin clasificación</v>
      </c>
      <c r="G175" s="15"/>
      <c r="H175" s="47"/>
      <c r="I175" s="87"/>
      <c r="J175" s="78"/>
      <c r="K175" s="78"/>
      <c r="L175" s="78"/>
      <c r="M175" s="78"/>
      <c r="N175" s="76"/>
      <c r="O175" s="76"/>
      <c r="P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Q175" s="77"/>
      <c r="R175" s="32"/>
      <c r="S175" s="32"/>
      <c r="T175" s="32"/>
      <c r="U175" s="32"/>
    </row>
    <row r="176" spans="3:21" x14ac:dyDescent="0.3">
      <c r="C176" s="11"/>
      <c r="D176" s="32"/>
      <c r="E176" s="11" t="str" cm="1">
        <f t="array" ref="E176">_xlfn.IFS(
    COUNTIF(Herramientas_eléctricas1862[Herramientas_eléctricas], B176) &gt; 0, Herramientas_eléctricas1862[[#Headers],[Herramientas_eléctricas]],
    COUNTIF(Herramientas_neumáticas1963[Herramientas_neumáticas], B176) &gt; 0, Herramientas_neumáticas1963[[#Headers],[Herramientas_neumáticas]],
    COUNTIF(Herramientas_de_medición2064[Herramientas_de_medición], B176) &gt; 0, Herramientas_de_medición2064[[#Headers],[Herramientas_de_medición]],
    COUNTIF(Herrramientas_mecánicas2165[Herramientas_mecánicas], B176) &gt; 0, Herrramientas_mecánicas2165[[#Headers],[Herramientas_mecánicas]],
    COUNTIF(AK176:AK182, B176) &gt; 0, Herramientas_hidráulicas2266[[#Headers],[Herramientas_hidráulicas]],
    COUNTIF(EPP_2367[SPCC], B176) &gt; 0, EPP_2367[[#Headers],[SPCC]],
   COUNTIF(Herramientas_de_izaje2468[Herramientas_de_izaje], B176) &gt; 0, Herramientas_de_izaje2468[[#Headers],[Herramientas_de_izaje]],
COUNTIF(Tabla162670[Equipos], B176) &gt; 0, Tabla162670[[#Headers],[Equipos]],
    TRUE, "Sin clasificación"
)</f>
        <v>Sin clasificación</v>
      </c>
      <c r="G176" s="15"/>
      <c r="H176" s="47"/>
      <c r="I176" s="87"/>
      <c r="J176" s="78"/>
      <c r="K176" s="78"/>
      <c r="L176" s="78"/>
      <c r="M176" s="78"/>
      <c r="N176" s="76"/>
      <c r="O176" s="76"/>
      <c r="P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Q176" s="77"/>
      <c r="R176" s="32"/>
      <c r="S176" s="32"/>
      <c r="T176" s="32"/>
      <c r="U176" s="32"/>
    </row>
    <row r="177" spans="3:21" x14ac:dyDescent="0.3">
      <c r="C177" s="11"/>
      <c r="D177" s="32"/>
      <c r="E177" s="11" t="str" cm="1">
        <f t="array" ref="E177">_xlfn.IFS(
    COUNTIF(Herramientas_eléctricas1862[Herramientas_eléctricas], B177) &gt; 0, Herramientas_eléctricas1862[[#Headers],[Herramientas_eléctricas]],
    COUNTIF(Herramientas_neumáticas1963[Herramientas_neumáticas], B177) &gt; 0, Herramientas_neumáticas1963[[#Headers],[Herramientas_neumáticas]],
    COUNTIF(Herramientas_de_medición2064[Herramientas_de_medición], B177) &gt; 0, Herramientas_de_medición2064[[#Headers],[Herramientas_de_medición]],
    COUNTIF(Herrramientas_mecánicas2165[Herramientas_mecánicas], B177) &gt; 0, Herrramientas_mecánicas2165[[#Headers],[Herramientas_mecánicas]],
    COUNTIF(AK177:AK183, B177) &gt; 0, Herramientas_hidráulicas2266[[#Headers],[Herramientas_hidráulicas]],
    COUNTIF(EPP_2367[SPCC], B177) &gt; 0, EPP_2367[[#Headers],[SPCC]],
   COUNTIF(Herramientas_de_izaje2468[Herramientas_de_izaje], B177) &gt; 0, Herramientas_de_izaje2468[[#Headers],[Herramientas_de_izaje]],
COUNTIF(Tabla162670[Equipos], B177) &gt; 0, Tabla162670[[#Headers],[Equipos]],
    TRUE, "Sin clasificación"
)</f>
        <v>Sin clasificación</v>
      </c>
      <c r="G177" s="15"/>
      <c r="H177" s="47"/>
      <c r="I177" s="87"/>
      <c r="J177" s="78"/>
      <c r="K177" s="78"/>
      <c r="L177" s="78"/>
      <c r="M177" s="78"/>
      <c r="N177" s="76"/>
      <c r="O177" s="76"/>
      <c r="P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Q177" s="77"/>
      <c r="R177" s="32"/>
      <c r="S177" s="32"/>
      <c r="T177" s="32"/>
      <c r="U177" s="32"/>
    </row>
    <row r="178" spans="3:21" x14ac:dyDescent="0.3">
      <c r="C178" s="11"/>
      <c r="D178" s="32"/>
      <c r="E178" s="11" t="str" cm="1">
        <f t="array" ref="E178">_xlfn.IFS(
    COUNTIF(Herramientas_eléctricas1862[Herramientas_eléctricas], B178) &gt; 0, Herramientas_eléctricas1862[[#Headers],[Herramientas_eléctricas]],
    COUNTIF(Herramientas_neumáticas1963[Herramientas_neumáticas], B178) &gt; 0, Herramientas_neumáticas1963[[#Headers],[Herramientas_neumáticas]],
    COUNTIF(Herramientas_de_medición2064[Herramientas_de_medición], B178) &gt; 0, Herramientas_de_medición2064[[#Headers],[Herramientas_de_medición]],
    COUNTIF(Herrramientas_mecánicas2165[Herramientas_mecánicas], B178) &gt; 0, Herrramientas_mecánicas2165[[#Headers],[Herramientas_mecánicas]],
    COUNTIF(AK178:AK184, B178) &gt; 0, Herramientas_hidráulicas2266[[#Headers],[Herramientas_hidráulicas]],
    COUNTIF(EPP_2367[SPCC], B178) &gt; 0, EPP_2367[[#Headers],[SPCC]],
   COUNTIF(Herramientas_de_izaje2468[Herramientas_de_izaje], B178) &gt; 0, Herramientas_de_izaje2468[[#Headers],[Herramientas_de_izaje]],
COUNTIF(Tabla162670[Equipos], B178) &gt; 0, Tabla162670[[#Headers],[Equipos]],
    TRUE, "Sin clasificación"
)</f>
        <v>Sin clasificación</v>
      </c>
      <c r="G178" s="15"/>
      <c r="H178" s="47"/>
      <c r="I178" s="87"/>
      <c r="J178" s="78"/>
      <c r="K178" s="78"/>
      <c r="L178" s="78"/>
      <c r="M178" s="78"/>
      <c r="N178" s="76"/>
      <c r="O178" s="76"/>
      <c r="P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Q178" s="77"/>
      <c r="R178" s="32"/>
      <c r="S178" s="32"/>
      <c r="T178" s="32"/>
      <c r="U178" s="32"/>
    </row>
    <row r="179" spans="3:21" x14ac:dyDescent="0.3">
      <c r="C179" s="11"/>
      <c r="D179" s="32"/>
      <c r="E179" s="11" t="str" cm="1">
        <f t="array" ref="E179">_xlfn.IFS(
    COUNTIF(Herramientas_eléctricas1862[Herramientas_eléctricas], B179) &gt; 0, Herramientas_eléctricas1862[[#Headers],[Herramientas_eléctricas]],
    COUNTIF(Herramientas_neumáticas1963[Herramientas_neumáticas], B179) &gt; 0, Herramientas_neumáticas1963[[#Headers],[Herramientas_neumáticas]],
    COUNTIF(Herramientas_de_medición2064[Herramientas_de_medición], B179) &gt; 0, Herramientas_de_medición2064[[#Headers],[Herramientas_de_medición]],
    COUNTIF(Herrramientas_mecánicas2165[Herramientas_mecánicas], B179) &gt; 0, Herrramientas_mecánicas2165[[#Headers],[Herramientas_mecánicas]],
    COUNTIF(AK179:AK185, B179) &gt; 0, Herramientas_hidráulicas2266[[#Headers],[Herramientas_hidráulicas]],
    COUNTIF(EPP_2367[SPCC], B179) &gt; 0, EPP_2367[[#Headers],[SPCC]],
   COUNTIF(Herramientas_de_izaje2468[Herramientas_de_izaje], B179) &gt; 0, Herramientas_de_izaje2468[[#Headers],[Herramientas_de_izaje]],
COUNTIF(Tabla162670[Equipos], B179) &gt; 0, Tabla162670[[#Headers],[Equipos]],
    TRUE, "Sin clasificación"
)</f>
        <v>Sin clasificación</v>
      </c>
      <c r="G179" s="15"/>
      <c r="H179" s="47"/>
      <c r="I179" s="87"/>
      <c r="J179" s="78"/>
      <c r="K179" s="78"/>
      <c r="L179" s="78"/>
      <c r="M179" s="78"/>
      <c r="N179" s="76"/>
      <c r="O179" s="76"/>
      <c r="P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Q179" s="77"/>
      <c r="R179" s="32"/>
      <c r="S179" s="32"/>
      <c r="T179" s="32"/>
      <c r="U179" s="32"/>
    </row>
    <row r="180" spans="3:21" x14ac:dyDescent="0.3">
      <c r="C180" s="11"/>
      <c r="D180" s="32"/>
      <c r="E180" s="11" t="str" cm="1">
        <f t="array" ref="E180">_xlfn.IFS(
    COUNTIF(Herramientas_eléctricas1862[Herramientas_eléctricas], B180) &gt; 0, Herramientas_eléctricas1862[[#Headers],[Herramientas_eléctricas]],
    COUNTIF(Herramientas_neumáticas1963[Herramientas_neumáticas], B180) &gt; 0, Herramientas_neumáticas1963[[#Headers],[Herramientas_neumáticas]],
    COUNTIF(Herramientas_de_medición2064[Herramientas_de_medición], B180) &gt; 0, Herramientas_de_medición2064[[#Headers],[Herramientas_de_medición]],
    COUNTIF(Herrramientas_mecánicas2165[Herramientas_mecánicas], B180) &gt; 0, Herrramientas_mecánicas2165[[#Headers],[Herramientas_mecánicas]],
    COUNTIF(AK180:AK186, B180) &gt; 0, Herramientas_hidráulicas2266[[#Headers],[Herramientas_hidráulicas]],
    COUNTIF(EPP_2367[SPCC], B180) &gt; 0, EPP_2367[[#Headers],[SPCC]],
   COUNTIF(Herramientas_de_izaje2468[Herramientas_de_izaje], B180) &gt; 0, Herramientas_de_izaje2468[[#Headers],[Herramientas_de_izaje]],
COUNTIF(Tabla162670[Equipos], B180) &gt; 0, Tabla162670[[#Headers],[Equipos]],
    TRUE, "Sin clasificación"
)</f>
        <v>Sin clasificación</v>
      </c>
      <c r="G180" s="15"/>
      <c r="H180" s="47"/>
      <c r="I180" s="87"/>
      <c r="J180" s="78"/>
      <c r="K180" s="78"/>
      <c r="L180" s="78"/>
      <c r="M180" s="78"/>
      <c r="N180" s="76"/>
      <c r="O180" s="76"/>
      <c r="P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Q180" s="77"/>
      <c r="R180" s="32"/>
      <c r="S180" s="32"/>
      <c r="T180" s="32"/>
      <c r="U180" s="32"/>
    </row>
    <row r="181" spans="3:21" x14ac:dyDescent="0.3">
      <c r="C181" s="11"/>
      <c r="D181" s="32"/>
      <c r="E181" s="11" t="str" cm="1">
        <f t="array" ref="E181">_xlfn.IFS(
    COUNTIF(Herramientas_eléctricas1862[Herramientas_eléctricas], B181) &gt; 0, Herramientas_eléctricas1862[[#Headers],[Herramientas_eléctricas]],
    COUNTIF(Herramientas_neumáticas1963[Herramientas_neumáticas], B181) &gt; 0, Herramientas_neumáticas1963[[#Headers],[Herramientas_neumáticas]],
    COUNTIF(Herramientas_de_medición2064[Herramientas_de_medición], B181) &gt; 0, Herramientas_de_medición2064[[#Headers],[Herramientas_de_medición]],
    COUNTIF(Herrramientas_mecánicas2165[Herramientas_mecánicas], B181) &gt; 0, Herrramientas_mecánicas2165[[#Headers],[Herramientas_mecánicas]],
    COUNTIF(AK181:AK187, B181) &gt; 0, Herramientas_hidráulicas2266[[#Headers],[Herramientas_hidráulicas]],
    COUNTIF(EPP_2367[SPCC], B181) &gt; 0, EPP_2367[[#Headers],[SPCC]],
   COUNTIF(Herramientas_de_izaje2468[Herramientas_de_izaje], B181) &gt; 0, Herramientas_de_izaje2468[[#Headers],[Herramientas_de_izaje]],
COUNTIF(Tabla162670[Equipos], B181) &gt; 0, Tabla162670[[#Headers],[Equipos]],
    TRUE, "Sin clasificación"
)</f>
        <v>Sin clasificación</v>
      </c>
      <c r="G181" s="15"/>
      <c r="H181" s="47"/>
      <c r="I181" s="87"/>
      <c r="J181" s="78"/>
      <c r="K181" s="78"/>
      <c r="L181" s="78"/>
      <c r="M181" s="78"/>
      <c r="N181" s="76"/>
      <c r="O181" s="76"/>
      <c r="P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Q181" s="77"/>
      <c r="R181" s="32"/>
      <c r="S181" s="32"/>
      <c r="T181" s="32"/>
      <c r="U181" s="32"/>
    </row>
    <row r="182" spans="3:21" x14ac:dyDescent="0.3">
      <c r="C182" s="11"/>
      <c r="D182" s="32"/>
      <c r="E182" s="11" t="str" cm="1">
        <f t="array" ref="E182">_xlfn.IFS(
    COUNTIF(Herramientas_eléctricas1862[Herramientas_eléctricas], B182) &gt; 0, Herramientas_eléctricas1862[[#Headers],[Herramientas_eléctricas]],
    COUNTIF(Herramientas_neumáticas1963[Herramientas_neumáticas], B182) &gt; 0, Herramientas_neumáticas1963[[#Headers],[Herramientas_neumáticas]],
    COUNTIF(Herramientas_de_medición2064[Herramientas_de_medición], B182) &gt; 0, Herramientas_de_medición2064[[#Headers],[Herramientas_de_medición]],
    COUNTIF(Herrramientas_mecánicas2165[Herramientas_mecánicas], B182) &gt; 0, Herrramientas_mecánicas2165[[#Headers],[Herramientas_mecánicas]],
    COUNTIF(AK182:AK188, B182) &gt; 0, Herramientas_hidráulicas2266[[#Headers],[Herramientas_hidráulicas]],
    COUNTIF(EPP_2367[SPCC], B182) &gt; 0, EPP_2367[[#Headers],[SPCC]],
   COUNTIF(Herramientas_de_izaje2468[Herramientas_de_izaje], B182) &gt; 0, Herramientas_de_izaje2468[[#Headers],[Herramientas_de_izaje]],
COUNTIF(Tabla162670[Equipos], B182) &gt; 0, Tabla162670[[#Headers],[Equipos]],
    TRUE, "Sin clasificación"
)</f>
        <v>Sin clasificación</v>
      </c>
      <c r="G182" s="15"/>
      <c r="H182" s="47"/>
      <c r="I182" s="87"/>
      <c r="J182" s="78"/>
      <c r="K182" s="78"/>
      <c r="L182" s="78"/>
      <c r="M182" s="78"/>
      <c r="N182" s="76"/>
      <c r="O182" s="76"/>
      <c r="P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Q182" s="77"/>
      <c r="R182" s="32"/>
      <c r="S182" s="32"/>
      <c r="T182" s="32"/>
      <c r="U182" s="32"/>
    </row>
    <row r="183" spans="3:21" x14ac:dyDescent="0.3">
      <c r="C183" s="11"/>
      <c r="D183" s="32"/>
      <c r="E183" s="11" t="str" cm="1">
        <f t="array" ref="E183">_xlfn.IFS(
    COUNTIF(Herramientas_eléctricas1862[Herramientas_eléctricas], B183) &gt; 0, Herramientas_eléctricas1862[[#Headers],[Herramientas_eléctricas]],
    COUNTIF(Herramientas_neumáticas1963[Herramientas_neumáticas], B183) &gt; 0, Herramientas_neumáticas1963[[#Headers],[Herramientas_neumáticas]],
    COUNTIF(Herramientas_de_medición2064[Herramientas_de_medición], B183) &gt; 0, Herramientas_de_medición2064[[#Headers],[Herramientas_de_medición]],
    COUNTIF(Herrramientas_mecánicas2165[Herramientas_mecánicas], B183) &gt; 0, Herrramientas_mecánicas2165[[#Headers],[Herramientas_mecánicas]],
    COUNTIF(AK183:AK189, B183) &gt; 0, Herramientas_hidráulicas2266[[#Headers],[Herramientas_hidráulicas]],
    COUNTIF(EPP_2367[SPCC], B183) &gt; 0, EPP_2367[[#Headers],[SPCC]],
   COUNTIF(Herramientas_de_izaje2468[Herramientas_de_izaje], B183) &gt; 0, Herramientas_de_izaje2468[[#Headers],[Herramientas_de_izaje]],
COUNTIF(Tabla162670[Equipos], B183) &gt; 0, Tabla162670[[#Headers],[Equipos]],
    TRUE, "Sin clasificación"
)</f>
        <v>Sin clasificación</v>
      </c>
      <c r="G183" s="15"/>
      <c r="H183" s="47"/>
      <c r="I183" s="87"/>
      <c r="J183" s="78"/>
      <c r="K183" s="78"/>
      <c r="L183" s="78"/>
      <c r="M183" s="78"/>
      <c r="N183" s="76"/>
      <c r="O183" s="76"/>
      <c r="P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Q183" s="77"/>
      <c r="R183" s="32"/>
      <c r="S183" s="32"/>
      <c r="T183" s="32"/>
      <c r="U183" s="32"/>
    </row>
    <row r="184" spans="3:21" x14ac:dyDescent="0.3">
      <c r="C184" s="11"/>
      <c r="D184" s="32"/>
      <c r="E184" s="11" t="str" cm="1">
        <f t="array" ref="E184">_xlfn.IFS(
    COUNTIF(Herramientas_eléctricas1862[Herramientas_eléctricas], B184) &gt; 0, Herramientas_eléctricas1862[[#Headers],[Herramientas_eléctricas]],
    COUNTIF(Herramientas_neumáticas1963[Herramientas_neumáticas], B184) &gt; 0, Herramientas_neumáticas1963[[#Headers],[Herramientas_neumáticas]],
    COUNTIF(Herramientas_de_medición2064[Herramientas_de_medición], B184) &gt; 0, Herramientas_de_medición2064[[#Headers],[Herramientas_de_medición]],
    COUNTIF(Herrramientas_mecánicas2165[Herramientas_mecánicas], B184) &gt; 0, Herrramientas_mecánicas2165[[#Headers],[Herramientas_mecánicas]],
    COUNTIF(AK184:AK190, B184) &gt; 0, Herramientas_hidráulicas2266[[#Headers],[Herramientas_hidráulicas]],
    COUNTIF(EPP_2367[SPCC], B184) &gt; 0, EPP_2367[[#Headers],[SPCC]],
   COUNTIF(Herramientas_de_izaje2468[Herramientas_de_izaje], B184) &gt; 0, Herramientas_de_izaje2468[[#Headers],[Herramientas_de_izaje]],
COUNTIF(Tabla162670[Equipos], B184) &gt; 0, Tabla162670[[#Headers],[Equipos]],
    TRUE, "Sin clasificación"
)</f>
        <v>Sin clasificación</v>
      </c>
      <c r="G184" s="15"/>
      <c r="H184" s="47"/>
      <c r="I184" s="87"/>
      <c r="J184" s="78"/>
      <c r="K184" s="78"/>
      <c r="L184" s="78"/>
      <c r="M184" s="78"/>
      <c r="N184" s="76"/>
      <c r="O184" s="76"/>
      <c r="P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Q184" s="77"/>
      <c r="R184" s="32"/>
      <c r="S184" s="32"/>
      <c r="T184" s="32"/>
      <c r="U184" s="32"/>
    </row>
    <row r="185" spans="3:21" x14ac:dyDescent="0.3">
      <c r="C185" s="11"/>
      <c r="D185" s="32"/>
      <c r="E185" s="11" t="str" cm="1">
        <f t="array" ref="E185">_xlfn.IFS(
    COUNTIF(Herramientas_eléctricas1862[Herramientas_eléctricas], B185) &gt; 0, Herramientas_eléctricas1862[[#Headers],[Herramientas_eléctricas]],
    COUNTIF(Herramientas_neumáticas1963[Herramientas_neumáticas], B185) &gt; 0, Herramientas_neumáticas1963[[#Headers],[Herramientas_neumáticas]],
    COUNTIF(Herramientas_de_medición2064[Herramientas_de_medición], B185) &gt; 0, Herramientas_de_medición2064[[#Headers],[Herramientas_de_medición]],
    COUNTIF(Herrramientas_mecánicas2165[Herramientas_mecánicas], B185) &gt; 0, Herrramientas_mecánicas2165[[#Headers],[Herramientas_mecánicas]],
    COUNTIF(AK185:AK191, B185) &gt; 0, Herramientas_hidráulicas2266[[#Headers],[Herramientas_hidráulicas]],
    COUNTIF(EPP_2367[SPCC], B185) &gt; 0, EPP_2367[[#Headers],[SPCC]],
   COUNTIF(Herramientas_de_izaje2468[Herramientas_de_izaje], B185) &gt; 0, Herramientas_de_izaje2468[[#Headers],[Herramientas_de_izaje]],
COUNTIF(Tabla162670[Equipos], B185) &gt; 0, Tabla162670[[#Headers],[Equipos]],
    TRUE, "Sin clasificación"
)</f>
        <v>Sin clasificación</v>
      </c>
      <c r="G185" s="15"/>
      <c r="H185" s="47"/>
      <c r="I185" s="87"/>
      <c r="J185" s="78"/>
      <c r="K185" s="78"/>
      <c r="L185" s="78"/>
      <c r="M185" s="78"/>
      <c r="N185" s="76"/>
      <c r="O185" s="76"/>
      <c r="P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Q185" s="77"/>
      <c r="R185" s="32"/>
      <c r="S185" s="32"/>
      <c r="T185" s="32"/>
      <c r="U185" s="32"/>
    </row>
    <row r="186" spans="3:21" x14ac:dyDescent="0.3">
      <c r="C186" s="11"/>
      <c r="D186" s="32"/>
      <c r="E186" s="11" t="str" cm="1">
        <f t="array" ref="E186">_xlfn.IFS(
    COUNTIF(Herramientas_eléctricas1862[Herramientas_eléctricas], B186) &gt; 0, Herramientas_eléctricas1862[[#Headers],[Herramientas_eléctricas]],
    COUNTIF(Herramientas_neumáticas1963[Herramientas_neumáticas], B186) &gt; 0, Herramientas_neumáticas1963[[#Headers],[Herramientas_neumáticas]],
    COUNTIF(Herramientas_de_medición2064[Herramientas_de_medición], B186) &gt; 0, Herramientas_de_medición2064[[#Headers],[Herramientas_de_medición]],
    COUNTIF(Herrramientas_mecánicas2165[Herramientas_mecánicas], B186) &gt; 0, Herrramientas_mecánicas2165[[#Headers],[Herramientas_mecánicas]],
    COUNTIF(AK186:AK192, B186) &gt; 0, Herramientas_hidráulicas2266[[#Headers],[Herramientas_hidráulicas]],
    COUNTIF(EPP_2367[SPCC], B186) &gt; 0, EPP_2367[[#Headers],[SPCC]],
   COUNTIF(Herramientas_de_izaje2468[Herramientas_de_izaje], B186) &gt; 0, Herramientas_de_izaje2468[[#Headers],[Herramientas_de_izaje]],
COUNTIF(Tabla162670[Equipos], B186) &gt; 0, Tabla162670[[#Headers],[Equipos]],
    TRUE, "Sin clasificación"
)</f>
        <v>Sin clasificación</v>
      </c>
      <c r="G186" s="15"/>
      <c r="H186" s="47"/>
      <c r="I186" s="87"/>
      <c r="J186" s="78"/>
      <c r="K186" s="78"/>
      <c r="L186" s="78"/>
      <c r="M186" s="78"/>
      <c r="N186" s="76"/>
      <c r="O186" s="76"/>
      <c r="P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Q186" s="77"/>
      <c r="R186" s="32"/>
      <c r="S186" s="32"/>
      <c r="T186" s="32"/>
      <c r="U186" s="32"/>
    </row>
    <row r="187" spans="3:21" x14ac:dyDescent="0.3">
      <c r="C187" s="11"/>
      <c r="D187" s="32"/>
      <c r="E187" s="11" t="str" cm="1">
        <f t="array" ref="E187">_xlfn.IFS(
    COUNTIF(Herramientas_eléctricas1862[Herramientas_eléctricas], B187) &gt; 0, Herramientas_eléctricas1862[[#Headers],[Herramientas_eléctricas]],
    COUNTIF(Herramientas_neumáticas1963[Herramientas_neumáticas], B187) &gt; 0, Herramientas_neumáticas1963[[#Headers],[Herramientas_neumáticas]],
    COUNTIF(Herramientas_de_medición2064[Herramientas_de_medición], B187) &gt; 0, Herramientas_de_medición2064[[#Headers],[Herramientas_de_medición]],
    COUNTIF(Herrramientas_mecánicas2165[Herramientas_mecánicas], B187) &gt; 0, Herrramientas_mecánicas2165[[#Headers],[Herramientas_mecánicas]],
    COUNTIF(AK187:AK193, B187) &gt; 0, Herramientas_hidráulicas2266[[#Headers],[Herramientas_hidráulicas]],
    COUNTIF(EPP_2367[SPCC], B187) &gt; 0, EPP_2367[[#Headers],[SPCC]],
   COUNTIF(Herramientas_de_izaje2468[Herramientas_de_izaje], B187) &gt; 0, Herramientas_de_izaje2468[[#Headers],[Herramientas_de_izaje]],
COUNTIF(Tabla162670[Equipos], B187) &gt; 0, Tabla162670[[#Headers],[Equipos]],
    TRUE, "Sin clasificación"
)</f>
        <v>Sin clasificación</v>
      </c>
      <c r="G187" s="15"/>
      <c r="H187" s="47"/>
      <c r="I187" s="87"/>
      <c r="J187" s="78"/>
      <c r="K187" s="78"/>
      <c r="L187" s="78"/>
      <c r="M187" s="78"/>
      <c r="N187" s="76"/>
      <c r="O187" s="76"/>
      <c r="P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Q187" s="77"/>
      <c r="R187" s="32"/>
      <c r="S187" s="32"/>
      <c r="T187" s="32"/>
      <c r="U187" s="32"/>
    </row>
    <row r="188" spans="3:21" x14ac:dyDescent="0.3">
      <c r="C188" s="11"/>
      <c r="D188" s="32"/>
      <c r="E188" s="11" t="str" cm="1">
        <f t="array" ref="E188">_xlfn.IFS(
    COUNTIF(Herramientas_eléctricas1862[Herramientas_eléctricas], B188) &gt; 0, Herramientas_eléctricas1862[[#Headers],[Herramientas_eléctricas]],
    COUNTIF(Herramientas_neumáticas1963[Herramientas_neumáticas], B188) &gt; 0, Herramientas_neumáticas1963[[#Headers],[Herramientas_neumáticas]],
    COUNTIF(Herramientas_de_medición2064[Herramientas_de_medición], B188) &gt; 0, Herramientas_de_medición2064[[#Headers],[Herramientas_de_medición]],
    COUNTIF(Herrramientas_mecánicas2165[Herramientas_mecánicas], B188) &gt; 0, Herrramientas_mecánicas2165[[#Headers],[Herramientas_mecánicas]],
    COUNTIF(AK188:AK194, B188) &gt; 0, Herramientas_hidráulicas2266[[#Headers],[Herramientas_hidráulicas]],
    COUNTIF(EPP_2367[SPCC], B188) &gt; 0, EPP_2367[[#Headers],[SPCC]],
   COUNTIF(Herramientas_de_izaje2468[Herramientas_de_izaje], B188) &gt; 0, Herramientas_de_izaje2468[[#Headers],[Herramientas_de_izaje]],
COUNTIF(Tabla162670[Equipos], B188) &gt; 0, Tabla162670[[#Headers],[Equipos]],
    TRUE, "Sin clasificación"
)</f>
        <v>Sin clasificación</v>
      </c>
      <c r="G188" s="15"/>
      <c r="H188" s="47"/>
      <c r="I188" s="87"/>
      <c r="J188" s="78"/>
      <c r="K188" s="78"/>
      <c r="L188" s="78"/>
      <c r="M188" s="78"/>
      <c r="N188" s="76"/>
      <c r="O188" s="76"/>
      <c r="P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Q188" s="77"/>
      <c r="R188" s="32"/>
      <c r="S188" s="32"/>
      <c r="T188" s="32"/>
      <c r="U188" s="32"/>
    </row>
    <row r="189" spans="3:21" x14ac:dyDescent="0.3">
      <c r="C189" s="11"/>
      <c r="D189" s="32"/>
      <c r="E189" s="11" t="str" cm="1">
        <f t="array" ref="E189">_xlfn.IFS(
    COUNTIF(Herramientas_eléctricas1862[Herramientas_eléctricas], B189) &gt; 0, Herramientas_eléctricas1862[[#Headers],[Herramientas_eléctricas]],
    COUNTIF(Herramientas_neumáticas1963[Herramientas_neumáticas], B189) &gt; 0, Herramientas_neumáticas1963[[#Headers],[Herramientas_neumáticas]],
    COUNTIF(Herramientas_de_medición2064[Herramientas_de_medición], B189) &gt; 0, Herramientas_de_medición2064[[#Headers],[Herramientas_de_medición]],
    COUNTIF(Herrramientas_mecánicas2165[Herramientas_mecánicas], B189) &gt; 0, Herrramientas_mecánicas2165[[#Headers],[Herramientas_mecánicas]],
    COUNTIF(AK189:AK195, B189) &gt; 0, Herramientas_hidráulicas2266[[#Headers],[Herramientas_hidráulicas]],
    COUNTIF(EPP_2367[SPCC], B189) &gt; 0, EPP_2367[[#Headers],[SPCC]],
   COUNTIF(Herramientas_de_izaje2468[Herramientas_de_izaje], B189) &gt; 0, Herramientas_de_izaje2468[[#Headers],[Herramientas_de_izaje]],
COUNTIF(Tabla162670[Equipos], B189) &gt; 0, Tabla162670[[#Headers],[Equipos]],
    TRUE, "Sin clasificación"
)</f>
        <v>Sin clasificación</v>
      </c>
      <c r="G189" s="15"/>
      <c r="H189" s="47"/>
      <c r="I189" s="87"/>
      <c r="J189" s="78"/>
      <c r="K189" s="78"/>
      <c r="L189" s="78"/>
      <c r="M189" s="78"/>
      <c r="N189" s="76"/>
      <c r="O189" s="76"/>
      <c r="P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Q189" s="77"/>
      <c r="R189" s="32"/>
      <c r="S189" s="32"/>
      <c r="T189" s="32"/>
      <c r="U189" s="32"/>
    </row>
    <row r="190" spans="3:21" x14ac:dyDescent="0.3">
      <c r="C190" s="11"/>
      <c r="D190" s="32"/>
      <c r="E190" s="11" t="str" cm="1">
        <f t="array" ref="E190">_xlfn.IFS(
    COUNTIF(Herramientas_eléctricas1862[Herramientas_eléctricas], B190) &gt; 0, Herramientas_eléctricas1862[[#Headers],[Herramientas_eléctricas]],
    COUNTIF(Herramientas_neumáticas1963[Herramientas_neumáticas], B190) &gt; 0, Herramientas_neumáticas1963[[#Headers],[Herramientas_neumáticas]],
    COUNTIF(Herramientas_de_medición2064[Herramientas_de_medición], B190) &gt; 0, Herramientas_de_medición2064[[#Headers],[Herramientas_de_medición]],
    COUNTIF(Herrramientas_mecánicas2165[Herramientas_mecánicas], B190) &gt; 0, Herrramientas_mecánicas2165[[#Headers],[Herramientas_mecánicas]],
    COUNTIF(AK190:AK196, B190) &gt; 0, Herramientas_hidráulicas2266[[#Headers],[Herramientas_hidráulicas]],
    COUNTIF(EPP_2367[SPCC], B190) &gt; 0, EPP_2367[[#Headers],[SPCC]],
   COUNTIF(Herramientas_de_izaje2468[Herramientas_de_izaje], B190) &gt; 0, Herramientas_de_izaje2468[[#Headers],[Herramientas_de_izaje]],
COUNTIF(Tabla162670[Equipos], B190) &gt; 0, Tabla162670[[#Headers],[Equipos]],
    TRUE, "Sin clasificación"
)</f>
        <v>Sin clasificación</v>
      </c>
      <c r="G190" s="15"/>
      <c r="H190" s="47"/>
      <c r="I190" s="87"/>
      <c r="J190" s="78"/>
      <c r="K190" s="78"/>
      <c r="L190" s="78"/>
      <c r="M190" s="78"/>
      <c r="N190" s="76"/>
      <c r="O190" s="76"/>
      <c r="P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Q190" s="77"/>
      <c r="R190" s="32"/>
      <c r="S190" s="32"/>
      <c r="T190" s="32"/>
      <c r="U190" s="32"/>
    </row>
    <row r="191" spans="3:21" x14ac:dyDescent="0.3">
      <c r="C191" s="11"/>
      <c r="D191" s="32"/>
      <c r="E191" s="11" t="str" cm="1">
        <f t="array" ref="E191">_xlfn.IFS(
    COUNTIF(Herramientas_eléctricas1862[Herramientas_eléctricas], B191) &gt; 0, Herramientas_eléctricas1862[[#Headers],[Herramientas_eléctricas]],
    COUNTIF(Herramientas_neumáticas1963[Herramientas_neumáticas], B191) &gt; 0, Herramientas_neumáticas1963[[#Headers],[Herramientas_neumáticas]],
    COUNTIF(Herramientas_de_medición2064[Herramientas_de_medición], B191) &gt; 0, Herramientas_de_medición2064[[#Headers],[Herramientas_de_medición]],
    COUNTIF(Herrramientas_mecánicas2165[Herramientas_mecánicas], B191) &gt; 0, Herrramientas_mecánicas2165[[#Headers],[Herramientas_mecánicas]],
    COUNTIF(AK191:AK197, B191) &gt; 0, Herramientas_hidráulicas2266[[#Headers],[Herramientas_hidráulicas]],
    COUNTIF(EPP_2367[SPCC], B191) &gt; 0, EPP_2367[[#Headers],[SPCC]],
   COUNTIF(Herramientas_de_izaje2468[Herramientas_de_izaje], B191) &gt; 0, Herramientas_de_izaje2468[[#Headers],[Herramientas_de_izaje]],
COUNTIF(Tabla162670[Equipos], B191) &gt; 0, Tabla162670[[#Headers],[Equipos]],
    TRUE, "Sin clasificación"
)</f>
        <v>Sin clasificación</v>
      </c>
      <c r="G191" s="15"/>
      <c r="H191" s="47"/>
      <c r="I191" s="87"/>
      <c r="J191" s="78"/>
      <c r="K191" s="78"/>
      <c r="L191" s="78"/>
      <c r="M191" s="78"/>
      <c r="N191" s="76"/>
      <c r="O191" s="76"/>
      <c r="P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Q191" s="77"/>
      <c r="R191" s="32"/>
      <c r="S191" s="32"/>
      <c r="T191" s="32"/>
      <c r="U191" s="32"/>
    </row>
    <row r="192" spans="3:21" x14ac:dyDescent="0.3">
      <c r="C192" s="11"/>
      <c r="D192" s="32"/>
      <c r="E192" s="11" t="str" cm="1">
        <f t="array" ref="E192">_xlfn.IFS(
    COUNTIF(Herramientas_eléctricas1862[Herramientas_eléctricas], B192) &gt; 0, Herramientas_eléctricas1862[[#Headers],[Herramientas_eléctricas]],
    COUNTIF(Herramientas_neumáticas1963[Herramientas_neumáticas], B192) &gt; 0, Herramientas_neumáticas1963[[#Headers],[Herramientas_neumáticas]],
    COUNTIF(Herramientas_de_medición2064[Herramientas_de_medición], B192) &gt; 0, Herramientas_de_medición2064[[#Headers],[Herramientas_de_medición]],
    COUNTIF(Herrramientas_mecánicas2165[Herramientas_mecánicas], B192) &gt; 0, Herrramientas_mecánicas2165[[#Headers],[Herramientas_mecánicas]],
    COUNTIF(AK192:AK198, B192) &gt; 0, Herramientas_hidráulicas2266[[#Headers],[Herramientas_hidráulicas]],
    COUNTIF(EPP_2367[SPCC], B192) &gt; 0, EPP_2367[[#Headers],[SPCC]],
   COUNTIF(Herramientas_de_izaje2468[Herramientas_de_izaje], B192) &gt; 0, Herramientas_de_izaje2468[[#Headers],[Herramientas_de_izaje]],
COUNTIF(Tabla162670[Equipos], B192) &gt; 0, Tabla162670[[#Headers],[Equipos]],
    TRUE, "Sin clasificación"
)</f>
        <v>Sin clasificación</v>
      </c>
      <c r="G192" s="15"/>
      <c r="H192" s="47"/>
      <c r="I192" s="87"/>
      <c r="J192" s="78"/>
      <c r="K192" s="78"/>
      <c r="L192" s="78"/>
      <c r="M192" s="78"/>
      <c r="N192" s="76"/>
      <c r="O192" s="76"/>
      <c r="P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Q192" s="77"/>
      <c r="R192" s="32"/>
      <c r="S192" s="32"/>
      <c r="T192" s="32"/>
      <c r="U192" s="32"/>
    </row>
    <row r="193" spans="3:21" x14ac:dyDescent="0.3">
      <c r="C193" s="11"/>
      <c r="D193" s="32"/>
      <c r="E193" s="11" t="str" cm="1">
        <f t="array" ref="E193">_xlfn.IFS(
    COUNTIF(Herramientas_eléctricas1862[Herramientas_eléctricas], B193) &gt; 0, Herramientas_eléctricas1862[[#Headers],[Herramientas_eléctricas]],
    COUNTIF(Herramientas_neumáticas1963[Herramientas_neumáticas], B193) &gt; 0, Herramientas_neumáticas1963[[#Headers],[Herramientas_neumáticas]],
    COUNTIF(Herramientas_de_medición2064[Herramientas_de_medición], B193) &gt; 0, Herramientas_de_medición2064[[#Headers],[Herramientas_de_medición]],
    COUNTIF(Herrramientas_mecánicas2165[Herramientas_mecánicas], B193) &gt; 0, Herrramientas_mecánicas2165[[#Headers],[Herramientas_mecánicas]],
    COUNTIF(AK193:AK199, B193) &gt; 0, Herramientas_hidráulicas2266[[#Headers],[Herramientas_hidráulicas]],
    COUNTIF(EPP_2367[SPCC], B193) &gt; 0, EPP_2367[[#Headers],[SPCC]],
   COUNTIF(Herramientas_de_izaje2468[Herramientas_de_izaje], B193) &gt; 0, Herramientas_de_izaje2468[[#Headers],[Herramientas_de_izaje]],
COUNTIF(Tabla162670[Equipos], B193) &gt; 0, Tabla162670[[#Headers],[Equipos]],
    TRUE, "Sin clasificación"
)</f>
        <v>Sin clasificación</v>
      </c>
      <c r="G193" s="15"/>
      <c r="H193" s="47"/>
      <c r="I193" s="87"/>
      <c r="J193" s="78"/>
      <c r="K193" s="78"/>
      <c r="L193" s="78"/>
      <c r="M193" s="78"/>
      <c r="N193" s="76"/>
      <c r="O193" s="76"/>
      <c r="P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Q193" s="77"/>
      <c r="R193" s="32"/>
      <c r="S193" s="32"/>
      <c r="T193" s="32"/>
      <c r="U193" s="32"/>
    </row>
    <row r="194" spans="3:21" x14ac:dyDescent="0.3">
      <c r="C194" s="11"/>
      <c r="D194" s="32"/>
      <c r="E194" s="11" t="str" cm="1">
        <f t="array" ref="E194">_xlfn.IFS(
    COUNTIF(Herramientas_eléctricas1862[Herramientas_eléctricas], B194) &gt; 0, Herramientas_eléctricas1862[[#Headers],[Herramientas_eléctricas]],
    COUNTIF(Herramientas_neumáticas1963[Herramientas_neumáticas], B194) &gt; 0, Herramientas_neumáticas1963[[#Headers],[Herramientas_neumáticas]],
    COUNTIF(Herramientas_de_medición2064[Herramientas_de_medición], B194) &gt; 0, Herramientas_de_medición2064[[#Headers],[Herramientas_de_medición]],
    COUNTIF(Herrramientas_mecánicas2165[Herramientas_mecánicas], B194) &gt; 0, Herrramientas_mecánicas2165[[#Headers],[Herramientas_mecánicas]],
    COUNTIF(AK194:AK200, B194) &gt; 0, Herramientas_hidráulicas2266[[#Headers],[Herramientas_hidráulicas]],
    COUNTIF(EPP_2367[SPCC], B194) &gt; 0, EPP_2367[[#Headers],[SPCC]],
   COUNTIF(Herramientas_de_izaje2468[Herramientas_de_izaje], B194) &gt; 0, Herramientas_de_izaje2468[[#Headers],[Herramientas_de_izaje]],
COUNTIF(Tabla162670[Equipos], B194) &gt; 0, Tabla162670[[#Headers],[Equipos]],
    TRUE, "Sin clasificación"
)</f>
        <v>Sin clasificación</v>
      </c>
      <c r="G194" s="15"/>
      <c r="H194" s="47"/>
      <c r="I194" s="87"/>
      <c r="J194" s="78"/>
      <c r="K194" s="78"/>
      <c r="L194" s="78"/>
      <c r="M194" s="78"/>
      <c r="N194" s="76"/>
      <c r="O194" s="76"/>
      <c r="P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Q194" s="77"/>
      <c r="R194" s="32"/>
      <c r="S194" s="32"/>
      <c r="T194" s="32"/>
      <c r="U194" s="32"/>
    </row>
    <row r="195" spans="3:21" x14ac:dyDescent="0.3">
      <c r="C195" s="11"/>
      <c r="D195" s="32"/>
      <c r="E195" s="11" t="str" cm="1">
        <f t="array" ref="E195">_xlfn.IFS(
    COUNTIF(Herramientas_eléctricas1862[Herramientas_eléctricas], B195) &gt; 0, Herramientas_eléctricas1862[[#Headers],[Herramientas_eléctricas]],
    COUNTIF(Herramientas_neumáticas1963[Herramientas_neumáticas], B195) &gt; 0, Herramientas_neumáticas1963[[#Headers],[Herramientas_neumáticas]],
    COUNTIF(Herramientas_de_medición2064[Herramientas_de_medición], B195) &gt; 0, Herramientas_de_medición2064[[#Headers],[Herramientas_de_medición]],
    COUNTIF(Herrramientas_mecánicas2165[Herramientas_mecánicas], B195) &gt; 0, Herrramientas_mecánicas2165[[#Headers],[Herramientas_mecánicas]],
    COUNTIF(AK195:AK201, B195) &gt; 0, Herramientas_hidráulicas2266[[#Headers],[Herramientas_hidráulicas]],
    COUNTIF(EPP_2367[SPCC], B195) &gt; 0, EPP_2367[[#Headers],[SPCC]],
   COUNTIF(Herramientas_de_izaje2468[Herramientas_de_izaje], B195) &gt; 0, Herramientas_de_izaje2468[[#Headers],[Herramientas_de_izaje]],
COUNTIF(Tabla162670[Equipos], B195) &gt; 0, Tabla162670[[#Headers],[Equipos]],
    TRUE, "Sin clasificación"
)</f>
        <v>Sin clasificación</v>
      </c>
      <c r="G195" s="15"/>
      <c r="H195" s="47"/>
      <c r="I195" s="87"/>
      <c r="J195" s="78"/>
      <c r="K195" s="78"/>
      <c r="L195" s="78"/>
      <c r="M195" s="78"/>
      <c r="N195" s="76"/>
      <c r="O195" s="76"/>
      <c r="P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Q195" s="77"/>
      <c r="R195" s="32"/>
      <c r="S195" s="32"/>
      <c r="T195" s="32"/>
      <c r="U195" s="32"/>
    </row>
    <row r="196" spans="3:21" x14ac:dyDescent="0.3">
      <c r="C196" s="11"/>
      <c r="D196" s="32"/>
      <c r="E196" s="11" t="str" cm="1">
        <f t="array" ref="E196">_xlfn.IFS(
    COUNTIF(Herramientas_eléctricas1862[Herramientas_eléctricas], B196) &gt; 0, Herramientas_eléctricas1862[[#Headers],[Herramientas_eléctricas]],
    COUNTIF(Herramientas_neumáticas1963[Herramientas_neumáticas], B196) &gt; 0, Herramientas_neumáticas1963[[#Headers],[Herramientas_neumáticas]],
    COUNTIF(Herramientas_de_medición2064[Herramientas_de_medición], B196) &gt; 0, Herramientas_de_medición2064[[#Headers],[Herramientas_de_medición]],
    COUNTIF(Herrramientas_mecánicas2165[Herramientas_mecánicas], B196) &gt; 0, Herrramientas_mecánicas2165[[#Headers],[Herramientas_mecánicas]],
    COUNTIF(AK196:AK202, B196) &gt; 0, Herramientas_hidráulicas2266[[#Headers],[Herramientas_hidráulicas]],
    COUNTIF(EPP_2367[SPCC], B196) &gt; 0, EPP_2367[[#Headers],[SPCC]],
   COUNTIF(Herramientas_de_izaje2468[Herramientas_de_izaje], B196) &gt; 0, Herramientas_de_izaje2468[[#Headers],[Herramientas_de_izaje]],
COUNTIF(Tabla162670[Equipos], B196) &gt; 0, Tabla162670[[#Headers],[Equipos]],
    TRUE, "Sin clasificación"
)</f>
        <v>Sin clasificación</v>
      </c>
      <c r="G196" s="15"/>
      <c r="H196" s="47"/>
      <c r="I196" s="87"/>
      <c r="J196" s="78"/>
      <c r="K196" s="78"/>
      <c r="L196" s="78"/>
      <c r="M196" s="78"/>
      <c r="N196" s="76"/>
      <c r="O196" s="76"/>
      <c r="P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Q196" s="77"/>
      <c r="R196" s="32"/>
      <c r="S196" s="32"/>
      <c r="T196" s="32"/>
      <c r="U196" s="32"/>
    </row>
    <row r="197" spans="3:21" x14ac:dyDescent="0.3">
      <c r="C197" s="11"/>
      <c r="D197" s="32"/>
      <c r="E197" s="11" t="str" cm="1">
        <f t="array" ref="E197">_xlfn.IFS(
    COUNTIF(Herramientas_eléctricas1862[Herramientas_eléctricas], B197) &gt; 0, Herramientas_eléctricas1862[[#Headers],[Herramientas_eléctricas]],
    COUNTIF(Herramientas_neumáticas1963[Herramientas_neumáticas], B197) &gt; 0, Herramientas_neumáticas1963[[#Headers],[Herramientas_neumáticas]],
    COUNTIF(Herramientas_de_medición2064[Herramientas_de_medición], B197) &gt; 0, Herramientas_de_medición2064[[#Headers],[Herramientas_de_medición]],
    COUNTIF(Herrramientas_mecánicas2165[Herramientas_mecánicas], B197) &gt; 0, Herrramientas_mecánicas2165[[#Headers],[Herramientas_mecánicas]],
    COUNTIF(AK197:AK203, B197) &gt; 0, Herramientas_hidráulicas2266[[#Headers],[Herramientas_hidráulicas]],
    COUNTIF(EPP_2367[SPCC], B197) &gt; 0, EPP_2367[[#Headers],[SPCC]],
   COUNTIF(Herramientas_de_izaje2468[Herramientas_de_izaje], B197) &gt; 0, Herramientas_de_izaje2468[[#Headers],[Herramientas_de_izaje]],
COUNTIF(Tabla162670[Equipos], B197) &gt; 0, Tabla162670[[#Headers],[Equipos]],
    TRUE, "Sin clasificación"
)</f>
        <v>Sin clasificación</v>
      </c>
      <c r="G197" s="15"/>
      <c r="H197" s="47"/>
      <c r="I197" s="87"/>
      <c r="J197" s="78"/>
      <c r="K197" s="78"/>
      <c r="L197" s="78"/>
      <c r="M197" s="78"/>
      <c r="N197" s="76"/>
      <c r="O197" s="76"/>
      <c r="P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Q197" s="77"/>
      <c r="R197" s="32"/>
      <c r="S197" s="32"/>
      <c r="T197" s="32"/>
      <c r="U197" s="32"/>
    </row>
    <row r="198" spans="3:21" x14ac:dyDescent="0.3">
      <c r="C198" s="11"/>
      <c r="D198" s="32"/>
      <c r="E198" s="11" t="str" cm="1">
        <f t="array" ref="E198">_xlfn.IFS(
    COUNTIF(Herramientas_eléctricas1862[Herramientas_eléctricas], B198) &gt; 0, Herramientas_eléctricas1862[[#Headers],[Herramientas_eléctricas]],
    COUNTIF(Herramientas_neumáticas1963[Herramientas_neumáticas], B198) &gt; 0, Herramientas_neumáticas1963[[#Headers],[Herramientas_neumáticas]],
    COUNTIF(Herramientas_de_medición2064[Herramientas_de_medición], B198) &gt; 0, Herramientas_de_medición2064[[#Headers],[Herramientas_de_medición]],
    COUNTIF(Herrramientas_mecánicas2165[Herramientas_mecánicas], B198) &gt; 0, Herrramientas_mecánicas2165[[#Headers],[Herramientas_mecánicas]],
    COUNTIF(AK198:AK204, B198) &gt; 0, Herramientas_hidráulicas2266[[#Headers],[Herramientas_hidráulicas]],
    COUNTIF(EPP_2367[SPCC], B198) &gt; 0, EPP_2367[[#Headers],[SPCC]],
   COUNTIF(Herramientas_de_izaje2468[Herramientas_de_izaje], B198) &gt; 0, Herramientas_de_izaje2468[[#Headers],[Herramientas_de_izaje]],
COUNTIF(Tabla162670[Equipos], B198) &gt; 0, Tabla162670[[#Headers],[Equipos]],
    TRUE, "Sin clasificación"
)</f>
        <v>Sin clasificación</v>
      </c>
      <c r="G198" s="15"/>
      <c r="H198" s="47"/>
      <c r="I198" s="87"/>
      <c r="J198" s="78"/>
      <c r="K198" s="78"/>
      <c r="L198" s="78"/>
      <c r="M198" s="78"/>
      <c r="N198" s="76"/>
      <c r="O198" s="76"/>
      <c r="P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Q198" s="77"/>
      <c r="R198" s="32"/>
      <c r="S198" s="32"/>
      <c r="T198" s="32"/>
      <c r="U198" s="32"/>
    </row>
    <row r="199" spans="3:21" x14ac:dyDescent="0.3">
      <c r="C199" s="11"/>
      <c r="D199" s="32"/>
      <c r="E199" s="11" t="str" cm="1">
        <f t="array" ref="E199">_xlfn.IFS(
    COUNTIF(Herramientas_eléctricas1862[Herramientas_eléctricas], B199) &gt; 0, Herramientas_eléctricas1862[[#Headers],[Herramientas_eléctricas]],
    COUNTIF(Herramientas_neumáticas1963[Herramientas_neumáticas], B199) &gt; 0, Herramientas_neumáticas1963[[#Headers],[Herramientas_neumáticas]],
    COUNTIF(Herramientas_de_medición2064[Herramientas_de_medición], B199) &gt; 0, Herramientas_de_medición2064[[#Headers],[Herramientas_de_medición]],
    COUNTIF(Herrramientas_mecánicas2165[Herramientas_mecánicas], B199) &gt; 0, Herrramientas_mecánicas2165[[#Headers],[Herramientas_mecánicas]],
    COUNTIF(AK199:AK205, B199) &gt; 0, Herramientas_hidráulicas2266[[#Headers],[Herramientas_hidráulicas]],
    COUNTIF(EPP_2367[SPCC], B199) &gt; 0, EPP_2367[[#Headers],[SPCC]],
   COUNTIF(Herramientas_de_izaje2468[Herramientas_de_izaje], B199) &gt; 0, Herramientas_de_izaje2468[[#Headers],[Herramientas_de_izaje]],
COUNTIF(Tabla162670[Equipos], B199) &gt; 0, Tabla162670[[#Headers],[Equipos]],
    TRUE, "Sin clasificación"
)</f>
        <v>Sin clasificación</v>
      </c>
      <c r="G199" s="15"/>
      <c r="H199" s="47"/>
      <c r="I199" s="87"/>
      <c r="J199" s="78"/>
      <c r="K199" s="78"/>
      <c r="L199" s="78"/>
      <c r="M199" s="78"/>
      <c r="N199" s="76"/>
      <c r="O199" s="76"/>
      <c r="P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Q199" s="77"/>
      <c r="R199" s="32"/>
      <c r="S199" s="32"/>
      <c r="T199" s="32"/>
      <c r="U199" s="32"/>
    </row>
    <row r="200" spans="3:21" x14ac:dyDescent="0.3">
      <c r="C200" s="11"/>
      <c r="D200" s="32"/>
      <c r="E200" s="11" t="str" cm="1">
        <f t="array" ref="E200">_xlfn.IFS(
    COUNTIF(Herramientas_eléctricas1862[Herramientas_eléctricas], B200) &gt; 0, Herramientas_eléctricas1862[[#Headers],[Herramientas_eléctricas]],
    COUNTIF(Herramientas_neumáticas1963[Herramientas_neumáticas], B200) &gt; 0, Herramientas_neumáticas1963[[#Headers],[Herramientas_neumáticas]],
    COUNTIF(Herramientas_de_medición2064[Herramientas_de_medición], B200) &gt; 0, Herramientas_de_medición2064[[#Headers],[Herramientas_de_medición]],
    COUNTIF(Herrramientas_mecánicas2165[Herramientas_mecánicas], B200) &gt; 0, Herrramientas_mecánicas2165[[#Headers],[Herramientas_mecánicas]],
    COUNTIF(AK200:AK206, B200) &gt; 0, Herramientas_hidráulicas2266[[#Headers],[Herramientas_hidráulicas]],
    COUNTIF(EPP_2367[SPCC], B200) &gt; 0, EPP_2367[[#Headers],[SPCC]],
   COUNTIF(Herramientas_de_izaje2468[Herramientas_de_izaje], B200) &gt; 0, Herramientas_de_izaje2468[[#Headers],[Herramientas_de_izaje]],
COUNTIF(Tabla162670[Equipos], B200) &gt; 0, Tabla162670[[#Headers],[Equipos]],
    TRUE, "Sin clasificación"
)</f>
        <v>Sin clasificación</v>
      </c>
      <c r="G200" s="15"/>
      <c r="H200" s="47"/>
      <c r="I200" s="87"/>
      <c r="J200" s="78"/>
      <c r="K200" s="78"/>
      <c r="L200" s="78"/>
      <c r="M200" s="78"/>
      <c r="N200" s="76"/>
      <c r="O200" s="76"/>
      <c r="P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Q200" s="77"/>
      <c r="R200" s="32"/>
      <c r="S200" s="32"/>
      <c r="T200" s="32"/>
      <c r="U200" s="32"/>
    </row>
    <row r="201" spans="3:21" x14ac:dyDescent="0.3">
      <c r="C201" s="11"/>
      <c r="D201" s="32"/>
      <c r="E201" s="11" t="str" cm="1">
        <f t="array" ref="E201">_xlfn.IFS(
    COUNTIF(Herramientas_eléctricas1862[Herramientas_eléctricas], B201) &gt; 0, Herramientas_eléctricas1862[[#Headers],[Herramientas_eléctricas]],
    COUNTIF(Herramientas_neumáticas1963[Herramientas_neumáticas], B201) &gt; 0, Herramientas_neumáticas1963[[#Headers],[Herramientas_neumáticas]],
    COUNTIF(Herramientas_de_medición2064[Herramientas_de_medición], B201) &gt; 0, Herramientas_de_medición2064[[#Headers],[Herramientas_de_medición]],
    COUNTIF(Herrramientas_mecánicas2165[Herramientas_mecánicas], B201) &gt; 0, Herrramientas_mecánicas2165[[#Headers],[Herramientas_mecánicas]],
    COUNTIF(AK201:AK207, B201) &gt; 0, Herramientas_hidráulicas2266[[#Headers],[Herramientas_hidráulicas]],
    COUNTIF(EPP_2367[SPCC], B201) &gt; 0, EPP_2367[[#Headers],[SPCC]],
   COUNTIF(Herramientas_de_izaje2468[Herramientas_de_izaje], B201) &gt; 0, Herramientas_de_izaje2468[[#Headers],[Herramientas_de_izaje]],
COUNTIF(Tabla162670[Equipos], B201) &gt; 0, Tabla162670[[#Headers],[Equipos]],
    TRUE, "Sin clasificación"
)</f>
        <v>Sin clasificación</v>
      </c>
      <c r="G201" s="15"/>
      <c r="H201" s="47"/>
      <c r="I201" s="87"/>
      <c r="J201" s="78"/>
      <c r="K201" s="78"/>
      <c r="L201" s="78"/>
      <c r="M201" s="78"/>
      <c r="N201" s="76"/>
      <c r="O201" s="76"/>
      <c r="P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Q201" s="77"/>
      <c r="R201" s="32"/>
      <c r="S201" s="32"/>
      <c r="T201" s="32"/>
      <c r="U201" s="32"/>
    </row>
    <row r="202" spans="3:21" x14ac:dyDescent="0.3">
      <c r="C202" s="11"/>
      <c r="D202" s="32"/>
      <c r="E202" s="11" t="str" cm="1">
        <f t="array" ref="E202">_xlfn.IFS(
    COUNTIF(Herramientas_eléctricas1862[Herramientas_eléctricas], B202) &gt; 0, Herramientas_eléctricas1862[[#Headers],[Herramientas_eléctricas]],
    COUNTIF(Herramientas_neumáticas1963[Herramientas_neumáticas], B202) &gt; 0, Herramientas_neumáticas1963[[#Headers],[Herramientas_neumáticas]],
    COUNTIF(Herramientas_de_medición2064[Herramientas_de_medición], B202) &gt; 0, Herramientas_de_medición2064[[#Headers],[Herramientas_de_medición]],
    COUNTIF(Herrramientas_mecánicas2165[Herramientas_mecánicas], B202) &gt; 0, Herrramientas_mecánicas2165[[#Headers],[Herramientas_mecánicas]],
    COUNTIF(AK202:AK208, B202) &gt; 0, Herramientas_hidráulicas2266[[#Headers],[Herramientas_hidráulicas]],
    COUNTIF(EPP_2367[SPCC], B202) &gt; 0, EPP_2367[[#Headers],[SPCC]],
   COUNTIF(Herramientas_de_izaje2468[Herramientas_de_izaje], B202) &gt; 0, Herramientas_de_izaje2468[[#Headers],[Herramientas_de_izaje]],
COUNTIF(Tabla162670[Equipos], B202) &gt; 0, Tabla162670[[#Headers],[Equipos]],
    TRUE, "Sin clasificación"
)</f>
        <v>Sin clasificación</v>
      </c>
      <c r="G202" s="15"/>
      <c r="H202" s="47"/>
      <c r="I202" s="87"/>
      <c r="J202" s="78"/>
      <c r="K202" s="78"/>
      <c r="L202" s="78"/>
      <c r="M202" s="78"/>
      <c r="N202" s="76"/>
      <c r="O202" s="76"/>
      <c r="P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Q202" s="77"/>
      <c r="R202" s="32"/>
      <c r="S202" s="32"/>
      <c r="T202" s="32"/>
      <c r="U202" s="32"/>
    </row>
    <row r="203" spans="3:21" x14ac:dyDescent="0.3">
      <c r="C203" s="11"/>
      <c r="D203" s="32"/>
      <c r="E203" s="11" t="str" cm="1">
        <f t="array" ref="E203">_xlfn.IFS(
    COUNTIF(Herramientas_eléctricas1862[Herramientas_eléctricas], B203) &gt; 0, Herramientas_eléctricas1862[[#Headers],[Herramientas_eléctricas]],
    COUNTIF(Herramientas_neumáticas1963[Herramientas_neumáticas], B203) &gt; 0, Herramientas_neumáticas1963[[#Headers],[Herramientas_neumáticas]],
    COUNTIF(Herramientas_de_medición2064[Herramientas_de_medición], B203) &gt; 0, Herramientas_de_medición2064[[#Headers],[Herramientas_de_medición]],
    COUNTIF(Herrramientas_mecánicas2165[Herramientas_mecánicas], B203) &gt; 0, Herrramientas_mecánicas2165[[#Headers],[Herramientas_mecánicas]],
    COUNTIF(AK203:AK209, B203) &gt; 0, Herramientas_hidráulicas2266[[#Headers],[Herramientas_hidráulicas]],
    COUNTIF(EPP_2367[SPCC], B203) &gt; 0, EPP_2367[[#Headers],[SPCC]],
   COUNTIF(Herramientas_de_izaje2468[Herramientas_de_izaje], B203) &gt; 0, Herramientas_de_izaje2468[[#Headers],[Herramientas_de_izaje]],
COUNTIF(Tabla162670[Equipos], B203) &gt; 0, Tabla162670[[#Headers],[Equipos]],
    TRUE, "Sin clasificación"
)</f>
        <v>Sin clasificación</v>
      </c>
      <c r="G203" s="15"/>
      <c r="H203" s="47"/>
      <c r="I203" s="87"/>
      <c r="J203" s="78"/>
      <c r="K203" s="78"/>
      <c r="L203" s="78"/>
      <c r="M203" s="78"/>
      <c r="N203" s="76"/>
      <c r="O203" s="76"/>
      <c r="P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Q203" s="77"/>
      <c r="R203" s="32"/>
      <c r="S203" s="32"/>
      <c r="T203" s="32"/>
      <c r="U203" s="32"/>
    </row>
    <row r="204" spans="3:21" x14ac:dyDescent="0.3">
      <c r="C204" s="11"/>
      <c r="D204" s="32"/>
      <c r="E204" s="11" t="str" cm="1">
        <f t="array" ref="E204">_xlfn.IFS(
    COUNTIF(Herramientas_eléctricas1862[Herramientas_eléctricas], B204) &gt; 0, Herramientas_eléctricas1862[[#Headers],[Herramientas_eléctricas]],
    COUNTIF(Herramientas_neumáticas1963[Herramientas_neumáticas], B204) &gt; 0, Herramientas_neumáticas1963[[#Headers],[Herramientas_neumáticas]],
    COUNTIF(Herramientas_de_medición2064[Herramientas_de_medición], B204) &gt; 0, Herramientas_de_medición2064[[#Headers],[Herramientas_de_medición]],
    COUNTIF(Herrramientas_mecánicas2165[Herramientas_mecánicas], B204) &gt; 0, Herrramientas_mecánicas2165[[#Headers],[Herramientas_mecánicas]],
    COUNTIF(AK204:AK210, B204) &gt; 0, Herramientas_hidráulicas2266[[#Headers],[Herramientas_hidráulicas]],
    COUNTIF(EPP_2367[SPCC], B204) &gt; 0, EPP_2367[[#Headers],[SPCC]],
   COUNTIF(Herramientas_de_izaje2468[Herramientas_de_izaje], B204) &gt; 0, Herramientas_de_izaje2468[[#Headers],[Herramientas_de_izaje]],
COUNTIF(Tabla162670[Equipos], B204) &gt; 0, Tabla162670[[#Headers],[Equipos]],
    TRUE, "Sin clasificación"
)</f>
        <v>Sin clasificación</v>
      </c>
      <c r="G204" s="15"/>
      <c r="H204" s="47"/>
      <c r="I204" s="87"/>
      <c r="J204" s="78"/>
      <c r="K204" s="78"/>
      <c r="L204" s="78"/>
      <c r="M204" s="78"/>
      <c r="N204" s="76"/>
      <c r="O204" s="76"/>
      <c r="P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Q204" s="77"/>
      <c r="R204" s="32"/>
      <c r="S204" s="32"/>
      <c r="T204" s="32"/>
      <c r="U204" s="32"/>
    </row>
    <row r="205" spans="3:21" x14ac:dyDescent="0.3">
      <c r="C205" s="11"/>
      <c r="D205" s="32"/>
      <c r="E205" s="11" t="str" cm="1">
        <f t="array" ref="E205">_xlfn.IFS(
    COUNTIF(Herramientas_eléctricas1862[Herramientas_eléctricas], B205) &gt; 0, Herramientas_eléctricas1862[[#Headers],[Herramientas_eléctricas]],
    COUNTIF(Herramientas_neumáticas1963[Herramientas_neumáticas], B205) &gt; 0, Herramientas_neumáticas1963[[#Headers],[Herramientas_neumáticas]],
    COUNTIF(Herramientas_de_medición2064[Herramientas_de_medición], B205) &gt; 0, Herramientas_de_medición2064[[#Headers],[Herramientas_de_medición]],
    COUNTIF(Herrramientas_mecánicas2165[Herramientas_mecánicas], B205) &gt; 0, Herrramientas_mecánicas2165[[#Headers],[Herramientas_mecánicas]],
    COUNTIF(AK205:AK211, B205) &gt; 0, Herramientas_hidráulicas2266[[#Headers],[Herramientas_hidráulicas]],
    COUNTIF(EPP_2367[SPCC], B205) &gt; 0, EPP_2367[[#Headers],[SPCC]],
   COUNTIF(Herramientas_de_izaje2468[Herramientas_de_izaje], B205) &gt; 0, Herramientas_de_izaje2468[[#Headers],[Herramientas_de_izaje]],
COUNTIF(Tabla162670[Equipos], B205) &gt; 0, Tabla162670[[#Headers],[Equipos]],
    TRUE, "Sin clasificación"
)</f>
        <v>Sin clasificación</v>
      </c>
      <c r="G205" s="15"/>
      <c r="H205" s="47"/>
      <c r="I205" s="87"/>
      <c r="J205" s="78"/>
      <c r="K205" s="78"/>
      <c r="L205" s="78"/>
      <c r="M205" s="78"/>
      <c r="N205" s="76"/>
      <c r="O205" s="76"/>
      <c r="P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Q205" s="77"/>
      <c r="R205" s="32"/>
      <c r="S205" s="32"/>
      <c r="T205" s="32"/>
      <c r="U205" s="32"/>
    </row>
    <row r="206" spans="3:21" x14ac:dyDescent="0.3">
      <c r="C206" s="11"/>
      <c r="D206" s="32"/>
      <c r="E206" s="11" t="str" cm="1">
        <f t="array" ref="E206">_xlfn.IFS(
    COUNTIF(Herramientas_eléctricas1862[Herramientas_eléctricas], B206) &gt; 0, Herramientas_eléctricas1862[[#Headers],[Herramientas_eléctricas]],
    COUNTIF(Herramientas_neumáticas1963[Herramientas_neumáticas], B206) &gt; 0, Herramientas_neumáticas1963[[#Headers],[Herramientas_neumáticas]],
    COUNTIF(Herramientas_de_medición2064[Herramientas_de_medición], B206) &gt; 0, Herramientas_de_medición2064[[#Headers],[Herramientas_de_medición]],
    COUNTIF(Herrramientas_mecánicas2165[Herramientas_mecánicas], B206) &gt; 0, Herrramientas_mecánicas2165[[#Headers],[Herramientas_mecánicas]],
    COUNTIF(AK206:AK212, B206) &gt; 0, Herramientas_hidráulicas2266[[#Headers],[Herramientas_hidráulicas]],
    COUNTIF(EPP_2367[SPCC], B206) &gt; 0, EPP_2367[[#Headers],[SPCC]],
   COUNTIF(Herramientas_de_izaje2468[Herramientas_de_izaje], B206) &gt; 0, Herramientas_de_izaje2468[[#Headers],[Herramientas_de_izaje]],
COUNTIF(Tabla162670[Equipos], B206) &gt; 0, Tabla162670[[#Headers],[Equipos]],
    TRUE, "Sin clasificación"
)</f>
        <v>Sin clasificación</v>
      </c>
      <c r="G206" s="15"/>
      <c r="H206" s="47"/>
      <c r="I206" s="87"/>
      <c r="J206" s="78"/>
      <c r="K206" s="78"/>
      <c r="L206" s="78"/>
      <c r="M206" s="78"/>
      <c r="N206" s="76"/>
      <c r="O206" s="76"/>
      <c r="P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Q206" s="77"/>
      <c r="R206" s="32"/>
      <c r="S206" s="32"/>
      <c r="T206" s="32"/>
      <c r="U206" s="32"/>
    </row>
    <row r="207" spans="3:21" x14ac:dyDescent="0.3">
      <c r="C207" s="11"/>
      <c r="D207" s="32"/>
      <c r="E207" s="11" t="str" cm="1">
        <f t="array" ref="E207">_xlfn.IFS(
    COUNTIF(Herramientas_eléctricas1862[Herramientas_eléctricas], B207) &gt; 0, Herramientas_eléctricas1862[[#Headers],[Herramientas_eléctricas]],
    COUNTIF(Herramientas_neumáticas1963[Herramientas_neumáticas], B207) &gt; 0, Herramientas_neumáticas1963[[#Headers],[Herramientas_neumáticas]],
    COUNTIF(Herramientas_de_medición2064[Herramientas_de_medición], B207) &gt; 0, Herramientas_de_medición2064[[#Headers],[Herramientas_de_medición]],
    COUNTIF(Herrramientas_mecánicas2165[Herramientas_mecánicas], B207) &gt; 0, Herrramientas_mecánicas2165[[#Headers],[Herramientas_mecánicas]],
    COUNTIF(AK207:AK213, B207) &gt; 0, Herramientas_hidráulicas2266[[#Headers],[Herramientas_hidráulicas]],
    COUNTIF(EPP_2367[SPCC], B207) &gt; 0, EPP_2367[[#Headers],[SPCC]],
   COUNTIF(Herramientas_de_izaje2468[Herramientas_de_izaje], B207) &gt; 0, Herramientas_de_izaje2468[[#Headers],[Herramientas_de_izaje]],
COUNTIF(Tabla162670[Equipos], B207) &gt; 0, Tabla162670[[#Headers],[Equipos]],
    TRUE, "Sin clasificación"
)</f>
        <v>Sin clasificación</v>
      </c>
      <c r="G207" s="15"/>
      <c r="H207" s="47"/>
      <c r="I207" s="87"/>
      <c r="J207" s="78"/>
      <c r="K207" s="78"/>
      <c r="L207" s="78"/>
      <c r="M207" s="78"/>
      <c r="N207" s="76"/>
      <c r="O207" s="76"/>
      <c r="P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Q207" s="77"/>
      <c r="R207" s="32"/>
      <c r="S207" s="32"/>
      <c r="T207" s="32"/>
      <c r="U207" s="32"/>
    </row>
    <row r="208" spans="3:21" x14ac:dyDescent="0.3">
      <c r="C208" s="11"/>
      <c r="D208" s="32"/>
      <c r="E208" s="11" t="str" cm="1">
        <f t="array" ref="E208">_xlfn.IFS(
    COUNTIF(Herramientas_eléctricas1862[Herramientas_eléctricas], B208) &gt; 0, Herramientas_eléctricas1862[[#Headers],[Herramientas_eléctricas]],
    COUNTIF(Herramientas_neumáticas1963[Herramientas_neumáticas], B208) &gt; 0, Herramientas_neumáticas1963[[#Headers],[Herramientas_neumáticas]],
    COUNTIF(Herramientas_de_medición2064[Herramientas_de_medición], B208) &gt; 0, Herramientas_de_medición2064[[#Headers],[Herramientas_de_medición]],
    COUNTIF(Herrramientas_mecánicas2165[Herramientas_mecánicas], B208) &gt; 0, Herrramientas_mecánicas2165[[#Headers],[Herramientas_mecánicas]],
    COUNTIF(AK208:AK214, B208) &gt; 0, Herramientas_hidráulicas2266[[#Headers],[Herramientas_hidráulicas]],
    COUNTIF(EPP_2367[SPCC], B208) &gt; 0, EPP_2367[[#Headers],[SPCC]],
   COUNTIF(Herramientas_de_izaje2468[Herramientas_de_izaje], B208) &gt; 0, Herramientas_de_izaje2468[[#Headers],[Herramientas_de_izaje]],
COUNTIF(Tabla162670[Equipos], B208) &gt; 0, Tabla162670[[#Headers],[Equipos]],
    TRUE, "Sin clasificación"
)</f>
        <v>Sin clasificación</v>
      </c>
      <c r="G208" s="15"/>
      <c r="H208" s="47"/>
      <c r="I208" s="87"/>
      <c r="J208" s="78"/>
      <c r="K208" s="78"/>
      <c r="L208" s="78"/>
      <c r="M208" s="78"/>
      <c r="N208" s="76"/>
      <c r="O208" s="76"/>
      <c r="P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Q208" s="77"/>
      <c r="R208" s="32"/>
      <c r="S208" s="32"/>
      <c r="T208" s="32"/>
      <c r="U208" s="32"/>
    </row>
    <row r="209" spans="3:21" x14ac:dyDescent="0.3">
      <c r="C209" s="11"/>
      <c r="D209" s="32"/>
      <c r="E209" s="11" t="str" cm="1">
        <f t="array" ref="E209">_xlfn.IFS(
    COUNTIF(Herramientas_eléctricas1862[Herramientas_eléctricas], B209) &gt; 0, Herramientas_eléctricas1862[[#Headers],[Herramientas_eléctricas]],
    COUNTIF(Herramientas_neumáticas1963[Herramientas_neumáticas], B209) &gt; 0, Herramientas_neumáticas1963[[#Headers],[Herramientas_neumáticas]],
    COUNTIF(Herramientas_de_medición2064[Herramientas_de_medición], B209) &gt; 0, Herramientas_de_medición2064[[#Headers],[Herramientas_de_medición]],
    COUNTIF(Herrramientas_mecánicas2165[Herramientas_mecánicas], B209) &gt; 0, Herrramientas_mecánicas2165[[#Headers],[Herramientas_mecánicas]],
    COUNTIF(AK209:AK215, B209) &gt; 0, Herramientas_hidráulicas2266[[#Headers],[Herramientas_hidráulicas]],
    COUNTIF(EPP_2367[SPCC], B209) &gt; 0, EPP_2367[[#Headers],[SPCC]],
   COUNTIF(Herramientas_de_izaje2468[Herramientas_de_izaje], B209) &gt; 0, Herramientas_de_izaje2468[[#Headers],[Herramientas_de_izaje]],
COUNTIF(Tabla162670[Equipos], B209) &gt; 0, Tabla162670[[#Headers],[Equipos]],
    TRUE, "Sin clasificación"
)</f>
        <v>Sin clasificación</v>
      </c>
      <c r="G209" s="15"/>
      <c r="H209" s="47"/>
      <c r="I209" s="87"/>
      <c r="J209" s="78"/>
      <c r="K209" s="78"/>
      <c r="L209" s="78"/>
      <c r="M209" s="78"/>
      <c r="N209" s="76"/>
      <c r="O209" s="76"/>
      <c r="P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Q209" s="77"/>
      <c r="R209" s="32"/>
      <c r="S209" s="32"/>
      <c r="T209" s="32"/>
      <c r="U209" s="32"/>
    </row>
    <row r="210" spans="3:21" x14ac:dyDescent="0.3">
      <c r="C210" s="11"/>
      <c r="D210" s="32"/>
      <c r="E210" s="11" t="str" cm="1">
        <f t="array" ref="E210">_xlfn.IFS(
    COUNTIF(Herramientas_eléctricas1862[Herramientas_eléctricas], B210) &gt; 0, Herramientas_eléctricas1862[[#Headers],[Herramientas_eléctricas]],
    COUNTIF(Herramientas_neumáticas1963[Herramientas_neumáticas], B210) &gt; 0, Herramientas_neumáticas1963[[#Headers],[Herramientas_neumáticas]],
    COUNTIF(Herramientas_de_medición2064[Herramientas_de_medición], B210) &gt; 0, Herramientas_de_medición2064[[#Headers],[Herramientas_de_medición]],
    COUNTIF(Herrramientas_mecánicas2165[Herramientas_mecánicas], B210) &gt; 0, Herrramientas_mecánicas2165[[#Headers],[Herramientas_mecánicas]],
    COUNTIF(AK210:AK216, B210) &gt; 0, Herramientas_hidráulicas2266[[#Headers],[Herramientas_hidráulicas]],
    COUNTIF(EPP_2367[SPCC], B210) &gt; 0, EPP_2367[[#Headers],[SPCC]],
   COUNTIF(Herramientas_de_izaje2468[Herramientas_de_izaje], B210) &gt; 0, Herramientas_de_izaje2468[[#Headers],[Herramientas_de_izaje]],
COUNTIF(Tabla162670[Equipos], B210) &gt; 0, Tabla162670[[#Headers],[Equipos]],
    TRUE, "Sin clasificación"
)</f>
        <v>Sin clasificación</v>
      </c>
      <c r="G210" s="15"/>
      <c r="H210" s="47"/>
      <c r="I210" s="87"/>
      <c r="J210" s="78"/>
      <c r="K210" s="78"/>
      <c r="L210" s="78"/>
      <c r="M210" s="78"/>
      <c r="N210" s="76"/>
      <c r="O210" s="76"/>
      <c r="P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Q210" s="77"/>
      <c r="R210" s="32"/>
      <c r="S210" s="32"/>
      <c r="T210" s="32"/>
      <c r="U210" s="32"/>
    </row>
    <row r="211" spans="3:21" x14ac:dyDescent="0.3">
      <c r="C211" s="11"/>
      <c r="D211" s="32"/>
      <c r="E211" s="11" t="str" cm="1">
        <f t="array" ref="E211">_xlfn.IFS(
    COUNTIF(Herramientas_eléctricas1862[Herramientas_eléctricas], B211) &gt; 0, Herramientas_eléctricas1862[[#Headers],[Herramientas_eléctricas]],
    COUNTIF(Herramientas_neumáticas1963[Herramientas_neumáticas], B211) &gt; 0, Herramientas_neumáticas1963[[#Headers],[Herramientas_neumáticas]],
    COUNTIF(Herramientas_de_medición2064[Herramientas_de_medición], B211) &gt; 0, Herramientas_de_medición2064[[#Headers],[Herramientas_de_medición]],
    COUNTIF(Herrramientas_mecánicas2165[Herramientas_mecánicas], B211) &gt; 0, Herrramientas_mecánicas2165[[#Headers],[Herramientas_mecánicas]],
    COUNTIF(AK211:AK217, B211) &gt; 0, Herramientas_hidráulicas2266[[#Headers],[Herramientas_hidráulicas]],
    COUNTIF(EPP_2367[SPCC], B211) &gt; 0, EPP_2367[[#Headers],[SPCC]],
   COUNTIF(Herramientas_de_izaje2468[Herramientas_de_izaje], B211) &gt; 0, Herramientas_de_izaje2468[[#Headers],[Herramientas_de_izaje]],
COUNTIF(Tabla162670[Equipos], B211) &gt; 0, Tabla162670[[#Headers],[Equipos]],
    TRUE, "Sin clasificación"
)</f>
        <v>Sin clasificación</v>
      </c>
      <c r="G211" s="15"/>
      <c r="H211" s="47"/>
      <c r="I211" s="87"/>
      <c r="J211" s="78"/>
      <c r="K211" s="78"/>
      <c r="L211" s="78"/>
      <c r="M211" s="78"/>
      <c r="N211" s="76"/>
      <c r="O211" s="76"/>
      <c r="P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Q211" s="77"/>
      <c r="R211" s="32"/>
      <c r="S211" s="32"/>
      <c r="T211" s="32"/>
      <c r="U211" s="32"/>
    </row>
    <row r="212" spans="3:21" x14ac:dyDescent="0.3">
      <c r="C212" s="11"/>
      <c r="D212" s="32"/>
      <c r="E212" s="11" t="str" cm="1">
        <f t="array" ref="E212">_xlfn.IFS(
    COUNTIF(Herramientas_eléctricas1862[Herramientas_eléctricas], B212) &gt; 0, Herramientas_eléctricas1862[[#Headers],[Herramientas_eléctricas]],
    COUNTIF(Herramientas_neumáticas1963[Herramientas_neumáticas], B212) &gt; 0, Herramientas_neumáticas1963[[#Headers],[Herramientas_neumáticas]],
    COUNTIF(Herramientas_de_medición2064[Herramientas_de_medición], B212) &gt; 0, Herramientas_de_medición2064[[#Headers],[Herramientas_de_medición]],
    COUNTIF(Herrramientas_mecánicas2165[Herramientas_mecánicas], B212) &gt; 0, Herrramientas_mecánicas2165[[#Headers],[Herramientas_mecánicas]],
    COUNTIF(AK212:AK218, B212) &gt; 0, Herramientas_hidráulicas2266[[#Headers],[Herramientas_hidráulicas]],
    COUNTIF(EPP_2367[SPCC], B212) &gt; 0, EPP_2367[[#Headers],[SPCC]],
   COUNTIF(Herramientas_de_izaje2468[Herramientas_de_izaje], B212) &gt; 0, Herramientas_de_izaje2468[[#Headers],[Herramientas_de_izaje]],
COUNTIF(Tabla162670[Equipos], B212) &gt; 0, Tabla162670[[#Headers],[Equipos]],
    TRUE, "Sin clasificación"
)</f>
        <v>Sin clasificación</v>
      </c>
      <c r="G212" s="15"/>
      <c r="H212" s="47"/>
      <c r="I212" s="87"/>
      <c r="J212" s="78"/>
      <c r="K212" s="78"/>
      <c r="L212" s="78"/>
      <c r="M212" s="78"/>
      <c r="N212" s="76"/>
      <c r="O212" s="76"/>
      <c r="P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Q212" s="77"/>
      <c r="R212" s="32"/>
      <c r="S212" s="32"/>
      <c r="T212" s="32"/>
      <c r="U212" s="32"/>
    </row>
    <row r="213" spans="3:21" x14ac:dyDescent="0.3">
      <c r="C213" s="11"/>
      <c r="D213" s="32"/>
      <c r="E213" s="11" t="str" cm="1">
        <f t="array" ref="E213">_xlfn.IFS(
    COUNTIF(Herramientas_eléctricas1862[Herramientas_eléctricas], B213) &gt; 0, Herramientas_eléctricas1862[[#Headers],[Herramientas_eléctricas]],
    COUNTIF(Herramientas_neumáticas1963[Herramientas_neumáticas], B213) &gt; 0, Herramientas_neumáticas1963[[#Headers],[Herramientas_neumáticas]],
    COUNTIF(Herramientas_de_medición2064[Herramientas_de_medición], B213) &gt; 0, Herramientas_de_medición2064[[#Headers],[Herramientas_de_medición]],
    COUNTIF(Herrramientas_mecánicas2165[Herramientas_mecánicas], B213) &gt; 0, Herrramientas_mecánicas2165[[#Headers],[Herramientas_mecánicas]],
    COUNTIF(AK213:AK219, B213) &gt; 0, Herramientas_hidráulicas2266[[#Headers],[Herramientas_hidráulicas]],
    COUNTIF(EPP_2367[SPCC], B213) &gt; 0, EPP_2367[[#Headers],[SPCC]],
   COUNTIF(Herramientas_de_izaje2468[Herramientas_de_izaje], B213) &gt; 0, Herramientas_de_izaje2468[[#Headers],[Herramientas_de_izaje]],
COUNTIF(Tabla162670[Equipos], B213) &gt; 0, Tabla162670[[#Headers],[Equipos]],
    TRUE, "Sin clasificación"
)</f>
        <v>Sin clasificación</v>
      </c>
      <c r="G213" s="15"/>
      <c r="H213" s="47"/>
      <c r="I213" s="87"/>
      <c r="J213" s="78"/>
      <c r="K213" s="78"/>
      <c r="L213" s="78"/>
      <c r="M213" s="78"/>
      <c r="N213" s="76"/>
      <c r="O213" s="76"/>
      <c r="P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Q213" s="77"/>
      <c r="R213" s="32"/>
      <c r="S213" s="32"/>
      <c r="T213" s="32"/>
      <c r="U213" s="32"/>
    </row>
    <row r="214" spans="3:21" x14ac:dyDescent="0.3">
      <c r="C214" s="11"/>
      <c r="D214" s="32"/>
      <c r="E214" s="11" t="str" cm="1">
        <f t="array" ref="E214">_xlfn.IFS(
    COUNTIF(Herramientas_eléctricas1862[Herramientas_eléctricas], B214) &gt; 0, Herramientas_eléctricas1862[[#Headers],[Herramientas_eléctricas]],
    COUNTIF(Herramientas_neumáticas1963[Herramientas_neumáticas], B214) &gt; 0, Herramientas_neumáticas1963[[#Headers],[Herramientas_neumáticas]],
    COUNTIF(Herramientas_de_medición2064[Herramientas_de_medición], B214) &gt; 0, Herramientas_de_medición2064[[#Headers],[Herramientas_de_medición]],
    COUNTIF(Herrramientas_mecánicas2165[Herramientas_mecánicas], B214) &gt; 0, Herrramientas_mecánicas2165[[#Headers],[Herramientas_mecánicas]],
    COUNTIF(AK214:AK220, B214) &gt; 0, Herramientas_hidráulicas2266[[#Headers],[Herramientas_hidráulicas]],
    COUNTIF(EPP_2367[SPCC], B214) &gt; 0, EPP_2367[[#Headers],[SPCC]],
   COUNTIF(Herramientas_de_izaje2468[Herramientas_de_izaje], B214) &gt; 0, Herramientas_de_izaje2468[[#Headers],[Herramientas_de_izaje]],
COUNTIF(Tabla162670[Equipos], B214) &gt; 0, Tabla162670[[#Headers],[Equipos]],
    TRUE, "Sin clasificación"
)</f>
        <v>Sin clasificación</v>
      </c>
      <c r="G214" s="15"/>
      <c r="H214" s="47"/>
      <c r="I214" s="87"/>
      <c r="J214" s="78"/>
      <c r="K214" s="78"/>
      <c r="L214" s="78"/>
      <c r="M214" s="78"/>
      <c r="N214" s="76"/>
      <c r="O214" s="76"/>
      <c r="P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Q214" s="77"/>
      <c r="R214" s="32"/>
      <c r="S214" s="32"/>
      <c r="T214" s="32"/>
      <c r="U214" s="32"/>
    </row>
    <row r="215" spans="3:21" x14ac:dyDescent="0.3">
      <c r="C215" s="11"/>
      <c r="D215" s="32"/>
      <c r="E215" s="11" t="str" cm="1">
        <f t="array" ref="E215">_xlfn.IFS(
    COUNTIF(Herramientas_eléctricas1862[Herramientas_eléctricas], B215) &gt; 0, Herramientas_eléctricas1862[[#Headers],[Herramientas_eléctricas]],
    COUNTIF(Herramientas_neumáticas1963[Herramientas_neumáticas], B215) &gt; 0, Herramientas_neumáticas1963[[#Headers],[Herramientas_neumáticas]],
    COUNTIF(Herramientas_de_medición2064[Herramientas_de_medición], B215) &gt; 0, Herramientas_de_medición2064[[#Headers],[Herramientas_de_medición]],
    COUNTIF(Herrramientas_mecánicas2165[Herramientas_mecánicas], B215) &gt; 0, Herrramientas_mecánicas2165[[#Headers],[Herramientas_mecánicas]],
    COUNTIF(AK215:AK221, B215) &gt; 0, Herramientas_hidráulicas2266[[#Headers],[Herramientas_hidráulicas]],
    COUNTIF(EPP_2367[SPCC], B215) &gt; 0, EPP_2367[[#Headers],[SPCC]],
   COUNTIF(Herramientas_de_izaje2468[Herramientas_de_izaje], B215) &gt; 0, Herramientas_de_izaje2468[[#Headers],[Herramientas_de_izaje]],
COUNTIF(Tabla162670[Equipos], B215) &gt; 0, Tabla162670[[#Headers],[Equipos]],
    TRUE, "Sin clasificación"
)</f>
        <v>Sin clasificación</v>
      </c>
      <c r="G215" s="15"/>
      <c r="H215" s="47"/>
      <c r="I215" s="87"/>
      <c r="J215" s="78"/>
      <c r="K215" s="78"/>
      <c r="L215" s="78"/>
      <c r="M215" s="78"/>
      <c r="N215" s="76"/>
      <c r="O215" s="76"/>
      <c r="P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Q215" s="77"/>
      <c r="R215" s="32"/>
      <c r="S215" s="32"/>
      <c r="T215" s="32"/>
      <c r="U215" s="32"/>
    </row>
    <row r="216" spans="3:21" x14ac:dyDescent="0.3">
      <c r="C216" s="11"/>
      <c r="D216" s="32"/>
      <c r="E216" s="11" t="str" cm="1">
        <f t="array" ref="E216">_xlfn.IFS(
    COUNTIF(Herramientas_eléctricas1862[Herramientas_eléctricas], B216) &gt; 0, Herramientas_eléctricas1862[[#Headers],[Herramientas_eléctricas]],
    COUNTIF(Herramientas_neumáticas1963[Herramientas_neumáticas], B216) &gt; 0, Herramientas_neumáticas1963[[#Headers],[Herramientas_neumáticas]],
    COUNTIF(Herramientas_de_medición2064[Herramientas_de_medición], B216) &gt; 0, Herramientas_de_medición2064[[#Headers],[Herramientas_de_medición]],
    COUNTIF(Herrramientas_mecánicas2165[Herramientas_mecánicas], B216) &gt; 0, Herrramientas_mecánicas2165[[#Headers],[Herramientas_mecánicas]],
    COUNTIF(AK216:AK222, B216) &gt; 0, Herramientas_hidráulicas2266[[#Headers],[Herramientas_hidráulicas]],
    COUNTIF(EPP_2367[SPCC], B216) &gt; 0, EPP_2367[[#Headers],[SPCC]],
   COUNTIF(Herramientas_de_izaje2468[Herramientas_de_izaje], B216) &gt; 0, Herramientas_de_izaje2468[[#Headers],[Herramientas_de_izaje]],
COUNTIF(Tabla162670[Equipos], B216) &gt; 0, Tabla162670[[#Headers],[Equipos]],
    TRUE, "Sin clasificación"
)</f>
        <v>Sin clasificación</v>
      </c>
      <c r="G216" s="15"/>
      <c r="H216" s="47"/>
      <c r="I216" s="87"/>
      <c r="J216" s="78"/>
      <c r="K216" s="78"/>
      <c r="L216" s="78"/>
      <c r="M216" s="78"/>
      <c r="N216" s="76"/>
      <c r="O216" s="76"/>
      <c r="P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Q216" s="77"/>
      <c r="R216" s="32"/>
      <c r="S216" s="32"/>
      <c r="T216" s="32"/>
      <c r="U216" s="32"/>
    </row>
    <row r="217" spans="3:21" x14ac:dyDescent="0.3">
      <c r="C217" s="11"/>
      <c r="D217" s="32"/>
      <c r="E217" s="11" t="str" cm="1">
        <f t="array" ref="E217">_xlfn.IFS(
    COUNTIF(Herramientas_eléctricas1862[Herramientas_eléctricas], B217) &gt; 0, Herramientas_eléctricas1862[[#Headers],[Herramientas_eléctricas]],
    COUNTIF(Herramientas_neumáticas1963[Herramientas_neumáticas], B217) &gt; 0, Herramientas_neumáticas1963[[#Headers],[Herramientas_neumáticas]],
    COUNTIF(Herramientas_de_medición2064[Herramientas_de_medición], B217) &gt; 0, Herramientas_de_medición2064[[#Headers],[Herramientas_de_medición]],
    COUNTIF(Herrramientas_mecánicas2165[Herramientas_mecánicas], B217) &gt; 0, Herrramientas_mecánicas2165[[#Headers],[Herramientas_mecánicas]],
    COUNTIF(AK217:AK223, B217) &gt; 0, Herramientas_hidráulicas2266[[#Headers],[Herramientas_hidráulicas]],
    COUNTIF(EPP_2367[SPCC], B217) &gt; 0, EPP_2367[[#Headers],[SPCC]],
   COUNTIF(Herramientas_de_izaje2468[Herramientas_de_izaje], B217) &gt; 0, Herramientas_de_izaje2468[[#Headers],[Herramientas_de_izaje]],
COUNTIF(Tabla162670[Equipos], B217) &gt; 0, Tabla162670[[#Headers],[Equipos]],
    TRUE, "Sin clasificación"
)</f>
        <v>Sin clasificación</v>
      </c>
      <c r="G217" s="15"/>
      <c r="H217" s="47"/>
      <c r="I217" s="87"/>
      <c r="J217" s="78"/>
      <c r="K217" s="78"/>
      <c r="L217" s="78"/>
      <c r="M217" s="78"/>
      <c r="N217" s="76"/>
      <c r="O217" s="76"/>
      <c r="P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Q217" s="77"/>
      <c r="R217" s="32"/>
      <c r="S217" s="32"/>
      <c r="T217" s="32"/>
      <c r="U217" s="32"/>
    </row>
    <row r="218" spans="3:21" x14ac:dyDescent="0.3">
      <c r="C218" s="11"/>
      <c r="D218" s="32"/>
      <c r="E218" s="11" t="str" cm="1">
        <f t="array" ref="E218">_xlfn.IFS(
    COUNTIF(Herramientas_eléctricas1862[Herramientas_eléctricas], B218) &gt; 0, Herramientas_eléctricas1862[[#Headers],[Herramientas_eléctricas]],
    COUNTIF(Herramientas_neumáticas1963[Herramientas_neumáticas], B218) &gt; 0, Herramientas_neumáticas1963[[#Headers],[Herramientas_neumáticas]],
    COUNTIF(Herramientas_de_medición2064[Herramientas_de_medición], B218) &gt; 0, Herramientas_de_medición2064[[#Headers],[Herramientas_de_medición]],
    COUNTIF(Herrramientas_mecánicas2165[Herramientas_mecánicas], B218) &gt; 0, Herrramientas_mecánicas2165[[#Headers],[Herramientas_mecánicas]],
    COUNTIF(AK218:AK224, B218) &gt; 0, Herramientas_hidráulicas2266[[#Headers],[Herramientas_hidráulicas]],
    COUNTIF(EPP_2367[SPCC], B218) &gt; 0, EPP_2367[[#Headers],[SPCC]],
   COUNTIF(Herramientas_de_izaje2468[Herramientas_de_izaje], B218) &gt; 0, Herramientas_de_izaje2468[[#Headers],[Herramientas_de_izaje]],
COUNTIF(Tabla162670[Equipos], B218) &gt; 0, Tabla162670[[#Headers],[Equipos]],
    TRUE, "Sin clasificación"
)</f>
        <v>Sin clasificación</v>
      </c>
      <c r="G218" s="15"/>
      <c r="H218" s="47"/>
      <c r="I218" s="87"/>
      <c r="J218" s="78"/>
      <c r="K218" s="78"/>
      <c r="L218" s="78"/>
      <c r="M218" s="78"/>
      <c r="N218" s="76"/>
      <c r="O218" s="76"/>
      <c r="P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Q218" s="77"/>
      <c r="R218" s="32"/>
      <c r="S218" s="32"/>
      <c r="T218" s="32"/>
      <c r="U218" s="32"/>
    </row>
    <row r="219" spans="3:21" x14ac:dyDescent="0.3">
      <c r="C219" s="11"/>
      <c r="D219" s="32"/>
      <c r="E219" s="11" t="str" cm="1">
        <f t="array" ref="E219">_xlfn.IFS(
    COUNTIF(Herramientas_eléctricas1862[Herramientas_eléctricas], B219) &gt; 0, Herramientas_eléctricas1862[[#Headers],[Herramientas_eléctricas]],
    COUNTIF(Herramientas_neumáticas1963[Herramientas_neumáticas], B219) &gt; 0, Herramientas_neumáticas1963[[#Headers],[Herramientas_neumáticas]],
    COUNTIF(Herramientas_de_medición2064[Herramientas_de_medición], B219) &gt; 0, Herramientas_de_medición2064[[#Headers],[Herramientas_de_medición]],
    COUNTIF(Herrramientas_mecánicas2165[Herramientas_mecánicas], B219) &gt; 0, Herrramientas_mecánicas2165[[#Headers],[Herramientas_mecánicas]],
    COUNTIF(AK219:AK225, B219) &gt; 0, Herramientas_hidráulicas2266[[#Headers],[Herramientas_hidráulicas]],
    COUNTIF(EPP_2367[SPCC], B219) &gt; 0, EPP_2367[[#Headers],[SPCC]],
   COUNTIF(Herramientas_de_izaje2468[Herramientas_de_izaje], B219) &gt; 0, Herramientas_de_izaje2468[[#Headers],[Herramientas_de_izaje]],
COUNTIF(Tabla162670[Equipos], B219) &gt; 0, Tabla162670[[#Headers],[Equipos]],
    TRUE, "Sin clasificación"
)</f>
        <v>Sin clasificación</v>
      </c>
      <c r="G219" s="15"/>
      <c r="H219" s="47"/>
      <c r="I219" s="87"/>
      <c r="J219" s="78"/>
      <c r="K219" s="78"/>
      <c r="L219" s="78"/>
      <c r="M219" s="78"/>
      <c r="N219" s="76"/>
      <c r="O219" s="76"/>
      <c r="P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Q219" s="77"/>
      <c r="R219" s="32"/>
      <c r="S219" s="32"/>
      <c r="T219" s="32"/>
      <c r="U219" s="32"/>
    </row>
    <row r="220" spans="3:21" x14ac:dyDescent="0.3">
      <c r="C220" s="11"/>
      <c r="D220" s="32"/>
      <c r="E220" s="11" t="str" cm="1">
        <f t="array" ref="E220">_xlfn.IFS(
    COUNTIF(Herramientas_eléctricas1862[Herramientas_eléctricas], B220) &gt; 0, Herramientas_eléctricas1862[[#Headers],[Herramientas_eléctricas]],
    COUNTIF(Herramientas_neumáticas1963[Herramientas_neumáticas], B220) &gt; 0, Herramientas_neumáticas1963[[#Headers],[Herramientas_neumáticas]],
    COUNTIF(Herramientas_de_medición2064[Herramientas_de_medición], B220) &gt; 0, Herramientas_de_medición2064[[#Headers],[Herramientas_de_medición]],
    COUNTIF(Herrramientas_mecánicas2165[Herramientas_mecánicas], B220) &gt; 0, Herrramientas_mecánicas2165[[#Headers],[Herramientas_mecánicas]],
    COUNTIF(AK220:AK226, B220) &gt; 0, Herramientas_hidráulicas2266[[#Headers],[Herramientas_hidráulicas]],
    COUNTIF(EPP_2367[SPCC], B220) &gt; 0, EPP_2367[[#Headers],[SPCC]],
   COUNTIF(Herramientas_de_izaje2468[Herramientas_de_izaje], B220) &gt; 0, Herramientas_de_izaje2468[[#Headers],[Herramientas_de_izaje]],
COUNTIF(Tabla162670[Equipos], B220) &gt; 0, Tabla162670[[#Headers],[Equipos]],
    TRUE, "Sin clasificación"
)</f>
        <v>Sin clasificación</v>
      </c>
      <c r="G220" s="15"/>
      <c r="H220" s="47"/>
      <c r="I220" s="87"/>
      <c r="J220" s="78"/>
      <c r="K220" s="78"/>
      <c r="L220" s="78"/>
      <c r="M220" s="78"/>
      <c r="N220" s="76"/>
      <c r="O220" s="76"/>
      <c r="P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Q220" s="77"/>
      <c r="R220" s="32"/>
      <c r="S220" s="32"/>
      <c r="T220" s="32"/>
      <c r="U220" s="32"/>
    </row>
    <row r="221" spans="3:21" x14ac:dyDescent="0.3">
      <c r="C221" s="11"/>
      <c r="D221" s="32"/>
      <c r="E221" s="11" t="str" cm="1">
        <f t="array" ref="E221">_xlfn.IFS(
    COUNTIF(Herramientas_eléctricas1862[Herramientas_eléctricas], B221) &gt; 0, Herramientas_eléctricas1862[[#Headers],[Herramientas_eléctricas]],
    COUNTIF(Herramientas_neumáticas1963[Herramientas_neumáticas], B221) &gt; 0, Herramientas_neumáticas1963[[#Headers],[Herramientas_neumáticas]],
    COUNTIF(Herramientas_de_medición2064[Herramientas_de_medición], B221) &gt; 0, Herramientas_de_medición2064[[#Headers],[Herramientas_de_medición]],
    COUNTIF(Herrramientas_mecánicas2165[Herramientas_mecánicas], B221) &gt; 0, Herrramientas_mecánicas2165[[#Headers],[Herramientas_mecánicas]],
    COUNTIF(AK221:AK227, B221) &gt; 0, Herramientas_hidráulicas2266[[#Headers],[Herramientas_hidráulicas]],
    COUNTIF(EPP_2367[SPCC], B221) &gt; 0, EPP_2367[[#Headers],[SPCC]],
   COUNTIF(Herramientas_de_izaje2468[Herramientas_de_izaje], B221) &gt; 0, Herramientas_de_izaje2468[[#Headers],[Herramientas_de_izaje]],
COUNTIF(Tabla162670[Equipos], B221) &gt; 0, Tabla162670[[#Headers],[Equipos]],
    TRUE, "Sin clasificación"
)</f>
        <v>Sin clasificación</v>
      </c>
      <c r="G221" s="15"/>
      <c r="H221" s="47"/>
      <c r="I221" s="87"/>
      <c r="J221" s="78"/>
      <c r="K221" s="78"/>
      <c r="L221" s="78"/>
      <c r="M221" s="78"/>
      <c r="N221" s="76"/>
      <c r="O221" s="76"/>
      <c r="P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Q221" s="77"/>
      <c r="R221" s="32"/>
      <c r="S221" s="32"/>
      <c r="T221" s="32"/>
      <c r="U221" s="32"/>
    </row>
    <row r="222" spans="3:21" x14ac:dyDescent="0.3">
      <c r="C222" s="11"/>
      <c r="D222" s="32"/>
      <c r="E222" s="11" t="str" cm="1">
        <f t="array" ref="E222">_xlfn.IFS(
    COUNTIF(Herramientas_eléctricas1862[Herramientas_eléctricas], B222) &gt; 0, Herramientas_eléctricas1862[[#Headers],[Herramientas_eléctricas]],
    COUNTIF(Herramientas_neumáticas1963[Herramientas_neumáticas], B222) &gt; 0, Herramientas_neumáticas1963[[#Headers],[Herramientas_neumáticas]],
    COUNTIF(Herramientas_de_medición2064[Herramientas_de_medición], B222) &gt; 0, Herramientas_de_medición2064[[#Headers],[Herramientas_de_medición]],
    COUNTIF(Herrramientas_mecánicas2165[Herramientas_mecánicas], B222) &gt; 0, Herrramientas_mecánicas2165[[#Headers],[Herramientas_mecánicas]],
    COUNTIF(AK222:AK228, B222) &gt; 0, Herramientas_hidráulicas2266[[#Headers],[Herramientas_hidráulicas]],
    COUNTIF(EPP_2367[SPCC], B222) &gt; 0, EPP_2367[[#Headers],[SPCC]],
   COUNTIF(Herramientas_de_izaje2468[Herramientas_de_izaje], B222) &gt; 0, Herramientas_de_izaje2468[[#Headers],[Herramientas_de_izaje]],
COUNTIF(Tabla162670[Equipos], B222) &gt; 0, Tabla162670[[#Headers],[Equipos]],
    TRUE, "Sin clasificación"
)</f>
        <v>Sin clasificación</v>
      </c>
      <c r="G222" s="15"/>
      <c r="H222" s="47"/>
      <c r="I222" s="87"/>
      <c r="J222" s="78"/>
      <c r="K222" s="78"/>
      <c r="L222" s="78"/>
      <c r="M222" s="78"/>
      <c r="N222" s="76"/>
      <c r="O222" s="76"/>
      <c r="P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Q222" s="77"/>
      <c r="R222" s="32"/>
      <c r="S222" s="32"/>
      <c r="T222" s="32"/>
      <c r="U222" s="32"/>
    </row>
    <row r="223" spans="3:21" x14ac:dyDescent="0.3">
      <c r="C223" s="11"/>
      <c r="D223" s="32"/>
      <c r="E223" s="11" t="str" cm="1">
        <f t="array" ref="E223">_xlfn.IFS(
    COUNTIF(Herramientas_eléctricas1862[Herramientas_eléctricas], B223) &gt; 0, Herramientas_eléctricas1862[[#Headers],[Herramientas_eléctricas]],
    COUNTIF(Herramientas_neumáticas1963[Herramientas_neumáticas], B223) &gt; 0, Herramientas_neumáticas1963[[#Headers],[Herramientas_neumáticas]],
    COUNTIF(Herramientas_de_medición2064[Herramientas_de_medición], B223) &gt; 0, Herramientas_de_medición2064[[#Headers],[Herramientas_de_medición]],
    COUNTIF(Herrramientas_mecánicas2165[Herramientas_mecánicas], B223) &gt; 0, Herrramientas_mecánicas2165[[#Headers],[Herramientas_mecánicas]],
    COUNTIF(AK223:AK229, B223) &gt; 0, Herramientas_hidráulicas2266[[#Headers],[Herramientas_hidráulicas]],
    COUNTIF(EPP_2367[SPCC], B223) &gt; 0, EPP_2367[[#Headers],[SPCC]],
   COUNTIF(Herramientas_de_izaje2468[Herramientas_de_izaje], B223) &gt; 0, Herramientas_de_izaje2468[[#Headers],[Herramientas_de_izaje]],
COUNTIF(Tabla162670[Equipos], B223) &gt; 0, Tabla162670[[#Headers],[Equipos]],
    TRUE, "Sin clasificación"
)</f>
        <v>Sin clasificación</v>
      </c>
      <c r="G223" s="15"/>
      <c r="H223" s="47"/>
      <c r="I223" s="87"/>
      <c r="J223" s="78"/>
      <c r="K223" s="78"/>
      <c r="L223" s="78"/>
      <c r="M223" s="78"/>
      <c r="N223" s="76"/>
      <c r="O223" s="76"/>
      <c r="P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Q223" s="77"/>
      <c r="R223" s="32"/>
      <c r="S223" s="32"/>
      <c r="T223" s="32"/>
      <c r="U223" s="32"/>
    </row>
    <row r="224" spans="3:21" x14ac:dyDescent="0.3">
      <c r="C224" s="11"/>
      <c r="D224" s="32"/>
      <c r="E224" s="11" t="str" cm="1">
        <f t="array" ref="E224">_xlfn.IFS(
    COUNTIF(Herramientas_eléctricas1862[Herramientas_eléctricas], B224) &gt; 0, Herramientas_eléctricas1862[[#Headers],[Herramientas_eléctricas]],
    COUNTIF(Herramientas_neumáticas1963[Herramientas_neumáticas], B224) &gt; 0, Herramientas_neumáticas1963[[#Headers],[Herramientas_neumáticas]],
    COUNTIF(Herramientas_de_medición2064[Herramientas_de_medición], B224) &gt; 0, Herramientas_de_medición2064[[#Headers],[Herramientas_de_medición]],
    COUNTIF(Herrramientas_mecánicas2165[Herramientas_mecánicas], B224) &gt; 0, Herrramientas_mecánicas2165[[#Headers],[Herramientas_mecánicas]],
    COUNTIF(AK224:AK230, B224) &gt; 0, Herramientas_hidráulicas2266[[#Headers],[Herramientas_hidráulicas]],
    COUNTIF(EPP_2367[SPCC], B224) &gt; 0, EPP_2367[[#Headers],[SPCC]],
   COUNTIF(Herramientas_de_izaje2468[Herramientas_de_izaje], B224) &gt; 0, Herramientas_de_izaje2468[[#Headers],[Herramientas_de_izaje]],
COUNTIF(Tabla162670[Equipos], B224) &gt; 0, Tabla162670[[#Headers],[Equipos]],
    TRUE, "Sin clasificación"
)</f>
        <v>Sin clasificación</v>
      </c>
      <c r="G224" s="15"/>
      <c r="H224" s="47"/>
      <c r="I224" s="87"/>
      <c r="J224" s="78"/>
      <c r="K224" s="78"/>
      <c r="L224" s="78"/>
      <c r="M224" s="78"/>
      <c r="N224" s="76"/>
      <c r="O224" s="76"/>
      <c r="P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Q224" s="77"/>
      <c r="R224" s="32"/>
      <c r="S224" s="32"/>
      <c r="T224" s="32"/>
      <c r="U224" s="32"/>
    </row>
    <row r="225" spans="3:21" x14ac:dyDescent="0.3">
      <c r="C225" s="11"/>
      <c r="D225" s="32"/>
      <c r="E225" s="11" t="str" cm="1">
        <f t="array" ref="E225">_xlfn.IFS(
    COUNTIF(Herramientas_eléctricas1862[Herramientas_eléctricas], B225) &gt; 0, Herramientas_eléctricas1862[[#Headers],[Herramientas_eléctricas]],
    COUNTIF(Herramientas_neumáticas1963[Herramientas_neumáticas], B225) &gt; 0, Herramientas_neumáticas1963[[#Headers],[Herramientas_neumáticas]],
    COUNTIF(Herramientas_de_medición2064[Herramientas_de_medición], B225) &gt; 0, Herramientas_de_medición2064[[#Headers],[Herramientas_de_medición]],
    COUNTIF(Herrramientas_mecánicas2165[Herramientas_mecánicas], B225) &gt; 0, Herrramientas_mecánicas2165[[#Headers],[Herramientas_mecánicas]],
    COUNTIF(AK225:AK231, B225) &gt; 0, Herramientas_hidráulicas2266[[#Headers],[Herramientas_hidráulicas]],
    COUNTIF(EPP_2367[SPCC], B225) &gt; 0, EPP_2367[[#Headers],[SPCC]],
   COUNTIF(Herramientas_de_izaje2468[Herramientas_de_izaje], B225) &gt; 0, Herramientas_de_izaje2468[[#Headers],[Herramientas_de_izaje]],
COUNTIF(Tabla162670[Equipos], B225) &gt; 0, Tabla162670[[#Headers],[Equipos]],
    TRUE, "Sin clasificación"
)</f>
        <v>Sin clasificación</v>
      </c>
      <c r="G225" s="15"/>
      <c r="H225" s="47"/>
      <c r="I225" s="87"/>
      <c r="J225" s="78"/>
      <c r="K225" s="78"/>
      <c r="L225" s="78"/>
      <c r="M225" s="78"/>
      <c r="N225" s="76"/>
      <c r="O225" s="76"/>
      <c r="P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Q225" s="77"/>
      <c r="R225" s="32"/>
      <c r="S225" s="32"/>
      <c r="T225" s="32"/>
      <c r="U225" s="32"/>
    </row>
    <row r="226" spans="3:21" x14ac:dyDescent="0.3">
      <c r="C226" s="11"/>
      <c r="D226" s="32"/>
      <c r="E226" s="11" t="str" cm="1">
        <f t="array" ref="E226">_xlfn.IFS(
    COUNTIF(Herramientas_eléctricas1862[Herramientas_eléctricas], B226) &gt; 0, Herramientas_eléctricas1862[[#Headers],[Herramientas_eléctricas]],
    COUNTIF(Herramientas_neumáticas1963[Herramientas_neumáticas], B226) &gt; 0, Herramientas_neumáticas1963[[#Headers],[Herramientas_neumáticas]],
    COUNTIF(Herramientas_de_medición2064[Herramientas_de_medición], B226) &gt; 0, Herramientas_de_medición2064[[#Headers],[Herramientas_de_medición]],
    COUNTIF(Herrramientas_mecánicas2165[Herramientas_mecánicas], B226) &gt; 0, Herrramientas_mecánicas2165[[#Headers],[Herramientas_mecánicas]],
    COUNTIF(AK226:AK232, B226) &gt; 0, Herramientas_hidráulicas2266[[#Headers],[Herramientas_hidráulicas]],
    COUNTIF(EPP_2367[SPCC], B226) &gt; 0, EPP_2367[[#Headers],[SPCC]],
   COUNTIF(Herramientas_de_izaje2468[Herramientas_de_izaje], B226) &gt; 0, Herramientas_de_izaje2468[[#Headers],[Herramientas_de_izaje]],
COUNTIF(Tabla162670[Equipos], B226) &gt; 0, Tabla162670[[#Headers],[Equipos]],
    TRUE, "Sin clasificación"
)</f>
        <v>Sin clasificación</v>
      </c>
      <c r="G226" s="15"/>
      <c r="H226" s="47"/>
      <c r="I226" s="87"/>
      <c r="J226" s="78"/>
      <c r="K226" s="78"/>
      <c r="L226" s="78"/>
      <c r="M226" s="78"/>
      <c r="N226" s="76"/>
      <c r="O226" s="76"/>
      <c r="P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Q226" s="77"/>
      <c r="R226" s="32"/>
      <c r="S226" s="32"/>
      <c r="T226" s="32"/>
      <c r="U226" s="32"/>
    </row>
    <row r="227" spans="3:21" x14ac:dyDescent="0.3">
      <c r="C227" s="11"/>
      <c r="D227" s="32"/>
      <c r="E227" s="11" t="str" cm="1">
        <f t="array" ref="E227">_xlfn.IFS(
    COUNTIF(Herramientas_eléctricas1862[Herramientas_eléctricas], B227) &gt; 0, Herramientas_eléctricas1862[[#Headers],[Herramientas_eléctricas]],
    COUNTIF(Herramientas_neumáticas1963[Herramientas_neumáticas], B227) &gt; 0, Herramientas_neumáticas1963[[#Headers],[Herramientas_neumáticas]],
    COUNTIF(Herramientas_de_medición2064[Herramientas_de_medición], B227) &gt; 0, Herramientas_de_medición2064[[#Headers],[Herramientas_de_medición]],
    COUNTIF(Herrramientas_mecánicas2165[Herramientas_mecánicas], B227) &gt; 0, Herrramientas_mecánicas2165[[#Headers],[Herramientas_mecánicas]],
    COUNTIF(AK227:AK233, B227) &gt; 0, Herramientas_hidráulicas2266[[#Headers],[Herramientas_hidráulicas]],
    COUNTIF(EPP_2367[SPCC], B227) &gt; 0, EPP_2367[[#Headers],[SPCC]],
   COUNTIF(Herramientas_de_izaje2468[Herramientas_de_izaje], B227) &gt; 0, Herramientas_de_izaje2468[[#Headers],[Herramientas_de_izaje]],
COUNTIF(Tabla162670[Equipos], B227) &gt; 0, Tabla162670[[#Headers],[Equipos]],
    TRUE, "Sin clasificación"
)</f>
        <v>Sin clasificación</v>
      </c>
      <c r="G227" s="15"/>
      <c r="H227" s="47"/>
      <c r="I227" s="87"/>
      <c r="J227" s="78"/>
      <c r="K227" s="78"/>
      <c r="L227" s="78"/>
      <c r="M227" s="78"/>
      <c r="N227" s="76"/>
      <c r="O227" s="76"/>
      <c r="P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Q227" s="77"/>
      <c r="R227" s="32"/>
      <c r="S227" s="32"/>
      <c r="T227" s="32"/>
      <c r="U227" s="32"/>
    </row>
    <row r="228" spans="3:21" x14ac:dyDescent="0.3">
      <c r="C228" s="11"/>
      <c r="D228" s="32"/>
      <c r="E228" s="11" t="str" cm="1">
        <f t="array" ref="E228">_xlfn.IFS(
    COUNTIF(Herramientas_eléctricas1862[Herramientas_eléctricas], B228) &gt; 0, Herramientas_eléctricas1862[[#Headers],[Herramientas_eléctricas]],
    COUNTIF(Herramientas_neumáticas1963[Herramientas_neumáticas], B228) &gt; 0, Herramientas_neumáticas1963[[#Headers],[Herramientas_neumáticas]],
    COUNTIF(Herramientas_de_medición2064[Herramientas_de_medición], B228) &gt; 0, Herramientas_de_medición2064[[#Headers],[Herramientas_de_medición]],
    COUNTIF(Herrramientas_mecánicas2165[Herramientas_mecánicas], B228) &gt; 0, Herrramientas_mecánicas2165[[#Headers],[Herramientas_mecánicas]],
    COUNTIF(AK228:AK234, B228) &gt; 0, Herramientas_hidráulicas2266[[#Headers],[Herramientas_hidráulicas]],
    COUNTIF(EPP_2367[SPCC], B228) &gt; 0, EPP_2367[[#Headers],[SPCC]],
   COUNTIF(Herramientas_de_izaje2468[Herramientas_de_izaje], B228) &gt; 0, Herramientas_de_izaje2468[[#Headers],[Herramientas_de_izaje]],
COUNTIF(Tabla162670[Equipos], B228) &gt; 0, Tabla162670[[#Headers],[Equipos]],
    TRUE, "Sin clasificación"
)</f>
        <v>Sin clasificación</v>
      </c>
      <c r="G228" s="15"/>
      <c r="H228" s="47"/>
      <c r="I228" s="87"/>
      <c r="J228" s="78"/>
      <c r="K228" s="78"/>
      <c r="L228" s="78"/>
      <c r="M228" s="78"/>
      <c r="N228" s="76"/>
      <c r="O228" s="76"/>
      <c r="P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Q228" s="77"/>
      <c r="R228" s="32"/>
      <c r="S228" s="32"/>
      <c r="T228" s="32"/>
      <c r="U228" s="32"/>
    </row>
    <row r="229" spans="3:21" x14ac:dyDescent="0.3">
      <c r="C229" s="11"/>
      <c r="D229" s="32"/>
      <c r="E229" s="11" t="str" cm="1">
        <f t="array" ref="E229">_xlfn.IFS(
    COUNTIF(Herramientas_eléctricas1862[Herramientas_eléctricas], B229) &gt; 0, Herramientas_eléctricas1862[[#Headers],[Herramientas_eléctricas]],
    COUNTIF(Herramientas_neumáticas1963[Herramientas_neumáticas], B229) &gt; 0, Herramientas_neumáticas1963[[#Headers],[Herramientas_neumáticas]],
    COUNTIF(Herramientas_de_medición2064[Herramientas_de_medición], B229) &gt; 0, Herramientas_de_medición2064[[#Headers],[Herramientas_de_medición]],
    COUNTIF(Herrramientas_mecánicas2165[Herramientas_mecánicas], B229) &gt; 0, Herrramientas_mecánicas2165[[#Headers],[Herramientas_mecánicas]],
    COUNTIF(AK229:AK235, B229) &gt; 0, Herramientas_hidráulicas2266[[#Headers],[Herramientas_hidráulicas]],
    COUNTIF(EPP_2367[SPCC], B229) &gt; 0, EPP_2367[[#Headers],[SPCC]],
   COUNTIF(Herramientas_de_izaje2468[Herramientas_de_izaje], B229) &gt; 0, Herramientas_de_izaje2468[[#Headers],[Herramientas_de_izaje]],
COUNTIF(Tabla162670[Equipos], B229) &gt; 0, Tabla162670[[#Headers],[Equipos]],
    TRUE, "Sin clasificación"
)</f>
        <v>Sin clasificación</v>
      </c>
      <c r="G229" s="15"/>
      <c r="H229" s="47"/>
      <c r="I229" s="87"/>
      <c r="J229" s="78"/>
      <c r="K229" s="78"/>
      <c r="L229" s="78"/>
      <c r="M229" s="78"/>
      <c r="N229" s="76"/>
      <c r="O229" s="76"/>
      <c r="P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Q229" s="77"/>
      <c r="R229" s="32"/>
      <c r="S229" s="32"/>
      <c r="T229" s="32"/>
      <c r="U229" s="32"/>
    </row>
    <row r="230" spans="3:21" x14ac:dyDescent="0.3">
      <c r="C230" s="11"/>
      <c r="D230" s="32"/>
      <c r="E230" s="11" t="str" cm="1">
        <f t="array" ref="E230">_xlfn.IFS(
    COUNTIF(Herramientas_eléctricas1862[Herramientas_eléctricas], B230) &gt; 0, Herramientas_eléctricas1862[[#Headers],[Herramientas_eléctricas]],
    COUNTIF(Herramientas_neumáticas1963[Herramientas_neumáticas], B230) &gt; 0, Herramientas_neumáticas1963[[#Headers],[Herramientas_neumáticas]],
    COUNTIF(Herramientas_de_medición2064[Herramientas_de_medición], B230) &gt; 0, Herramientas_de_medición2064[[#Headers],[Herramientas_de_medición]],
    COUNTIF(Herrramientas_mecánicas2165[Herramientas_mecánicas], B230) &gt; 0, Herrramientas_mecánicas2165[[#Headers],[Herramientas_mecánicas]],
    COUNTIF(AK230:AK236, B230) &gt; 0, Herramientas_hidráulicas2266[[#Headers],[Herramientas_hidráulicas]],
    COUNTIF(EPP_2367[SPCC], B230) &gt; 0, EPP_2367[[#Headers],[SPCC]],
   COUNTIF(Herramientas_de_izaje2468[Herramientas_de_izaje], B230) &gt; 0, Herramientas_de_izaje2468[[#Headers],[Herramientas_de_izaje]],
COUNTIF(Tabla162670[Equipos], B230) &gt; 0, Tabla162670[[#Headers],[Equipos]],
    TRUE, "Sin clasificación"
)</f>
        <v>Sin clasificación</v>
      </c>
      <c r="G230" s="15"/>
      <c r="H230" s="47"/>
      <c r="I230" s="87"/>
      <c r="J230" s="78"/>
      <c r="K230" s="78"/>
      <c r="L230" s="78"/>
      <c r="M230" s="78"/>
      <c r="N230" s="76"/>
      <c r="O230" s="76"/>
      <c r="P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Q230" s="77"/>
      <c r="R230" s="32"/>
      <c r="S230" s="32"/>
      <c r="T230" s="32"/>
      <c r="U230" s="32"/>
    </row>
    <row r="231" spans="3:21" x14ac:dyDescent="0.3">
      <c r="C231" s="11"/>
      <c r="D231" s="32"/>
      <c r="E231" s="11" t="str" cm="1">
        <f t="array" ref="E231">_xlfn.IFS(
    COUNTIF(Herramientas_eléctricas1862[Herramientas_eléctricas], B231) &gt; 0, Herramientas_eléctricas1862[[#Headers],[Herramientas_eléctricas]],
    COUNTIF(Herramientas_neumáticas1963[Herramientas_neumáticas], B231) &gt; 0, Herramientas_neumáticas1963[[#Headers],[Herramientas_neumáticas]],
    COUNTIF(Herramientas_de_medición2064[Herramientas_de_medición], B231) &gt; 0, Herramientas_de_medición2064[[#Headers],[Herramientas_de_medición]],
    COUNTIF(Herrramientas_mecánicas2165[Herramientas_mecánicas], B231) &gt; 0, Herrramientas_mecánicas2165[[#Headers],[Herramientas_mecánicas]],
    COUNTIF(AK231:AK237, B231) &gt; 0, Herramientas_hidráulicas2266[[#Headers],[Herramientas_hidráulicas]],
    COUNTIF(EPP_2367[SPCC], B231) &gt; 0, EPP_2367[[#Headers],[SPCC]],
   COUNTIF(Herramientas_de_izaje2468[Herramientas_de_izaje], B231) &gt; 0, Herramientas_de_izaje2468[[#Headers],[Herramientas_de_izaje]],
COUNTIF(Tabla162670[Equipos], B231) &gt; 0, Tabla162670[[#Headers],[Equipos]],
    TRUE, "Sin clasificación"
)</f>
        <v>Sin clasificación</v>
      </c>
      <c r="G231" s="15"/>
      <c r="H231" s="47"/>
      <c r="I231" s="87"/>
      <c r="J231" s="78"/>
      <c r="K231" s="78"/>
      <c r="L231" s="78"/>
      <c r="M231" s="78"/>
      <c r="N231" s="76"/>
      <c r="O231" s="76"/>
      <c r="P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Q231" s="77"/>
      <c r="R231" s="32"/>
      <c r="S231" s="32"/>
      <c r="T231" s="32"/>
      <c r="U231" s="32"/>
    </row>
    <row r="232" spans="3:21" x14ac:dyDescent="0.3">
      <c r="C232" s="11"/>
      <c r="D232" s="32"/>
      <c r="E232" s="11" t="str" cm="1">
        <f t="array" ref="E232">_xlfn.IFS(
    COUNTIF(Herramientas_eléctricas1862[Herramientas_eléctricas], B232) &gt; 0, Herramientas_eléctricas1862[[#Headers],[Herramientas_eléctricas]],
    COUNTIF(Herramientas_neumáticas1963[Herramientas_neumáticas], B232) &gt; 0, Herramientas_neumáticas1963[[#Headers],[Herramientas_neumáticas]],
    COUNTIF(Herramientas_de_medición2064[Herramientas_de_medición], B232) &gt; 0, Herramientas_de_medición2064[[#Headers],[Herramientas_de_medición]],
    COUNTIF(Herrramientas_mecánicas2165[Herramientas_mecánicas], B232) &gt; 0, Herrramientas_mecánicas2165[[#Headers],[Herramientas_mecánicas]],
    COUNTIF(AK232:AK238, B232) &gt; 0, Herramientas_hidráulicas2266[[#Headers],[Herramientas_hidráulicas]],
    COUNTIF(EPP_2367[SPCC], B232) &gt; 0, EPP_2367[[#Headers],[SPCC]],
   COUNTIF(Herramientas_de_izaje2468[Herramientas_de_izaje], B232) &gt; 0, Herramientas_de_izaje2468[[#Headers],[Herramientas_de_izaje]],
COUNTIF(Tabla162670[Equipos], B232) &gt; 0, Tabla162670[[#Headers],[Equipos]],
    TRUE, "Sin clasificación"
)</f>
        <v>Sin clasificación</v>
      </c>
      <c r="G232" s="15"/>
      <c r="H232" s="47"/>
      <c r="I232" s="87"/>
      <c r="J232" s="78"/>
      <c r="K232" s="78"/>
      <c r="L232" s="78"/>
      <c r="M232" s="78"/>
      <c r="N232" s="76"/>
      <c r="O232" s="76"/>
      <c r="P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Q232" s="77"/>
      <c r="R232" s="32"/>
      <c r="S232" s="32"/>
      <c r="T232" s="32"/>
      <c r="U232" s="32"/>
    </row>
    <row r="233" spans="3:21" x14ac:dyDescent="0.3">
      <c r="C233" s="11"/>
      <c r="D233" s="32"/>
      <c r="E233" s="11" t="str" cm="1">
        <f t="array" ref="E233">_xlfn.IFS(
    COUNTIF(Herramientas_eléctricas1862[Herramientas_eléctricas], B233) &gt; 0, Herramientas_eléctricas1862[[#Headers],[Herramientas_eléctricas]],
    COUNTIF(Herramientas_neumáticas1963[Herramientas_neumáticas], B233) &gt; 0, Herramientas_neumáticas1963[[#Headers],[Herramientas_neumáticas]],
    COUNTIF(Herramientas_de_medición2064[Herramientas_de_medición], B233) &gt; 0, Herramientas_de_medición2064[[#Headers],[Herramientas_de_medición]],
    COUNTIF(Herrramientas_mecánicas2165[Herramientas_mecánicas], B233) &gt; 0, Herrramientas_mecánicas2165[[#Headers],[Herramientas_mecánicas]],
    COUNTIF(AK233:AK239, B233) &gt; 0, Herramientas_hidráulicas2266[[#Headers],[Herramientas_hidráulicas]],
    COUNTIF(EPP_2367[SPCC], B233) &gt; 0, EPP_2367[[#Headers],[SPCC]],
   COUNTIF(Herramientas_de_izaje2468[Herramientas_de_izaje], B233) &gt; 0, Herramientas_de_izaje2468[[#Headers],[Herramientas_de_izaje]],
COUNTIF(Tabla162670[Equipos], B233) &gt; 0, Tabla162670[[#Headers],[Equipos]],
    TRUE, "Sin clasificación"
)</f>
        <v>Sin clasificación</v>
      </c>
      <c r="G233" s="15"/>
      <c r="H233" s="47"/>
      <c r="I233" s="87"/>
      <c r="J233" s="78"/>
      <c r="K233" s="78"/>
      <c r="L233" s="78"/>
      <c r="M233" s="78"/>
      <c r="N233" s="76"/>
      <c r="O233" s="76"/>
      <c r="P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Q233" s="77"/>
      <c r="R233" s="32"/>
      <c r="S233" s="32"/>
      <c r="T233" s="32"/>
      <c r="U233" s="32"/>
    </row>
    <row r="234" spans="3:21" x14ac:dyDescent="0.3">
      <c r="C234" s="11"/>
      <c r="D234" s="32"/>
      <c r="E234" s="11" t="str" cm="1">
        <f t="array" ref="E234">_xlfn.IFS(
    COUNTIF(Herramientas_eléctricas1862[Herramientas_eléctricas], B234) &gt; 0, Herramientas_eléctricas1862[[#Headers],[Herramientas_eléctricas]],
    COUNTIF(Herramientas_neumáticas1963[Herramientas_neumáticas], B234) &gt; 0, Herramientas_neumáticas1963[[#Headers],[Herramientas_neumáticas]],
    COUNTIF(Herramientas_de_medición2064[Herramientas_de_medición], B234) &gt; 0, Herramientas_de_medición2064[[#Headers],[Herramientas_de_medición]],
    COUNTIF(Herrramientas_mecánicas2165[Herramientas_mecánicas], B234) &gt; 0, Herrramientas_mecánicas2165[[#Headers],[Herramientas_mecánicas]],
    COUNTIF(AK234:AK240, B234) &gt; 0, Herramientas_hidráulicas2266[[#Headers],[Herramientas_hidráulicas]],
    COUNTIF(EPP_2367[SPCC], B234) &gt; 0, EPP_2367[[#Headers],[SPCC]],
   COUNTIF(Herramientas_de_izaje2468[Herramientas_de_izaje], B234) &gt; 0, Herramientas_de_izaje2468[[#Headers],[Herramientas_de_izaje]],
COUNTIF(Tabla162670[Equipos], B234) &gt; 0, Tabla162670[[#Headers],[Equipos]],
    TRUE, "Sin clasificación"
)</f>
        <v>Sin clasificación</v>
      </c>
      <c r="G234" s="15"/>
      <c r="H234" s="47"/>
      <c r="I234" s="87"/>
      <c r="J234" s="78"/>
      <c r="K234" s="78"/>
      <c r="L234" s="78"/>
      <c r="M234" s="78"/>
      <c r="N234" s="76"/>
      <c r="O234" s="76"/>
      <c r="P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Q234" s="77"/>
      <c r="R234" s="32"/>
      <c r="S234" s="32"/>
      <c r="T234" s="32"/>
      <c r="U234" s="32"/>
    </row>
    <row r="235" spans="3:21" x14ac:dyDescent="0.3">
      <c r="C235" s="11"/>
      <c r="D235" s="32"/>
      <c r="E235" s="11" t="str" cm="1">
        <f t="array" ref="E235">_xlfn.IFS(
    COUNTIF(Herramientas_eléctricas1862[Herramientas_eléctricas], B235) &gt; 0, Herramientas_eléctricas1862[[#Headers],[Herramientas_eléctricas]],
    COUNTIF(Herramientas_neumáticas1963[Herramientas_neumáticas], B235) &gt; 0, Herramientas_neumáticas1963[[#Headers],[Herramientas_neumáticas]],
    COUNTIF(Herramientas_de_medición2064[Herramientas_de_medición], B235) &gt; 0, Herramientas_de_medición2064[[#Headers],[Herramientas_de_medición]],
    COUNTIF(Herrramientas_mecánicas2165[Herramientas_mecánicas], B235) &gt; 0, Herrramientas_mecánicas2165[[#Headers],[Herramientas_mecánicas]],
    COUNTIF(AK235:AK241, B235) &gt; 0, Herramientas_hidráulicas2266[[#Headers],[Herramientas_hidráulicas]],
    COUNTIF(EPP_2367[SPCC], B235) &gt; 0, EPP_2367[[#Headers],[SPCC]],
   COUNTIF(Herramientas_de_izaje2468[Herramientas_de_izaje], B235) &gt; 0, Herramientas_de_izaje2468[[#Headers],[Herramientas_de_izaje]],
COUNTIF(Tabla162670[Equipos], B235) &gt; 0, Tabla162670[[#Headers],[Equipos]],
    TRUE, "Sin clasificación"
)</f>
        <v>Sin clasificación</v>
      </c>
      <c r="G235" s="15"/>
      <c r="H235" s="47"/>
      <c r="I235" s="87"/>
      <c r="J235" s="78"/>
      <c r="K235" s="78"/>
      <c r="L235" s="78"/>
      <c r="M235" s="78"/>
      <c r="N235" s="76"/>
      <c r="O235" s="76"/>
      <c r="P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Q235" s="77"/>
      <c r="R235" s="32"/>
      <c r="S235" s="32"/>
      <c r="T235" s="32"/>
      <c r="U235" s="32"/>
    </row>
    <row r="236" spans="3:21" x14ac:dyDescent="0.3">
      <c r="C236" s="11"/>
      <c r="D236" s="32"/>
      <c r="E236" s="11" t="str" cm="1">
        <f t="array" ref="E236">_xlfn.IFS(
    COUNTIF(Herramientas_eléctricas1862[Herramientas_eléctricas], B236) &gt; 0, Herramientas_eléctricas1862[[#Headers],[Herramientas_eléctricas]],
    COUNTIF(Herramientas_neumáticas1963[Herramientas_neumáticas], B236) &gt; 0, Herramientas_neumáticas1963[[#Headers],[Herramientas_neumáticas]],
    COUNTIF(Herramientas_de_medición2064[Herramientas_de_medición], B236) &gt; 0, Herramientas_de_medición2064[[#Headers],[Herramientas_de_medición]],
    COUNTIF(Herrramientas_mecánicas2165[Herramientas_mecánicas], B236) &gt; 0, Herrramientas_mecánicas2165[[#Headers],[Herramientas_mecánicas]],
    COUNTIF(AK236:AK242, B236) &gt; 0, Herramientas_hidráulicas2266[[#Headers],[Herramientas_hidráulicas]],
    COUNTIF(EPP_2367[SPCC], B236) &gt; 0, EPP_2367[[#Headers],[SPCC]],
   COUNTIF(Herramientas_de_izaje2468[Herramientas_de_izaje], B236) &gt; 0, Herramientas_de_izaje2468[[#Headers],[Herramientas_de_izaje]],
COUNTIF(Tabla162670[Equipos], B236) &gt; 0, Tabla162670[[#Headers],[Equipos]],
    TRUE, "Sin clasificación"
)</f>
        <v>Sin clasificación</v>
      </c>
      <c r="G236" s="15"/>
      <c r="H236" s="47"/>
      <c r="I236" s="87"/>
      <c r="J236" s="78"/>
      <c r="K236" s="78"/>
      <c r="L236" s="78"/>
      <c r="M236" s="78"/>
      <c r="N236" s="76"/>
      <c r="O236" s="76"/>
      <c r="P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Q236" s="77"/>
      <c r="R236" s="32"/>
      <c r="S236" s="32"/>
      <c r="T236" s="32"/>
      <c r="U236" s="32"/>
    </row>
    <row r="237" spans="3:21" x14ac:dyDescent="0.3">
      <c r="C237" s="11"/>
      <c r="D237" s="32"/>
      <c r="E237" s="11" t="str" cm="1">
        <f t="array" ref="E237">_xlfn.IFS(
    COUNTIF(Herramientas_eléctricas1862[Herramientas_eléctricas], B237) &gt; 0, Herramientas_eléctricas1862[[#Headers],[Herramientas_eléctricas]],
    COUNTIF(Herramientas_neumáticas1963[Herramientas_neumáticas], B237) &gt; 0, Herramientas_neumáticas1963[[#Headers],[Herramientas_neumáticas]],
    COUNTIF(Herramientas_de_medición2064[Herramientas_de_medición], B237) &gt; 0, Herramientas_de_medición2064[[#Headers],[Herramientas_de_medición]],
    COUNTIF(Herrramientas_mecánicas2165[Herramientas_mecánicas], B237) &gt; 0, Herrramientas_mecánicas2165[[#Headers],[Herramientas_mecánicas]],
    COUNTIF(AK237:AK243, B237) &gt; 0, Herramientas_hidráulicas2266[[#Headers],[Herramientas_hidráulicas]],
    COUNTIF(EPP_2367[SPCC], B237) &gt; 0, EPP_2367[[#Headers],[SPCC]],
   COUNTIF(Herramientas_de_izaje2468[Herramientas_de_izaje], B237) &gt; 0, Herramientas_de_izaje2468[[#Headers],[Herramientas_de_izaje]],
COUNTIF(Tabla162670[Equipos], B237) &gt; 0, Tabla162670[[#Headers],[Equipos]],
    TRUE, "Sin clasificación"
)</f>
        <v>Sin clasificación</v>
      </c>
      <c r="G237" s="15"/>
      <c r="H237" s="47"/>
      <c r="I237" s="87"/>
      <c r="J237" s="78"/>
      <c r="K237" s="78"/>
      <c r="L237" s="78"/>
      <c r="M237" s="78"/>
      <c r="N237" s="76"/>
      <c r="O237" s="76"/>
      <c r="P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Q237" s="77"/>
      <c r="R237" s="32"/>
      <c r="S237" s="32"/>
      <c r="T237" s="32"/>
      <c r="U237" s="32"/>
    </row>
    <row r="238" spans="3:21" x14ac:dyDescent="0.3">
      <c r="C238" s="11"/>
      <c r="D238" s="32"/>
      <c r="E238" s="11" t="str" cm="1">
        <f t="array" ref="E238">_xlfn.IFS(
    COUNTIF(Herramientas_eléctricas1862[Herramientas_eléctricas], B238) &gt; 0, Herramientas_eléctricas1862[[#Headers],[Herramientas_eléctricas]],
    COUNTIF(Herramientas_neumáticas1963[Herramientas_neumáticas], B238) &gt; 0, Herramientas_neumáticas1963[[#Headers],[Herramientas_neumáticas]],
    COUNTIF(Herramientas_de_medición2064[Herramientas_de_medición], B238) &gt; 0, Herramientas_de_medición2064[[#Headers],[Herramientas_de_medición]],
    COUNTIF(Herrramientas_mecánicas2165[Herramientas_mecánicas], B238) &gt; 0, Herrramientas_mecánicas2165[[#Headers],[Herramientas_mecánicas]],
    COUNTIF(AK238:AK244, B238) &gt; 0, Herramientas_hidráulicas2266[[#Headers],[Herramientas_hidráulicas]],
    COUNTIF(EPP_2367[SPCC], B238) &gt; 0, EPP_2367[[#Headers],[SPCC]],
   COUNTIF(Herramientas_de_izaje2468[Herramientas_de_izaje], B238) &gt; 0, Herramientas_de_izaje2468[[#Headers],[Herramientas_de_izaje]],
COUNTIF(Tabla162670[Equipos], B238) &gt; 0, Tabla162670[[#Headers],[Equipos]],
    TRUE, "Sin clasificación"
)</f>
        <v>Sin clasificación</v>
      </c>
      <c r="G238" s="15"/>
      <c r="H238" s="47"/>
      <c r="I238" s="87"/>
      <c r="J238" s="78"/>
      <c r="K238" s="78"/>
      <c r="L238" s="78"/>
      <c r="M238" s="78"/>
      <c r="N238" s="76"/>
      <c r="O238" s="76"/>
      <c r="P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Q238" s="77"/>
      <c r="R238" s="32"/>
      <c r="S238" s="32"/>
      <c r="T238" s="32"/>
      <c r="U238" s="32"/>
    </row>
    <row r="239" spans="3:21" x14ac:dyDescent="0.3">
      <c r="C239" s="11"/>
      <c r="D239" s="32"/>
      <c r="E239" s="11" t="str" cm="1">
        <f t="array" ref="E239">_xlfn.IFS(
    COUNTIF(Herramientas_eléctricas1862[Herramientas_eléctricas], B239) &gt; 0, Herramientas_eléctricas1862[[#Headers],[Herramientas_eléctricas]],
    COUNTIF(Herramientas_neumáticas1963[Herramientas_neumáticas], B239) &gt; 0, Herramientas_neumáticas1963[[#Headers],[Herramientas_neumáticas]],
    COUNTIF(Herramientas_de_medición2064[Herramientas_de_medición], B239) &gt; 0, Herramientas_de_medición2064[[#Headers],[Herramientas_de_medición]],
    COUNTIF(Herrramientas_mecánicas2165[Herramientas_mecánicas], B239) &gt; 0, Herrramientas_mecánicas2165[[#Headers],[Herramientas_mecánicas]],
    COUNTIF(AK239:AK245, B239) &gt; 0, Herramientas_hidráulicas2266[[#Headers],[Herramientas_hidráulicas]],
    COUNTIF(EPP_2367[SPCC], B239) &gt; 0, EPP_2367[[#Headers],[SPCC]],
   COUNTIF(Herramientas_de_izaje2468[Herramientas_de_izaje], B239) &gt; 0, Herramientas_de_izaje2468[[#Headers],[Herramientas_de_izaje]],
COUNTIF(Tabla162670[Equipos], B239) &gt; 0, Tabla162670[[#Headers],[Equipos]],
    TRUE, "Sin clasificación"
)</f>
        <v>Sin clasificación</v>
      </c>
      <c r="G239" s="15"/>
      <c r="H239" s="47"/>
      <c r="I239" s="87"/>
      <c r="J239" s="78"/>
      <c r="K239" s="78"/>
      <c r="L239" s="78"/>
      <c r="M239" s="78"/>
      <c r="N239" s="76"/>
      <c r="O239" s="76"/>
      <c r="P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Q239" s="77"/>
      <c r="R239" s="32"/>
      <c r="S239" s="32"/>
      <c r="T239" s="32"/>
      <c r="U239" s="32"/>
    </row>
    <row r="240" spans="3:21" x14ac:dyDescent="0.3">
      <c r="C240" s="11"/>
      <c r="D240" s="32"/>
      <c r="E240" s="11" t="str" cm="1">
        <f t="array" ref="E240">_xlfn.IFS(
    COUNTIF(Herramientas_eléctricas1862[Herramientas_eléctricas], B240) &gt; 0, Herramientas_eléctricas1862[[#Headers],[Herramientas_eléctricas]],
    COUNTIF(Herramientas_neumáticas1963[Herramientas_neumáticas], B240) &gt; 0, Herramientas_neumáticas1963[[#Headers],[Herramientas_neumáticas]],
    COUNTIF(Herramientas_de_medición2064[Herramientas_de_medición], B240) &gt; 0, Herramientas_de_medición2064[[#Headers],[Herramientas_de_medición]],
    COUNTIF(Herrramientas_mecánicas2165[Herramientas_mecánicas], B240) &gt; 0, Herrramientas_mecánicas2165[[#Headers],[Herramientas_mecánicas]],
    COUNTIF(AK240:AK246, B240) &gt; 0, Herramientas_hidráulicas2266[[#Headers],[Herramientas_hidráulicas]],
    COUNTIF(EPP_2367[SPCC], B240) &gt; 0, EPP_2367[[#Headers],[SPCC]],
   COUNTIF(Herramientas_de_izaje2468[Herramientas_de_izaje], B240) &gt; 0, Herramientas_de_izaje2468[[#Headers],[Herramientas_de_izaje]],
COUNTIF(Tabla162670[Equipos], B240) &gt; 0, Tabla162670[[#Headers],[Equipos]],
    TRUE, "Sin clasificación"
)</f>
        <v>Sin clasificación</v>
      </c>
      <c r="G240" s="15"/>
      <c r="H240" s="47"/>
      <c r="I240" s="87"/>
      <c r="J240" s="78"/>
      <c r="K240" s="78"/>
      <c r="L240" s="78"/>
      <c r="M240" s="78"/>
      <c r="N240" s="76"/>
      <c r="O240" s="76"/>
      <c r="P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Q240" s="77"/>
      <c r="R240" s="32"/>
      <c r="S240" s="32"/>
      <c r="T240" s="32"/>
      <c r="U240" s="32"/>
    </row>
    <row r="241" spans="3:21" x14ac:dyDescent="0.3">
      <c r="C241" s="11"/>
      <c r="D241" s="32"/>
      <c r="E241" s="11" t="str" cm="1">
        <f t="array" ref="E241">_xlfn.IFS(
    COUNTIF(Herramientas_eléctricas1862[Herramientas_eléctricas], B241) &gt; 0, Herramientas_eléctricas1862[[#Headers],[Herramientas_eléctricas]],
    COUNTIF(Herramientas_neumáticas1963[Herramientas_neumáticas], B241) &gt; 0, Herramientas_neumáticas1963[[#Headers],[Herramientas_neumáticas]],
    COUNTIF(Herramientas_de_medición2064[Herramientas_de_medición], B241) &gt; 0, Herramientas_de_medición2064[[#Headers],[Herramientas_de_medición]],
    COUNTIF(Herrramientas_mecánicas2165[Herramientas_mecánicas], B241) &gt; 0, Herrramientas_mecánicas2165[[#Headers],[Herramientas_mecánicas]],
    COUNTIF(AK241:AK247, B241) &gt; 0, Herramientas_hidráulicas2266[[#Headers],[Herramientas_hidráulicas]],
    COUNTIF(EPP_2367[SPCC], B241) &gt; 0, EPP_2367[[#Headers],[SPCC]],
   COUNTIF(Herramientas_de_izaje2468[Herramientas_de_izaje], B241) &gt; 0, Herramientas_de_izaje2468[[#Headers],[Herramientas_de_izaje]],
COUNTIF(Tabla162670[Equipos], B241) &gt; 0, Tabla162670[[#Headers],[Equipos]],
    TRUE, "Sin clasificación"
)</f>
        <v>Sin clasificación</v>
      </c>
      <c r="G241" s="15"/>
      <c r="H241" s="47"/>
      <c r="I241" s="87"/>
      <c r="J241" s="78"/>
      <c r="K241" s="78"/>
      <c r="L241" s="78"/>
      <c r="M241" s="78"/>
      <c r="N241" s="76"/>
      <c r="O241" s="76"/>
      <c r="P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Q241" s="77"/>
      <c r="R241" s="32"/>
      <c r="S241" s="32"/>
      <c r="T241" s="32"/>
      <c r="U241" s="32"/>
    </row>
    <row r="242" spans="3:21" x14ac:dyDescent="0.3">
      <c r="C242" s="11"/>
      <c r="D242" s="32"/>
      <c r="E242" s="11" t="str" cm="1">
        <f t="array" ref="E242">_xlfn.IFS(
    COUNTIF(Herramientas_eléctricas1862[Herramientas_eléctricas], B242) &gt; 0, Herramientas_eléctricas1862[[#Headers],[Herramientas_eléctricas]],
    COUNTIF(Herramientas_neumáticas1963[Herramientas_neumáticas], B242) &gt; 0, Herramientas_neumáticas1963[[#Headers],[Herramientas_neumáticas]],
    COUNTIF(Herramientas_de_medición2064[Herramientas_de_medición], B242) &gt; 0, Herramientas_de_medición2064[[#Headers],[Herramientas_de_medición]],
    COUNTIF(Herrramientas_mecánicas2165[Herramientas_mecánicas], B242) &gt; 0, Herrramientas_mecánicas2165[[#Headers],[Herramientas_mecánicas]],
    COUNTIF(AK242:AK248, B242) &gt; 0, Herramientas_hidráulicas2266[[#Headers],[Herramientas_hidráulicas]],
    COUNTIF(EPP_2367[SPCC], B242) &gt; 0, EPP_2367[[#Headers],[SPCC]],
   COUNTIF(Herramientas_de_izaje2468[Herramientas_de_izaje], B242) &gt; 0, Herramientas_de_izaje2468[[#Headers],[Herramientas_de_izaje]],
COUNTIF(Tabla162670[Equipos], B242) &gt; 0, Tabla162670[[#Headers],[Equipos]],
    TRUE, "Sin clasificación"
)</f>
        <v>Sin clasificación</v>
      </c>
      <c r="G242" s="15"/>
      <c r="H242" s="47"/>
      <c r="I242" s="87"/>
      <c r="J242" s="78"/>
      <c r="K242" s="78"/>
      <c r="L242" s="78"/>
      <c r="M242" s="78"/>
      <c r="N242" s="76"/>
      <c r="O242" s="76"/>
      <c r="P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Q242" s="77"/>
      <c r="R242" s="32"/>
      <c r="S242" s="32"/>
      <c r="T242" s="32"/>
      <c r="U242" s="32"/>
    </row>
    <row r="243" spans="3:21" x14ac:dyDescent="0.3">
      <c r="C243" s="11"/>
      <c r="D243" s="32"/>
      <c r="E243" s="11" t="str" cm="1">
        <f t="array" ref="E243">_xlfn.IFS(
    COUNTIF(Herramientas_eléctricas1862[Herramientas_eléctricas], B243) &gt; 0, Herramientas_eléctricas1862[[#Headers],[Herramientas_eléctricas]],
    COUNTIF(Herramientas_neumáticas1963[Herramientas_neumáticas], B243) &gt; 0, Herramientas_neumáticas1963[[#Headers],[Herramientas_neumáticas]],
    COUNTIF(Herramientas_de_medición2064[Herramientas_de_medición], B243) &gt; 0, Herramientas_de_medición2064[[#Headers],[Herramientas_de_medición]],
    COUNTIF(Herrramientas_mecánicas2165[Herramientas_mecánicas], B243) &gt; 0, Herrramientas_mecánicas2165[[#Headers],[Herramientas_mecánicas]],
    COUNTIF(AK243:AK249, B243) &gt; 0, Herramientas_hidráulicas2266[[#Headers],[Herramientas_hidráulicas]],
    COUNTIF(EPP_2367[SPCC], B243) &gt; 0, EPP_2367[[#Headers],[SPCC]],
   COUNTIF(Herramientas_de_izaje2468[Herramientas_de_izaje], B243) &gt; 0, Herramientas_de_izaje2468[[#Headers],[Herramientas_de_izaje]],
COUNTIF(Tabla162670[Equipos], B243) &gt; 0, Tabla162670[[#Headers],[Equipos]],
    TRUE, "Sin clasificación"
)</f>
        <v>Sin clasificación</v>
      </c>
      <c r="G243" s="15"/>
      <c r="H243" s="47"/>
      <c r="I243" s="87"/>
      <c r="J243" s="78"/>
      <c r="K243" s="78"/>
      <c r="L243" s="78"/>
      <c r="M243" s="78"/>
      <c r="N243" s="76"/>
      <c r="O243" s="76"/>
      <c r="P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Q243" s="77"/>
      <c r="R243" s="32"/>
      <c r="S243" s="32"/>
      <c r="T243" s="32"/>
      <c r="U243" s="32"/>
    </row>
    <row r="244" spans="3:21" x14ac:dyDescent="0.3">
      <c r="C244" s="11"/>
      <c r="D244" s="32"/>
      <c r="E244" s="11" t="str" cm="1">
        <f t="array" ref="E244">_xlfn.IFS(
    COUNTIF(Herramientas_eléctricas1862[Herramientas_eléctricas], B244) &gt; 0, Herramientas_eléctricas1862[[#Headers],[Herramientas_eléctricas]],
    COUNTIF(Herramientas_neumáticas1963[Herramientas_neumáticas], B244) &gt; 0, Herramientas_neumáticas1963[[#Headers],[Herramientas_neumáticas]],
    COUNTIF(Herramientas_de_medición2064[Herramientas_de_medición], B244) &gt; 0, Herramientas_de_medición2064[[#Headers],[Herramientas_de_medición]],
    COUNTIF(Herrramientas_mecánicas2165[Herramientas_mecánicas], B244) &gt; 0, Herrramientas_mecánicas2165[[#Headers],[Herramientas_mecánicas]],
    COUNTIF(AK244:AK250, B244) &gt; 0, Herramientas_hidráulicas2266[[#Headers],[Herramientas_hidráulicas]],
    COUNTIF(EPP_2367[SPCC], B244) &gt; 0, EPP_2367[[#Headers],[SPCC]],
   COUNTIF(Herramientas_de_izaje2468[Herramientas_de_izaje], B244) &gt; 0, Herramientas_de_izaje2468[[#Headers],[Herramientas_de_izaje]],
COUNTIF(Tabla162670[Equipos], B244) &gt; 0, Tabla162670[[#Headers],[Equipos]],
    TRUE, "Sin clasificación"
)</f>
        <v>Sin clasificación</v>
      </c>
      <c r="G244" s="15"/>
      <c r="H244" s="47"/>
      <c r="I244" s="87"/>
      <c r="J244" s="78"/>
      <c r="K244" s="78"/>
      <c r="L244" s="78"/>
      <c r="M244" s="78"/>
      <c r="N244" s="76"/>
      <c r="O244" s="76"/>
      <c r="P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Q244" s="77"/>
      <c r="R244" s="32"/>
      <c r="S244" s="32"/>
      <c r="T244" s="32"/>
      <c r="U244" s="32"/>
    </row>
    <row r="245" spans="3:21" x14ac:dyDescent="0.3">
      <c r="C245" s="11"/>
      <c r="D245" s="32"/>
      <c r="E245" s="11" t="str" cm="1">
        <f t="array" ref="E245">_xlfn.IFS(
    COUNTIF(Herramientas_eléctricas1862[Herramientas_eléctricas], B245) &gt; 0, Herramientas_eléctricas1862[[#Headers],[Herramientas_eléctricas]],
    COUNTIF(Herramientas_neumáticas1963[Herramientas_neumáticas], B245) &gt; 0, Herramientas_neumáticas1963[[#Headers],[Herramientas_neumáticas]],
    COUNTIF(Herramientas_de_medición2064[Herramientas_de_medición], B245) &gt; 0, Herramientas_de_medición2064[[#Headers],[Herramientas_de_medición]],
    COUNTIF(Herrramientas_mecánicas2165[Herramientas_mecánicas], B245) &gt; 0, Herrramientas_mecánicas2165[[#Headers],[Herramientas_mecánicas]],
    COUNTIF(AK245:AK251, B245) &gt; 0, Herramientas_hidráulicas2266[[#Headers],[Herramientas_hidráulicas]],
    COUNTIF(EPP_2367[SPCC], B245) &gt; 0, EPP_2367[[#Headers],[SPCC]],
   COUNTIF(Herramientas_de_izaje2468[Herramientas_de_izaje], B245) &gt; 0, Herramientas_de_izaje2468[[#Headers],[Herramientas_de_izaje]],
COUNTIF(Tabla162670[Equipos], B245) &gt; 0, Tabla162670[[#Headers],[Equipos]],
    TRUE, "Sin clasificación"
)</f>
        <v>Sin clasificación</v>
      </c>
      <c r="G245" s="15"/>
      <c r="H245" s="47"/>
      <c r="I245" s="87"/>
      <c r="J245" s="78"/>
      <c r="K245" s="78"/>
      <c r="L245" s="78"/>
      <c r="M245" s="78"/>
      <c r="N245" s="76"/>
      <c r="O245" s="76"/>
      <c r="P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Q245" s="77"/>
      <c r="R245" s="32"/>
      <c r="S245" s="32"/>
      <c r="T245" s="32"/>
      <c r="U245" s="32"/>
    </row>
    <row r="246" spans="3:21" x14ac:dyDescent="0.3">
      <c r="C246" s="11"/>
      <c r="D246" s="32"/>
      <c r="E246" s="11" t="str" cm="1">
        <f t="array" ref="E246">_xlfn.IFS(
    COUNTIF(Herramientas_eléctricas1862[Herramientas_eléctricas], B246) &gt; 0, Herramientas_eléctricas1862[[#Headers],[Herramientas_eléctricas]],
    COUNTIF(Herramientas_neumáticas1963[Herramientas_neumáticas], B246) &gt; 0, Herramientas_neumáticas1963[[#Headers],[Herramientas_neumáticas]],
    COUNTIF(Herramientas_de_medición2064[Herramientas_de_medición], B246) &gt; 0, Herramientas_de_medición2064[[#Headers],[Herramientas_de_medición]],
    COUNTIF(Herrramientas_mecánicas2165[Herramientas_mecánicas], B246) &gt; 0, Herrramientas_mecánicas2165[[#Headers],[Herramientas_mecánicas]],
    COUNTIF(AK246:AK252, B246) &gt; 0, Herramientas_hidráulicas2266[[#Headers],[Herramientas_hidráulicas]],
    COUNTIF(EPP_2367[SPCC], B246) &gt; 0, EPP_2367[[#Headers],[SPCC]],
   COUNTIF(Herramientas_de_izaje2468[Herramientas_de_izaje], B246) &gt; 0, Herramientas_de_izaje2468[[#Headers],[Herramientas_de_izaje]],
COUNTIF(Tabla162670[Equipos], B246) &gt; 0, Tabla162670[[#Headers],[Equipos]],
    TRUE, "Sin clasificación"
)</f>
        <v>Sin clasificación</v>
      </c>
      <c r="G246" s="15"/>
      <c r="H246" s="47"/>
      <c r="I246" s="87"/>
      <c r="J246" s="78"/>
      <c r="K246" s="78"/>
      <c r="L246" s="78"/>
      <c r="M246" s="78"/>
      <c r="N246" s="76"/>
      <c r="O246" s="76"/>
      <c r="P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Q246" s="77"/>
      <c r="R246" s="32"/>
      <c r="S246" s="32"/>
      <c r="T246" s="32"/>
      <c r="U246" s="32"/>
    </row>
    <row r="247" spans="3:21" x14ac:dyDescent="0.3">
      <c r="C247" s="11"/>
      <c r="D247" s="32"/>
      <c r="E247" s="11" t="str" cm="1">
        <f t="array" ref="E247">_xlfn.IFS(
    COUNTIF(Herramientas_eléctricas1862[Herramientas_eléctricas], B247) &gt; 0, Herramientas_eléctricas1862[[#Headers],[Herramientas_eléctricas]],
    COUNTIF(Herramientas_neumáticas1963[Herramientas_neumáticas], B247) &gt; 0, Herramientas_neumáticas1963[[#Headers],[Herramientas_neumáticas]],
    COUNTIF(Herramientas_de_medición2064[Herramientas_de_medición], B247) &gt; 0, Herramientas_de_medición2064[[#Headers],[Herramientas_de_medición]],
    COUNTIF(Herrramientas_mecánicas2165[Herramientas_mecánicas], B247) &gt; 0, Herrramientas_mecánicas2165[[#Headers],[Herramientas_mecánicas]],
    COUNTIF(AK247:AK253, B247) &gt; 0, Herramientas_hidráulicas2266[[#Headers],[Herramientas_hidráulicas]],
    COUNTIF(EPP_2367[SPCC], B247) &gt; 0, EPP_2367[[#Headers],[SPCC]],
   COUNTIF(Herramientas_de_izaje2468[Herramientas_de_izaje], B247) &gt; 0, Herramientas_de_izaje2468[[#Headers],[Herramientas_de_izaje]],
COUNTIF(Tabla162670[Equipos], B247) &gt; 0, Tabla162670[[#Headers],[Equipos]],
    TRUE, "Sin clasificación"
)</f>
        <v>Sin clasificación</v>
      </c>
      <c r="G247" s="15"/>
      <c r="H247" s="47"/>
      <c r="I247" s="87"/>
      <c r="J247" s="78"/>
      <c r="K247" s="78"/>
      <c r="L247" s="78"/>
      <c r="M247" s="78"/>
      <c r="N247" s="76"/>
      <c r="O247" s="76"/>
      <c r="P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Q247" s="77"/>
      <c r="R247" s="32"/>
      <c r="S247" s="32"/>
      <c r="T247" s="32"/>
      <c r="U247" s="32"/>
    </row>
    <row r="248" spans="3:21" x14ac:dyDescent="0.3">
      <c r="C248" s="11"/>
      <c r="D248" s="32"/>
      <c r="E248" s="11" t="str" cm="1">
        <f t="array" ref="E248">_xlfn.IFS(
    COUNTIF(Herramientas_eléctricas1862[Herramientas_eléctricas], B248) &gt; 0, Herramientas_eléctricas1862[[#Headers],[Herramientas_eléctricas]],
    COUNTIF(Herramientas_neumáticas1963[Herramientas_neumáticas], B248) &gt; 0, Herramientas_neumáticas1963[[#Headers],[Herramientas_neumáticas]],
    COUNTIF(Herramientas_de_medición2064[Herramientas_de_medición], B248) &gt; 0, Herramientas_de_medición2064[[#Headers],[Herramientas_de_medición]],
    COUNTIF(Herrramientas_mecánicas2165[Herramientas_mecánicas], B248) &gt; 0, Herrramientas_mecánicas2165[[#Headers],[Herramientas_mecánicas]],
    COUNTIF(AK248:AK254, B248) &gt; 0, Herramientas_hidráulicas2266[[#Headers],[Herramientas_hidráulicas]],
    COUNTIF(EPP_2367[SPCC], B248) &gt; 0, EPP_2367[[#Headers],[SPCC]],
   COUNTIF(Herramientas_de_izaje2468[Herramientas_de_izaje], B248) &gt; 0, Herramientas_de_izaje2468[[#Headers],[Herramientas_de_izaje]],
COUNTIF(Tabla162670[Equipos], B248) &gt; 0, Tabla162670[[#Headers],[Equipos]],
    TRUE, "Sin clasificación"
)</f>
        <v>Sin clasificación</v>
      </c>
      <c r="G248" s="15"/>
      <c r="H248" s="47"/>
      <c r="I248" s="87"/>
      <c r="J248" s="78"/>
      <c r="K248" s="78"/>
      <c r="L248" s="78"/>
      <c r="M248" s="78"/>
      <c r="N248" s="76"/>
      <c r="O248" s="76"/>
      <c r="P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Q248" s="77"/>
      <c r="R248" s="32"/>
      <c r="S248" s="32"/>
      <c r="T248" s="32"/>
      <c r="U248" s="32"/>
    </row>
    <row r="249" spans="3:21" x14ac:dyDescent="0.3">
      <c r="C249" s="11"/>
      <c r="D249" s="32"/>
      <c r="E249" s="11" t="str" cm="1">
        <f t="array" ref="E249">_xlfn.IFS(
    COUNTIF(Herramientas_eléctricas1862[Herramientas_eléctricas], B249) &gt; 0, Herramientas_eléctricas1862[[#Headers],[Herramientas_eléctricas]],
    COUNTIF(Herramientas_neumáticas1963[Herramientas_neumáticas], B249) &gt; 0, Herramientas_neumáticas1963[[#Headers],[Herramientas_neumáticas]],
    COUNTIF(Herramientas_de_medición2064[Herramientas_de_medición], B249) &gt; 0, Herramientas_de_medición2064[[#Headers],[Herramientas_de_medición]],
    COUNTIF(Herrramientas_mecánicas2165[Herramientas_mecánicas], B249) &gt; 0, Herrramientas_mecánicas2165[[#Headers],[Herramientas_mecánicas]],
    COUNTIF(AK249:AK255, B249) &gt; 0, Herramientas_hidráulicas2266[[#Headers],[Herramientas_hidráulicas]],
    COUNTIF(EPP_2367[SPCC], B249) &gt; 0, EPP_2367[[#Headers],[SPCC]],
   COUNTIF(Herramientas_de_izaje2468[Herramientas_de_izaje], B249) &gt; 0, Herramientas_de_izaje2468[[#Headers],[Herramientas_de_izaje]],
COUNTIF(Tabla162670[Equipos], B249) &gt; 0, Tabla162670[[#Headers],[Equipos]],
    TRUE, "Sin clasificación"
)</f>
        <v>Sin clasificación</v>
      </c>
      <c r="G249" s="15"/>
      <c r="H249" s="47"/>
      <c r="I249" s="87"/>
      <c r="J249" s="78"/>
      <c r="K249" s="78"/>
      <c r="L249" s="78"/>
      <c r="M249" s="78"/>
      <c r="N249" s="76"/>
      <c r="O249" s="76"/>
      <c r="P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Q249" s="77"/>
      <c r="R249" s="32"/>
      <c r="S249" s="32"/>
      <c r="T249" s="32"/>
      <c r="U249" s="32"/>
    </row>
    <row r="250" spans="3:21" x14ac:dyDescent="0.3">
      <c r="C250" s="11"/>
      <c r="D250" s="32"/>
      <c r="E250" s="11" t="str" cm="1">
        <f t="array" ref="E250">_xlfn.IFS(
    COUNTIF(Herramientas_eléctricas1862[Herramientas_eléctricas], B250) &gt; 0, Herramientas_eléctricas1862[[#Headers],[Herramientas_eléctricas]],
    COUNTIF(Herramientas_neumáticas1963[Herramientas_neumáticas], B250) &gt; 0, Herramientas_neumáticas1963[[#Headers],[Herramientas_neumáticas]],
    COUNTIF(Herramientas_de_medición2064[Herramientas_de_medición], B250) &gt; 0, Herramientas_de_medición2064[[#Headers],[Herramientas_de_medición]],
    COUNTIF(Herrramientas_mecánicas2165[Herramientas_mecánicas], B250) &gt; 0, Herrramientas_mecánicas2165[[#Headers],[Herramientas_mecánicas]],
    COUNTIF(AK250:AK256, B250) &gt; 0, Herramientas_hidráulicas2266[[#Headers],[Herramientas_hidráulicas]],
    COUNTIF(EPP_2367[SPCC], B250) &gt; 0, EPP_2367[[#Headers],[SPCC]],
   COUNTIF(Herramientas_de_izaje2468[Herramientas_de_izaje], B250) &gt; 0, Herramientas_de_izaje2468[[#Headers],[Herramientas_de_izaje]],
COUNTIF(Tabla162670[Equipos], B250) &gt; 0, Tabla162670[[#Headers],[Equipos]],
    TRUE, "Sin clasificación"
)</f>
        <v>Sin clasificación</v>
      </c>
      <c r="G250" s="15"/>
      <c r="H250" s="47"/>
      <c r="I250" s="87"/>
      <c r="J250" s="78"/>
      <c r="K250" s="78"/>
      <c r="L250" s="78"/>
      <c r="M250" s="78"/>
      <c r="N250" s="76"/>
      <c r="O250" s="76"/>
      <c r="P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Q250" s="77"/>
      <c r="R250" s="32"/>
      <c r="S250" s="32"/>
      <c r="T250" s="32"/>
      <c r="U250" s="32"/>
    </row>
    <row r="251" spans="3:21" x14ac:dyDescent="0.3">
      <c r="C251" s="11"/>
      <c r="D251" s="32"/>
      <c r="E251" s="11" t="str" cm="1">
        <f t="array" ref="E251">_xlfn.IFS(
    COUNTIF(Herramientas_eléctricas1862[Herramientas_eléctricas], B251) &gt; 0, Herramientas_eléctricas1862[[#Headers],[Herramientas_eléctricas]],
    COUNTIF(Herramientas_neumáticas1963[Herramientas_neumáticas], B251) &gt; 0, Herramientas_neumáticas1963[[#Headers],[Herramientas_neumáticas]],
    COUNTIF(Herramientas_de_medición2064[Herramientas_de_medición], B251) &gt; 0, Herramientas_de_medición2064[[#Headers],[Herramientas_de_medición]],
    COUNTIF(Herrramientas_mecánicas2165[Herramientas_mecánicas], B251) &gt; 0, Herrramientas_mecánicas2165[[#Headers],[Herramientas_mecánicas]],
    COUNTIF(AK251:AK257, B251) &gt; 0, Herramientas_hidráulicas2266[[#Headers],[Herramientas_hidráulicas]],
    COUNTIF(EPP_2367[SPCC], B251) &gt; 0, EPP_2367[[#Headers],[SPCC]],
   COUNTIF(Herramientas_de_izaje2468[Herramientas_de_izaje], B251) &gt; 0, Herramientas_de_izaje2468[[#Headers],[Herramientas_de_izaje]],
COUNTIF(Tabla162670[Equipos], B251) &gt; 0, Tabla162670[[#Headers],[Equipos]],
    TRUE, "Sin clasificación"
)</f>
        <v>Sin clasificación</v>
      </c>
      <c r="G251" s="15"/>
      <c r="H251" s="47"/>
      <c r="I251" s="87"/>
      <c r="J251" s="78"/>
      <c r="K251" s="78"/>
      <c r="L251" s="78"/>
      <c r="M251" s="78"/>
      <c r="N251" s="76"/>
      <c r="O251" s="76"/>
      <c r="P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Q251" s="77"/>
      <c r="R251" s="32"/>
      <c r="S251" s="32"/>
      <c r="T251" s="32"/>
      <c r="U251" s="32"/>
    </row>
    <row r="252" spans="3:21" x14ac:dyDescent="0.3">
      <c r="C252" s="11"/>
      <c r="D252" s="32"/>
      <c r="E252" s="11" t="str" cm="1">
        <f t="array" ref="E252">_xlfn.IFS(
    COUNTIF(Herramientas_eléctricas1862[Herramientas_eléctricas], B252) &gt; 0, Herramientas_eléctricas1862[[#Headers],[Herramientas_eléctricas]],
    COUNTIF(Herramientas_neumáticas1963[Herramientas_neumáticas], B252) &gt; 0, Herramientas_neumáticas1963[[#Headers],[Herramientas_neumáticas]],
    COUNTIF(Herramientas_de_medición2064[Herramientas_de_medición], B252) &gt; 0, Herramientas_de_medición2064[[#Headers],[Herramientas_de_medición]],
    COUNTIF(Herrramientas_mecánicas2165[Herramientas_mecánicas], B252) &gt; 0, Herrramientas_mecánicas2165[[#Headers],[Herramientas_mecánicas]],
    COUNTIF(AK252:AK258, B252) &gt; 0, Herramientas_hidráulicas2266[[#Headers],[Herramientas_hidráulicas]],
    COUNTIF(EPP_2367[SPCC], B252) &gt; 0, EPP_2367[[#Headers],[SPCC]],
   COUNTIF(Herramientas_de_izaje2468[Herramientas_de_izaje], B252) &gt; 0, Herramientas_de_izaje2468[[#Headers],[Herramientas_de_izaje]],
COUNTIF(Tabla162670[Equipos], B252) &gt; 0, Tabla162670[[#Headers],[Equipos]],
    TRUE, "Sin clasificación"
)</f>
        <v>Sin clasificación</v>
      </c>
      <c r="G252" s="15"/>
      <c r="H252" s="47"/>
      <c r="I252" s="87"/>
      <c r="J252" s="78"/>
      <c r="K252" s="78"/>
      <c r="L252" s="78"/>
      <c r="M252" s="78"/>
      <c r="N252" s="76"/>
      <c r="O252" s="76"/>
      <c r="P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Q252" s="77"/>
      <c r="R252" s="32"/>
      <c r="S252" s="32"/>
      <c r="T252" s="32"/>
      <c r="U252" s="32"/>
    </row>
    <row r="253" spans="3:21" x14ac:dyDescent="0.3">
      <c r="C253" s="11"/>
      <c r="D253" s="32"/>
      <c r="E253" s="11" t="str" cm="1">
        <f t="array" ref="E253">_xlfn.IFS(
    COUNTIF(Herramientas_eléctricas1862[Herramientas_eléctricas], B253) &gt; 0, Herramientas_eléctricas1862[[#Headers],[Herramientas_eléctricas]],
    COUNTIF(Herramientas_neumáticas1963[Herramientas_neumáticas], B253) &gt; 0, Herramientas_neumáticas1963[[#Headers],[Herramientas_neumáticas]],
    COUNTIF(Herramientas_de_medición2064[Herramientas_de_medición], B253) &gt; 0, Herramientas_de_medición2064[[#Headers],[Herramientas_de_medición]],
    COUNTIF(Herrramientas_mecánicas2165[Herramientas_mecánicas], B253) &gt; 0, Herrramientas_mecánicas2165[[#Headers],[Herramientas_mecánicas]],
    COUNTIF(AK253:AK259, B253) &gt; 0, Herramientas_hidráulicas2266[[#Headers],[Herramientas_hidráulicas]],
    COUNTIF(EPP_2367[SPCC], B253) &gt; 0, EPP_2367[[#Headers],[SPCC]],
   COUNTIF(Herramientas_de_izaje2468[Herramientas_de_izaje], B253) &gt; 0, Herramientas_de_izaje2468[[#Headers],[Herramientas_de_izaje]],
COUNTIF(Tabla162670[Equipos], B253) &gt; 0, Tabla162670[[#Headers],[Equipos]],
    TRUE, "Sin clasificación"
)</f>
        <v>Sin clasificación</v>
      </c>
      <c r="G253" s="15"/>
      <c r="H253" s="47"/>
      <c r="I253" s="87"/>
      <c r="J253" s="78"/>
      <c r="K253" s="78"/>
      <c r="L253" s="78"/>
      <c r="M253" s="78"/>
      <c r="N253" s="76"/>
      <c r="O253" s="76"/>
      <c r="P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Q253" s="77"/>
      <c r="R253" s="32"/>
      <c r="S253" s="32"/>
      <c r="T253" s="32"/>
      <c r="U253" s="32"/>
    </row>
    <row r="254" spans="3:21" x14ac:dyDescent="0.3">
      <c r="C254" s="11"/>
      <c r="D254" s="32"/>
      <c r="E254" s="11" t="str" cm="1">
        <f t="array" ref="E254">_xlfn.IFS(
    COUNTIF(Herramientas_eléctricas1862[Herramientas_eléctricas], B254) &gt; 0, Herramientas_eléctricas1862[[#Headers],[Herramientas_eléctricas]],
    COUNTIF(Herramientas_neumáticas1963[Herramientas_neumáticas], B254) &gt; 0, Herramientas_neumáticas1963[[#Headers],[Herramientas_neumáticas]],
    COUNTIF(Herramientas_de_medición2064[Herramientas_de_medición], B254) &gt; 0, Herramientas_de_medición2064[[#Headers],[Herramientas_de_medición]],
    COUNTIF(Herrramientas_mecánicas2165[Herramientas_mecánicas], B254) &gt; 0, Herrramientas_mecánicas2165[[#Headers],[Herramientas_mecánicas]],
    COUNTIF(AK254:AK260, B254) &gt; 0, Herramientas_hidráulicas2266[[#Headers],[Herramientas_hidráulicas]],
    COUNTIF(EPP_2367[SPCC], B254) &gt; 0, EPP_2367[[#Headers],[SPCC]],
   COUNTIF(Herramientas_de_izaje2468[Herramientas_de_izaje], B254) &gt; 0, Herramientas_de_izaje2468[[#Headers],[Herramientas_de_izaje]],
COUNTIF(Tabla162670[Equipos], B254) &gt; 0, Tabla162670[[#Headers],[Equipos]],
    TRUE, "Sin clasificación"
)</f>
        <v>Sin clasificación</v>
      </c>
      <c r="G254" s="15"/>
      <c r="H254" s="47"/>
      <c r="I254" s="87"/>
      <c r="J254" s="78"/>
      <c r="K254" s="78"/>
      <c r="L254" s="78"/>
      <c r="M254" s="78"/>
      <c r="N254" s="76"/>
      <c r="O254" s="76"/>
      <c r="P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Q254" s="77"/>
      <c r="R254" s="32"/>
      <c r="S254" s="32"/>
      <c r="T254" s="32"/>
      <c r="U254" s="32"/>
    </row>
    <row r="255" spans="3:21" x14ac:dyDescent="0.3">
      <c r="C255" s="11"/>
      <c r="D255" s="32"/>
      <c r="E255" s="11" t="str" cm="1">
        <f t="array" ref="E255">_xlfn.IFS(
    COUNTIF(Herramientas_eléctricas1862[Herramientas_eléctricas], B255) &gt; 0, Herramientas_eléctricas1862[[#Headers],[Herramientas_eléctricas]],
    COUNTIF(Herramientas_neumáticas1963[Herramientas_neumáticas], B255) &gt; 0, Herramientas_neumáticas1963[[#Headers],[Herramientas_neumáticas]],
    COUNTIF(Herramientas_de_medición2064[Herramientas_de_medición], B255) &gt; 0, Herramientas_de_medición2064[[#Headers],[Herramientas_de_medición]],
    COUNTIF(Herrramientas_mecánicas2165[Herramientas_mecánicas], B255) &gt; 0, Herrramientas_mecánicas2165[[#Headers],[Herramientas_mecánicas]],
    COUNTIF(AK255:AK261, B255) &gt; 0, Herramientas_hidráulicas2266[[#Headers],[Herramientas_hidráulicas]],
    COUNTIF(EPP_2367[SPCC], B255) &gt; 0, EPP_2367[[#Headers],[SPCC]],
   COUNTIF(Herramientas_de_izaje2468[Herramientas_de_izaje], B255) &gt; 0, Herramientas_de_izaje2468[[#Headers],[Herramientas_de_izaje]],
COUNTIF(Tabla162670[Equipos], B255) &gt; 0, Tabla162670[[#Headers],[Equipos]],
    TRUE, "Sin clasificación"
)</f>
        <v>Sin clasificación</v>
      </c>
      <c r="G255" s="15"/>
      <c r="H255" s="47"/>
      <c r="I255" s="87"/>
      <c r="J255" s="78"/>
      <c r="K255" s="78"/>
      <c r="L255" s="78"/>
      <c r="M255" s="78"/>
      <c r="N255" s="76"/>
      <c r="O255" s="76"/>
      <c r="P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Q255" s="77"/>
      <c r="R255" s="32"/>
      <c r="S255" s="32"/>
      <c r="T255" s="32"/>
      <c r="U255" s="32"/>
    </row>
    <row r="256" spans="3:21" x14ac:dyDescent="0.3">
      <c r="C256" s="11"/>
      <c r="D256" s="32"/>
      <c r="E256" s="11" t="str" cm="1">
        <f t="array" ref="E256">_xlfn.IFS(
    COUNTIF(Herramientas_eléctricas1862[Herramientas_eléctricas], B256) &gt; 0, Herramientas_eléctricas1862[[#Headers],[Herramientas_eléctricas]],
    COUNTIF(Herramientas_neumáticas1963[Herramientas_neumáticas], B256) &gt; 0, Herramientas_neumáticas1963[[#Headers],[Herramientas_neumáticas]],
    COUNTIF(Herramientas_de_medición2064[Herramientas_de_medición], B256) &gt; 0, Herramientas_de_medición2064[[#Headers],[Herramientas_de_medición]],
    COUNTIF(Herrramientas_mecánicas2165[Herramientas_mecánicas], B256) &gt; 0, Herrramientas_mecánicas2165[[#Headers],[Herramientas_mecánicas]],
    COUNTIF(AK256:AK262, B256) &gt; 0, Herramientas_hidráulicas2266[[#Headers],[Herramientas_hidráulicas]],
    COUNTIF(EPP_2367[SPCC], B256) &gt; 0, EPP_2367[[#Headers],[SPCC]],
   COUNTIF(Herramientas_de_izaje2468[Herramientas_de_izaje], B256) &gt; 0, Herramientas_de_izaje2468[[#Headers],[Herramientas_de_izaje]],
COUNTIF(Tabla162670[Equipos], B256) &gt; 0, Tabla162670[[#Headers],[Equipos]],
    TRUE, "Sin clasificación"
)</f>
        <v>Sin clasificación</v>
      </c>
      <c r="G256" s="15"/>
      <c r="H256" s="47"/>
      <c r="I256" s="87"/>
      <c r="J256" s="78"/>
      <c r="K256" s="78"/>
      <c r="L256" s="78"/>
      <c r="M256" s="78"/>
      <c r="N256" s="76"/>
      <c r="O256" s="76"/>
      <c r="P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Q256" s="77"/>
      <c r="R256" s="32"/>
      <c r="S256" s="32"/>
      <c r="T256" s="32"/>
      <c r="U256" s="32"/>
    </row>
    <row r="257" spans="3:21" x14ac:dyDescent="0.3">
      <c r="C257" s="11"/>
      <c r="D257" s="32"/>
      <c r="E257" s="11" t="str" cm="1">
        <f t="array" ref="E257">_xlfn.IFS(
    COUNTIF(Herramientas_eléctricas1862[Herramientas_eléctricas], B257) &gt; 0, Herramientas_eléctricas1862[[#Headers],[Herramientas_eléctricas]],
    COUNTIF(Herramientas_neumáticas1963[Herramientas_neumáticas], B257) &gt; 0, Herramientas_neumáticas1963[[#Headers],[Herramientas_neumáticas]],
    COUNTIF(Herramientas_de_medición2064[Herramientas_de_medición], B257) &gt; 0, Herramientas_de_medición2064[[#Headers],[Herramientas_de_medición]],
    COUNTIF(Herrramientas_mecánicas2165[Herramientas_mecánicas], B257) &gt; 0, Herrramientas_mecánicas2165[[#Headers],[Herramientas_mecánicas]],
    COUNTIF(AK257:AK263, B257) &gt; 0, Herramientas_hidráulicas2266[[#Headers],[Herramientas_hidráulicas]],
    COUNTIF(EPP_2367[SPCC], B257) &gt; 0, EPP_2367[[#Headers],[SPCC]],
   COUNTIF(Herramientas_de_izaje2468[Herramientas_de_izaje], B257) &gt; 0, Herramientas_de_izaje2468[[#Headers],[Herramientas_de_izaje]],
COUNTIF(Tabla162670[Equipos], B257) &gt; 0, Tabla162670[[#Headers],[Equipos]],
    TRUE, "Sin clasificación"
)</f>
        <v>Sin clasificación</v>
      </c>
      <c r="G257" s="15"/>
      <c r="H257" s="47"/>
      <c r="I257" s="87"/>
      <c r="J257" s="78"/>
      <c r="K257" s="78"/>
      <c r="L257" s="78"/>
      <c r="M257" s="78"/>
      <c r="N257" s="76"/>
      <c r="O257" s="76"/>
      <c r="P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Q257" s="77"/>
      <c r="R257" s="32"/>
      <c r="S257" s="32"/>
      <c r="T257" s="32"/>
      <c r="U257" s="32"/>
    </row>
    <row r="258" spans="3:21" x14ac:dyDescent="0.3">
      <c r="C258" s="11"/>
      <c r="D258" s="32"/>
      <c r="E258" s="11" t="str" cm="1">
        <f t="array" ref="E258">_xlfn.IFS(
    COUNTIF(Herramientas_eléctricas1862[Herramientas_eléctricas], B258) &gt; 0, Herramientas_eléctricas1862[[#Headers],[Herramientas_eléctricas]],
    COUNTIF(Herramientas_neumáticas1963[Herramientas_neumáticas], B258) &gt; 0, Herramientas_neumáticas1963[[#Headers],[Herramientas_neumáticas]],
    COUNTIF(Herramientas_de_medición2064[Herramientas_de_medición], B258) &gt; 0, Herramientas_de_medición2064[[#Headers],[Herramientas_de_medición]],
    COUNTIF(Herrramientas_mecánicas2165[Herramientas_mecánicas], B258) &gt; 0, Herrramientas_mecánicas2165[[#Headers],[Herramientas_mecánicas]],
    COUNTIF(AK258:AK264, B258) &gt; 0, Herramientas_hidráulicas2266[[#Headers],[Herramientas_hidráulicas]],
    COUNTIF(EPP_2367[SPCC], B258) &gt; 0, EPP_2367[[#Headers],[SPCC]],
   COUNTIF(Herramientas_de_izaje2468[Herramientas_de_izaje], B258) &gt; 0, Herramientas_de_izaje2468[[#Headers],[Herramientas_de_izaje]],
COUNTIF(Tabla162670[Equipos], B258) &gt; 0, Tabla162670[[#Headers],[Equipos]],
    TRUE, "Sin clasificación"
)</f>
        <v>Sin clasificación</v>
      </c>
      <c r="G258" s="15"/>
      <c r="H258" s="47"/>
      <c r="I258" s="87"/>
      <c r="J258" s="78"/>
      <c r="K258" s="78"/>
      <c r="L258" s="78"/>
      <c r="M258" s="78"/>
      <c r="N258" s="76"/>
      <c r="O258" s="76"/>
      <c r="P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Q258" s="77"/>
      <c r="R258" s="32"/>
      <c r="S258" s="32"/>
      <c r="T258" s="32"/>
      <c r="U258" s="32"/>
    </row>
    <row r="259" spans="3:21" x14ac:dyDescent="0.3">
      <c r="C259" s="11"/>
      <c r="D259" s="32"/>
      <c r="E259" s="11" t="str" cm="1">
        <f t="array" ref="E259">_xlfn.IFS(
    COUNTIF(Herramientas_eléctricas1862[Herramientas_eléctricas], B259) &gt; 0, Herramientas_eléctricas1862[[#Headers],[Herramientas_eléctricas]],
    COUNTIF(Herramientas_neumáticas1963[Herramientas_neumáticas], B259) &gt; 0, Herramientas_neumáticas1963[[#Headers],[Herramientas_neumáticas]],
    COUNTIF(Herramientas_de_medición2064[Herramientas_de_medición], B259) &gt; 0, Herramientas_de_medición2064[[#Headers],[Herramientas_de_medición]],
    COUNTIF(Herrramientas_mecánicas2165[Herramientas_mecánicas], B259) &gt; 0, Herrramientas_mecánicas2165[[#Headers],[Herramientas_mecánicas]],
    COUNTIF(AK259:AK265, B259) &gt; 0, Herramientas_hidráulicas2266[[#Headers],[Herramientas_hidráulicas]],
    COUNTIF(EPP_2367[SPCC], B259) &gt; 0, EPP_2367[[#Headers],[SPCC]],
   COUNTIF(Herramientas_de_izaje2468[Herramientas_de_izaje], B259) &gt; 0, Herramientas_de_izaje2468[[#Headers],[Herramientas_de_izaje]],
COUNTIF(Tabla162670[Equipos], B259) &gt; 0, Tabla162670[[#Headers],[Equipos]],
    TRUE, "Sin clasificación"
)</f>
        <v>Sin clasificación</v>
      </c>
      <c r="G259" s="15"/>
      <c r="H259" s="47"/>
      <c r="I259" s="87"/>
      <c r="J259" s="78"/>
      <c r="K259" s="78"/>
      <c r="L259" s="78"/>
      <c r="M259" s="78"/>
      <c r="N259" s="76"/>
      <c r="O259" s="76"/>
      <c r="P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Q259" s="77"/>
      <c r="R259" s="32"/>
      <c r="S259" s="32"/>
      <c r="T259" s="32"/>
      <c r="U259" s="32"/>
    </row>
    <row r="260" spans="3:21" x14ac:dyDescent="0.3">
      <c r="C260" s="11"/>
      <c r="D260" s="32"/>
      <c r="E260" s="11" t="str" cm="1">
        <f t="array" ref="E260">_xlfn.IFS(
    COUNTIF(Herramientas_eléctricas1862[Herramientas_eléctricas], B260) &gt; 0, Herramientas_eléctricas1862[[#Headers],[Herramientas_eléctricas]],
    COUNTIF(Herramientas_neumáticas1963[Herramientas_neumáticas], B260) &gt; 0, Herramientas_neumáticas1963[[#Headers],[Herramientas_neumáticas]],
    COUNTIF(Herramientas_de_medición2064[Herramientas_de_medición], B260) &gt; 0, Herramientas_de_medición2064[[#Headers],[Herramientas_de_medición]],
    COUNTIF(Herrramientas_mecánicas2165[Herramientas_mecánicas], B260) &gt; 0, Herrramientas_mecánicas2165[[#Headers],[Herramientas_mecánicas]],
    COUNTIF(AK260:AK266, B260) &gt; 0, Herramientas_hidráulicas2266[[#Headers],[Herramientas_hidráulicas]],
    COUNTIF(EPP_2367[SPCC], B260) &gt; 0, EPP_2367[[#Headers],[SPCC]],
   COUNTIF(Herramientas_de_izaje2468[Herramientas_de_izaje], B260) &gt; 0, Herramientas_de_izaje2468[[#Headers],[Herramientas_de_izaje]],
COUNTIF(Tabla162670[Equipos], B260) &gt; 0, Tabla162670[[#Headers],[Equipos]],
    TRUE, "Sin clasificación"
)</f>
        <v>Sin clasificación</v>
      </c>
      <c r="G260" s="15"/>
      <c r="H260" s="47"/>
      <c r="I260" s="87"/>
      <c r="J260" s="78"/>
      <c r="K260" s="78"/>
      <c r="L260" s="78"/>
      <c r="M260" s="78"/>
      <c r="N260" s="76"/>
      <c r="O260" s="76"/>
      <c r="P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Q260" s="77"/>
      <c r="R260" s="32"/>
      <c r="S260" s="32"/>
      <c r="T260" s="32"/>
      <c r="U260" s="32"/>
    </row>
    <row r="261" spans="3:21" x14ac:dyDescent="0.3">
      <c r="C261" s="11"/>
      <c r="D261" s="32"/>
      <c r="E261" s="11" t="str" cm="1">
        <f t="array" ref="E261">_xlfn.IFS(
    COUNTIF(Herramientas_eléctricas1862[Herramientas_eléctricas], B261) &gt; 0, Herramientas_eléctricas1862[[#Headers],[Herramientas_eléctricas]],
    COUNTIF(Herramientas_neumáticas1963[Herramientas_neumáticas], B261) &gt; 0, Herramientas_neumáticas1963[[#Headers],[Herramientas_neumáticas]],
    COUNTIF(Herramientas_de_medición2064[Herramientas_de_medición], B261) &gt; 0, Herramientas_de_medición2064[[#Headers],[Herramientas_de_medición]],
    COUNTIF(Herrramientas_mecánicas2165[Herramientas_mecánicas], B261) &gt; 0, Herrramientas_mecánicas2165[[#Headers],[Herramientas_mecánicas]],
    COUNTIF(AK261:AK267, B261) &gt; 0, Herramientas_hidráulicas2266[[#Headers],[Herramientas_hidráulicas]],
    COUNTIF(EPP_2367[SPCC], B261) &gt; 0, EPP_2367[[#Headers],[SPCC]],
   COUNTIF(Herramientas_de_izaje2468[Herramientas_de_izaje], B261) &gt; 0, Herramientas_de_izaje2468[[#Headers],[Herramientas_de_izaje]],
COUNTIF(Tabla162670[Equipos], B261) &gt; 0, Tabla162670[[#Headers],[Equipos]],
    TRUE, "Sin clasificación"
)</f>
        <v>Sin clasificación</v>
      </c>
      <c r="G261" s="15"/>
      <c r="H261" s="47"/>
      <c r="I261" s="87"/>
      <c r="J261" s="78"/>
      <c r="K261" s="78"/>
      <c r="L261" s="78"/>
      <c r="M261" s="78"/>
      <c r="N261" s="76"/>
      <c r="O261" s="76"/>
      <c r="P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Q261" s="77"/>
      <c r="R261" s="32"/>
      <c r="S261" s="32"/>
      <c r="T261" s="32"/>
      <c r="U261" s="32"/>
    </row>
    <row r="262" spans="3:21" x14ac:dyDescent="0.3">
      <c r="C262" s="11"/>
      <c r="D262" s="32"/>
      <c r="E262" s="11" t="str" cm="1">
        <f t="array" ref="E262">_xlfn.IFS(
    COUNTIF(Herramientas_eléctricas1862[Herramientas_eléctricas], B262) &gt; 0, Herramientas_eléctricas1862[[#Headers],[Herramientas_eléctricas]],
    COUNTIF(Herramientas_neumáticas1963[Herramientas_neumáticas], B262) &gt; 0, Herramientas_neumáticas1963[[#Headers],[Herramientas_neumáticas]],
    COUNTIF(Herramientas_de_medición2064[Herramientas_de_medición], B262) &gt; 0, Herramientas_de_medición2064[[#Headers],[Herramientas_de_medición]],
    COUNTIF(Herrramientas_mecánicas2165[Herramientas_mecánicas], B262) &gt; 0, Herrramientas_mecánicas2165[[#Headers],[Herramientas_mecánicas]],
    COUNTIF(AK262:AK268, B262) &gt; 0, Herramientas_hidráulicas2266[[#Headers],[Herramientas_hidráulicas]],
    COUNTIF(EPP_2367[SPCC], B262) &gt; 0, EPP_2367[[#Headers],[SPCC]],
   COUNTIF(Herramientas_de_izaje2468[Herramientas_de_izaje], B262) &gt; 0, Herramientas_de_izaje2468[[#Headers],[Herramientas_de_izaje]],
COUNTIF(Tabla162670[Equipos], B262) &gt; 0, Tabla162670[[#Headers],[Equipos]],
    TRUE, "Sin clasificación"
)</f>
        <v>Sin clasificación</v>
      </c>
      <c r="G262" s="15"/>
      <c r="H262" s="47"/>
      <c r="I262" s="87"/>
      <c r="J262" s="78"/>
      <c r="K262" s="78"/>
      <c r="L262" s="78"/>
      <c r="M262" s="78"/>
      <c r="N262" s="76"/>
      <c r="O262" s="76"/>
      <c r="P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Q262" s="77"/>
      <c r="R262" s="32"/>
      <c r="S262" s="32"/>
      <c r="T262" s="32"/>
      <c r="U262" s="32"/>
    </row>
    <row r="263" spans="3:21" x14ac:dyDescent="0.3">
      <c r="C263" s="11"/>
      <c r="D263" s="32"/>
      <c r="E263" s="11" t="str" cm="1">
        <f t="array" ref="E263">_xlfn.IFS(
    COUNTIF(Herramientas_eléctricas1862[Herramientas_eléctricas], B263) &gt; 0, Herramientas_eléctricas1862[[#Headers],[Herramientas_eléctricas]],
    COUNTIF(Herramientas_neumáticas1963[Herramientas_neumáticas], B263) &gt; 0, Herramientas_neumáticas1963[[#Headers],[Herramientas_neumáticas]],
    COUNTIF(Herramientas_de_medición2064[Herramientas_de_medición], B263) &gt; 0, Herramientas_de_medición2064[[#Headers],[Herramientas_de_medición]],
    COUNTIF(Herrramientas_mecánicas2165[Herramientas_mecánicas], B263) &gt; 0, Herrramientas_mecánicas2165[[#Headers],[Herramientas_mecánicas]],
    COUNTIF(AK263:AK269, B263) &gt; 0, Herramientas_hidráulicas2266[[#Headers],[Herramientas_hidráulicas]],
    COUNTIF(EPP_2367[SPCC], B263) &gt; 0, EPP_2367[[#Headers],[SPCC]],
   COUNTIF(Herramientas_de_izaje2468[Herramientas_de_izaje], B263) &gt; 0, Herramientas_de_izaje2468[[#Headers],[Herramientas_de_izaje]],
COUNTIF(Tabla162670[Equipos], B263) &gt; 0, Tabla162670[[#Headers],[Equipos]],
    TRUE, "Sin clasificación"
)</f>
        <v>Sin clasificación</v>
      </c>
      <c r="G263" s="15"/>
      <c r="H263" s="47"/>
      <c r="I263" s="87"/>
      <c r="J263" s="78"/>
      <c r="K263" s="78"/>
      <c r="L263" s="78"/>
      <c r="M263" s="78"/>
      <c r="N263" s="76"/>
      <c r="O263" s="76"/>
      <c r="P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Q263" s="77"/>
      <c r="R263" s="32"/>
      <c r="S263" s="32"/>
      <c r="T263" s="32"/>
      <c r="U263" s="32"/>
    </row>
    <row r="264" spans="3:21" x14ac:dyDescent="0.3">
      <c r="C264" s="11"/>
      <c r="D264" s="32"/>
      <c r="E264" s="11" t="str" cm="1">
        <f t="array" ref="E264">_xlfn.IFS(
    COUNTIF(Herramientas_eléctricas1862[Herramientas_eléctricas], B264) &gt; 0, Herramientas_eléctricas1862[[#Headers],[Herramientas_eléctricas]],
    COUNTIF(Herramientas_neumáticas1963[Herramientas_neumáticas], B264) &gt; 0, Herramientas_neumáticas1963[[#Headers],[Herramientas_neumáticas]],
    COUNTIF(Herramientas_de_medición2064[Herramientas_de_medición], B264) &gt; 0, Herramientas_de_medición2064[[#Headers],[Herramientas_de_medición]],
    COUNTIF(Herrramientas_mecánicas2165[Herramientas_mecánicas], B264) &gt; 0, Herrramientas_mecánicas2165[[#Headers],[Herramientas_mecánicas]],
    COUNTIF(AK264:AK270, B264) &gt; 0, Herramientas_hidráulicas2266[[#Headers],[Herramientas_hidráulicas]],
    COUNTIF(EPP_2367[SPCC], B264) &gt; 0, EPP_2367[[#Headers],[SPCC]],
   COUNTIF(Herramientas_de_izaje2468[Herramientas_de_izaje], B264) &gt; 0, Herramientas_de_izaje2468[[#Headers],[Herramientas_de_izaje]],
COUNTIF(Tabla162670[Equipos], B264) &gt; 0, Tabla162670[[#Headers],[Equipos]],
    TRUE, "Sin clasificación"
)</f>
        <v>Sin clasificación</v>
      </c>
      <c r="G264" s="15"/>
      <c r="H264" s="47"/>
      <c r="I264" s="87"/>
      <c r="J264" s="78"/>
      <c r="K264" s="78"/>
      <c r="L264" s="78"/>
      <c r="M264" s="78"/>
      <c r="N264" s="76"/>
      <c r="O264" s="76"/>
      <c r="P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Q264" s="77"/>
      <c r="R264" s="32"/>
      <c r="S264" s="32"/>
      <c r="T264" s="32"/>
      <c r="U264" s="32"/>
    </row>
    <row r="265" spans="3:21" x14ac:dyDescent="0.3">
      <c r="C265" s="11"/>
      <c r="D265" s="32"/>
      <c r="E265" s="11" t="str" cm="1">
        <f t="array" ref="E265">_xlfn.IFS(
    COUNTIF(Herramientas_eléctricas1862[Herramientas_eléctricas], B265) &gt; 0, Herramientas_eléctricas1862[[#Headers],[Herramientas_eléctricas]],
    COUNTIF(Herramientas_neumáticas1963[Herramientas_neumáticas], B265) &gt; 0, Herramientas_neumáticas1963[[#Headers],[Herramientas_neumáticas]],
    COUNTIF(Herramientas_de_medición2064[Herramientas_de_medición], B265) &gt; 0, Herramientas_de_medición2064[[#Headers],[Herramientas_de_medición]],
    COUNTIF(Herrramientas_mecánicas2165[Herramientas_mecánicas], B265) &gt; 0, Herrramientas_mecánicas2165[[#Headers],[Herramientas_mecánicas]],
    COUNTIF(AK265:AK271, B265) &gt; 0, Herramientas_hidráulicas2266[[#Headers],[Herramientas_hidráulicas]],
    COUNTIF(EPP_2367[SPCC], B265) &gt; 0, EPP_2367[[#Headers],[SPCC]],
   COUNTIF(Herramientas_de_izaje2468[Herramientas_de_izaje], B265) &gt; 0, Herramientas_de_izaje2468[[#Headers],[Herramientas_de_izaje]],
COUNTIF(Tabla162670[Equipos], B265) &gt; 0, Tabla162670[[#Headers],[Equipos]],
    TRUE, "Sin clasificación"
)</f>
        <v>Sin clasificación</v>
      </c>
      <c r="G265" s="15"/>
      <c r="H265" s="47"/>
      <c r="I265" s="87"/>
      <c r="J265" s="78"/>
      <c r="K265" s="78"/>
      <c r="L265" s="78"/>
      <c r="M265" s="78"/>
      <c r="N265" s="76"/>
      <c r="O265" s="76"/>
      <c r="P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Q265" s="77"/>
      <c r="R265" s="32"/>
      <c r="S265" s="32"/>
      <c r="T265" s="32"/>
      <c r="U265" s="32"/>
    </row>
    <row r="266" spans="3:21" x14ac:dyDescent="0.3">
      <c r="C266" s="11"/>
      <c r="D266" s="32"/>
      <c r="E266" s="11" t="str" cm="1">
        <f t="array" ref="E266">_xlfn.IFS(
    COUNTIF(Herramientas_eléctricas1862[Herramientas_eléctricas], B266) &gt; 0, Herramientas_eléctricas1862[[#Headers],[Herramientas_eléctricas]],
    COUNTIF(Herramientas_neumáticas1963[Herramientas_neumáticas], B266) &gt; 0, Herramientas_neumáticas1963[[#Headers],[Herramientas_neumáticas]],
    COUNTIF(Herramientas_de_medición2064[Herramientas_de_medición], B266) &gt; 0, Herramientas_de_medición2064[[#Headers],[Herramientas_de_medición]],
    COUNTIF(Herrramientas_mecánicas2165[Herramientas_mecánicas], B266) &gt; 0, Herrramientas_mecánicas2165[[#Headers],[Herramientas_mecánicas]],
    COUNTIF(AK266:AK272, B266) &gt; 0, Herramientas_hidráulicas2266[[#Headers],[Herramientas_hidráulicas]],
    COUNTIF(EPP_2367[SPCC], B266) &gt; 0, EPP_2367[[#Headers],[SPCC]],
   COUNTIF(Herramientas_de_izaje2468[Herramientas_de_izaje], B266) &gt; 0, Herramientas_de_izaje2468[[#Headers],[Herramientas_de_izaje]],
COUNTIF(Tabla162670[Equipos], B266) &gt; 0, Tabla162670[[#Headers],[Equipos]],
    TRUE, "Sin clasificación"
)</f>
        <v>Sin clasificación</v>
      </c>
      <c r="G266" s="15"/>
      <c r="H266" s="47"/>
      <c r="I266" s="87"/>
      <c r="J266" s="78"/>
      <c r="K266" s="78"/>
      <c r="L266" s="78"/>
      <c r="M266" s="78"/>
      <c r="N266" s="76"/>
      <c r="O266" s="76"/>
      <c r="P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Q266" s="77"/>
      <c r="R266" s="32"/>
      <c r="S266" s="32"/>
      <c r="T266" s="32"/>
      <c r="U266" s="32"/>
    </row>
    <row r="267" spans="3:21" x14ac:dyDescent="0.3">
      <c r="C267" s="11"/>
      <c r="D267" s="32"/>
      <c r="E267" s="11" t="str" cm="1">
        <f t="array" ref="E267">_xlfn.IFS(
    COUNTIF(Herramientas_eléctricas1862[Herramientas_eléctricas], B267) &gt; 0, Herramientas_eléctricas1862[[#Headers],[Herramientas_eléctricas]],
    COUNTIF(Herramientas_neumáticas1963[Herramientas_neumáticas], B267) &gt; 0, Herramientas_neumáticas1963[[#Headers],[Herramientas_neumáticas]],
    COUNTIF(Herramientas_de_medición2064[Herramientas_de_medición], B267) &gt; 0, Herramientas_de_medición2064[[#Headers],[Herramientas_de_medición]],
    COUNTIF(Herrramientas_mecánicas2165[Herramientas_mecánicas], B267) &gt; 0, Herrramientas_mecánicas2165[[#Headers],[Herramientas_mecánicas]],
    COUNTIF(AK267:AK273, B267) &gt; 0, Herramientas_hidráulicas2266[[#Headers],[Herramientas_hidráulicas]],
    COUNTIF(EPP_2367[SPCC], B267) &gt; 0, EPP_2367[[#Headers],[SPCC]],
   COUNTIF(Herramientas_de_izaje2468[Herramientas_de_izaje], B267) &gt; 0, Herramientas_de_izaje2468[[#Headers],[Herramientas_de_izaje]],
COUNTIF(Tabla162670[Equipos], B267) &gt; 0, Tabla162670[[#Headers],[Equipos]],
    TRUE, "Sin clasificación"
)</f>
        <v>Sin clasificación</v>
      </c>
      <c r="G267" s="15"/>
      <c r="H267" s="47"/>
      <c r="I267" s="87"/>
      <c r="J267" s="78"/>
      <c r="K267" s="78"/>
      <c r="L267" s="78"/>
      <c r="M267" s="78"/>
      <c r="N267" s="76"/>
      <c r="O267" s="76"/>
      <c r="P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Q267" s="77"/>
      <c r="R267" s="32"/>
      <c r="S267" s="32"/>
      <c r="T267" s="32"/>
      <c r="U267" s="32"/>
    </row>
    <row r="268" spans="3:21" x14ac:dyDescent="0.3">
      <c r="C268" s="11"/>
      <c r="D268" s="32"/>
      <c r="E268" s="11" t="str" cm="1">
        <f t="array" ref="E268">_xlfn.IFS(
    COUNTIF(Herramientas_eléctricas1862[Herramientas_eléctricas], B268) &gt; 0, Herramientas_eléctricas1862[[#Headers],[Herramientas_eléctricas]],
    COUNTIF(Herramientas_neumáticas1963[Herramientas_neumáticas], B268) &gt; 0, Herramientas_neumáticas1963[[#Headers],[Herramientas_neumáticas]],
    COUNTIF(Herramientas_de_medición2064[Herramientas_de_medición], B268) &gt; 0, Herramientas_de_medición2064[[#Headers],[Herramientas_de_medición]],
    COUNTIF(Herrramientas_mecánicas2165[Herramientas_mecánicas], B268) &gt; 0, Herrramientas_mecánicas2165[[#Headers],[Herramientas_mecánicas]],
    COUNTIF(AK268:AK274, B268) &gt; 0, Herramientas_hidráulicas2266[[#Headers],[Herramientas_hidráulicas]],
    COUNTIF(EPP_2367[SPCC], B268) &gt; 0, EPP_2367[[#Headers],[SPCC]],
   COUNTIF(Herramientas_de_izaje2468[Herramientas_de_izaje], B268) &gt; 0, Herramientas_de_izaje2468[[#Headers],[Herramientas_de_izaje]],
COUNTIF(Tabla162670[Equipos], B268) &gt; 0, Tabla162670[[#Headers],[Equipos]],
    TRUE, "Sin clasificación"
)</f>
        <v>Sin clasificación</v>
      </c>
      <c r="G268" s="15"/>
      <c r="H268" s="47"/>
      <c r="I268" s="87"/>
      <c r="J268" s="78"/>
      <c r="K268" s="78"/>
      <c r="L268" s="78"/>
      <c r="M268" s="78"/>
      <c r="N268" s="76"/>
      <c r="O268" s="76"/>
      <c r="P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Q268" s="77"/>
      <c r="R268" s="32"/>
      <c r="S268" s="32"/>
      <c r="T268" s="32"/>
      <c r="U268" s="32"/>
    </row>
    <row r="269" spans="3:21" x14ac:dyDescent="0.3">
      <c r="C269" s="11"/>
      <c r="D269" s="32"/>
      <c r="E269" s="11" t="str" cm="1">
        <f t="array" ref="E269">_xlfn.IFS(
    COUNTIF(Herramientas_eléctricas1862[Herramientas_eléctricas], B269) &gt; 0, Herramientas_eléctricas1862[[#Headers],[Herramientas_eléctricas]],
    COUNTIF(Herramientas_neumáticas1963[Herramientas_neumáticas], B269) &gt; 0, Herramientas_neumáticas1963[[#Headers],[Herramientas_neumáticas]],
    COUNTIF(Herramientas_de_medición2064[Herramientas_de_medición], B269) &gt; 0, Herramientas_de_medición2064[[#Headers],[Herramientas_de_medición]],
    COUNTIF(Herrramientas_mecánicas2165[Herramientas_mecánicas], B269) &gt; 0, Herrramientas_mecánicas2165[[#Headers],[Herramientas_mecánicas]],
    COUNTIF(AK269:AK275, B269) &gt; 0, Herramientas_hidráulicas2266[[#Headers],[Herramientas_hidráulicas]],
    COUNTIF(EPP_2367[SPCC], B269) &gt; 0, EPP_2367[[#Headers],[SPCC]],
   COUNTIF(Herramientas_de_izaje2468[Herramientas_de_izaje], B269) &gt; 0, Herramientas_de_izaje2468[[#Headers],[Herramientas_de_izaje]],
COUNTIF(Tabla162670[Equipos], B269) &gt; 0, Tabla162670[[#Headers],[Equipos]],
    TRUE, "Sin clasificación"
)</f>
        <v>Sin clasificación</v>
      </c>
      <c r="G269" s="15"/>
      <c r="H269" s="47"/>
      <c r="I269" s="87"/>
      <c r="J269" s="78"/>
      <c r="K269" s="78"/>
      <c r="L269" s="78"/>
      <c r="M269" s="78"/>
      <c r="N269" s="76"/>
      <c r="O269" s="76"/>
      <c r="P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Q269" s="77"/>
      <c r="R269" s="32"/>
      <c r="S269" s="32"/>
      <c r="T269" s="32"/>
      <c r="U269" s="32"/>
    </row>
    <row r="270" spans="3:21" x14ac:dyDescent="0.3">
      <c r="C270" s="11"/>
      <c r="D270" s="32"/>
      <c r="E270" s="11" t="str" cm="1">
        <f t="array" ref="E270">_xlfn.IFS(
    COUNTIF(Herramientas_eléctricas1862[Herramientas_eléctricas], B270) &gt; 0, Herramientas_eléctricas1862[[#Headers],[Herramientas_eléctricas]],
    COUNTIF(Herramientas_neumáticas1963[Herramientas_neumáticas], B270) &gt; 0, Herramientas_neumáticas1963[[#Headers],[Herramientas_neumáticas]],
    COUNTIF(Herramientas_de_medición2064[Herramientas_de_medición], B270) &gt; 0, Herramientas_de_medición2064[[#Headers],[Herramientas_de_medición]],
    COUNTIF(Herrramientas_mecánicas2165[Herramientas_mecánicas], B270) &gt; 0, Herrramientas_mecánicas2165[[#Headers],[Herramientas_mecánicas]],
    COUNTIF(AK270:AK276, B270) &gt; 0, Herramientas_hidráulicas2266[[#Headers],[Herramientas_hidráulicas]],
    COUNTIF(EPP_2367[SPCC], B270) &gt; 0, EPP_2367[[#Headers],[SPCC]],
   COUNTIF(Herramientas_de_izaje2468[Herramientas_de_izaje], B270) &gt; 0, Herramientas_de_izaje2468[[#Headers],[Herramientas_de_izaje]],
COUNTIF(Tabla162670[Equipos], B270) &gt; 0, Tabla162670[[#Headers],[Equipos]],
    TRUE, "Sin clasificación"
)</f>
        <v>Sin clasificación</v>
      </c>
      <c r="G270" s="15"/>
      <c r="H270" s="47"/>
      <c r="I270" s="87"/>
      <c r="J270" s="78"/>
      <c r="K270" s="78"/>
      <c r="L270" s="78"/>
      <c r="M270" s="78"/>
      <c r="N270" s="76"/>
      <c r="O270" s="76"/>
      <c r="P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Q270" s="77"/>
      <c r="R270" s="32"/>
      <c r="S270" s="32"/>
      <c r="T270" s="32"/>
      <c r="U270" s="32"/>
    </row>
    <row r="271" spans="3:21" x14ac:dyDescent="0.3">
      <c r="C271" s="11"/>
      <c r="D271" s="32"/>
      <c r="E271" s="11" t="str" cm="1">
        <f t="array" ref="E271">_xlfn.IFS(
    COUNTIF(Herramientas_eléctricas1862[Herramientas_eléctricas], B271) &gt; 0, Herramientas_eléctricas1862[[#Headers],[Herramientas_eléctricas]],
    COUNTIF(Herramientas_neumáticas1963[Herramientas_neumáticas], B271) &gt; 0, Herramientas_neumáticas1963[[#Headers],[Herramientas_neumáticas]],
    COUNTIF(Herramientas_de_medición2064[Herramientas_de_medición], B271) &gt; 0, Herramientas_de_medición2064[[#Headers],[Herramientas_de_medición]],
    COUNTIF(Herrramientas_mecánicas2165[Herramientas_mecánicas], B271) &gt; 0, Herrramientas_mecánicas2165[[#Headers],[Herramientas_mecánicas]],
    COUNTIF(AK271:AK277, B271) &gt; 0, Herramientas_hidráulicas2266[[#Headers],[Herramientas_hidráulicas]],
    COUNTIF(EPP_2367[SPCC], B271) &gt; 0, EPP_2367[[#Headers],[SPCC]],
   COUNTIF(Herramientas_de_izaje2468[Herramientas_de_izaje], B271) &gt; 0, Herramientas_de_izaje2468[[#Headers],[Herramientas_de_izaje]],
COUNTIF(Tabla162670[Equipos], B271) &gt; 0, Tabla162670[[#Headers],[Equipos]],
    TRUE, "Sin clasificación"
)</f>
        <v>Sin clasificación</v>
      </c>
      <c r="G271" s="15"/>
      <c r="H271" s="47"/>
      <c r="I271" s="87"/>
      <c r="J271" s="78"/>
      <c r="K271" s="78"/>
      <c r="L271" s="78"/>
      <c r="M271" s="78"/>
      <c r="N271" s="76"/>
      <c r="O271" s="76"/>
      <c r="P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Q271" s="77"/>
      <c r="R271" s="32"/>
      <c r="S271" s="32"/>
      <c r="T271" s="32"/>
      <c r="U271" s="32"/>
    </row>
    <row r="272" spans="3:21" x14ac:dyDescent="0.3">
      <c r="C272" s="11"/>
      <c r="D272" s="32"/>
      <c r="E272" s="11" t="str" cm="1">
        <f t="array" ref="E272">_xlfn.IFS(
    COUNTIF(Herramientas_eléctricas1862[Herramientas_eléctricas], B272) &gt; 0, Herramientas_eléctricas1862[[#Headers],[Herramientas_eléctricas]],
    COUNTIF(Herramientas_neumáticas1963[Herramientas_neumáticas], B272) &gt; 0, Herramientas_neumáticas1963[[#Headers],[Herramientas_neumáticas]],
    COUNTIF(Herramientas_de_medición2064[Herramientas_de_medición], B272) &gt; 0, Herramientas_de_medición2064[[#Headers],[Herramientas_de_medición]],
    COUNTIF(Herrramientas_mecánicas2165[Herramientas_mecánicas], B272) &gt; 0, Herrramientas_mecánicas2165[[#Headers],[Herramientas_mecánicas]],
    COUNTIF(AK272:AK278, B272) &gt; 0, Herramientas_hidráulicas2266[[#Headers],[Herramientas_hidráulicas]],
    COUNTIF(EPP_2367[SPCC], B272) &gt; 0, EPP_2367[[#Headers],[SPCC]],
   COUNTIF(Herramientas_de_izaje2468[Herramientas_de_izaje], B272) &gt; 0, Herramientas_de_izaje2468[[#Headers],[Herramientas_de_izaje]],
COUNTIF(Tabla162670[Equipos], B272) &gt; 0, Tabla162670[[#Headers],[Equipos]],
    TRUE, "Sin clasificación"
)</f>
        <v>Sin clasificación</v>
      </c>
      <c r="G272" s="15"/>
      <c r="H272" s="47"/>
      <c r="I272" s="87"/>
      <c r="J272" s="78"/>
      <c r="K272" s="78"/>
      <c r="L272" s="78"/>
      <c r="M272" s="78"/>
      <c r="N272" s="76"/>
      <c r="O272" s="76"/>
      <c r="P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Q272" s="77"/>
      <c r="R272" s="32"/>
      <c r="S272" s="32"/>
      <c r="T272" s="32"/>
      <c r="U272" s="32"/>
    </row>
    <row r="273" spans="3:21" x14ac:dyDescent="0.3">
      <c r="C273" s="11"/>
      <c r="D273" s="32"/>
      <c r="E273" s="11" t="str" cm="1">
        <f t="array" ref="E273">_xlfn.IFS(
    COUNTIF(Herramientas_eléctricas1862[Herramientas_eléctricas], B273) &gt; 0, Herramientas_eléctricas1862[[#Headers],[Herramientas_eléctricas]],
    COUNTIF(Herramientas_neumáticas1963[Herramientas_neumáticas], B273) &gt; 0, Herramientas_neumáticas1963[[#Headers],[Herramientas_neumáticas]],
    COUNTIF(Herramientas_de_medición2064[Herramientas_de_medición], B273) &gt; 0, Herramientas_de_medición2064[[#Headers],[Herramientas_de_medición]],
    COUNTIF(Herrramientas_mecánicas2165[Herramientas_mecánicas], B273) &gt; 0, Herrramientas_mecánicas2165[[#Headers],[Herramientas_mecánicas]],
    COUNTIF(AK273:AK279, B273) &gt; 0, Herramientas_hidráulicas2266[[#Headers],[Herramientas_hidráulicas]],
    COUNTIF(EPP_2367[SPCC], B273) &gt; 0, EPP_2367[[#Headers],[SPCC]],
   COUNTIF(Herramientas_de_izaje2468[Herramientas_de_izaje], B273) &gt; 0, Herramientas_de_izaje2468[[#Headers],[Herramientas_de_izaje]],
COUNTIF(Tabla162670[Equipos], B273) &gt; 0, Tabla162670[[#Headers],[Equipos]],
    TRUE, "Sin clasificación"
)</f>
        <v>Sin clasificación</v>
      </c>
      <c r="G273" s="15"/>
      <c r="H273" s="47"/>
      <c r="I273" s="87"/>
      <c r="J273" s="78"/>
      <c r="K273" s="78"/>
      <c r="L273" s="78"/>
      <c r="M273" s="78"/>
      <c r="N273" s="76"/>
      <c r="O273" s="76"/>
      <c r="P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Q273" s="77"/>
      <c r="R273" s="32"/>
      <c r="S273" s="32"/>
      <c r="T273" s="32"/>
      <c r="U273" s="32"/>
    </row>
    <row r="274" spans="3:21" x14ac:dyDescent="0.3">
      <c r="C274" s="11"/>
      <c r="D274" s="32"/>
      <c r="E274" s="11" t="str" cm="1">
        <f t="array" ref="E274">_xlfn.IFS(
    COUNTIF(Herramientas_eléctricas1862[Herramientas_eléctricas], B274) &gt; 0, Herramientas_eléctricas1862[[#Headers],[Herramientas_eléctricas]],
    COUNTIF(Herramientas_neumáticas1963[Herramientas_neumáticas], B274) &gt; 0, Herramientas_neumáticas1963[[#Headers],[Herramientas_neumáticas]],
    COUNTIF(Herramientas_de_medición2064[Herramientas_de_medición], B274) &gt; 0, Herramientas_de_medición2064[[#Headers],[Herramientas_de_medición]],
    COUNTIF(Herrramientas_mecánicas2165[Herramientas_mecánicas], B274) &gt; 0, Herrramientas_mecánicas2165[[#Headers],[Herramientas_mecánicas]],
    COUNTIF(AK274:AK280, B274) &gt; 0, Herramientas_hidráulicas2266[[#Headers],[Herramientas_hidráulicas]],
    COUNTIF(EPP_2367[SPCC], B274) &gt; 0, EPP_2367[[#Headers],[SPCC]],
   COUNTIF(Herramientas_de_izaje2468[Herramientas_de_izaje], B274) &gt; 0, Herramientas_de_izaje2468[[#Headers],[Herramientas_de_izaje]],
COUNTIF(Tabla162670[Equipos], B274) &gt; 0, Tabla162670[[#Headers],[Equipos]],
    TRUE, "Sin clasificación"
)</f>
        <v>Sin clasificación</v>
      </c>
      <c r="G274" s="15"/>
      <c r="H274" s="47"/>
      <c r="I274" s="87"/>
      <c r="J274" s="78"/>
      <c r="K274" s="78"/>
      <c r="L274" s="78"/>
      <c r="M274" s="78"/>
      <c r="N274" s="76"/>
      <c r="O274" s="76"/>
      <c r="P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Q274" s="77"/>
      <c r="R274" s="32"/>
      <c r="S274" s="32"/>
      <c r="T274" s="32"/>
      <c r="U274" s="32"/>
    </row>
    <row r="275" spans="3:21" x14ac:dyDescent="0.3">
      <c r="C275" s="11"/>
      <c r="D275" s="32"/>
      <c r="E275" s="11" t="str" cm="1">
        <f t="array" ref="E275">_xlfn.IFS(
    COUNTIF(Herramientas_eléctricas1862[Herramientas_eléctricas], B275) &gt; 0, Herramientas_eléctricas1862[[#Headers],[Herramientas_eléctricas]],
    COUNTIF(Herramientas_neumáticas1963[Herramientas_neumáticas], B275) &gt; 0, Herramientas_neumáticas1963[[#Headers],[Herramientas_neumáticas]],
    COUNTIF(Herramientas_de_medición2064[Herramientas_de_medición], B275) &gt; 0, Herramientas_de_medición2064[[#Headers],[Herramientas_de_medición]],
    COUNTIF(Herrramientas_mecánicas2165[Herramientas_mecánicas], B275) &gt; 0, Herrramientas_mecánicas2165[[#Headers],[Herramientas_mecánicas]],
    COUNTIF(AK275:AK281, B275) &gt; 0, Herramientas_hidráulicas2266[[#Headers],[Herramientas_hidráulicas]],
    COUNTIF(EPP_2367[SPCC], B275) &gt; 0, EPP_2367[[#Headers],[SPCC]],
   COUNTIF(Herramientas_de_izaje2468[Herramientas_de_izaje], B275) &gt; 0, Herramientas_de_izaje2468[[#Headers],[Herramientas_de_izaje]],
COUNTIF(Tabla162670[Equipos], B275) &gt; 0, Tabla162670[[#Headers],[Equipos]],
    TRUE, "Sin clasificación"
)</f>
        <v>Sin clasificación</v>
      </c>
      <c r="G275" s="15"/>
      <c r="H275" s="47"/>
      <c r="I275" s="87"/>
      <c r="J275" s="78"/>
      <c r="K275" s="78"/>
      <c r="L275" s="78"/>
      <c r="M275" s="78"/>
      <c r="N275" s="76"/>
      <c r="O275" s="76"/>
      <c r="P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Q275" s="77"/>
      <c r="R275" s="32"/>
      <c r="S275" s="32"/>
      <c r="T275" s="32"/>
      <c r="U275" s="32"/>
    </row>
    <row r="276" spans="3:21" x14ac:dyDescent="0.3">
      <c r="C276" s="11"/>
      <c r="D276" s="32"/>
      <c r="E276" s="11" t="str" cm="1">
        <f t="array" ref="E276">_xlfn.IFS(
    COUNTIF(Herramientas_eléctricas1862[Herramientas_eléctricas], B276) &gt; 0, Herramientas_eléctricas1862[[#Headers],[Herramientas_eléctricas]],
    COUNTIF(Herramientas_neumáticas1963[Herramientas_neumáticas], B276) &gt; 0, Herramientas_neumáticas1963[[#Headers],[Herramientas_neumáticas]],
    COUNTIF(Herramientas_de_medición2064[Herramientas_de_medición], B276) &gt; 0, Herramientas_de_medición2064[[#Headers],[Herramientas_de_medición]],
    COUNTIF(Herrramientas_mecánicas2165[Herramientas_mecánicas], B276) &gt; 0, Herrramientas_mecánicas2165[[#Headers],[Herramientas_mecánicas]],
    COUNTIF(AK276:AK282, B276) &gt; 0, Herramientas_hidráulicas2266[[#Headers],[Herramientas_hidráulicas]],
    COUNTIF(EPP_2367[SPCC], B276) &gt; 0, EPP_2367[[#Headers],[SPCC]],
   COUNTIF(Herramientas_de_izaje2468[Herramientas_de_izaje], B276) &gt; 0, Herramientas_de_izaje2468[[#Headers],[Herramientas_de_izaje]],
COUNTIF(Tabla162670[Equipos], B276) &gt; 0, Tabla162670[[#Headers],[Equipos]],
    TRUE, "Sin clasificación"
)</f>
        <v>Sin clasificación</v>
      </c>
      <c r="G276" s="15"/>
      <c r="H276" s="47"/>
      <c r="I276" s="87"/>
      <c r="J276" s="78"/>
      <c r="K276" s="78"/>
      <c r="L276" s="78"/>
      <c r="M276" s="78"/>
      <c r="N276" s="76"/>
      <c r="O276" s="76"/>
      <c r="P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Q276" s="77"/>
      <c r="R276" s="32"/>
      <c r="S276" s="32"/>
      <c r="T276" s="32"/>
      <c r="U276" s="32"/>
    </row>
    <row r="277" spans="3:21" x14ac:dyDescent="0.3">
      <c r="C277" s="11"/>
      <c r="D277" s="32"/>
      <c r="E277" s="11" t="str" cm="1">
        <f t="array" ref="E277">_xlfn.IFS(
    COUNTIF(Herramientas_eléctricas1862[Herramientas_eléctricas], B277) &gt; 0, Herramientas_eléctricas1862[[#Headers],[Herramientas_eléctricas]],
    COUNTIF(Herramientas_neumáticas1963[Herramientas_neumáticas], B277) &gt; 0, Herramientas_neumáticas1963[[#Headers],[Herramientas_neumáticas]],
    COUNTIF(Herramientas_de_medición2064[Herramientas_de_medición], B277) &gt; 0, Herramientas_de_medición2064[[#Headers],[Herramientas_de_medición]],
    COUNTIF(Herrramientas_mecánicas2165[Herramientas_mecánicas], B277) &gt; 0, Herrramientas_mecánicas2165[[#Headers],[Herramientas_mecánicas]],
    COUNTIF(AK277:AK283, B277) &gt; 0, Herramientas_hidráulicas2266[[#Headers],[Herramientas_hidráulicas]],
    COUNTIF(EPP_2367[SPCC], B277) &gt; 0, EPP_2367[[#Headers],[SPCC]],
   COUNTIF(Herramientas_de_izaje2468[Herramientas_de_izaje], B277) &gt; 0, Herramientas_de_izaje2468[[#Headers],[Herramientas_de_izaje]],
COUNTIF(Tabla162670[Equipos], B277) &gt; 0, Tabla162670[[#Headers],[Equipos]],
    TRUE, "Sin clasificación"
)</f>
        <v>Sin clasificación</v>
      </c>
      <c r="G277" s="15"/>
      <c r="H277" s="47"/>
      <c r="I277" s="87"/>
      <c r="J277" s="78"/>
      <c r="K277" s="78"/>
      <c r="L277" s="78"/>
      <c r="M277" s="78"/>
      <c r="N277" s="76"/>
      <c r="O277" s="76"/>
      <c r="P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Q277" s="77"/>
      <c r="R277" s="32"/>
      <c r="S277" s="32"/>
      <c r="T277" s="32"/>
      <c r="U277" s="32"/>
    </row>
    <row r="278" spans="3:21" x14ac:dyDescent="0.3">
      <c r="C278" s="11"/>
      <c r="D278" s="32"/>
      <c r="E278" s="11" t="str" cm="1">
        <f t="array" ref="E278">_xlfn.IFS(
    COUNTIF(Herramientas_eléctricas1862[Herramientas_eléctricas], B278) &gt; 0, Herramientas_eléctricas1862[[#Headers],[Herramientas_eléctricas]],
    COUNTIF(Herramientas_neumáticas1963[Herramientas_neumáticas], B278) &gt; 0, Herramientas_neumáticas1963[[#Headers],[Herramientas_neumáticas]],
    COUNTIF(Herramientas_de_medición2064[Herramientas_de_medición], B278) &gt; 0, Herramientas_de_medición2064[[#Headers],[Herramientas_de_medición]],
    COUNTIF(Herrramientas_mecánicas2165[Herramientas_mecánicas], B278) &gt; 0, Herrramientas_mecánicas2165[[#Headers],[Herramientas_mecánicas]],
    COUNTIF(AK278:AK284, B278) &gt; 0, Herramientas_hidráulicas2266[[#Headers],[Herramientas_hidráulicas]],
    COUNTIF(EPP_2367[SPCC], B278) &gt; 0, EPP_2367[[#Headers],[SPCC]],
   COUNTIF(Herramientas_de_izaje2468[Herramientas_de_izaje], B278) &gt; 0, Herramientas_de_izaje2468[[#Headers],[Herramientas_de_izaje]],
COUNTIF(Tabla162670[Equipos], B278) &gt; 0, Tabla162670[[#Headers],[Equipos]],
    TRUE, "Sin clasificación"
)</f>
        <v>Sin clasificación</v>
      </c>
      <c r="G278" s="15"/>
      <c r="H278" s="47"/>
      <c r="I278" s="87"/>
      <c r="J278" s="78"/>
      <c r="K278" s="78"/>
      <c r="L278" s="78"/>
      <c r="M278" s="78"/>
      <c r="N278" s="76"/>
      <c r="O278" s="76"/>
      <c r="P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Q278" s="77"/>
      <c r="R278" s="32"/>
      <c r="S278" s="32"/>
      <c r="T278" s="32"/>
      <c r="U278" s="32"/>
    </row>
    <row r="279" spans="3:21" x14ac:dyDescent="0.3">
      <c r="C279" s="11"/>
      <c r="D279" s="32"/>
      <c r="E279" s="11" t="str" cm="1">
        <f t="array" ref="E279">_xlfn.IFS(
    COUNTIF(Herramientas_eléctricas1862[Herramientas_eléctricas], B279) &gt; 0, Herramientas_eléctricas1862[[#Headers],[Herramientas_eléctricas]],
    COUNTIF(Herramientas_neumáticas1963[Herramientas_neumáticas], B279) &gt; 0, Herramientas_neumáticas1963[[#Headers],[Herramientas_neumáticas]],
    COUNTIF(Herramientas_de_medición2064[Herramientas_de_medición], B279) &gt; 0, Herramientas_de_medición2064[[#Headers],[Herramientas_de_medición]],
    COUNTIF(Herrramientas_mecánicas2165[Herramientas_mecánicas], B279) &gt; 0, Herrramientas_mecánicas2165[[#Headers],[Herramientas_mecánicas]],
    COUNTIF(AK279:AK285, B279) &gt; 0, Herramientas_hidráulicas2266[[#Headers],[Herramientas_hidráulicas]],
    COUNTIF(EPP_2367[SPCC], B279) &gt; 0, EPP_2367[[#Headers],[SPCC]],
   COUNTIF(Herramientas_de_izaje2468[Herramientas_de_izaje], B279) &gt; 0, Herramientas_de_izaje2468[[#Headers],[Herramientas_de_izaje]],
COUNTIF(Tabla162670[Equipos], B279) &gt; 0, Tabla162670[[#Headers],[Equipos]],
    TRUE, "Sin clasificación"
)</f>
        <v>Sin clasificación</v>
      </c>
      <c r="G279" s="15"/>
      <c r="H279" s="47"/>
      <c r="I279" s="87"/>
      <c r="J279" s="78"/>
      <c r="K279" s="78"/>
      <c r="L279" s="78"/>
      <c r="M279" s="78"/>
      <c r="N279" s="76"/>
      <c r="O279" s="76"/>
      <c r="P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Q279" s="77"/>
      <c r="R279" s="32"/>
      <c r="S279" s="32"/>
      <c r="T279" s="32"/>
      <c r="U279" s="32"/>
    </row>
    <row r="280" spans="3:21" x14ac:dyDescent="0.3">
      <c r="C280" s="11"/>
      <c r="D280" s="32"/>
      <c r="E280" s="11" t="str" cm="1">
        <f t="array" ref="E280">_xlfn.IFS(
    COUNTIF(Herramientas_eléctricas1862[Herramientas_eléctricas], B280) &gt; 0, Herramientas_eléctricas1862[[#Headers],[Herramientas_eléctricas]],
    COUNTIF(Herramientas_neumáticas1963[Herramientas_neumáticas], B280) &gt; 0, Herramientas_neumáticas1963[[#Headers],[Herramientas_neumáticas]],
    COUNTIF(Herramientas_de_medición2064[Herramientas_de_medición], B280) &gt; 0, Herramientas_de_medición2064[[#Headers],[Herramientas_de_medición]],
    COUNTIF(Herrramientas_mecánicas2165[Herramientas_mecánicas], B280) &gt; 0, Herrramientas_mecánicas2165[[#Headers],[Herramientas_mecánicas]],
    COUNTIF(AK280:AK286, B280) &gt; 0, Herramientas_hidráulicas2266[[#Headers],[Herramientas_hidráulicas]],
    COUNTIF(EPP_2367[SPCC], B280) &gt; 0, EPP_2367[[#Headers],[SPCC]],
   COUNTIF(Herramientas_de_izaje2468[Herramientas_de_izaje], B280) &gt; 0, Herramientas_de_izaje2468[[#Headers],[Herramientas_de_izaje]],
COUNTIF(Tabla162670[Equipos], B280) &gt; 0, Tabla162670[[#Headers],[Equipos]],
    TRUE, "Sin clasificación"
)</f>
        <v>Sin clasificación</v>
      </c>
      <c r="G280" s="15"/>
      <c r="H280" s="47"/>
      <c r="I280" s="87"/>
      <c r="J280" s="78"/>
      <c r="K280" s="78"/>
      <c r="L280" s="78"/>
      <c r="M280" s="78"/>
      <c r="N280" s="76"/>
      <c r="O280" s="76"/>
      <c r="P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Q280" s="77"/>
      <c r="R280" s="32"/>
      <c r="S280" s="32"/>
      <c r="T280" s="32"/>
      <c r="U280" s="32"/>
    </row>
    <row r="281" spans="3:21" x14ac:dyDescent="0.3">
      <c r="C281" s="11"/>
      <c r="D281" s="32"/>
      <c r="E281" s="11" t="str" cm="1">
        <f t="array" ref="E281">_xlfn.IFS(
    COUNTIF(Herramientas_eléctricas1862[Herramientas_eléctricas], B281) &gt; 0, Herramientas_eléctricas1862[[#Headers],[Herramientas_eléctricas]],
    COUNTIF(Herramientas_neumáticas1963[Herramientas_neumáticas], B281) &gt; 0, Herramientas_neumáticas1963[[#Headers],[Herramientas_neumáticas]],
    COUNTIF(Herramientas_de_medición2064[Herramientas_de_medición], B281) &gt; 0, Herramientas_de_medición2064[[#Headers],[Herramientas_de_medición]],
    COUNTIF(Herrramientas_mecánicas2165[Herramientas_mecánicas], B281) &gt; 0, Herrramientas_mecánicas2165[[#Headers],[Herramientas_mecánicas]],
    COUNTIF(AK281:AK287, B281) &gt; 0, Herramientas_hidráulicas2266[[#Headers],[Herramientas_hidráulicas]],
    COUNTIF(EPP_2367[SPCC], B281) &gt; 0, EPP_2367[[#Headers],[SPCC]],
   COUNTIF(Herramientas_de_izaje2468[Herramientas_de_izaje], B281) &gt; 0, Herramientas_de_izaje2468[[#Headers],[Herramientas_de_izaje]],
COUNTIF(Tabla162670[Equipos], B281) &gt; 0, Tabla162670[[#Headers],[Equipos]],
    TRUE, "Sin clasificación"
)</f>
        <v>Sin clasificación</v>
      </c>
      <c r="G281" s="15"/>
      <c r="H281" s="47"/>
      <c r="I281" s="87"/>
      <c r="J281" s="78"/>
      <c r="K281" s="78"/>
      <c r="L281" s="78"/>
      <c r="M281" s="78"/>
      <c r="N281" s="76"/>
      <c r="O281" s="76"/>
      <c r="P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Q281" s="77"/>
      <c r="R281" s="32"/>
      <c r="S281" s="32"/>
      <c r="T281" s="32"/>
      <c r="U281" s="32"/>
    </row>
    <row r="282" spans="3:21" x14ac:dyDescent="0.3">
      <c r="C282" s="11"/>
      <c r="D282" s="32"/>
      <c r="E282" s="11" t="str" cm="1">
        <f t="array" ref="E282">_xlfn.IFS(
    COUNTIF(Herramientas_eléctricas1862[Herramientas_eléctricas], B282) &gt; 0, Herramientas_eléctricas1862[[#Headers],[Herramientas_eléctricas]],
    COUNTIF(Herramientas_neumáticas1963[Herramientas_neumáticas], B282) &gt; 0, Herramientas_neumáticas1963[[#Headers],[Herramientas_neumáticas]],
    COUNTIF(Herramientas_de_medición2064[Herramientas_de_medición], B282) &gt; 0, Herramientas_de_medición2064[[#Headers],[Herramientas_de_medición]],
    COUNTIF(Herrramientas_mecánicas2165[Herramientas_mecánicas], B282) &gt; 0, Herrramientas_mecánicas2165[[#Headers],[Herramientas_mecánicas]],
    COUNTIF(AK282:AK288, B282) &gt; 0, Herramientas_hidráulicas2266[[#Headers],[Herramientas_hidráulicas]],
    COUNTIF(EPP_2367[SPCC], B282) &gt; 0, EPP_2367[[#Headers],[SPCC]],
   COUNTIF(Herramientas_de_izaje2468[Herramientas_de_izaje], B282) &gt; 0, Herramientas_de_izaje2468[[#Headers],[Herramientas_de_izaje]],
COUNTIF(Tabla162670[Equipos], B282) &gt; 0, Tabla162670[[#Headers],[Equipos]],
    TRUE, "Sin clasificación"
)</f>
        <v>Sin clasificación</v>
      </c>
      <c r="G282" s="15"/>
      <c r="H282" s="47"/>
      <c r="I282" s="87"/>
      <c r="J282" s="78"/>
      <c r="K282" s="78"/>
      <c r="L282" s="78"/>
      <c r="M282" s="78"/>
      <c r="N282" s="76"/>
      <c r="O282" s="76"/>
      <c r="P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Q282" s="77"/>
      <c r="R282" s="32"/>
      <c r="S282" s="32"/>
      <c r="T282" s="32"/>
      <c r="U282" s="32"/>
    </row>
    <row r="283" spans="3:21" x14ac:dyDescent="0.3">
      <c r="C283" s="11"/>
      <c r="D283" s="32"/>
      <c r="E283" s="11" t="str" cm="1">
        <f t="array" ref="E283">_xlfn.IFS(
    COUNTIF(Herramientas_eléctricas1862[Herramientas_eléctricas], B283) &gt; 0, Herramientas_eléctricas1862[[#Headers],[Herramientas_eléctricas]],
    COUNTIF(Herramientas_neumáticas1963[Herramientas_neumáticas], B283) &gt; 0, Herramientas_neumáticas1963[[#Headers],[Herramientas_neumáticas]],
    COUNTIF(Herramientas_de_medición2064[Herramientas_de_medición], B283) &gt; 0, Herramientas_de_medición2064[[#Headers],[Herramientas_de_medición]],
    COUNTIF(Herrramientas_mecánicas2165[Herramientas_mecánicas], B283) &gt; 0, Herrramientas_mecánicas2165[[#Headers],[Herramientas_mecánicas]],
    COUNTIF(AK283:AK289, B283) &gt; 0, Herramientas_hidráulicas2266[[#Headers],[Herramientas_hidráulicas]],
    COUNTIF(EPP_2367[SPCC], B283) &gt; 0, EPP_2367[[#Headers],[SPCC]],
   COUNTIF(Herramientas_de_izaje2468[Herramientas_de_izaje], B283) &gt; 0, Herramientas_de_izaje2468[[#Headers],[Herramientas_de_izaje]],
COUNTIF(Tabla162670[Equipos], B283) &gt; 0, Tabla162670[[#Headers],[Equipos]],
    TRUE, "Sin clasificación"
)</f>
        <v>Sin clasificación</v>
      </c>
      <c r="G283" s="15"/>
      <c r="H283" s="47"/>
      <c r="I283" s="87"/>
      <c r="J283" s="78"/>
      <c r="K283" s="78"/>
      <c r="L283" s="78"/>
      <c r="M283" s="78"/>
      <c r="N283" s="76"/>
      <c r="O283" s="76"/>
      <c r="P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Q283" s="77"/>
      <c r="R283" s="32"/>
      <c r="S283" s="32"/>
      <c r="T283" s="32"/>
      <c r="U283" s="32"/>
    </row>
    <row r="284" spans="3:21" x14ac:dyDescent="0.3">
      <c r="C284" s="11"/>
      <c r="D284" s="32"/>
      <c r="E284" s="11" t="str" cm="1">
        <f t="array" ref="E284">_xlfn.IFS(
    COUNTIF(Herramientas_eléctricas1862[Herramientas_eléctricas], B284) &gt; 0, Herramientas_eléctricas1862[[#Headers],[Herramientas_eléctricas]],
    COUNTIF(Herramientas_neumáticas1963[Herramientas_neumáticas], B284) &gt; 0, Herramientas_neumáticas1963[[#Headers],[Herramientas_neumáticas]],
    COUNTIF(Herramientas_de_medición2064[Herramientas_de_medición], B284) &gt; 0, Herramientas_de_medición2064[[#Headers],[Herramientas_de_medición]],
    COUNTIF(Herrramientas_mecánicas2165[Herramientas_mecánicas], B284) &gt; 0, Herrramientas_mecánicas2165[[#Headers],[Herramientas_mecánicas]],
    COUNTIF(AK284:AK290, B284) &gt; 0, Herramientas_hidráulicas2266[[#Headers],[Herramientas_hidráulicas]],
    COUNTIF(EPP_2367[SPCC], B284) &gt; 0, EPP_2367[[#Headers],[SPCC]],
   COUNTIF(Herramientas_de_izaje2468[Herramientas_de_izaje], B284) &gt; 0, Herramientas_de_izaje2468[[#Headers],[Herramientas_de_izaje]],
COUNTIF(Tabla162670[Equipos], B284) &gt; 0, Tabla162670[[#Headers],[Equipos]],
    TRUE, "Sin clasificación"
)</f>
        <v>Sin clasificación</v>
      </c>
      <c r="G284" s="15"/>
      <c r="H284" s="47"/>
      <c r="I284" s="87"/>
      <c r="J284" s="78"/>
      <c r="K284" s="78"/>
      <c r="L284" s="78"/>
      <c r="M284" s="78"/>
      <c r="N284" s="76"/>
      <c r="O284" s="76"/>
      <c r="P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Q284" s="77"/>
      <c r="R284" s="32"/>
      <c r="S284" s="32"/>
      <c r="T284" s="32"/>
      <c r="U284" s="32"/>
    </row>
    <row r="285" spans="3:21" x14ac:dyDescent="0.3">
      <c r="C285" s="11"/>
      <c r="D285" s="32"/>
      <c r="E285" s="11" t="str" cm="1">
        <f t="array" ref="E285">_xlfn.IFS(
    COUNTIF(Herramientas_eléctricas1862[Herramientas_eléctricas], B285) &gt; 0, Herramientas_eléctricas1862[[#Headers],[Herramientas_eléctricas]],
    COUNTIF(Herramientas_neumáticas1963[Herramientas_neumáticas], B285) &gt; 0, Herramientas_neumáticas1963[[#Headers],[Herramientas_neumáticas]],
    COUNTIF(Herramientas_de_medición2064[Herramientas_de_medición], B285) &gt; 0, Herramientas_de_medición2064[[#Headers],[Herramientas_de_medición]],
    COUNTIF(Herrramientas_mecánicas2165[Herramientas_mecánicas], B285) &gt; 0, Herrramientas_mecánicas2165[[#Headers],[Herramientas_mecánicas]],
    COUNTIF(AK285:AK291, B285) &gt; 0, Herramientas_hidráulicas2266[[#Headers],[Herramientas_hidráulicas]],
    COUNTIF(EPP_2367[SPCC], B285) &gt; 0, EPP_2367[[#Headers],[SPCC]],
   COUNTIF(Herramientas_de_izaje2468[Herramientas_de_izaje], B285) &gt; 0, Herramientas_de_izaje2468[[#Headers],[Herramientas_de_izaje]],
COUNTIF(Tabla162670[Equipos], B285) &gt; 0, Tabla162670[[#Headers],[Equipos]],
    TRUE, "Sin clasificación"
)</f>
        <v>Sin clasificación</v>
      </c>
      <c r="G285" s="15"/>
      <c r="H285" s="47"/>
      <c r="I285" s="87"/>
      <c r="J285" s="78"/>
      <c r="K285" s="78"/>
      <c r="L285" s="78"/>
      <c r="M285" s="78"/>
      <c r="N285" s="76"/>
      <c r="O285" s="76"/>
      <c r="P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Q285" s="77"/>
      <c r="R285" s="32"/>
      <c r="S285" s="32"/>
      <c r="T285" s="32"/>
      <c r="U285" s="32"/>
    </row>
    <row r="286" spans="3:21" x14ac:dyDescent="0.3">
      <c r="C286" s="11"/>
      <c r="D286" s="32"/>
      <c r="E286" s="11" t="str" cm="1">
        <f t="array" ref="E286">_xlfn.IFS(
    COUNTIF(Herramientas_eléctricas1862[Herramientas_eléctricas], B286) &gt; 0, Herramientas_eléctricas1862[[#Headers],[Herramientas_eléctricas]],
    COUNTIF(Herramientas_neumáticas1963[Herramientas_neumáticas], B286) &gt; 0, Herramientas_neumáticas1963[[#Headers],[Herramientas_neumáticas]],
    COUNTIF(Herramientas_de_medición2064[Herramientas_de_medición], B286) &gt; 0, Herramientas_de_medición2064[[#Headers],[Herramientas_de_medición]],
    COUNTIF(Herrramientas_mecánicas2165[Herramientas_mecánicas], B286) &gt; 0, Herrramientas_mecánicas2165[[#Headers],[Herramientas_mecánicas]],
    COUNTIF(AK286:AK292, B286) &gt; 0, Herramientas_hidráulicas2266[[#Headers],[Herramientas_hidráulicas]],
    COUNTIF(EPP_2367[SPCC], B286) &gt; 0, EPP_2367[[#Headers],[SPCC]],
   COUNTIF(Herramientas_de_izaje2468[Herramientas_de_izaje], B286) &gt; 0, Herramientas_de_izaje2468[[#Headers],[Herramientas_de_izaje]],
COUNTIF(Tabla162670[Equipos], B286) &gt; 0, Tabla162670[[#Headers],[Equipos]],
    TRUE, "Sin clasificación"
)</f>
        <v>Sin clasificación</v>
      </c>
      <c r="G286" s="15"/>
      <c r="H286" s="47"/>
      <c r="I286" s="87"/>
      <c r="J286" s="78"/>
      <c r="K286" s="78"/>
      <c r="L286" s="78"/>
      <c r="M286" s="78"/>
      <c r="N286" s="76"/>
      <c r="O286" s="76"/>
      <c r="P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Q286" s="77"/>
      <c r="R286" s="32"/>
      <c r="S286" s="32"/>
      <c r="T286" s="32"/>
      <c r="U286" s="32"/>
    </row>
    <row r="287" spans="3:21" x14ac:dyDescent="0.3">
      <c r="C287" s="11"/>
      <c r="D287" s="32"/>
      <c r="E287" s="11" t="str" cm="1">
        <f t="array" ref="E287">_xlfn.IFS(
    COUNTIF(Herramientas_eléctricas1862[Herramientas_eléctricas], B287) &gt; 0, Herramientas_eléctricas1862[[#Headers],[Herramientas_eléctricas]],
    COUNTIF(Herramientas_neumáticas1963[Herramientas_neumáticas], B287) &gt; 0, Herramientas_neumáticas1963[[#Headers],[Herramientas_neumáticas]],
    COUNTIF(Herramientas_de_medición2064[Herramientas_de_medición], B287) &gt; 0, Herramientas_de_medición2064[[#Headers],[Herramientas_de_medición]],
    COUNTIF(Herrramientas_mecánicas2165[Herramientas_mecánicas], B287) &gt; 0, Herrramientas_mecánicas2165[[#Headers],[Herramientas_mecánicas]],
    COUNTIF(AK287:AK293, B287) &gt; 0, Herramientas_hidráulicas2266[[#Headers],[Herramientas_hidráulicas]],
    COUNTIF(EPP_2367[SPCC], B287) &gt; 0, EPP_2367[[#Headers],[SPCC]],
   COUNTIF(Herramientas_de_izaje2468[Herramientas_de_izaje], B287) &gt; 0, Herramientas_de_izaje2468[[#Headers],[Herramientas_de_izaje]],
COUNTIF(Tabla162670[Equipos], B287) &gt; 0, Tabla162670[[#Headers],[Equipos]],
    TRUE, "Sin clasificación"
)</f>
        <v>Sin clasificación</v>
      </c>
      <c r="G287" s="15"/>
      <c r="H287" s="47"/>
      <c r="I287" s="87"/>
      <c r="J287" s="78"/>
      <c r="K287" s="78"/>
      <c r="L287" s="78"/>
      <c r="M287" s="78"/>
      <c r="N287" s="76"/>
      <c r="O287" s="76"/>
      <c r="P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Q287" s="77"/>
      <c r="R287" s="32"/>
      <c r="S287" s="32"/>
      <c r="T287" s="32"/>
      <c r="U287" s="32"/>
    </row>
    <row r="288" spans="3:21" x14ac:dyDescent="0.3">
      <c r="C288" s="11"/>
      <c r="D288" s="32"/>
      <c r="E288" s="11" t="str" cm="1">
        <f t="array" ref="E288">_xlfn.IFS(
    COUNTIF(Herramientas_eléctricas1862[Herramientas_eléctricas], B288) &gt; 0, Herramientas_eléctricas1862[[#Headers],[Herramientas_eléctricas]],
    COUNTIF(Herramientas_neumáticas1963[Herramientas_neumáticas], B288) &gt; 0, Herramientas_neumáticas1963[[#Headers],[Herramientas_neumáticas]],
    COUNTIF(Herramientas_de_medición2064[Herramientas_de_medición], B288) &gt; 0, Herramientas_de_medición2064[[#Headers],[Herramientas_de_medición]],
    COUNTIF(Herrramientas_mecánicas2165[Herramientas_mecánicas], B288) &gt; 0, Herrramientas_mecánicas2165[[#Headers],[Herramientas_mecánicas]],
    COUNTIF(AK288:AK294, B288) &gt; 0, Herramientas_hidráulicas2266[[#Headers],[Herramientas_hidráulicas]],
    COUNTIF(EPP_2367[SPCC], B288) &gt; 0, EPP_2367[[#Headers],[SPCC]],
   COUNTIF(Herramientas_de_izaje2468[Herramientas_de_izaje], B288) &gt; 0, Herramientas_de_izaje2468[[#Headers],[Herramientas_de_izaje]],
COUNTIF(Tabla162670[Equipos], B288) &gt; 0, Tabla162670[[#Headers],[Equipos]],
    TRUE, "Sin clasificación"
)</f>
        <v>Sin clasificación</v>
      </c>
      <c r="G288" s="15"/>
      <c r="H288" s="47"/>
      <c r="I288" s="87"/>
      <c r="J288" s="78"/>
      <c r="K288" s="78"/>
      <c r="L288" s="78"/>
      <c r="M288" s="78"/>
      <c r="N288" s="76"/>
      <c r="O288" s="76"/>
      <c r="P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Q288" s="77"/>
      <c r="R288" s="32"/>
      <c r="S288" s="32"/>
      <c r="T288" s="32"/>
      <c r="U288" s="32"/>
    </row>
    <row r="289" spans="3:21" x14ac:dyDescent="0.3">
      <c r="C289" s="11"/>
      <c r="D289" s="32"/>
      <c r="E289" s="11" t="str" cm="1">
        <f t="array" ref="E289">_xlfn.IFS(
    COUNTIF(Herramientas_eléctricas1862[Herramientas_eléctricas], B289) &gt; 0, Herramientas_eléctricas1862[[#Headers],[Herramientas_eléctricas]],
    COUNTIF(Herramientas_neumáticas1963[Herramientas_neumáticas], B289) &gt; 0, Herramientas_neumáticas1963[[#Headers],[Herramientas_neumáticas]],
    COUNTIF(Herramientas_de_medición2064[Herramientas_de_medición], B289) &gt; 0, Herramientas_de_medición2064[[#Headers],[Herramientas_de_medición]],
    COUNTIF(Herrramientas_mecánicas2165[Herramientas_mecánicas], B289) &gt; 0, Herrramientas_mecánicas2165[[#Headers],[Herramientas_mecánicas]],
    COUNTIF(AK289:AK295, B289) &gt; 0, Herramientas_hidráulicas2266[[#Headers],[Herramientas_hidráulicas]],
    COUNTIF(EPP_2367[SPCC], B289) &gt; 0, EPP_2367[[#Headers],[SPCC]],
   COUNTIF(Herramientas_de_izaje2468[Herramientas_de_izaje], B289) &gt; 0, Herramientas_de_izaje2468[[#Headers],[Herramientas_de_izaje]],
COUNTIF(Tabla162670[Equipos], B289) &gt; 0, Tabla162670[[#Headers],[Equipos]],
    TRUE, "Sin clasificación"
)</f>
        <v>Sin clasificación</v>
      </c>
      <c r="G289" s="15"/>
      <c r="H289" s="47"/>
      <c r="I289" s="87"/>
      <c r="J289" s="78"/>
      <c r="K289" s="78"/>
      <c r="L289" s="78"/>
      <c r="M289" s="78"/>
      <c r="N289" s="76"/>
      <c r="O289" s="76"/>
      <c r="P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Q289" s="77"/>
      <c r="R289" s="32"/>
      <c r="S289" s="32"/>
      <c r="T289" s="32"/>
      <c r="U289" s="32"/>
    </row>
    <row r="290" spans="3:21" x14ac:dyDescent="0.3">
      <c r="C290" s="11"/>
      <c r="D290" s="32"/>
      <c r="E290" s="11" t="str" cm="1">
        <f t="array" ref="E290">_xlfn.IFS(
    COUNTIF(Herramientas_eléctricas1862[Herramientas_eléctricas], B290) &gt; 0, Herramientas_eléctricas1862[[#Headers],[Herramientas_eléctricas]],
    COUNTIF(Herramientas_neumáticas1963[Herramientas_neumáticas], B290) &gt; 0, Herramientas_neumáticas1963[[#Headers],[Herramientas_neumáticas]],
    COUNTIF(Herramientas_de_medición2064[Herramientas_de_medición], B290) &gt; 0, Herramientas_de_medición2064[[#Headers],[Herramientas_de_medición]],
    COUNTIF(Herrramientas_mecánicas2165[Herramientas_mecánicas], B290) &gt; 0, Herrramientas_mecánicas2165[[#Headers],[Herramientas_mecánicas]],
    COUNTIF(AK290:AK296, B290) &gt; 0, Herramientas_hidráulicas2266[[#Headers],[Herramientas_hidráulicas]],
    COUNTIF(EPP_2367[SPCC], B290) &gt; 0, EPP_2367[[#Headers],[SPCC]],
   COUNTIF(Herramientas_de_izaje2468[Herramientas_de_izaje], B290) &gt; 0, Herramientas_de_izaje2468[[#Headers],[Herramientas_de_izaje]],
COUNTIF(Tabla162670[Equipos], B290) &gt; 0, Tabla162670[[#Headers],[Equipos]],
    TRUE, "Sin clasificación"
)</f>
        <v>Sin clasificación</v>
      </c>
      <c r="G290" s="15"/>
      <c r="H290" s="47"/>
      <c r="I290" s="87"/>
      <c r="J290" s="78"/>
      <c r="K290" s="78"/>
      <c r="L290" s="78"/>
      <c r="M290" s="78"/>
      <c r="N290" s="76"/>
      <c r="O290" s="76"/>
      <c r="P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Q290" s="77"/>
      <c r="R290" s="32"/>
      <c r="S290" s="32"/>
      <c r="T290" s="32"/>
      <c r="U290" s="32"/>
    </row>
    <row r="291" spans="3:21" x14ac:dyDescent="0.3">
      <c r="C291" s="11"/>
      <c r="D291" s="32"/>
      <c r="E291" s="11" t="str" cm="1">
        <f t="array" ref="E291">_xlfn.IFS(
    COUNTIF(Herramientas_eléctricas1862[Herramientas_eléctricas], B291) &gt; 0, Herramientas_eléctricas1862[[#Headers],[Herramientas_eléctricas]],
    COUNTIF(Herramientas_neumáticas1963[Herramientas_neumáticas], B291) &gt; 0, Herramientas_neumáticas1963[[#Headers],[Herramientas_neumáticas]],
    COUNTIF(Herramientas_de_medición2064[Herramientas_de_medición], B291) &gt; 0, Herramientas_de_medición2064[[#Headers],[Herramientas_de_medición]],
    COUNTIF(Herrramientas_mecánicas2165[Herramientas_mecánicas], B291) &gt; 0, Herrramientas_mecánicas2165[[#Headers],[Herramientas_mecánicas]],
    COUNTIF(AK291:AK297, B291) &gt; 0, Herramientas_hidráulicas2266[[#Headers],[Herramientas_hidráulicas]],
    COUNTIF(EPP_2367[SPCC], B291) &gt; 0, EPP_2367[[#Headers],[SPCC]],
   COUNTIF(Herramientas_de_izaje2468[Herramientas_de_izaje], B291) &gt; 0, Herramientas_de_izaje2468[[#Headers],[Herramientas_de_izaje]],
COUNTIF(Tabla162670[Equipos], B291) &gt; 0, Tabla162670[[#Headers],[Equipos]],
    TRUE, "Sin clasificación"
)</f>
        <v>Sin clasificación</v>
      </c>
      <c r="G291" s="15"/>
      <c r="H291" s="47"/>
      <c r="I291" s="87"/>
      <c r="J291" s="78"/>
      <c r="K291" s="78"/>
      <c r="L291" s="78"/>
      <c r="M291" s="78"/>
      <c r="N291" s="76"/>
      <c r="O291" s="76"/>
      <c r="P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Q291" s="77"/>
      <c r="R291" s="32"/>
      <c r="S291" s="32"/>
      <c r="T291" s="32"/>
      <c r="U291" s="32"/>
    </row>
    <row r="292" spans="3:21" x14ac:dyDescent="0.3">
      <c r="C292" s="11"/>
      <c r="D292" s="32"/>
      <c r="E292" s="11" t="str" cm="1">
        <f t="array" ref="E292">_xlfn.IFS(
    COUNTIF(Herramientas_eléctricas1862[Herramientas_eléctricas], B292) &gt; 0, Herramientas_eléctricas1862[[#Headers],[Herramientas_eléctricas]],
    COUNTIF(Herramientas_neumáticas1963[Herramientas_neumáticas], B292) &gt; 0, Herramientas_neumáticas1963[[#Headers],[Herramientas_neumáticas]],
    COUNTIF(Herramientas_de_medición2064[Herramientas_de_medición], B292) &gt; 0, Herramientas_de_medición2064[[#Headers],[Herramientas_de_medición]],
    COUNTIF(Herrramientas_mecánicas2165[Herramientas_mecánicas], B292) &gt; 0, Herrramientas_mecánicas2165[[#Headers],[Herramientas_mecánicas]],
    COUNTIF(AK292:AK298, B292) &gt; 0, Herramientas_hidráulicas2266[[#Headers],[Herramientas_hidráulicas]],
    COUNTIF(EPP_2367[SPCC], B292) &gt; 0, EPP_2367[[#Headers],[SPCC]],
   COUNTIF(Herramientas_de_izaje2468[Herramientas_de_izaje], B292) &gt; 0, Herramientas_de_izaje2468[[#Headers],[Herramientas_de_izaje]],
COUNTIF(Tabla162670[Equipos], B292) &gt; 0, Tabla162670[[#Headers],[Equipos]],
    TRUE, "Sin clasificación"
)</f>
        <v>Sin clasificación</v>
      </c>
      <c r="G292" s="15"/>
      <c r="H292" s="47"/>
      <c r="I292" s="87"/>
      <c r="J292" s="78"/>
      <c r="K292" s="78"/>
      <c r="L292" s="78"/>
      <c r="M292" s="78"/>
      <c r="N292" s="76"/>
      <c r="O292" s="76"/>
      <c r="P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Q292" s="77"/>
      <c r="R292" s="32"/>
      <c r="S292" s="32"/>
      <c r="T292" s="32"/>
      <c r="U292" s="32"/>
    </row>
    <row r="293" spans="3:21" x14ac:dyDescent="0.3">
      <c r="C293" s="11"/>
      <c r="D293" s="32"/>
      <c r="E293" s="11" t="str" cm="1">
        <f t="array" ref="E293">_xlfn.IFS(
    COUNTIF(Herramientas_eléctricas1862[Herramientas_eléctricas], B293) &gt; 0, Herramientas_eléctricas1862[[#Headers],[Herramientas_eléctricas]],
    COUNTIF(Herramientas_neumáticas1963[Herramientas_neumáticas], B293) &gt; 0, Herramientas_neumáticas1963[[#Headers],[Herramientas_neumáticas]],
    COUNTIF(Herramientas_de_medición2064[Herramientas_de_medición], B293) &gt; 0, Herramientas_de_medición2064[[#Headers],[Herramientas_de_medición]],
    COUNTIF(Herrramientas_mecánicas2165[Herramientas_mecánicas], B293) &gt; 0, Herrramientas_mecánicas2165[[#Headers],[Herramientas_mecánicas]],
    COUNTIF(AK293:AK299, B293) &gt; 0, Herramientas_hidráulicas2266[[#Headers],[Herramientas_hidráulicas]],
    COUNTIF(EPP_2367[SPCC], B293) &gt; 0, EPP_2367[[#Headers],[SPCC]],
   COUNTIF(Herramientas_de_izaje2468[Herramientas_de_izaje], B293) &gt; 0, Herramientas_de_izaje2468[[#Headers],[Herramientas_de_izaje]],
COUNTIF(Tabla162670[Equipos], B293) &gt; 0, Tabla162670[[#Headers],[Equipos]],
    TRUE, "Sin clasificación"
)</f>
        <v>Sin clasificación</v>
      </c>
      <c r="G293" s="15"/>
      <c r="H293" s="47"/>
      <c r="I293" s="87"/>
      <c r="J293" s="78"/>
      <c r="K293" s="78"/>
      <c r="L293" s="78"/>
      <c r="M293" s="78"/>
      <c r="N293" s="76"/>
      <c r="O293" s="76"/>
      <c r="P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Q293" s="77"/>
      <c r="R293" s="32"/>
      <c r="S293" s="32"/>
      <c r="T293" s="32"/>
      <c r="U293" s="32"/>
    </row>
    <row r="294" spans="3:21" x14ac:dyDescent="0.3">
      <c r="C294" s="11"/>
      <c r="D294" s="32"/>
      <c r="E294" s="11" t="str" cm="1">
        <f t="array" ref="E294">_xlfn.IFS(
    COUNTIF(Herramientas_eléctricas1862[Herramientas_eléctricas], B294) &gt; 0, Herramientas_eléctricas1862[[#Headers],[Herramientas_eléctricas]],
    COUNTIF(Herramientas_neumáticas1963[Herramientas_neumáticas], B294) &gt; 0, Herramientas_neumáticas1963[[#Headers],[Herramientas_neumáticas]],
    COUNTIF(Herramientas_de_medición2064[Herramientas_de_medición], B294) &gt; 0, Herramientas_de_medición2064[[#Headers],[Herramientas_de_medición]],
    COUNTIF(Herrramientas_mecánicas2165[Herramientas_mecánicas], B294) &gt; 0, Herrramientas_mecánicas2165[[#Headers],[Herramientas_mecánicas]],
    COUNTIF(AK294:AK300, B294) &gt; 0, Herramientas_hidráulicas2266[[#Headers],[Herramientas_hidráulicas]],
    COUNTIF(EPP_2367[SPCC], B294) &gt; 0, EPP_2367[[#Headers],[SPCC]],
   COUNTIF(Herramientas_de_izaje2468[Herramientas_de_izaje], B294) &gt; 0, Herramientas_de_izaje2468[[#Headers],[Herramientas_de_izaje]],
COUNTIF(Tabla162670[Equipos], B294) &gt; 0, Tabla162670[[#Headers],[Equipos]],
    TRUE, "Sin clasificación"
)</f>
        <v>Sin clasificación</v>
      </c>
      <c r="G294" s="15"/>
      <c r="H294" s="47"/>
      <c r="I294" s="87"/>
      <c r="J294" s="78"/>
      <c r="K294" s="78"/>
      <c r="L294" s="78"/>
      <c r="M294" s="78"/>
      <c r="N294" s="76"/>
      <c r="O294" s="76"/>
      <c r="P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Q294" s="77"/>
      <c r="R294" s="32"/>
      <c r="S294" s="32"/>
      <c r="T294" s="32"/>
      <c r="U294" s="32"/>
    </row>
    <row r="295" spans="3:21" x14ac:dyDescent="0.3">
      <c r="C295" s="11"/>
      <c r="D295" s="32"/>
      <c r="E295" s="11" t="str" cm="1">
        <f t="array" ref="E295">_xlfn.IFS(
    COUNTIF(Herramientas_eléctricas1862[Herramientas_eléctricas], B295) &gt; 0, Herramientas_eléctricas1862[[#Headers],[Herramientas_eléctricas]],
    COUNTIF(Herramientas_neumáticas1963[Herramientas_neumáticas], B295) &gt; 0, Herramientas_neumáticas1963[[#Headers],[Herramientas_neumáticas]],
    COUNTIF(Herramientas_de_medición2064[Herramientas_de_medición], B295) &gt; 0, Herramientas_de_medición2064[[#Headers],[Herramientas_de_medición]],
    COUNTIF(Herrramientas_mecánicas2165[Herramientas_mecánicas], B295) &gt; 0, Herrramientas_mecánicas2165[[#Headers],[Herramientas_mecánicas]],
    COUNTIF(AK295:AK301, B295) &gt; 0, Herramientas_hidráulicas2266[[#Headers],[Herramientas_hidráulicas]],
    COUNTIF(EPP_2367[SPCC], B295) &gt; 0, EPP_2367[[#Headers],[SPCC]],
   COUNTIF(Herramientas_de_izaje2468[Herramientas_de_izaje], B295) &gt; 0, Herramientas_de_izaje2468[[#Headers],[Herramientas_de_izaje]],
COUNTIF(Tabla162670[Equipos], B295) &gt; 0, Tabla162670[[#Headers],[Equipos]],
    TRUE, "Sin clasificación"
)</f>
        <v>Sin clasificación</v>
      </c>
      <c r="G295" s="15"/>
      <c r="H295" s="47"/>
      <c r="I295" s="87"/>
      <c r="J295" s="78"/>
      <c r="K295" s="78"/>
      <c r="L295" s="78"/>
      <c r="M295" s="78"/>
      <c r="N295" s="76"/>
      <c r="O295" s="76"/>
      <c r="P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Q295" s="77"/>
      <c r="R295" s="32"/>
      <c r="S295" s="32"/>
      <c r="T295" s="32"/>
      <c r="U295" s="32"/>
    </row>
    <row r="296" spans="3:21" x14ac:dyDescent="0.3">
      <c r="C296" s="11"/>
      <c r="D296" s="32"/>
      <c r="E296" s="11" t="str" cm="1">
        <f t="array" ref="E296">_xlfn.IFS(
    COUNTIF(Herramientas_eléctricas1862[Herramientas_eléctricas], B296) &gt; 0, Herramientas_eléctricas1862[[#Headers],[Herramientas_eléctricas]],
    COUNTIF(Herramientas_neumáticas1963[Herramientas_neumáticas], B296) &gt; 0, Herramientas_neumáticas1963[[#Headers],[Herramientas_neumáticas]],
    COUNTIF(Herramientas_de_medición2064[Herramientas_de_medición], B296) &gt; 0, Herramientas_de_medición2064[[#Headers],[Herramientas_de_medición]],
    COUNTIF(Herrramientas_mecánicas2165[Herramientas_mecánicas], B296) &gt; 0, Herrramientas_mecánicas2165[[#Headers],[Herramientas_mecánicas]],
    COUNTIF(AK296:AK302, B296) &gt; 0, Herramientas_hidráulicas2266[[#Headers],[Herramientas_hidráulicas]],
    COUNTIF(EPP_2367[SPCC], B296) &gt; 0, EPP_2367[[#Headers],[SPCC]],
   COUNTIF(Herramientas_de_izaje2468[Herramientas_de_izaje], B296) &gt; 0, Herramientas_de_izaje2468[[#Headers],[Herramientas_de_izaje]],
COUNTIF(Tabla162670[Equipos], B296) &gt; 0, Tabla162670[[#Headers],[Equipos]],
    TRUE, "Sin clasificación"
)</f>
        <v>Sin clasificación</v>
      </c>
      <c r="G296" s="15"/>
      <c r="H296" s="47"/>
      <c r="I296" s="87"/>
      <c r="J296" s="78"/>
      <c r="K296" s="78"/>
      <c r="L296" s="78"/>
      <c r="M296" s="78"/>
      <c r="N296" s="76"/>
      <c r="O296" s="76"/>
      <c r="P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Q296" s="77"/>
      <c r="R296" s="32"/>
      <c r="S296" s="32"/>
      <c r="T296" s="32"/>
      <c r="U296" s="32"/>
    </row>
    <row r="297" spans="3:21" x14ac:dyDescent="0.3">
      <c r="C297" s="11"/>
      <c r="D297" s="32"/>
      <c r="E297" s="11" t="str" cm="1">
        <f t="array" ref="E297">_xlfn.IFS(
    COUNTIF(Herramientas_eléctricas1862[Herramientas_eléctricas], B297) &gt; 0, Herramientas_eléctricas1862[[#Headers],[Herramientas_eléctricas]],
    COUNTIF(Herramientas_neumáticas1963[Herramientas_neumáticas], B297) &gt; 0, Herramientas_neumáticas1963[[#Headers],[Herramientas_neumáticas]],
    COUNTIF(Herramientas_de_medición2064[Herramientas_de_medición], B297) &gt; 0, Herramientas_de_medición2064[[#Headers],[Herramientas_de_medición]],
    COUNTIF(Herrramientas_mecánicas2165[Herramientas_mecánicas], B297) &gt; 0, Herrramientas_mecánicas2165[[#Headers],[Herramientas_mecánicas]],
    COUNTIF(AK297:AK303, B297) &gt; 0, Herramientas_hidráulicas2266[[#Headers],[Herramientas_hidráulicas]],
    COUNTIF(EPP_2367[SPCC], B297) &gt; 0, EPP_2367[[#Headers],[SPCC]],
   COUNTIF(Herramientas_de_izaje2468[Herramientas_de_izaje], B297) &gt; 0, Herramientas_de_izaje2468[[#Headers],[Herramientas_de_izaje]],
COUNTIF(Tabla162670[Equipos], B297) &gt; 0, Tabla162670[[#Headers],[Equipos]],
    TRUE, "Sin clasificación"
)</f>
        <v>Sin clasificación</v>
      </c>
      <c r="G297" s="15"/>
      <c r="H297" s="47"/>
      <c r="I297" s="87"/>
      <c r="J297" s="78"/>
      <c r="K297" s="78"/>
      <c r="L297" s="78"/>
      <c r="M297" s="78"/>
      <c r="N297" s="76"/>
      <c r="O297" s="76"/>
      <c r="P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Q297" s="77"/>
      <c r="R297" s="32"/>
      <c r="S297" s="32"/>
      <c r="T297" s="32"/>
      <c r="U297" s="32"/>
    </row>
    <row r="298" spans="3:21" x14ac:dyDescent="0.3">
      <c r="C298" s="11"/>
      <c r="D298" s="32"/>
      <c r="E298" s="11" t="str" cm="1">
        <f t="array" ref="E298">_xlfn.IFS(
    COUNTIF(Herramientas_eléctricas1862[Herramientas_eléctricas], B298) &gt; 0, Herramientas_eléctricas1862[[#Headers],[Herramientas_eléctricas]],
    COUNTIF(Herramientas_neumáticas1963[Herramientas_neumáticas], B298) &gt; 0, Herramientas_neumáticas1963[[#Headers],[Herramientas_neumáticas]],
    COUNTIF(Herramientas_de_medición2064[Herramientas_de_medición], B298) &gt; 0, Herramientas_de_medición2064[[#Headers],[Herramientas_de_medición]],
    COUNTIF(Herrramientas_mecánicas2165[Herramientas_mecánicas], B298) &gt; 0, Herrramientas_mecánicas2165[[#Headers],[Herramientas_mecánicas]],
    COUNTIF(AK298:AK304, B298) &gt; 0, Herramientas_hidráulicas2266[[#Headers],[Herramientas_hidráulicas]],
    COUNTIF(EPP_2367[SPCC], B298) &gt; 0, EPP_2367[[#Headers],[SPCC]],
   COUNTIF(Herramientas_de_izaje2468[Herramientas_de_izaje], B298) &gt; 0, Herramientas_de_izaje2468[[#Headers],[Herramientas_de_izaje]],
COUNTIF(Tabla162670[Equipos], B298) &gt; 0, Tabla162670[[#Headers],[Equipos]],
    TRUE, "Sin clasificación"
)</f>
        <v>Sin clasificación</v>
      </c>
      <c r="G298" s="15"/>
      <c r="H298" s="47"/>
      <c r="I298" s="87"/>
      <c r="J298" s="78"/>
      <c r="K298" s="78"/>
      <c r="L298" s="78"/>
      <c r="M298" s="78"/>
      <c r="N298" s="76"/>
      <c r="O298" s="76"/>
      <c r="P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Q298" s="77"/>
      <c r="R298" s="32"/>
      <c r="S298" s="32"/>
      <c r="T298" s="32"/>
      <c r="U298" s="32"/>
    </row>
    <row r="299" spans="3:21" x14ac:dyDescent="0.3">
      <c r="C299" s="11"/>
      <c r="D299" s="32"/>
      <c r="E299" s="11" t="str" cm="1">
        <f t="array" ref="E299">_xlfn.IFS(
    COUNTIF(Herramientas_eléctricas1862[Herramientas_eléctricas], B299) &gt; 0, Herramientas_eléctricas1862[[#Headers],[Herramientas_eléctricas]],
    COUNTIF(Herramientas_neumáticas1963[Herramientas_neumáticas], B299) &gt; 0, Herramientas_neumáticas1963[[#Headers],[Herramientas_neumáticas]],
    COUNTIF(Herramientas_de_medición2064[Herramientas_de_medición], B299) &gt; 0, Herramientas_de_medición2064[[#Headers],[Herramientas_de_medición]],
    COUNTIF(Herrramientas_mecánicas2165[Herramientas_mecánicas], B299) &gt; 0, Herrramientas_mecánicas2165[[#Headers],[Herramientas_mecánicas]],
    COUNTIF(AK299:AK305, B299) &gt; 0, Herramientas_hidráulicas2266[[#Headers],[Herramientas_hidráulicas]],
    COUNTIF(EPP_2367[SPCC], B299) &gt; 0, EPP_2367[[#Headers],[SPCC]],
   COUNTIF(Herramientas_de_izaje2468[Herramientas_de_izaje], B299) &gt; 0, Herramientas_de_izaje2468[[#Headers],[Herramientas_de_izaje]],
COUNTIF(Tabla162670[Equipos], B299) &gt; 0, Tabla162670[[#Headers],[Equipos]],
    TRUE, "Sin clasificación"
)</f>
        <v>Sin clasificación</v>
      </c>
      <c r="G299" s="15"/>
      <c r="H299" s="47"/>
      <c r="I299" s="87"/>
      <c r="J299" s="78"/>
      <c r="K299" s="78"/>
      <c r="L299" s="78"/>
      <c r="M299" s="78"/>
      <c r="N299" s="76"/>
      <c r="O299" s="76"/>
      <c r="P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Q299" s="77"/>
      <c r="R299" s="32"/>
      <c r="S299" s="32"/>
      <c r="T299" s="32"/>
      <c r="U299" s="32"/>
    </row>
    <row r="300" spans="3:21" x14ac:dyDescent="0.3">
      <c r="C300" s="11"/>
      <c r="D300" s="32"/>
      <c r="E300" s="11" t="str" cm="1">
        <f t="array" ref="E300">_xlfn.IFS(
    COUNTIF(Herramientas_eléctricas1862[Herramientas_eléctricas], B300) &gt; 0, Herramientas_eléctricas1862[[#Headers],[Herramientas_eléctricas]],
    COUNTIF(Herramientas_neumáticas1963[Herramientas_neumáticas], B300) &gt; 0, Herramientas_neumáticas1963[[#Headers],[Herramientas_neumáticas]],
    COUNTIF(Herramientas_de_medición2064[Herramientas_de_medición], B300) &gt; 0, Herramientas_de_medición2064[[#Headers],[Herramientas_de_medición]],
    COUNTIF(Herrramientas_mecánicas2165[Herramientas_mecánicas], B300) &gt; 0, Herrramientas_mecánicas2165[[#Headers],[Herramientas_mecánicas]],
    COUNTIF(AK300:AK306, B300) &gt; 0, Herramientas_hidráulicas2266[[#Headers],[Herramientas_hidráulicas]],
    COUNTIF(EPP_2367[SPCC], B300) &gt; 0, EPP_2367[[#Headers],[SPCC]],
   COUNTIF(Herramientas_de_izaje2468[Herramientas_de_izaje], B300) &gt; 0, Herramientas_de_izaje2468[[#Headers],[Herramientas_de_izaje]],
COUNTIF(Tabla162670[Equipos], B300) &gt; 0, Tabla162670[[#Headers],[Equipos]],
    TRUE, "Sin clasificación"
)</f>
        <v>Sin clasificación</v>
      </c>
      <c r="G300" s="15"/>
      <c r="H300" s="47"/>
      <c r="I300" s="87"/>
      <c r="J300" s="78"/>
      <c r="K300" s="78"/>
      <c r="L300" s="78"/>
      <c r="M300" s="78"/>
      <c r="N300" s="76"/>
      <c r="O300" s="76"/>
      <c r="P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Q300" s="77"/>
      <c r="R300" s="32"/>
      <c r="S300" s="32"/>
      <c r="T300" s="32"/>
      <c r="U300" s="32"/>
    </row>
    <row r="301" spans="3:21" x14ac:dyDescent="0.3">
      <c r="C301" s="11"/>
      <c r="D301" s="32"/>
      <c r="E301" s="11" t="str" cm="1">
        <f t="array" ref="E301">_xlfn.IFS(
    COUNTIF(Herramientas_eléctricas1862[Herramientas_eléctricas], B301) &gt; 0, Herramientas_eléctricas1862[[#Headers],[Herramientas_eléctricas]],
    COUNTIF(Herramientas_neumáticas1963[Herramientas_neumáticas], B301) &gt; 0, Herramientas_neumáticas1963[[#Headers],[Herramientas_neumáticas]],
    COUNTIF(Herramientas_de_medición2064[Herramientas_de_medición], B301) &gt; 0, Herramientas_de_medición2064[[#Headers],[Herramientas_de_medición]],
    COUNTIF(Herrramientas_mecánicas2165[Herramientas_mecánicas], B301) &gt; 0, Herrramientas_mecánicas2165[[#Headers],[Herramientas_mecánicas]],
    COUNTIF(AK301:AK307, B301) &gt; 0, Herramientas_hidráulicas2266[[#Headers],[Herramientas_hidráulicas]],
    COUNTIF(EPP_2367[SPCC], B301) &gt; 0, EPP_2367[[#Headers],[SPCC]],
   COUNTIF(Herramientas_de_izaje2468[Herramientas_de_izaje], B301) &gt; 0, Herramientas_de_izaje2468[[#Headers],[Herramientas_de_izaje]],
COUNTIF(Tabla162670[Equipos], B301) &gt; 0, Tabla162670[[#Headers],[Equipos]],
    TRUE, "Sin clasificación"
)</f>
        <v>Sin clasificación</v>
      </c>
      <c r="G301" s="15"/>
      <c r="H301" s="47"/>
      <c r="I301" s="87"/>
      <c r="J301" s="78"/>
      <c r="K301" s="78"/>
      <c r="L301" s="78"/>
      <c r="M301" s="78"/>
      <c r="N301" s="76"/>
      <c r="O301" s="76"/>
      <c r="P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Q301" s="77"/>
      <c r="R301" s="32"/>
      <c r="S301" s="32"/>
      <c r="T301" s="32"/>
      <c r="U301" s="32"/>
    </row>
    <row r="302" spans="3:21" x14ac:dyDescent="0.3">
      <c r="C302" s="11"/>
      <c r="D302" s="32"/>
      <c r="E302" s="11" t="str" cm="1">
        <f t="array" ref="E302">_xlfn.IFS(
    COUNTIF(Herramientas_eléctricas1862[Herramientas_eléctricas], B302) &gt; 0, Herramientas_eléctricas1862[[#Headers],[Herramientas_eléctricas]],
    COUNTIF(Herramientas_neumáticas1963[Herramientas_neumáticas], B302) &gt; 0, Herramientas_neumáticas1963[[#Headers],[Herramientas_neumáticas]],
    COUNTIF(Herramientas_de_medición2064[Herramientas_de_medición], B302) &gt; 0, Herramientas_de_medición2064[[#Headers],[Herramientas_de_medición]],
    COUNTIF(Herrramientas_mecánicas2165[Herramientas_mecánicas], B302) &gt; 0, Herrramientas_mecánicas2165[[#Headers],[Herramientas_mecánicas]],
    COUNTIF(AK302:AK308, B302) &gt; 0, Herramientas_hidráulicas2266[[#Headers],[Herramientas_hidráulicas]],
    COUNTIF(EPP_2367[SPCC], B302) &gt; 0, EPP_2367[[#Headers],[SPCC]],
   COUNTIF(Herramientas_de_izaje2468[Herramientas_de_izaje], B302) &gt; 0, Herramientas_de_izaje2468[[#Headers],[Herramientas_de_izaje]],
COUNTIF(Tabla162670[Equipos], B302) &gt; 0, Tabla162670[[#Headers],[Equipos]],
    TRUE, "Sin clasificación"
)</f>
        <v>Sin clasificación</v>
      </c>
      <c r="G302" s="15"/>
      <c r="H302" s="47"/>
      <c r="I302" s="87"/>
      <c r="J302" s="78"/>
      <c r="K302" s="78"/>
      <c r="L302" s="78"/>
      <c r="M302" s="78"/>
      <c r="N302" s="76"/>
      <c r="O302" s="76"/>
      <c r="P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Q302" s="77"/>
      <c r="R302" s="32"/>
      <c r="S302" s="32"/>
      <c r="T302" s="32"/>
      <c r="U302" s="32"/>
    </row>
    <row r="303" spans="3:21" x14ac:dyDescent="0.3">
      <c r="C303" s="11"/>
      <c r="D303" s="32"/>
      <c r="E303" s="11" t="str" cm="1">
        <f t="array" ref="E303">_xlfn.IFS(
    COUNTIF(Herramientas_eléctricas1862[Herramientas_eléctricas], B303) &gt; 0, Herramientas_eléctricas1862[[#Headers],[Herramientas_eléctricas]],
    COUNTIF(Herramientas_neumáticas1963[Herramientas_neumáticas], B303) &gt; 0, Herramientas_neumáticas1963[[#Headers],[Herramientas_neumáticas]],
    COUNTIF(Herramientas_de_medición2064[Herramientas_de_medición], B303) &gt; 0, Herramientas_de_medición2064[[#Headers],[Herramientas_de_medición]],
    COUNTIF(Herrramientas_mecánicas2165[Herramientas_mecánicas], B303) &gt; 0, Herrramientas_mecánicas2165[[#Headers],[Herramientas_mecánicas]],
    COUNTIF(AK303:AK309, B303) &gt; 0, Herramientas_hidráulicas2266[[#Headers],[Herramientas_hidráulicas]],
    COUNTIF(EPP_2367[SPCC], B303) &gt; 0, EPP_2367[[#Headers],[SPCC]],
   COUNTIF(Herramientas_de_izaje2468[Herramientas_de_izaje], B303) &gt; 0, Herramientas_de_izaje2468[[#Headers],[Herramientas_de_izaje]],
COUNTIF(Tabla162670[Equipos], B303) &gt; 0, Tabla162670[[#Headers],[Equipos]],
    TRUE, "Sin clasificación"
)</f>
        <v>Sin clasificación</v>
      </c>
      <c r="G303" s="15"/>
      <c r="H303" s="47"/>
      <c r="I303" s="87"/>
      <c r="J303" s="78"/>
      <c r="K303" s="78"/>
      <c r="L303" s="78"/>
      <c r="M303" s="78"/>
      <c r="N303" s="76"/>
      <c r="O303" s="76"/>
      <c r="P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Q303" s="77"/>
      <c r="R303" s="32"/>
      <c r="S303" s="32"/>
      <c r="T303" s="32"/>
      <c r="U303" s="32"/>
    </row>
    <row r="304" spans="3:21" x14ac:dyDescent="0.3">
      <c r="C304" s="11"/>
      <c r="D304" s="32"/>
      <c r="E304" s="11" t="str" cm="1">
        <f t="array" ref="E304">_xlfn.IFS(
    COUNTIF(Herramientas_eléctricas1862[Herramientas_eléctricas], B304) &gt; 0, Herramientas_eléctricas1862[[#Headers],[Herramientas_eléctricas]],
    COUNTIF(Herramientas_neumáticas1963[Herramientas_neumáticas], B304) &gt; 0, Herramientas_neumáticas1963[[#Headers],[Herramientas_neumáticas]],
    COUNTIF(Herramientas_de_medición2064[Herramientas_de_medición], B304) &gt; 0, Herramientas_de_medición2064[[#Headers],[Herramientas_de_medición]],
    COUNTIF(Herrramientas_mecánicas2165[Herramientas_mecánicas], B304) &gt; 0, Herrramientas_mecánicas2165[[#Headers],[Herramientas_mecánicas]],
    COUNTIF(AK304:AK310, B304) &gt; 0, Herramientas_hidráulicas2266[[#Headers],[Herramientas_hidráulicas]],
    COUNTIF(EPP_2367[SPCC], B304) &gt; 0, EPP_2367[[#Headers],[SPCC]],
   COUNTIF(Herramientas_de_izaje2468[Herramientas_de_izaje], B304) &gt; 0, Herramientas_de_izaje2468[[#Headers],[Herramientas_de_izaje]],
COUNTIF(Tabla162670[Equipos], B304) &gt; 0, Tabla162670[[#Headers],[Equipos]],
    TRUE, "Sin clasificación"
)</f>
        <v>Sin clasificación</v>
      </c>
      <c r="G304" s="15"/>
      <c r="H304" s="47"/>
      <c r="I304" s="87"/>
      <c r="J304" s="78"/>
      <c r="K304" s="78"/>
      <c r="L304" s="78"/>
      <c r="M304" s="78"/>
      <c r="N304" s="76"/>
      <c r="O304" s="76"/>
      <c r="P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Q304" s="77"/>
      <c r="R304" s="32"/>
      <c r="S304" s="32"/>
      <c r="T304" s="32"/>
      <c r="U304" s="32"/>
    </row>
    <row r="305" spans="3:21" x14ac:dyDescent="0.3">
      <c r="C305" s="11"/>
      <c r="D305" s="32"/>
      <c r="E305" s="11" t="str" cm="1">
        <f t="array" ref="E305">_xlfn.IFS(
    COUNTIF(Herramientas_eléctricas1862[Herramientas_eléctricas], B305) &gt; 0, Herramientas_eléctricas1862[[#Headers],[Herramientas_eléctricas]],
    COUNTIF(Herramientas_neumáticas1963[Herramientas_neumáticas], B305) &gt; 0, Herramientas_neumáticas1963[[#Headers],[Herramientas_neumáticas]],
    COUNTIF(Herramientas_de_medición2064[Herramientas_de_medición], B305) &gt; 0, Herramientas_de_medición2064[[#Headers],[Herramientas_de_medición]],
    COUNTIF(Herrramientas_mecánicas2165[Herramientas_mecánicas], B305) &gt; 0, Herrramientas_mecánicas2165[[#Headers],[Herramientas_mecánicas]],
    COUNTIF(AK305:AK311, B305) &gt; 0, Herramientas_hidráulicas2266[[#Headers],[Herramientas_hidráulicas]],
    COUNTIF(EPP_2367[SPCC], B305) &gt; 0, EPP_2367[[#Headers],[SPCC]],
   COUNTIF(Herramientas_de_izaje2468[Herramientas_de_izaje], B305) &gt; 0, Herramientas_de_izaje2468[[#Headers],[Herramientas_de_izaje]],
COUNTIF(Tabla162670[Equipos], B305) &gt; 0, Tabla162670[[#Headers],[Equipos]],
    TRUE, "Sin clasificación"
)</f>
        <v>Sin clasificación</v>
      </c>
      <c r="G305" s="15"/>
      <c r="H305" s="47"/>
      <c r="I305" s="87"/>
      <c r="J305" s="78"/>
      <c r="K305" s="78"/>
      <c r="L305" s="78"/>
      <c r="M305" s="78"/>
      <c r="N305" s="76"/>
      <c r="O305" s="76"/>
      <c r="P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Q305" s="77"/>
      <c r="R305" s="32"/>
      <c r="S305" s="32"/>
      <c r="T305" s="32"/>
      <c r="U305" s="32"/>
    </row>
    <row r="306" spans="3:21" x14ac:dyDescent="0.3">
      <c r="C306" s="11"/>
      <c r="D306" s="32"/>
      <c r="E306" s="11" t="str" cm="1">
        <f t="array" ref="E306">_xlfn.IFS(
    COUNTIF(Herramientas_eléctricas1862[Herramientas_eléctricas], B306) &gt; 0, Herramientas_eléctricas1862[[#Headers],[Herramientas_eléctricas]],
    COUNTIF(Herramientas_neumáticas1963[Herramientas_neumáticas], B306) &gt; 0, Herramientas_neumáticas1963[[#Headers],[Herramientas_neumáticas]],
    COUNTIF(Herramientas_de_medición2064[Herramientas_de_medición], B306) &gt; 0, Herramientas_de_medición2064[[#Headers],[Herramientas_de_medición]],
    COUNTIF(Herrramientas_mecánicas2165[Herramientas_mecánicas], B306) &gt; 0, Herrramientas_mecánicas2165[[#Headers],[Herramientas_mecánicas]],
    COUNTIF(AK306:AK312, B306) &gt; 0, Herramientas_hidráulicas2266[[#Headers],[Herramientas_hidráulicas]],
    COUNTIF(EPP_2367[SPCC], B306) &gt; 0, EPP_2367[[#Headers],[SPCC]],
   COUNTIF(Herramientas_de_izaje2468[Herramientas_de_izaje], B306) &gt; 0, Herramientas_de_izaje2468[[#Headers],[Herramientas_de_izaje]],
COUNTIF(Tabla162670[Equipos], B306) &gt; 0, Tabla162670[[#Headers],[Equipos]],
    TRUE, "Sin clasificación"
)</f>
        <v>Sin clasificación</v>
      </c>
      <c r="G306" s="15"/>
      <c r="H306" s="47"/>
      <c r="I306" s="87"/>
      <c r="J306" s="78"/>
      <c r="K306" s="78"/>
      <c r="L306" s="78"/>
      <c r="M306" s="78"/>
      <c r="N306" s="76"/>
      <c r="O306" s="76"/>
      <c r="P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Q306" s="77"/>
      <c r="R306" s="32"/>
      <c r="S306" s="32"/>
      <c r="T306" s="32"/>
      <c r="U306" s="32"/>
    </row>
    <row r="307" spans="3:21" x14ac:dyDescent="0.3">
      <c r="C307" s="11"/>
      <c r="D307" s="32"/>
      <c r="E307" s="11" t="str" cm="1">
        <f t="array" ref="E307">_xlfn.IFS(
    COUNTIF(Herramientas_eléctricas1862[Herramientas_eléctricas], B307) &gt; 0, Herramientas_eléctricas1862[[#Headers],[Herramientas_eléctricas]],
    COUNTIF(Herramientas_neumáticas1963[Herramientas_neumáticas], B307) &gt; 0, Herramientas_neumáticas1963[[#Headers],[Herramientas_neumáticas]],
    COUNTIF(Herramientas_de_medición2064[Herramientas_de_medición], B307) &gt; 0, Herramientas_de_medición2064[[#Headers],[Herramientas_de_medición]],
    COUNTIF(Herrramientas_mecánicas2165[Herramientas_mecánicas], B307) &gt; 0, Herrramientas_mecánicas2165[[#Headers],[Herramientas_mecánicas]],
    COUNTIF(AK307:AK313, B307) &gt; 0, Herramientas_hidráulicas2266[[#Headers],[Herramientas_hidráulicas]],
    COUNTIF(EPP_2367[SPCC], B307) &gt; 0, EPP_2367[[#Headers],[SPCC]],
   COUNTIF(Herramientas_de_izaje2468[Herramientas_de_izaje], B307) &gt; 0, Herramientas_de_izaje2468[[#Headers],[Herramientas_de_izaje]],
COUNTIF(Tabla162670[Equipos], B307) &gt; 0, Tabla162670[[#Headers],[Equipos]],
    TRUE, "Sin clasificación"
)</f>
        <v>Sin clasificación</v>
      </c>
      <c r="G307" s="15"/>
      <c r="H307" s="47"/>
      <c r="I307" s="87"/>
      <c r="J307" s="78"/>
      <c r="K307" s="78"/>
      <c r="L307" s="78"/>
      <c r="M307" s="78"/>
      <c r="N307" s="76"/>
      <c r="O307" s="76"/>
      <c r="P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Q307" s="77"/>
      <c r="R307" s="32"/>
      <c r="S307" s="32"/>
      <c r="T307" s="32"/>
      <c r="U307" s="32"/>
    </row>
    <row r="308" spans="3:21" x14ac:dyDescent="0.3">
      <c r="C308" s="11"/>
      <c r="D308" s="32"/>
      <c r="E308" s="11" t="str" cm="1">
        <f t="array" ref="E308">_xlfn.IFS(
    COUNTIF(Herramientas_eléctricas1862[Herramientas_eléctricas], B308) &gt; 0, Herramientas_eléctricas1862[[#Headers],[Herramientas_eléctricas]],
    COUNTIF(Herramientas_neumáticas1963[Herramientas_neumáticas], B308) &gt; 0, Herramientas_neumáticas1963[[#Headers],[Herramientas_neumáticas]],
    COUNTIF(Herramientas_de_medición2064[Herramientas_de_medición], B308) &gt; 0, Herramientas_de_medición2064[[#Headers],[Herramientas_de_medición]],
    COUNTIF(Herrramientas_mecánicas2165[Herramientas_mecánicas], B308) &gt; 0, Herrramientas_mecánicas2165[[#Headers],[Herramientas_mecánicas]],
    COUNTIF(AK308:AK314, B308) &gt; 0, Herramientas_hidráulicas2266[[#Headers],[Herramientas_hidráulicas]],
    COUNTIF(EPP_2367[SPCC], B308) &gt; 0, EPP_2367[[#Headers],[SPCC]],
   COUNTIF(Herramientas_de_izaje2468[Herramientas_de_izaje], B308) &gt; 0, Herramientas_de_izaje2468[[#Headers],[Herramientas_de_izaje]],
COUNTIF(Tabla162670[Equipos], B308) &gt; 0, Tabla162670[[#Headers],[Equipos]],
    TRUE, "Sin clasificación"
)</f>
        <v>Sin clasificación</v>
      </c>
      <c r="G308" s="15"/>
      <c r="H308" s="47"/>
      <c r="I308" s="87"/>
      <c r="J308" s="78"/>
      <c r="K308" s="78"/>
      <c r="L308" s="78"/>
      <c r="M308" s="78"/>
      <c r="N308" s="76"/>
      <c r="O308" s="76"/>
      <c r="P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Q308" s="77"/>
      <c r="R308" s="32"/>
      <c r="S308" s="32"/>
      <c r="T308" s="32"/>
      <c r="U308" s="32"/>
    </row>
    <row r="309" spans="3:21" x14ac:dyDescent="0.3">
      <c r="C309" s="11"/>
      <c r="D309" s="32"/>
      <c r="E309" s="11" t="str" cm="1">
        <f t="array" ref="E309">_xlfn.IFS(
    COUNTIF(Herramientas_eléctricas1862[Herramientas_eléctricas], B309) &gt; 0, Herramientas_eléctricas1862[[#Headers],[Herramientas_eléctricas]],
    COUNTIF(Herramientas_neumáticas1963[Herramientas_neumáticas], B309) &gt; 0, Herramientas_neumáticas1963[[#Headers],[Herramientas_neumáticas]],
    COUNTIF(Herramientas_de_medición2064[Herramientas_de_medición], B309) &gt; 0, Herramientas_de_medición2064[[#Headers],[Herramientas_de_medición]],
    COUNTIF(Herrramientas_mecánicas2165[Herramientas_mecánicas], B309) &gt; 0, Herrramientas_mecánicas2165[[#Headers],[Herramientas_mecánicas]],
    COUNTIF(AK309:AK315, B309) &gt; 0, Herramientas_hidráulicas2266[[#Headers],[Herramientas_hidráulicas]],
    COUNTIF(EPP_2367[SPCC], B309) &gt; 0, EPP_2367[[#Headers],[SPCC]],
   COUNTIF(Herramientas_de_izaje2468[Herramientas_de_izaje], B309) &gt; 0, Herramientas_de_izaje2468[[#Headers],[Herramientas_de_izaje]],
COUNTIF(Tabla162670[Equipos], B309) &gt; 0, Tabla162670[[#Headers],[Equipos]],
    TRUE, "Sin clasificación"
)</f>
        <v>Sin clasificación</v>
      </c>
      <c r="G309" s="15"/>
      <c r="H309" s="47"/>
      <c r="I309" s="87"/>
      <c r="J309" s="78"/>
      <c r="K309" s="78"/>
      <c r="L309" s="78"/>
      <c r="M309" s="78"/>
      <c r="N309" s="76"/>
      <c r="O309" s="76"/>
      <c r="P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Q309" s="77"/>
      <c r="R309" s="32"/>
      <c r="S309" s="32"/>
      <c r="T309" s="32"/>
      <c r="U309" s="32"/>
    </row>
    <row r="310" spans="3:21" x14ac:dyDescent="0.3">
      <c r="C310" s="11"/>
      <c r="D310" s="32"/>
      <c r="E310" s="11" t="str" cm="1">
        <f t="array" ref="E310">_xlfn.IFS(
    COUNTIF(Herramientas_eléctricas1862[Herramientas_eléctricas], B310) &gt; 0, Herramientas_eléctricas1862[[#Headers],[Herramientas_eléctricas]],
    COUNTIF(Herramientas_neumáticas1963[Herramientas_neumáticas], B310) &gt; 0, Herramientas_neumáticas1963[[#Headers],[Herramientas_neumáticas]],
    COUNTIF(Herramientas_de_medición2064[Herramientas_de_medición], B310) &gt; 0, Herramientas_de_medición2064[[#Headers],[Herramientas_de_medición]],
    COUNTIF(Herrramientas_mecánicas2165[Herramientas_mecánicas], B310) &gt; 0, Herrramientas_mecánicas2165[[#Headers],[Herramientas_mecánicas]],
    COUNTIF(AK310:AK316, B310) &gt; 0, Herramientas_hidráulicas2266[[#Headers],[Herramientas_hidráulicas]],
    COUNTIF(EPP_2367[SPCC], B310) &gt; 0, EPP_2367[[#Headers],[SPCC]],
   COUNTIF(Herramientas_de_izaje2468[Herramientas_de_izaje], B310) &gt; 0, Herramientas_de_izaje2468[[#Headers],[Herramientas_de_izaje]],
COUNTIF(Tabla162670[Equipos], B310) &gt; 0, Tabla162670[[#Headers],[Equipos]],
    TRUE, "Sin clasificación"
)</f>
        <v>Sin clasificación</v>
      </c>
      <c r="G310" s="15"/>
      <c r="H310" s="47"/>
      <c r="I310" s="87"/>
      <c r="J310" s="78"/>
      <c r="K310" s="78"/>
      <c r="L310" s="78"/>
      <c r="M310" s="78"/>
      <c r="N310" s="76"/>
      <c r="O310" s="76"/>
      <c r="P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Q310" s="77"/>
      <c r="R310" s="32"/>
      <c r="S310" s="32"/>
      <c r="T310" s="32"/>
      <c r="U310" s="32"/>
    </row>
    <row r="311" spans="3:21" x14ac:dyDescent="0.3">
      <c r="C311" s="11"/>
      <c r="D311" s="32"/>
      <c r="E311" s="11" t="str" cm="1">
        <f t="array" ref="E311">_xlfn.IFS(
    COUNTIF(Herramientas_eléctricas1862[Herramientas_eléctricas], B311) &gt; 0, Herramientas_eléctricas1862[[#Headers],[Herramientas_eléctricas]],
    COUNTIF(Herramientas_neumáticas1963[Herramientas_neumáticas], B311) &gt; 0, Herramientas_neumáticas1963[[#Headers],[Herramientas_neumáticas]],
    COUNTIF(Herramientas_de_medición2064[Herramientas_de_medición], B311) &gt; 0, Herramientas_de_medición2064[[#Headers],[Herramientas_de_medición]],
    COUNTIF(Herrramientas_mecánicas2165[Herramientas_mecánicas], B311) &gt; 0, Herrramientas_mecánicas2165[[#Headers],[Herramientas_mecánicas]],
    COUNTIF(AK311:AK317, B311) &gt; 0, Herramientas_hidráulicas2266[[#Headers],[Herramientas_hidráulicas]],
    COUNTIF(EPP_2367[SPCC], B311) &gt; 0, EPP_2367[[#Headers],[SPCC]],
   COUNTIF(Herramientas_de_izaje2468[Herramientas_de_izaje], B311) &gt; 0, Herramientas_de_izaje2468[[#Headers],[Herramientas_de_izaje]],
COUNTIF(Tabla162670[Equipos], B311) &gt; 0, Tabla162670[[#Headers],[Equipos]],
    TRUE, "Sin clasificación"
)</f>
        <v>Sin clasificación</v>
      </c>
      <c r="G311" s="15"/>
      <c r="H311" s="47"/>
      <c r="I311" s="87"/>
      <c r="J311" s="78"/>
      <c r="K311" s="78"/>
      <c r="L311" s="78"/>
      <c r="M311" s="78"/>
      <c r="N311" s="76"/>
      <c r="O311" s="76"/>
      <c r="P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Q311" s="77"/>
      <c r="R311" s="32"/>
      <c r="S311" s="32"/>
      <c r="T311" s="32"/>
      <c r="U311" s="32"/>
    </row>
    <row r="312" spans="3:21" x14ac:dyDescent="0.3">
      <c r="C312" s="11"/>
      <c r="D312" s="32"/>
      <c r="E312" s="11" t="str" cm="1">
        <f t="array" ref="E312">_xlfn.IFS(
    COUNTIF(Herramientas_eléctricas1862[Herramientas_eléctricas], B312) &gt; 0, Herramientas_eléctricas1862[[#Headers],[Herramientas_eléctricas]],
    COUNTIF(Herramientas_neumáticas1963[Herramientas_neumáticas], B312) &gt; 0, Herramientas_neumáticas1963[[#Headers],[Herramientas_neumáticas]],
    COUNTIF(Herramientas_de_medición2064[Herramientas_de_medición], B312) &gt; 0, Herramientas_de_medición2064[[#Headers],[Herramientas_de_medición]],
    COUNTIF(Herrramientas_mecánicas2165[Herramientas_mecánicas], B312) &gt; 0, Herrramientas_mecánicas2165[[#Headers],[Herramientas_mecánicas]],
    COUNTIF(AK312:AK318, B312) &gt; 0, Herramientas_hidráulicas2266[[#Headers],[Herramientas_hidráulicas]],
    COUNTIF(EPP_2367[SPCC], B312) &gt; 0, EPP_2367[[#Headers],[SPCC]],
   COUNTIF(Herramientas_de_izaje2468[Herramientas_de_izaje], B312) &gt; 0, Herramientas_de_izaje2468[[#Headers],[Herramientas_de_izaje]],
COUNTIF(Tabla162670[Equipos], B312) &gt; 0, Tabla162670[[#Headers],[Equipos]],
    TRUE, "Sin clasificación"
)</f>
        <v>Sin clasificación</v>
      </c>
      <c r="G312" s="15"/>
      <c r="H312" s="47"/>
      <c r="I312" s="87"/>
      <c r="J312" s="78"/>
      <c r="K312" s="78"/>
      <c r="L312" s="78"/>
      <c r="M312" s="78"/>
      <c r="N312" s="76"/>
      <c r="O312" s="76"/>
      <c r="P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Q312" s="77"/>
      <c r="R312" s="32"/>
      <c r="S312" s="32"/>
      <c r="T312" s="32"/>
      <c r="U312" s="32"/>
    </row>
    <row r="313" spans="3:21" x14ac:dyDescent="0.3">
      <c r="C313" s="11"/>
      <c r="D313" s="32"/>
      <c r="E313" s="11" t="str" cm="1">
        <f t="array" ref="E313">_xlfn.IFS(
    COUNTIF(Herramientas_eléctricas1862[Herramientas_eléctricas], B313) &gt; 0, Herramientas_eléctricas1862[[#Headers],[Herramientas_eléctricas]],
    COUNTIF(Herramientas_neumáticas1963[Herramientas_neumáticas], B313) &gt; 0, Herramientas_neumáticas1963[[#Headers],[Herramientas_neumáticas]],
    COUNTIF(Herramientas_de_medición2064[Herramientas_de_medición], B313) &gt; 0, Herramientas_de_medición2064[[#Headers],[Herramientas_de_medición]],
    COUNTIF(Herrramientas_mecánicas2165[Herramientas_mecánicas], B313) &gt; 0, Herrramientas_mecánicas2165[[#Headers],[Herramientas_mecánicas]],
    COUNTIF(AK313:AK319, B313) &gt; 0, Herramientas_hidráulicas2266[[#Headers],[Herramientas_hidráulicas]],
    COUNTIF(EPP_2367[SPCC], B313) &gt; 0, EPP_2367[[#Headers],[SPCC]],
   COUNTIF(Herramientas_de_izaje2468[Herramientas_de_izaje], B313) &gt; 0, Herramientas_de_izaje2468[[#Headers],[Herramientas_de_izaje]],
COUNTIF(Tabla162670[Equipos], B313) &gt; 0, Tabla162670[[#Headers],[Equipos]],
    TRUE, "Sin clasificación"
)</f>
        <v>Sin clasificación</v>
      </c>
      <c r="G313" s="15"/>
      <c r="H313" s="47"/>
      <c r="I313" s="87"/>
      <c r="J313" s="78"/>
      <c r="K313" s="78"/>
      <c r="L313" s="78"/>
      <c r="M313" s="78"/>
      <c r="N313" s="76"/>
      <c r="O313" s="76"/>
      <c r="P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Q313" s="77"/>
      <c r="R313" s="32"/>
      <c r="S313" s="32"/>
      <c r="T313" s="32"/>
      <c r="U313" s="32"/>
    </row>
    <row r="314" spans="3:21" x14ac:dyDescent="0.3">
      <c r="C314" s="11"/>
      <c r="D314" s="32"/>
      <c r="E314" s="11" t="str" cm="1">
        <f t="array" ref="E314">_xlfn.IFS(
    COUNTIF(Herramientas_eléctricas1862[Herramientas_eléctricas], B314) &gt; 0, Herramientas_eléctricas1862[[#Headers],[Herramientas_eléctricas]],
    COUNTIF(Herramientas_neumáticas1963[Herramientas_neumáticas], B314) &gt; 0, Herramientas_neumáticas1963[[#Headers],[Herramientas_neumáticas]],
    COUNTIF(Herramientas_de_medición2064[Herramientas_de_medición], B314) &gt; 0, Herramientas_de_medición2064[[#Headers],[Herramientas_de_medición]],
    COUNTIF(Herrramientas_mecánicas2165[Herramientas_mecánicas], B314) &gt; 0, Herrramientas_mecánicas2165[[#Headers],[Herramientas_mecánicas]],
    COUNTIF(AK314:AK320, B314) &gt; 0, Herramientas_hidráulicas2266[[#Headers],[Herramientas_hidráulicas]],
    COUNTIF(EPP_2367[SPCC], B314) &gt; 0, EPP_2367[[#Headers],[SPCC]],
   COUNTIF(Herramientas_de_izaje2468[Herramientas_de_izaje], B314) &gt; 0, Herramientas_de_izaje2468[[#Headers],[Herramientas_de_izaje]],
COUNTIF(Tabla162670[Equipos], B314) &gt; 0, Tabla162670[[#Headers],[Equipos]],
    TRUE, "Sin clasificación"
)</f>
        <v>Sin clasificación</v>
      </c>
      <c r="G314" s="15"/>
      <c r="H314" s="47"/>
      <c r="I314" s="87"/>
      <c r="J314" s="78"/>
      <c r="K314" s="78"/>
      <c r="L314" s="78"/>
      <c r="M314" s="78"/>
      <c r="N314" s="76"/>
      <c r="O314" s="76"/>
      <c r="P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Q314" s="77"/>
      <c r="R314" s="32"/>
      <c r="S314" s="32"/>
      <c r="T314" s="32"/>
      <c r="U314" s="32"/>
    </row>
    <row r="315" spans="3:21" x14ac:dyDescent="0.3">
      <c r="C315" s="11"/>
      <c r="D315" s="32"/>
      <c r="E315" s="11" t="str" cm="1">
        <f t="array" ref="E315">_xlfn.IFS(
    COUNTIF(Herramientas_eléctricas1862[Herramientas_eléctricas], B315) &gt; 0, Herramientas_eléctricas1862[[#Headers],[Herramientas_eléctricas]],
    COUNTIF(Herramientas_neumáticas1963[Herramientas_neumáticas], B315) &gt; 0, Herramientas_neumáticas1963[[#Headers],[Herramientas_neumáticas]],
    COUNTIF(Herramientas_de_medición2064[Herramientas_de_medición], B315) &gt; 0, Herramientas_de_medición2064[[#Headers],[Herramientas_de_medición]],
    COUNTIF(Herrramientas_mecánicas2165[Herramientas_mecánicas], B315) &gt; 0, Herrramientas_mecánicas2165[[#Headers],[Herramientas_mecánicas]],
    COUNTIF(AK315:AK321, B315) &gt; 0, Herramientas_hidráulicas2266[[#Headers],[Herramientas_hidráulicas]],
    COUNTIF(EPP_2367[SPCC], B315) &gt; 0, EPP_2367[[#Headers],[SPCC]],
   COUNTIF(Herramientas_de_izaje2468[Herramientas_de_izaje], B315) &gt; 0, Herramientas_de_izaje2468[[#Headers],[Herramientas_de_izaje]],
COUNTIF(Tabla162670[Equipos], B315) &gt; 0, Tabla162670[[#Headers],[Equipos]],
    TRUE, "Sin clasificación"
)</f>
        <v>Sin clasificación</v>
      </c>
      <c r="G315" s="15"/>
      <c r="H315" s="47"/>
      <c r="I315" s="87"/>
      <c r="J315" s="78"/>
      <c r="K315" s="78"/>
      <c r="L315" s="78"/>
      <c r="M315" s="78"/>
      <c r="N315" s="76"/>
      <c r="O315" s="76"/>
      <c r="P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Q315" s="77"/>
      <c r="R315" s="32"/>
      <c r="S315" s="32"/>
      <c r="T315" s="32"/>
      <c r="U315" s="32"/>
    </row>
    <row r="316" spans="3:21" x14ac:dyDescent="0.3">
      <c r="C316" s="11"/>
      <c r="D316" s="32"/>
      <c r="E316" s="11" t="str" cm="1">
        <f t="array" ref="E316">_xlfn.IFS(
    COUNTIF(Herramientas_eléctricas1862[Herramientas_eléctricas], B316) &gt; 0, Herramientas_eléctricas1862[[#Headers],[Herramientas_eléctricas]],
    COUNTIF(Herramientas_neumáticas1963[Herramientas_neumáticas], B316) &gt; 0, Herramientas_neumáticas1963[[#Headers],[Herramientas_neumáticas]],
    COUNTIF(Herramientas_de_medición2064[Herramientas_de_medición], B316) &gt; 0, Herramientas_de_medición2064[[#Headers],[Herramientas_de_medición]],
    COUNTIF(Herrramientas_mecánicas2165[Herramientas_mecánicas], B316) &gt; 0, Herrramientas_mecánicas2165[[#Headers],[Herramientas_mecánicas]],
    COUNTIF(AK316:AK322, B316) &gt; 0, Herramientas_hidráulicas2266[[#Headers],[Herramientas_hidráulicas]],
    COUNTIF(EPP_2367[SPCC], B316) &gt; 0, EPP_2367[[#Headers],[SPCC]],
   COUNTIF(Herramientas_de_izaje2468[Herramientas_de_izaje], B316) &gt; 0, Herramientas_de_izaje2468[[#Headers],[Herramientas_de_izaje]],
COUNTIF(Tabla162670[Equipos], B316) &gt; 0, Tabla162670[[#Headers],[Equipos]],
    TRUE, "Sin clasificación"
)</f>
        <v>Sin clasificación</v>
      </c>
      <c r="G316" s="15"/>
      <c r="H316" s="47"/>
      <c r="I316" s="87"/>
      <c r="J316" s="78"/>
      <c r="K316" s="78"/>
      <c r="L316" s="78"/>
      <c r="M316" s="78"/>
      <c r="N316" s="76"/>
      <c r="O316" s="76"/>
      <c r="P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Q316" s="77"/>
      <c r="R316" s="32"/>
      <c r="S316" s="32"/>
      <c r="T316" s="32"/>
      <c r="U316" s="32"/>
    </row>
    <row r="317" spans="3:21" x14ac:dyDescent="0.3">
      <c r="C317" s="11"/>
      <c r="D317" s="32"/>
      <c r="E317" s="11" t="str" cm="1">
        <f t="array" ref="E317">_xlfn.IFS(
    COUNTIF(Herramientas_eléctricas1862[Herramientas_eléctricas], B317) &gt; 0, Herramientas_eléctricas1862[[#Headers],[Herramientas_eléctricas]],
    COUNTIF(Herramientas_neumáticas1963[Herramientas_neumáticas], B317) &gt; 0, Herramientas_neumáticas1963[[#Headers],[Herramientas_neumáticas]],
    COUNTIF(Herramientas_de_medición2064[Herramientas_de_medición], B317) &gt; 0, Herramientas_de_medición2064[[#Headers],[Herramientas_de_medición]],
    COUNTIF(Herrramientas_mecánicas2165[Herramientas_mecánicas], B317) &gt; 0, Herrramientas_mecánicas2165[[#Headers],[Herramientas_mecánicas]],
    COUNTIF(AK317:AK323, B317) &gt; 0, Herramientas_hidráulicas2266[[#Headers],[Herramientas_hidráulicas]],
    COUNTIF(EPP_2367[SPCC], B317) &gt; 0, EPP_2367[[#Headers],[SPCC]],
   COUNTIF(Herramientas_de_izaje2468[Herramientas_de_izaje], B317) &gt; 0, Herramientas_de_izaje2468[[#Headers],[Herramientas_de_izaje]],
COUNTIF(Tabla162670[Equipos], B317) &gt; 0, Tabla162670[[#Headers],[Equipos]],
    TRUE, "Sin clasificación"
)</f>
        <v>Sin clasificación</v>
      </c>
      <c r="G317" s="15"/>
      <c r="H317" s="47"/>
      <c r="I317" s="87"/>
      <c r="J317" s="78"/>
      <c r="K317" s="78"/>
      <c r="L317" s="78"/>
      <c r="M317" s="78"/>
      <c r="N317" s="76"/>
      <c r="O317" s="76"/>
      <c r="P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Q317" s="77"/>
      <c r="R317" s="32"/>
      <c r="S317" s="32"/>
      <c r="T317" s="32"/>
      <c r="U317" s="32"/>
    </row>
    <row r="318" spans="3:21" x14ac:dyDescent="0.3">
      <c r="C318" s="11"/>
      <c r="D318" s="32"/>
      <c r="E318" s="11" t="str" cm="1">
        <f t="array" ref="E318">_xlfn.IFS(
    COUNTIF(Herramientas_eléctricas1862[Herramientas_eléctricas], B318) &gt; 0, Herramientas_eléctricas1862[[#Headers],[Herramientas_eléctricas]],
    COUNTIF(Herramientas_neumáticas1963[Herramientas_neumáticas], B318) &gt; 0, Herramientas_neumáticas1963[[#Headers],[Herramientas_neumáticas]],
    COUNTIF(Herramientas_de_medición2064[Herramientas_de_medición], B318) &gt; 0, Herramientas_de_medición2064[[#Headers],[Herramientas_de_medición]],
    COUNTIF(Herrramientas_mecánicas2165[Herramientas_mecánicas], B318) &gt; 0, Herrramientas_mecánicas2165[[#Headers],[Herramientas_mecánicas]],
    COUNTIF(AK318:AK324, B318) &gt; 0, Herramientas_hidráulicas2266[[#Headers],[Herramientas_hidráulicas]],
    COUNTIF(EPP_2367[SPCC], B318) &gt; 0, EPP_2367[[#Headers],[SPCC]],
   COUNTIF(Herramientas_de_izaje2468[Herramientas_de_izaje], B318) &gt; 0, Herramientas_de_izaje2468[[#Headers],[Herramientas_de_izaje]],
COUNTIF(Tabla162670[Equipos], B318) &gt; 0, Tabla162670[[#Headers],[Equipos]],
    TRUE, "Sin clasificación"
)</f>
        <v>Sin clasificación</v>
      </c>
      <c r="G318" s="15"/>
      <c r="H318" s="47"/>
      <c r="I318" s="87"/>
      <c r="J318" s="78"/>
      <c r="K318" s="78"/>
      <c r="L318" s="78"/>
      <c r="M318" s="78"/>
      <c r="N318" s="76"/>
      <c r="O318" s="76"/>
      <c r="P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Q318" s="77"/>
      <c r="R318" s="32"/>
      <c r="S318" s="32"/>
      <c r="T318" s="32"/>
      <c r="U318" s="32"/>
    </row>
    <row r="319" spans="3:21" x14ac:dyDescent="0.3">
      <c r="C319" s="11"/>
      <c r="D319" s="32"/>
      <c r="E319" s="11" t="str" cm="1">
        <f t="array" ref="E319">_xlfn.IFS(
    COUNTIF(Herramientas_eléctricas1862[Herramientas_eléctricas], B319) &gt; 0, Herramientas_eléctricas1862[[#Headers],[Herramientas_eléctricas]],
    COUNTIF(Herramientas_neumáticas1963[Herramientas_neumáticas], B319) &gt; 0, Herramientas_neumáticas1963[[#Headers],[Herramientas_neumáticas]],
    COUNTIF(Herramientas_de_medición2064[Herramientas_de_medición], B319) &gt; 0, Herramientas_de_medición2064[[#Headers],[Herramientas_de_medición]],
    COUNTIF(Herrramientas_mecánicas2165[Herramientas_mecánicas], B319) &gt; 0, Herrramientas_mecánicas2165[[#Headers],[Herramientas_mecánicas]],
    COUNTIF(AK319:AK325, B319) &gt; 0, Herramientas_hidráulicas2266[[#Headers],[Herramientas_hidráulicas]],
    COUNTIF(EPP_2367[SPCC], B319) &gt; 0, EPP_2367[[#Headers],[SPCC]],
   COUNTIF(Herramientas_de_izaje2468[Herramientas_de_izaje], B319) &gt; 0, Herramientas_de_izaje2468[[#Headers],[Herramientas_de_izaje]],
COUNTIF(Tabla162670[Equipos], B319) &gt; 0, Tabla162670[[#Headers],[Equipos]],
    TRUE, "Sin clasificación"
)</f>
        <v>Sin clasificación</v>
      </c>
      <c r="G319" s="15"/>
      <c r="H319" s="47"/>
      <c r="I319" s="87"/>
      <c r="J319" s="78"/>
      <c r="K319" s="78"/>
      <c r="L319" s="78"/>
      <c r="M319" s="78"/>
      <c r="N319" s="76"/>
      <c r="O319" s="76"/>
      <c r="P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Q319" s="77"/>
      <c r="R319" s="32"/>
      <c r="S319" s="32"/>
      <c r="T319" s="32"/>
      <c r="U319" s="32"/>
    </row>
    <row r="320" spans="3:21" x14ac:dyDescent="0.3">
      <c r="C320" s="11"/>
      <c r="D320" s="32"/>
      <c r="E320" s="11" t="str" cm="1">
        <f t="array" ref="E320">_xlfn.IFS(
    COUNTIF(Herramientas_eléctricas1862[Herramientas_eléctricas], B320) &gt; 0, Herramientas_eléctricas1862[[#Headers],[Herramientas_eléctricas]],
    COUNTIF(Herramientas_neumáticas1963[Herramientas_neumáticas], B320) &gt; 0, Herramientas_neumáticas1963[[#Headers],[Herramientas_neumáticas]],
    COUNTIF(Herramientas_de_medición2064[Herramientas_de_medición], B320) &gt; 0, Herramientas_de_medición2064[[#Headers],[Herramientas_de_medición]],
    COUNTIF(Herrramientas_mecánicas2165[Herramientas_mecánicas], B320) &gt; 0, Herrramientas_mecánicas2165[[#Headers],[Herramientas_mecánicas]],
    COUNTIF(AK320:AK326, B320) &gt; 0, Herramientas_hidráulicas2266[[#Headers],[Herramientas_hidráulicas]],
    COUNTIF(EPP_2367[SPCC], B320) &gt; 0, EPP_2367[[#Headers],[SPCC]],
   COUNTIF(Herramientas_de_izaje2468[Herramientas_de_izaje], B320) &gt; 0, Herramientas_de_izaje2468[[#Headers],[Herramientas_de_izaje]],
COUNTIF(Tabla162670[Equipos], B320) &gt; 0, Tabla162670[[#Headers],[Equipos]],
    TRUE, "Sin clasificación"
)</f>
        <v>Sin clasificación</v>
      </c>
      <c r="G320" s="15"/>
      <c r="H320" s="47"/>
      <c r="I320" s="87"/>
      <c r="J320" s="78"/>
      <c r="K320" s="78"/>
      <c r="L320" s="78"/>
      <c r="M320" s="78"/>
      <c r="N320" s="76"/>
      <c r="O320" s="76"/>
      <c r="P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Q320" s="77"/>
      <c r="R320" s="32"/>
      <c r="S320" s="32"/>
      <c r="T320" s="32"/>
      <c r="U320" s="32"/>
    </row>
    <row r="321" spans="3:21" x14ac:dyDescent="0.3">
      <c r="C321" s="11"/>
      <c r="D321" s="32"/>
      <c r="E321" s="11" t="str" cm="1">
        <f t="array" ref="E321">_xlfn.IFS(
    COUNTIF(Herramientas_eléctricas1862[Herramientas_eléctricas], B321) &gt; 0, Herramientas_eléctricas1862[[#Headers],[Herramientas_eléctricas]],
    COUNTIF(Herramientas_neumáticas1963[Herramientas_neumáticas], B321) &gt; 0, Herramientas_neumáticas1963[[#Headers],[Herramientas_neumáticas]],
    COUNTIF(Herramientas_de_medición2064[Herramientas_de_medición], B321) &gt; 0, Herramientas_de_medición2064[[#Headers],[Herramientas_de_medición]],
    COUNTIF(Herrramientas_mecánicas2165[Herramientas_mecánicas], B321) &gt; 0, Herrramientas_mecánicas2165[[#Headers],[Herramientas_mecánicas]],
    COUNTIF(AK321:AK327, B321) &gt; 0, Herramientas_hidráulicas2266[[#Headers],[Herramientas_hidráulicas]],
    COUNTIF(EPP_2367[SPCC], B321) &gt; 0, EPP_2367[[#Headers],[SPCC]],
   COUNTIF(Herramientas_de_izaje2468[Herramientas_de_izaje], B321) &gt; 0, Herramientas_de_izaje2468[[#Headers],[Herramientas_de_izaje]],
COUNTIF(Tabla162670[Equipos], B321) &gt; 0, Tabla162670[[#Headers],[Equipos]],
    TRUE, "Sin clasificación"
)</f>
        <v>Sin clasificación</v>
      </c>
      <c r="G321" s="15"/>
      <c r="H321" s="47"/>
      <c r="I321" s="87"/>
      <c r="J321" s="78"/>
      <c r="K321" s="78"/>
      <c r="L321" s="78"/>
      <c r="M321" s="78"/>
      <c r="N321" s="76"/>
      <c r="O321" s="76"/>
      <c r="P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Q321" s="77"/>
      <c r="R321" s="32"/>
      <c r="S321" s="32"/>
      <c r="T321" s="32"/>
      <c r="U321" s="32"/>
    </row>
    <row r="322" spans="3:21" x14ac:dyDescent="0.3">
      <c r="C322" s="11"/>
      <c r="D322" s="32"/>
      <c r="E322" s="11" t="str" cm="1">
        <f t="array" ref="E322">_xlfn.IFS(
    COUNTIF(Herramientas_eléctricas1862[Herramientas_eléctricas], B322) &gt; 0, Herramientas_eléctricas1862[[#Headers],[Herramientas_eléctricas]],
    COUNTIF(Herramientas_neumáticas1963[Herramientas_neumáticas], B322) &gt; 0, Herramientas_neumáticas1963[[#Headers],[Herramientas_neumáticas]],
    COUNTIF(Herramientas_de_medición2064[Herramientas_de_medición], B322) &gt; 0, Herramientas_de_medición2064[[#Headers],[Herramientas_de_medición]],
    COUNTIF(Herrramientas_mecánicas2165[Herramientas_mecánicas], B322) &gt; 0, Herrramientas_mecánicas2165[[#Headers],[Herramientas_mecánicas]],
    COUNTIF(AK322:AK328, B322) &gt; 0, Herramientas_hidráulicas2266[[#Headers],[Herramientas_hidráulicas]],
    COUNTIF(EPP_2367[SPCC], B322) &gt; 0, EPP_2367[[#Headers],[SPCC]],
   COUNTIF(Herramientas_de_izaje2468[Herramientas_de_izaje], B322) &gt; 0, Herramientas_de_izaje2468[[#Headers],[Herramientas_de_izaje]],
COUNTIF(Tabla162670[Equipos], B322) &gt; 0, Tabla162670[[#Headers],[Equipos]],
    TRUE, "Sin clasificación"
)</f>
        <v>Sin clasificación</v>
      </c>
      <c r="G322" s="15"/>
      <c r="H322" s="47"/>
      <c r="I322" s="87"/>
      <c r="J322" s="78"/>
      <c r="K322" s="78"/>
      <c r="L322" s="78"/>
      <c r="M322" s="78"/>
      <c r="N322" s="76"/>
      <c r="O322" s="76"/>
      <c r="P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Q322" s="77"/>
      <c r="R322" s="32"/>
      <c r="S322" s="32"/>
      <c r="T322" s="32"/>
      <c r="U322" s="32"/>
    </row>
    <row r="323" spans="3:21" x14ac:dyDescent="0.3">
      <c r="C323" s="11"/>
      <c r="D323" s="32"/>
      <c r="E323" s="11" t="str" cm="1">
        <f t="array" ref="E323">_xlfn.IFS(
    COUNTIF(Herramientas_eléctricas1862[Herramientas_eléctricas], B323) &gt; 0, Herramientas_eléctricas1862[[#Headers],[Herramientas_eléctricas]],
    COUNTIF(Herramientas_neumáticas1963[Herramientas_neumáticas], B323) &gt; 0, Herramientas_neumáticas1963[[#Headers],[Herramientas_neumáticas]],
    COUNTIF(Herramientas_de_medición2064[Herramientas_de_medición], B323) &gt; 0, Herramientas_de_medición2064[[#Headers],[Herramientas_de_medición]],
    COUNTIF(Herrramientas_mecánicas2165[Herramientas_mecánicas], B323) &gt; 0, Herrramientas_mecánicas2165[[#Headers],[Herramientas_mecánicas]],
    COUNTIF(AK323:AK329, B323) &gt; 0, Herramientas_hidráulicas2266[[#Headers],[Herramientas_hidráulicas]],
    COUNTIF(EPP_2367[SPCC], B323) &gt; 0, EPP_2367[[#Headers],[SPCC]],
   COUNTIF(Herramientas_de_izaje2468[Herramientas_de_izaje], B323) &gt; 0, Herramientas_de_izaje2468[[#Headers],[Herramientas_de_izaje]],
COUNTIF(Tabla162670[Equipos], B323) &gt; 0, Tabla162670[[#Headers],[Equipos]],
    TRUE, "Sin clasificación"
)</f>
        <v>Sin clasificación</v>
      </c>
      <c r="G323" s="15"/>
      <c r="H323" s="47"/>
      <c r="I323" s="87"/>
      <c r="J323" s="78"/>
      <c r="K323" s="78"/>
      <c r="L323" s="78"/>
      <c r="M323" s="78"/>
      <c r="N323" s="76"/>
      <c r="O323" s="76"/>
      <c r="P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Q323" s="77"/>
      <c r="R323" s="32"/>
      <c r="S323" s="32"/>
      <c r="T323" s="32"/>
      <c r="U323" s="32"/>
    </row>
    <row r="324" spans="3:21" x14ac:dyDescent="0.3">
      <c r="C324" s="11"/>
      <c r="D324" s="32"/>
      <c r="E324" s="11" t="str" cm="1">
        <f t="array" ref="E324">_xlfn.IFS(
    COUNTIF(Herramientas_eléctricas1862[Herramientas_eléctricas], B324) &gt; 0, Herramientas_eléctricas1862[[#Headers],[Herramientas_eléctricas]],
    COUNTIF(Herramientas_neumáticas1963[Herramientas_neumáticas], B324) &gt; 0, Herramientas_neumáticas1963[[#Headers],[Herramientas_neumáticas]],
    COUNTIF(Herramientas_de_medición2064[Herramientas_de_medición], B324) &gt; 0, Herramientas_de_medición2064[[#Headers],[Herramientas_de_medición]],
    COUNTIF(Herrramientas_mecánicas2165[Herramientas_mecánicas], B324) &gt; 0, Herrramientas_mecánicas2165[[#Headers],[Herramientas_mecánicas]],
    COUNTIF(AK324:AK330, B324) &gt; 0, Herramientas_hidráulicas2266[[#Headers],[Herramientas_hidráulicas]],
    COUNTIF(EPP_2367[SPCC], B324) &gt; 0, EPP_2367[[#Headers],[SPCC]],
   COUNTIF(Herramientas_de_izaje2468[Herramientas_de_izaje], B324) &gt; 0, Herramientas_de_izaje2468[[#Headers],[Herramientas_de_izaje]],
COUNTIF(Tabla162670[Equipos], B324) &gt; 0, Tabla162670[[#Headers],[Equipos]],
    TRUE, "Sin clasificación"
)</f>
        <v>Sin clasificación</v>
      </c>
      <c r="G324" s="15"/>
      <c r="H324" s="47"/>
      <c r="I324" s="87"/>
      <c r="J324" s="78"/>
      <c r="K324" s="78"/>
      <c r="L324" s="78"/>
      <c r="M324" s="78"/>
      <c r="N324" s="76"/>
      <c r="O324" s="76"/>
      <c r="P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Q324" s="77"/>
      <c r="R324" s="32"/>
      <c r="S324" s="32"/>
      <c r="T324" s="32"/>
      <c r="U324" s="32"/>
    </row>
    <row r="325" spans="3:21" x14ac:dyDescent="0.3">
      <c r="C325" s="11"/>
      <c r="D325" s="32"/>
      <c r="E325" s="11" t="str" cm="1">
        <f t="array" ref="E325">_xlfn.IFS(
    COUNTIF(Herramientas_eléctricas1862[Herramientas_eléctricas], B325) &gt; 0, Herramientas_eléctricas1862[[#Headers],[Herramientas_eléctricas]],
    COUNTIF(Herramientas_neumáticas1963[Herramientas_neumáticas], B325) &gt; 0, Herramientas_neumáticas1963[[#Headers],[Herramientas_neumáticas]],
    COUNTIF(Herramientas_de_medición2064[Herramientas_de_medición], B325) &gt; 0, Herramientas_de_medición2064[[#Headers],[Herramientas_de_medición]],
    COUNTIF(Herrramientas_mecánicas2165[Herramientas_mecánicas], B325) &gt; 0, Herrramientas_mecánicas2165[[#Headers],[Herramientas_mecánicas]],
    COUNTIF(AK325:AK331, B325) &gt; 0, Herramientas_hidráulicas2266[[#Headers],[Herramientas_hidráulicas]],
    COUNTIF(EPP_2367[SPCC], B325) &gt; 0, EPP_2367[[#Headers],[SPCC]],
   COUNTIF(Herramientas_de_izaje2468[Herramientas_de_izaje], B325) &gt; 0, Herramientas_de_izaje2468[[#Headers],[Herramientas_de_izaje]],
COUNTIF(Tabla162670[Equipos], B325) &gt; 0, Tabla162670[[#Headers],[Equipos]],
    TRUE, "Sin clasificación"
)</f>
        <v>Sin clasificación</v>
      </c>
      <c r="G325" s="15"/>
      <c r="H325" s="47"/>
      <c r="I325" s="87"/>
      <c r="J325" s="78"/>
      <c r="K325" s="78"/>
      <c r="L325" s="78"/>
      <c r="M325" s="78"/>
      <c r="N325" s="76"/>
      <c r="O325" s="76"/>
      <c r="P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Q325" s="77"/>
      <c r="R325" s="32"/>
      <c r="S325" s="32"/>
      <c r="T325" s="32"/>
      <c r="U325" s="32"/>
    </row>
    <row r="326" spans="3:21" x14ac:dyDescent="0.3">
      <c r="C326" s="11"/>
      <c r="D326" s="32"/>
      <c r="E326" s="11" t="str" cm="1">
        <f t="array" ref="E326">_xlfn.IFS(
    COUNTIF(Herramientas_eléctricas1862[Herramientas_eléctricas], B326) &gt; 0, Herramientas_eléctricas1862[[#Headers],[Herramientas_eléctricas]],
    COUNTIF(Herramientas_neumáticas1963[Herramientas_neumáticas], B326) &gt; 0, Herramientas_neumáticas1963[[#Headers],[Herramientas_neumáticas]],
    COUNTIF(Herramientas_de_medición2064[Herramientas_de_medición], B326) &gt; 0, Herramientas_de_medición2064[[#Headers],[Herramientas_de_medición]],
    COUNTIF(Herrramientas_mecánicas2165[Herramientas_mecánicas], B326) &gt; 0, Herrramientas_mecánicas2165[[#Headers],[Herramientas_mecánicas]],
    COUNTIF(AK326:AK332, B326) &gt; 0, Herramientas_hidráulicas2266[[#Headers],[Herramientas_hidráulicas]],
    COUNTIF(EPP_2367[SPCC], B326) &gt; 0, EPP_2367[[#Headers],[SPCC]],
   COUNTIF(Herramientas_de_izaje2468[Herramientas_de_izaje], B326) &gt; 0, Herramientas_de_izaje2468[[#Headers],[Herramientas_de_izaje]],
COUNTIF(Tabla162670[Equipos], B326) &gt; 0, Tabla162670[[#Headers],[Equipos]],
    TRUE, "Sin clasificación"
)</f>
        <v>Sin clasificación</v>
      </c>
      <c r="G326" s="15"/>
      <c r="H326" s="47"/>
      <c r="I326" s="87"/>
      <c r="J326" s="78"/>
      <c r="K326" s="78"/>
      <c r="L326" s="78"/>
      <c r="M326" s="78"/>
      <c r="N326" s="76"/>
      <c r="O326" s="76"/>
      <c r="P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Q326" s="77"/>
      <c r="R326" s="32"/>
      <c r="S326" s="32"/>
      <c r="T326" s="32"/>
      <c r="U326" s="32"/>
    </row>
    <row r="327" spans="3:21" x14ac:dyDescent="0.3">
      <c r="C327" s="11"/>
      <c r="D327" s="32"/>
      <c r="E327" s="11" t="str" cm="1">
        <f t="array" ref="E327">_xlfn.IFS(
    COUNTIF(Herramientas_eléctricas1862[Herramientas_eléctricas], B327) &gt; 0, Herramientas_eléctricas1862[[#Headers],[Herramientas_eléctricas]],
    COUNTIF(Herramientas_neumáticas1963[Herramientas_neumáticas], B327) &gt; 0, Herramientas_neumáticas1963[[#Headers],[Herramientas_neumáticas]],
    COUNTIF(Herramientas_de_medición2064[Herramientas_de_medición], B327) &gt; 0, Herramientas_de_medición2064[[#Headers],[Herramientas_de_medición]],
    COUNTIF(Herrramientas_mecánicas2165[Herramientas_mecánicas], B327) &gt; 0, Herrramientas_mecánicas2165[[#Headers],[Herramientas_mecánicas]],
    COUNTIF(AK327:AK333, B327) &gt; 0, Herramientas_hidráulicas2266[[#Headers],[Herramientas_hidráulicas]],
    COUNTIF(EPP_2367[SPCC], B327) &gt; 0, EPP_2367[[#Headers],[SPCC]],
   COUNTIF(Herramientas_de_izaje2468[Herramientas_de_izaje], B327) &gt; 0, Herramientas_de_izaje2468[[#Headers],[Herramientas_de_izaje]],
COUNTIF(Tabla162670[Equipos], B327) &gt; 0, Tabla162670[[#Headers],[Equipos]],
    TRUE, "Sin clasificación"
)</f>
        <v>Sin clasificación</v>
      </c>
      <c r="G327" s="15"/>
      <c r="H327" s="47"/>
      <c r="I327" s="87"/>
      <c r="J327" s="78"/>
      <c r="K327" s="78"/>
      <c r="L327" s="78"/>
      <c r="M327" s="78"/>
      <c r="N327" s="76"/>
      <c r="O327" s="76"/>
      <c r="P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Q327" s="77"/>
      <c r="R327" s="32"/>
      <c r="S327" s="32"/>
      <c r="T327" s="32"/>
      <c r="U327" s="32"/>
    </row>
    <row r="328" spans="3:21" x14ac:dyDescent="0.3">
      <c r="C328" s="11"/>
      <c r="D328" s="32"/>
      <c r="E328" s="11" t="str" cm="1">
        <f t="array" ref="E328">_xlfn.IFS(
    COUNTIF(Herramientas_eléctricas1862[Herramientas_eléctricas], B328) &gt; 0, Herramientas_eléctricas1862[[#Headers],[Herramientas_eléctricas]],
    COUNTIF(Herramientas_neumáticas1963[Herramientas_neumáticas], B328) &gt; 0, Herramientas_neumáticas1963[[#Headers],[Herramientas_neumáticas]],
    COUNTIF(Herramientas_de_medición2064[Herramientas_de_medición], B328) &gt; 0, Herramientas_de_medición2064[[#Headers],[Herramientas_de_medición]],
    COUNTIF(Herrramientas_mecánicas2165[Herramientas_mecánicas], B328) &gt; 0, Herrramientas_mecánicas2165[[#Headers],[Herramientas_mecánicas]],
    COUNTIF(AK328:AK334, B328) &gt; 0, Herramientas_hidráulicas2266[[#Headers],[Herramientas_hidráulicas]],
    COUNTIF(EPP_2367[SPCC], B328) &gt; 0, EPP_2367[[#Headers],[SPCC]],
   COUNTIF(Herramientas_de_izaje2468[Herramientas_de_izaje], B328) &gt; 0, Herramientas_de_izaje2468[[#Headers],[Herramientas_de_izaje]],
COUNTIF(Tabla162670[Equipos], B328) &gt; 0, Tabla162670[[#Headers],[Equipos]],
    TRUE, "Sin clasificación"
)</f>
        <v>Sin clasificación</v>
      </c>
      <c r="G328" s="15"/>
      <c r="H328" s="47"/>
      <c r="I328" s="87"/>
      <c r="J328" s="78"/>
      <c r="K328" s="78"/>
      <c r="L328" s="78"/>
      <c r="M328" s="78"/>
      <c r="N328" s="76"/>
      <c r="O328" s="76"/>
      <c r="P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Q328" s="77"/>
      <c r="R328" s="32"/>
      <c r="S328" s="32"/>
      <c r="T328" s="32"/>
      <c r="U328" s="32"/>
    </row>
    <row r="329" spans="3:21" x14ac:dyDescent="0.3">
      <c r="C329" s="11"/>
      <c r="D329" s="32"/>
      <c r="E329" s="11" t="str" cm="1">
        <f t="array" ref="E329">_xlfn.IFS(
    COUNTIF(Herramientas_eléctricas1862[Herramientas_eléctricas], B329) &gt; 0, Herramientas_eléctricas1862[[#Headers],[Herramientas_eléctricas]],
    COUNTIF(Herramientas_neumáticas1963[Herramientas_neumáticas], B329) &gt; 0, Herramientas_neumáticas1963[[#Headers],[Herramientas_neumáticas]],
    COUNTIF(Herramientas_de_medición2064[Herramientas_de_medición], B329) &gt; 0, Herramientas_de_medición2064[[#Headers],[Herramientas_de_medición]],
    COUNTIF(Herrramientas_mecánicas2165[Herramientas_mecánicas], B329) &gt; 0, Herrramientas_mecánicas2165[[#Headers],[Herramientas_mecánicas]],
    COUNTIF(AK329:AK335, B329) &gt; 0, Herramientas_hidráulicas2266[[#Headers],[Herramientas_hidráulicas]],
    COUNTIF(EPP_2367[SPCC], B329) &gt; 0, EPP_2367[[#Headers],[SPCC]],
   COUNTIF(Herramientas_de_izaje2468[Herramientas_de_izaje], B329) &gt; 0, Herramientas_de_izaje2468[[#Headers],[Herramientas_de_izaje]],
COUNTIF(Tabla162670[Equipos], B329) &gt; 0, Tabla162670[[#Headers],[Equipos]],
    TRUE, "Sin clasificación"
)</f>
        <v>Sin clasificación</v>
      </c>
      <c r="G329" s="15"/>
      <c r="H329" s="47"/>
      <c r="I329" s="87"/>
      <c r="J329" s="78"/>
      <c r="K329" s="78"/>
      <c r="L329" s="78"/>
      <c r="M329" s="78"/>
      <c r="N329" s="76"/>
      <c r="O329" s="76"/>
      <c r="P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Q329" s="77"/>
      <c r="R329" s="32"/>
      <c r="S329" s="32"/>
      <c r="T329" s="32"/>
      <c r="U329" s="32"/>
    </row>
    <row r="330" spans="3:21" x14ac:dyDescent="0.3">
      <c r="C330" s="11"/>
      <c r="D330" s="32"/>
      <c r="E330" s="11" t="str" cm="1">
        <f t="array" ref="E330">_xlfn.IFS(
    COUNTIF(Herramientas_eléctricas1862[Herramientas_eléctricas], B330) &gt; 0, Herramientas_eléctricas1862[[#Headers],[Herramientas_eléctricas]],
    COUNTIF(Herramientas_neumáticas1963[Herramientas_neumáticas], B330) &gt; 0, Herramientas_neumáticas1963[[#Headers],[Herramientas_neumáticas]],
    COUNTIF(Herramientas_de_medición2064[Herramientas_de_medición], B330) &gt; 0, Herramientas_de_medición2064[[#Headers],[Herramientas_de_medición]],
    COUNTIF(Herrramientas_mecánicas2165[Herramientas_mecánicas], B330) &gt; 0, Herrramientas_mecánicas2165[[#Headers],[Herramientas_mecánicas]],
    COUNTIF(AK330:AK336, B330) &gt; 0, Herramientas_hidráulicas2266[[#Headers],[Herramientas_hidráulicas]],
    COUNTIF(EPP_2367[SPCC], B330) &gt; 0, EPP_2367[[#Headers],[SPCC]],
   COUNTIF(Herramientas_de_izaje2468[Herramientas_de_izaje], B330) &gt; 0, Herramientas_de_izaje2468[[#Headers],[Herramientas_de_izaje]],
COUNTIF(Tabla162670[Equipos], B330) &gt; 0, Tabla162670[[#Headers],[Equipos]],
    TRUE, "Sin clasificación"
)</f>
        <v>Sin clasificación</v>
      </c>
      <c r="G330" s="15"/>
      <c r="H330" s="47"/>
      <c r="I330" s="87"/>
      <c r="J330" s="78"/>
      <c r="K330" s="78"/>
      <c r="L330" s="78"/>
      <c r="M330" s="78"/>
      <c r="N330" s="76"/>
      <c r="O330" s="76"/>
      <c r="P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Q330" s="77"/>
      <c r="R330" s="32"/>
      <c r="S330" s="32"/>
      <c r="T330" s="32"/>
      <c r="U330" s="32"/>
    </row>
    <row r="331" spans="3:21" x14ac:dyDescent="0.3">
      <c r="C331" s="11"/>
      <c r="D331" s="32"/>
      <c r="E331" s="11" t="str" cm="1">
        <f t="array" ref="E331">_xlfn.IFS(
    COUNTIF(Herramientas_eléctricas1862[Herramientas_eléctricas], B331) &gt; 0, Herramientas_eléctricas1862[[#Headers],[Herramientas_eléctricas]],
    COUNTIF(Herramientas_neumáticas1963[Herramientas_neumáticas], B331) &gt; 0, Herramientas_neumáticas1963[[#Headers],[Herramientas_neumáticas]],
    COUNTIF(Herramientas_de_medición2064[Herramientas_de_medición], B331) &gt; 0, Herramientas_de_medición2064[[#Headers],[Herramientas_de_medición]],
    COUNTIF(Herrramientas_mecánicas2165[Herramientas_mecánicas], B331) &gt; 0, Herrramientas_mecánicas2165[[#Headers],[Herramientas_mecánicas]],
    COUNTIF(AK331:AK337, B331) &gt; 0, Herramientas_hidráulicas2266[[#Headers],[Herramientas_hidráulicas]],
    COUNTIF(EPP_2367[SPCC], B331) &gt; 0, EPP_2367[[#Headers],[SPCC]],
   COUNTIF(Herramientas_de_izaje2468[Herramientas_de_izaje], B331) &gt; 0, Herramientas_de_izaje2468[[#Headers],[Herramientas_de_izaje]],
COUNTIF(Tabla162670[Equipos], B331) &gt; 0, Tabla162670[[#Headers],[Equipos]],
    TRUE, "Sin clasificación"
)</f>
        <v>Sin clasificación</v>
      </c>
      <c r="G331" s="15"/>
      <c r="H331" s="47"/>
      <c r="I331" s="87"/>
      <c r="J331" s="78"/>
      <c r="K331" s="78"/>
      <c r="L331" s="78"/>
      <c r="M331" s="78"/>
      <c r="N331" s="76"/>
      <c r="O331" s="76"/>
      <c r="P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Q331" s="77"/>
      <c r="R331" s="32"/>
      <c r="S331" s="32"/>
      <c r="T331" s="32"/>
      <c r="U331" s="32"/>
    </row>
    <row r="332" spans="3:21" x14ac:dyDescent="0.3">
      <c r="C332" s="11"/>
      <c r="D332" s="32"/>
      <c r="E332" s="11" t="str" cm="1">
        <f t="array" ref="E332">_xlfn.IFS(
    COUNTIF(Herramientas_eléctricas1862[Herramientas_eléctricas], B332) &gt; 0, Herramientas_eléctricas1862[[#Headers],[Herramientas_eléctricas]],
    COUNTIF(Herramientas_neumáticas1963[Herramientas_neumáticas], B332) &gt; 0, Herramientas_neumáticas1963[[#Headers],[Herramientas_neumáticas]],
    COUNTIF(Herramientas_de_medición2064[Herramientas_de_medición], B332) &gt; 0, Herramientas_de_medición2064[[#Headers],[Herramientas_de_medición]],
    COUNTIF(Herrramientas_mecánicas2165[Herramientas_mecánicas], B332) &gt; 0, Herrramientas_mecánicas2165[[#Headers],[Herramientas_mecánicas]],
    COUNTIF(AK332:AK338, B332) &gt; 0, Herramientas_hidráulicas2266[[#Headers],[Herramientas_hidráulicas]],
    COUNTIF(EPP_2367[SPCC], B332) &gt; 0, EPP_2367[[#Headers],[SPCC]],
   COUNTIF(Herramientas_de_izaje2468[Herramientas_de_izaje], B332) &gt; 0, Herramientas_de_izaje2468[[#Headers],[Herramientas_de_izaje]],
COUNTIF(Tabla162670[Equipos], B332) &gt; 0, Tabla162670[[#Headers],[Equipos]],
    TRUE, "Sin clasificación"
)</f>
        <v>Sin clasificación</v>
      </c>
      <c r="G332" s="15"/>
      <c r="H332" s="47"/>
      <c r="I332" s="87"/>
      <c r="J332" s="78"/>
      <c r="K332" s="78"/>
      <c r="L332" s="78"/>
      <c r="M332" s="78"/>
      <c r="N332" s="76"/>
      <c r="O332" s="76"/>
      <c r="P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Q332" s="77"/>
      <c r="R332" s="32"/>
      <c r="S332" s="32"/>
      <c r="T332" s="32"/>
      <c r="U332" s="32"/>
    </row>
    <row r="333" spans="3:21" x14ac:dyDescent="0.3">
      <c r="C333" s="11"/>
      <c r="D333" s="32"/>
      <c r="E333" s="11" t="str" cm="1">
        <f t="array" ref="E333">_xlfn.IFS(
    COUNTIF(Herramientas_eléctricas1862[Herramientas_eléctricas], B333) &gt; 0, Herramientas_eléctricas1862[[#Headers],[Herramientas_eléctricas]],
    COUNTIF(Herramientas_neumáticas1963[Herramientas_neumáticas], B333) &gt; 0, Herramientas_neumáticas1963[[#Headers],[Herramientas_neumáticas]],
    COUNTIF(Herramientas_de_medición2064[Herramientas_de_medición], B333) &gt; 0, Herramientas_de_medición2064[[#Headers],[Herramientas_de_medición]],
    COUNTIF(Herrramientas_mecánicas2165[Herramientas_mecánicas], B333) &gt; 0, Herrramientas_mecánicas2165[[#Headers],[Herramientas_mecánicas]],
    COUNTIF(AK333:AK339, B333) &gt; 0, Herramientas_hidráulicas2266[[#Headers],[Herramientas_hidráulicas]],
    COUNTIF(EPP_2367[SPCC], B333) &gt; 0, EPP_2367[[#Headers],[SPCC]],
   COUNTIF(Herramientas_de_izaje2468[Herramientas_de_izaje], B333) &gt; 0, Herramientas_de_izaje2468[[#Headers],[Herramientas_de_izaje]],
COUNTIF(Tabla162670[Equipos], B333) &gt; 0, Tabla162670[[#Headers],[Equipos]],
    TRUE, "Sin clasificación"
)</f>
        <v>Sin clasificación</v>
      </c>
      <c r="G333" s="15"/>
      <c r="H333" s="47"/>
      <c r="I333" s="87"/>
      <c r="J333" s="78"/>
      <c r="K333" s="78"/>
      <c r="L333" s="78"/>
      <c r="M333" s="78"/>
      <c r="N333" s="76"/>
      <c r="O333" s="76"/>
      <c r="P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Q333" s="77"/>
      <c r="R333" s="32"/>
      <c r="S333" s="32"/>
      <c r="T333" s="32"/>
      <c r="U333" s="32"/>
    </row>
    <row r="334" spans="3:21" x14ac:dyDescent="0.3">
      <c r="C334" s="11"/>
      <c r="D334" s="32"/>
      <c r="E334" s="11" t="str" cm="1">
        <f t="array" ref="E334">_xlfn.IFS(
    COUNTIF(Herramientas_eléctricas1862[Herramientas_eléctricas], B334) &gt; 0, Herramientas_eléctricas1862[[#Headers],[Herramientas_eléctricas]],
    COUNTIF(Herramientas_neumáticas1963[Herramientas_neumáticas], B334) &gt; 0, Herramientas_neumáticas1963[[#Headers],[Herramientas_neumáticas]],
    COUNTIF(Herramientas_de_medición2064[Herramientas_de_medición], B334) &gt; 0, Herramientas_de_medición2064[[#Headers],[Herramientas_de_medición]],
    COUNTIF(Herrramientas_mecánicas2165[Herramientas_mecánicas], B334) &gt; 0, Herrramientas_mecánicas2165[[#Headers],[Herramientas_mecánicas]],
    COUNTIF(AK334:AK340, B334) &gt; 0, Herramientas_hidráulicas2266[[#Headers],[Herramientas_hidráulicas]],
    COUNTIF(EPP_2367[SPCC], B334) &gt; 0, EPP_2367[[#Headers],[SPCC]],
   COUNTIF(Herramientas_de_izaje2468[Herramientas_de_izaje], B334) &gt; 0, Herramientas_de_izaje2468[[#Headers],[Herramientas_de_izaje]],
COUNTIF(Tabla162670[Equipos], B334) &gt; 0, Tabla162670[[#Headers],[Equipos]],
    TRUE, "Sin clasificación"
)</f>
        <v>Sin clasificación</v>
      </c>
      <c r="G334" s="15"/>
      <c r="H334" s="47"/>
      <c r="I334" s="87"/>
      <c r="J334" s="78"/>
      <c r="K334" s="78"/>
      <c r="L334" s="78"/>
      <c r="M334" s="78"/>
      <c r="N334" s="76"/>
      <c r="O334" s="76"/>
      <c r="P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Q334" s="77"/>
      <c r="R334" s="32"/>
      <c r="S334" s="32"/>
      <c r="T334" s="32"/>
      <c r="U334" s="32"/>
    </row>
    <row r="335" spans="3:21" x14ac:dyDescent="0.3">
      <c r="C335" s="11"/>
      <c r="D335" s="32"/>
      <c r="E335" s="11" t="str" cm="1">
        <f t="array" ref="E335">_xlfn.IFS(
    COUNTIF(Herramientas_eléctricas1862[Herramientas_eléctricas], B335) &gt; 0, Herramientas_eléctricas1862[[#Headers],[Herramientas_eléctricas]],
    COUNTIF(Herramientas_neumáticas1963[Herramientas_neumáticas], B335) &gt; 0, Herramientas_neumáticas1963[[#Headers],[Herramientas_neumáticas]],
    COUNTIF(Herramientas_de_medición2064[Herramientas_de_medición], B335) &gt; 0, Herramientas_de_medición2064[[#Headers],[Herramientas_de_medición]],
    COUNTIF(Herrramientas_mecánicas2165[Herramientas_mecánicas], B335) &gt; 0, Herrramientas_mecánicas2165[[#Headers],[Herramientas_mecánicas]],
    COUNTIF(AK335:AK341, B335) &gt; 0, Herramientas_hidráulicas2266[[#Headers],[Herramientas_hidráulicas]],
    COUNTIF(EPP_2367[SPCC], B335) &gt; 0, EPP_2367[[#Headers],[SPCC]],
   COUNTIF(Herramientas_de_izaje2468[Herramientas_de_izaje], B335) &gt; 0, Herramientas_de_izaje2468[[#Headers],[Herramientas_de_izaje]],
COUNTIF(Tabla162670[Equipos], B335) &gt; 0, Tabla162670[[#Headers],[Equipos]],
    TRUE, "Sin clasificación"
)</f>
        <v>Sin clasificación</v>
      </c>
      <c r="G335" s="15"/>
      <c r="H335" s="47"/>
      <c r="I335" s="87"/>
      <c r="J335" s="78"/>
      <c r="K335" s="78"/>
      <c r="L335" s="78"/>
      <c r="M335" s="78"/>
      <c r="N335" s="76"/>
      <c r="O335" s="76"/>
      <c r="P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Q335" s="77"/>
      <c r="R335" s="32"/>
      <c r="S335" s="32"/>
      <c r="T335" s="32"/>
      <c r="U335" s="32"/>
    </row>
    <row r="336" spans="3:21" x14ac:dyDescent="0.3">
      <c r="C336" s="11"/>
      <c r="D336" s="32"/>
      <c r="E336" s="11" t="str" cm="1">
        <f t="array" ref="E336">_xlfn.IFS(
    COUNTIF(Herramientas_eléctricas1862[Herramientas_eléctricas], B336) &gt; 0, Herramientas_eléctricas1862[[#Headers],[Herramientas_eléctricas]],
    COUNTIF(Herramientas_neumáticas1963[Herramientas_neumáticas], B336) &gt; 0, Herramientas_neumáticas1963[[#Headers],[Herramientas_neumáticas]],
    COUNTIF(Herramientas_de_medición2064[Herramientas_de_medición], B336) &gt; 0, Herramientas_de_medición2064[[#Headers],[Herramientas_de_medición]],
    COUNTIF(Herrramientas_mecánicas2165[Herramientas_mecánicas], B336) &gt; 0, Herrramientas_mecánicas2165[[#Headers],[Herramientas_mecánicas]],
    COUNTIF(AK336:AK342, B336) &gt; 0, Herramientas_hidráulicas2266[[#Headers],[Herramientas_hidráulicas]],
    COUNTIF(EPP_2367[SPCC], B336) &gt; 0, EPP_2367[[#Headers],[SPCC]],
   COUNTIF(Herramientas_de_izaje2468[Herramientas_de_izaje], B336) &gt; 0, Herramientas_de_izaje2468[[#Headers],[Herramientas_de_izaje]],
COUNTIF(Tabla162670[Equipos], B336) &gt; 0, Tabla162670[[#Headers],[Equipos]],
    TRUE, "Sin clasificación"
)</f>
        <v>Sin clasificación</v>
      </c>
      <c r="G336" s="15"/>
      <c r="H336" s="47"/>
      <c r="I336" s="87"/>
      <c r="J336" s="78"/>
      <c r="K336" s="78"/>
      <c r="L336" s="78"/>
      <c r="M336" s="78"/>
      <c r="N336" s="76"/>
      <c r="O336" s="76"/>
      <c r="P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Q336" s="77"/>
      <c r="R336" s="32"/>
      <c r="S336" s="32"/>
      <c r="T336" s="32"/>
      <c r="U336" s="32"/>
    </row>
    <row r="337" spans="3:21" x14ac:dyDescent="0.3">
      <c r="C337" s="11"/>
      <c r="D337" s="32"/>
      <c r="E337" s="11" t="str" cm="1">
        <f t="array" ref="E337">_xlfn.IFS(
    COUNTIF(Herramientas_eléctricas1862[Herramientas_eléctricas], B337) &gt; 0, Herramientas_eléctricas1862[[#Headers],[Herramientas_eléctricas]],
    COUNTIF(Herramientas_neumáticas1963[Herramientas_neumáticas], B337) &gt; 0, Herramientas_neumáticas1963[[#Headers],[Herramientas_neumáticas]],
    COUNTIF(Herramientas_de_medición2064[Herramientas_de_medición], B337) &gt; 0, Herramientas_de_medición2064[[#Headers],[Herramientas_de_medición]],
    COUNTIF(Herrramientas_mecánicas2165[Herramientas_mecánicas], B337) &gt; 0, Herrramientas_mecánicas2165[[#Headers],[Herramientas_mecánicas]],
    COUNTIF(AK337:AK343, B337) &gt; 0, Herramientas_hidráulicas2266[[#Headers],[Herramientas_hidráulicas]],
    COUNTIF(EPP_2367[SPCC], B337) &gt; 0, EPP_2367[[#Headers],[SPCC]],
   COUNTIF(Herramientas_de_izaje2468[Herramientas_de_izaje], B337) &gt; 0, Herramientas_de_izaje2468[[#Headers],[Herramientas_de_izaje]],
COUNTIF(Tabla162670[Equipos], B337) &gt; 0, Tabla162670[[#Headers],[Equipos]],
    TRUE, "Sin clasificación"
)</f>
        <v>Sin clasificación</v>
      </c>
      <c r="G337" s="15"/>
      <c r="H337" s="47"/>
      <c r="I337" s="87"/>
      <c r="J337" s="78"/>
      <c r="K337" s="78"/>
      <c r="L337" s="78"/>
      <c r="M337" s="78"/>
      <c r="N337" s="76"/>
      <c r="O337" s="76"/>
      <c r="P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Q337" s="77"/>
      <c r="R337" s="32"/>
      <c r="S337" s="32"/>
      <c r="T337" s="32"/>
      <c r="U337" s="32"/>
    </row>
    <row r="338" spans="3:21" x14ac:dyDescent="0.3">
      <c r="C338" s="11"/>
      <c r="D338" s="32"/>
      <c r="E338" s="11" t="str" cm="1">
        <f t="array" ref="E338">_xlfn.IFS(
    COUNTIF(Herramientas_eléctricas1862[Herramientas_eléctricas], B338) &gt; 0, Herramientas_eléctricas1862[[#Headers],[Herramientas_eléctricas]],
    COUNTIF(Herramientas_neumáticas1963[Herramientas_neumáticas], B338) &gt; 0, Herramientas_neumáticas1963[[#Headers],[Herramientas_neumáticas]],
    COUNTIF(Herramientas_de_medición2064[Herramientas_de_medición], B338) &gt; 0, Herramientas_de_medición2064[[#Headers],[Herramientas_de_medición]],
    COUNTIF(Herrramientas_mecánicas2165[Herramientas_mecánicas], B338) &gt; 0, Herrramientas_mecánicas2165[[#Headers],[Herramientas_mecánicas]],
    COUNTIF(AK338:AK344, B338) &gt; 0, Herramientas_hidráulicas2266[[#Headers],[Herramientas_hidráulicas]],
    COUNTIF(EPP_2367[SPCC], B338) &gt; 0, EPP_2367[[#Headers],[SPCC]],
   COUNTIF(Herramientas_de_izaje2468[Herramientas_de_izaje], B338) &gt; 0, Herramientas_de_izaje2468[[#Headers],[Herramientas_de_izaje]],
COUNTIF(Tabla162670[Equipos], B338) &gt; 0, Tabla162670[[#Headers],[Equipos]],
    TRUE, "Sin clasificación"
)</f>
        <v>Sin clasificación</v>
      </c>
      <c r="G338" s="15"/>
      <c r="H338" s="47"/>
      <c r="I338" s="87"/>
      <c r="J338" s="78"/>
      <c r="K338" s="78"/>
      <c r="L338" s="78"/>
      <c r="M338" s="78"/>
      <c r="N338" s="76"/>
      <c r="O338" s="76"/>
      <c r="P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Q338" s="77"/>
      <c r="R338" s="32"/>
      <c r="S338" s="32"/>
      <c r="T338" s="32"/>
      <c r="U338" s="32"/>
    </row>
    <row r="339" spans="3:21" x14ac:dyDescent="0.3">
      <c r="C339" s="11"/>
      <c r="D339" s="32"/>
      <c r="E339" s="11" t="str" cm="1">
        <f t="array" ref="E339">_xlfn.IFS(
    COUNTIF(Herramientas_eléctricas1862[Herramientas_eléctricas], B339) &gt; 0, Herramientas_eléctricas1862[[#Headers],[Herramientas_eléctricas]],
    COUNTIF(Herramientas_neumáticas1963[Herramientas_neumáticas], B339) &gt; 0, Herramientas_neumáticas1963[[#Headers],[Herramientas_neumáticas]],
    COUNTIF(Herramientas_de_medición2064[Herramientas_de_medición], B339) &gt; 0, Herramientas_de_medición2064[[#Headers],[Herramientas_de_medición]],
    COUNTIF(Herrramientas_mecánicas2165[Herramientas_mecánicas], B339) &gt; 0, Herrramientas_mecánicas2165[[#Headers],[Herramientas_mecánicas]],
    COUNTIF(AK339:AK345, B339) &gt; 0, Herramientas_hidráulicas2266[[#Headers],[Herramientas_hidráulicas]],
    COUNTIF(EPP_2367[SPCC], B339) &gt; 0, EPP_2367[[#Headers],[SPCC]],
   COUNTIF(Herramientas_de_izaje2468[Herramientas_de_izaje], B339) &gt; 0, Herramientas_de_izaje2468[[#Headers],[Herramientas_de_izaje]],
COUNTIF(Tabla162670[Equipos], B339) &gt; 0, Tabla162670[[#Headers],[Equipos]],
    TRUE, "Sin clasificación"
)</f>
        <v>Sin clasificación</v>
      </c>
      <c r="G339" s="15"/>
      <c r="H339" s="47"/>
      <c r="I339" s="87"/>
      <c r="J339" s="78"/>
      <c r="K339" s="78"/>
      <c r="L339" s="78"/>
      <c r="M339" s="78"/>
      <c r="N339" s="76"/>
      <c r="O339" s="76"/>
      <c r="P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Q339" s="77"/>
      <c r="R339" s="32"/>
      <c r="S339" s="32"/>
      <c r="T339" s="32"/>
      <c r="U339" s="32"/>
    </row>
    <row r="340" spans="3:21" x14ac:dyDescent="0.3">
      <c r="C340" s="11"/>
      <c r="D340" s="32"/>
      <c r="E340" s="11" t="str" cm="1">
        <f t="array" ref="E340">_xlfn.IFS(
    COUNTIF(Herramientas_eléctricas1862[Herramientas_eléctricas], B340) &gt; 0, Herramientas_eléctricas1862[[#Headers],[Herramientas_eléctricas]],
    COUNTIF(Herramientas_neumáticas1963[Herramientas_neumáticas], B340) &gt; 0, Herramientas_neumáticas1963[[#Headers],[Herramientas_neumáticas]],
    COUNTIF(Herramientas_de_medición2064[Herramientas_de_medición], B340) &gt; 0, Herramientas_de_medición2064[[#Headers],[Herramientas_de_medición]],
    COUNTIF(Herrramientas_mecánicas2165[Herramientas_mecánicas], B340) &gt; 0, Herrramientas_mecánicas2165[[#Headers],[Herramientas_mecánicas]],
    COUNTIF(AK340:AK346, B340) &gt; 0, Herramientas_hidráulicas2266[[#Headers],[Herramientas_hidráulicas]],
    COUNTIF(EPP_2367[SPCC], B340) &gt; 0, EPP_2367[[#Headers],[SPCC]],
   COUNTIF(Herramientas_de_izaje2468[Herramientas_de_izaje], B340) &gt; 0, Herramientas_de_izaje2468[[#Headers],[Herramientas_de_izaje]],
COUNTIF(Tabla162670[Equipos], B340) &gt; 0, Tabla162670[[#Headers],[Equipos]],
    TRUE, "Sin clasificación"
)</f>
        <v>Sin clasificación</v>
      </c>
      <c r="G340" s="15"/>
      <c r="H340" s="47"/>
      <c r="I340" s="87"/>
      <c r="J340" s="78"/>
      <c r="K340" s="78"/>
      <c r="L340" s="78"/>
      <c r="M340" s="78"/>
      <c r="N340" s="76"/>
      <c r="O340" s="76"/>
      <c r="P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Q340" s="77"/>
      <c r="R340" s="32"/>
      <c r="S340" s="32"/>
      <c r="T340" s="32"/>
      <c r="U340" s="32"/>
    </row>
    <row r="341" spans="3:21" x14ac:dyDescent="0.3">
      <c r="C341" s="11"/>
      <c r="D341" s="32"/>
      <c r="E341" s="11" t="str" cm="1">
        <f t="array" ref="E341">_xlfn.IFS(
    COUNTIF(Herramientas_eléctricas1862[Herramientas_eléctricas], B341) &gt; 0, Herramientas_eléctricas1862[[#Headers],[Herramientas_eléctricas]],
    COUNTIF(Herramientas_neumáticas1963[Herramientas_neumáticas], B341) &gt; 0, Herramientas_neumáticas1963[[#Headers],[Herramientas_neumáticas]],
    COUNTIF(Herramientas_de_medición2064[Herramientas_de_medición], B341) &gt; 0, Herramientas_de_medición2064[[#Headers],[Herramientas_de_medición]],
    COUNTIF(Herrramientas_mecánicas2165[Herramientas_mecánicas], B341) &gt; 0, Herrramientas_mecánicas2165[[#Headers],[Herramientas_mecánicas]],
    COUNTIF(AK341:AK347, B341) &gt; 0, Herramientas_hidráulicas2266[[#Headers],[Herramientas_hidráulicas]],
    COUNTIF(EPP_2367[SPCC], B341) &gt; 0, EPP_2367[[#Headers],[SPCC]],
   COUNTIF(Herramientas_de_izaje2468[Herramientas_de_izaje], B341) &gt; 0, Herramientas_de_izaje2468[[#Headers],[Herramientas_de_izaje]],
COUNTIF(Tabla162670[Equipos], B341) &gt; 0, Tabla162670[[#Headers],[Equipos]],
    TRUE, "Sin clasificación"
)</f>
        <v>Sin clasificación</v>
      </c>
      <c r="G341" s="15"/>
      <c r="H341" s="47"/>
      <c r="I341" s="87"/>
      <c r="J341" s="78"/>
      <c r="K341" s="78"/>
      <c r="L341" s="78"/>
      <c r="M341" s="78"/>
      <c r="N341" s="76"/>
      <c r="O341" s="76"/>
      <c r="P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Q341" s="77"/>
      <c r="R341" s="32"/>
      <c r="S341" s="32"/>
      <c r="T341" s="32"/>
      <c r="U341" s="32"/>
    </row>
    <row r="342" spans="3:21" x14ac:dyDescent="0.3">
      <c r="C342" s="11"/>
      <c r="D342" s="32"/>
      <c r="E342" s="11" t="str" cm="1">
        <f t="array" ref="E342">_xlfn.IFS(
    COUNTIF(Herramientas_eléctricas1862[Herramientas_eléctricas], B342) &gt; 0, Herramientas_eléctricas1862[[#Headers],[Herramientas_eléctricas]],
    COUNTIF(Herramientas_neumáticas1963[Herramientas_neumáticas], B342) &gt; 0, Herramientas_neumáticas1963[[#Headers],[Herramientas_neumáticas]],
    COUNTIF(Herramientas_de_medición2064[Herramientas_de_medición], B342) &gt; 0, Herramientas_de_medición2064[[#Headers],[Herramientas_de_medición]],
    COUNTIF(Herrramientas_mecánicas2165[Herramientas_mecánicas], B342) &gt; 0, Herrramientas_mecánicas2165[[#Headers],[Herramientas_mecánicas]],
    COUNTIF(AK342:AK348, B342) &gt; 0, Herramientas_hidráulicas2266[[#Headers],[Herramientas_hidráulicas]],
    COUNTIF(EPP_2367[SPCC], B342) &gt; 0, EPP_2367[[#Headers],[SPCC]],
   COUNTIF(Herramientas_de_izaje2468[Herramientas_de_izaje], B342) &gt; 0, Herramientas_de_izaje2468[[#Headers],[Herramientas_de_izaje]],
COUNTIF(Tabla162670[Equipos], B342) &gt; 0, Tabla162670[[#Headers],[Equipos]],
    TRUE, "Sin clasificación"
)</f>
        <v>Sin clasificación</v>
      </c>
      <c r="G342" s="15"/>
      <c r="H342" s="47"/>
      <c r="I342" s="87"/>
      <c r="J342" s="78"/>
      <c r="K342" s="78"/>
      <c r="L342" s="78"/>
      <c r="M342" s="78"/>
      <c r="N342" s="76"/>
      <c r="O342" s="76"/>
      <c r="P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Q342" s="77"/>
      <c r="R342" s="32"/>
      <c r="S342" s="32"/>
      <c r="T342" s="32"/>
      <c r="U342" s="32"/>
    </row>
    <row r="343" spans="3:21" x14ac:dyDescent="0.3">
      <c r="C343" s="11"/>
      <c r="D343" s="32"/>
      <c r="E343" s="11" t="str" cm="1">
        <f t="array" ref="E343">_xlfn.IFS(
    COUNTIF(Herramientas_eléctricas1862[Herramientas_eléctricas], B343) &gt; 0, Herramientas_eléctricas1862[[#Headers],[Herramientas_eléctricas]],
    COUNTIF(Herramientas_neumáticas1963[Herramientas_neumáticas], B343) &gt; 0, Herramientas_neumáticas1963[[#Headers],[Herramientas_neumáticas]],
    COUNTIF(Herramientas_de_medición2064[Herramientas_de_medición], B343) &gt; 0, Herramientas_de_medición2064[[#Headers],[Herramientas_de_medición]],
    COUNTIF(Herrramientas_mecánicas2165[Herramientas_mecánicas], B343) &gt; 0, Herrramientas_mecánicas2165[[#Headers],[Herramientas_mecánicas]],
    COUNTIF(AK343:AK349, B343) &gt; 0, Herramientas_hidráulicas2266[[#Headers],[Herramientas_hidráulicas]],
    COUNTIF(EPP_2367[SPCC], B343) &gt; 0, EPP_2367[[#Headers],[SPCC]],
   COUNTIF(Herramientas_de_izaje2468[Herramientas_de_izaje], B343) &gt; 0, Herramientas_de_izaje2468[[#Headers],[Herramientas_de_izaje]],
COUNTIF(Tabla162670[Equipos], B343) &gt; 0, Tabla162670[[#Headers],[Equipos]],
    TRUE, "Sin clasificación"
)</f>
        <v>Sin clasificación</v>
      </c>
      <c r="G343" s="15"/>
      <c r="H343" s="47"/>
      <c r="I343" s="87"/>
      <c r="J343" s="78"/>
      <c r="K343" s="78"/>
      <c r="L343" s="78"/>
      <c r="M343" s="78"/>
      <c r="N343" s="76"/>
      <c r="O343" s="76"/>
      <c r="P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Q343" s="77"/>
      <c r="R343" s="32"/>
      <c r="S343" s="32"/>
      <c r="T343" s="32"/>
      <c r="U343" s="32"/>
    </row>
    <row r="344" spans="3:21" x14ac:dyDescent="0.3">
      <c r="C344" s="11"/>
      <c r="D344" s="32"/>
      <c r="E344" s="11" t="str" cm="1">
        <f t="array" ref="E344">_xlfn.IFS(
    COUNTIF(Herramientas_eléctricas1862[Herramientas_eléctricas], B344) &gt; 0, Herramientas_eléctricas1862[[#Headers],[Herramientas_eléctricas]],
    COUNTIF(Herramientas_neumáticas1963[Herramientas_neumáticas], B344) &gt; 0, Herramientas_neumáticas1963[[#Headers],[Herramientas_neumáticas]],
    COUNTIF(Herramientas_de_medición2064[Herramientas_de_medición], B344) &gt; 0, Herramientas_de_medición2064[[#Headers],[Herramientas_de_medición]],
    COUNTIF(Herrramientas_mecánicas2165[Herramientas_mecánicas], B344) &gt; 0, Herrramientas_mecánicas2165[[#Headers],[Herramientas_mecánicas]],
    COUNTIF(AK344:AK350, B344) &gt; 0, Herramientas_hidráulicas2266[[#Headers],[Herramientas_hidráulicas]],
    COUNTIF(EPP_2367[SPCC], B344) &gt; 0, EPP_2367[[#Headers],[SPCC]],
   COUNTIF(Herramientas_de_izaje2468[Herramientas_de_izaje], B344) &gt; 0, Herramientas_de_izaje2468[[#Headers],[Herramientas_de_izaje]],
COUNTIF(Tabla162670[Equipos], B344) &gt; 0, Tabla162670[[#Headers],[Equipos]],
    TRUE, "Sin clasificación"
)</f>
        <v>Sin clasificación</v>
      </c>
      <c r="G344" s="15"/>
      <c r="H344" s="47"/>
      <c r="I344" s="87"/>
      <c r="J344" s="78"/>
      <c r="K344" s="78"/>
      <c r="L344" s="78"/>
      <c r="M344" s="78"/>
      <c r="N344" s="76"/>
      <c r="O344" s="76"/>
      <c r="P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Q344" s="77"/>
      <c r="R344" s="32"/>
      <c r="S344" s="32"/>
      <c r="T344" s="32"/>
      <c r="U344" s="32"/>
    </row>
    <row r="345" spans="3:21" x14ac:dyDescent="0.3">
      <c r="C345" s="11"/>
      <c r="D345" s="32"/>
      <c r="E345" s="11" t="str" cm="1">
        <f t="array" ref="E345">_xlfn.IFS(
    COUNTIF(Herramientas_eléctricas1862[Herramientas_eléctricas], B345) &gt; 0, Herramientas_eléctricas1862[[#Headers],[Herramientas_eléctricas]],
    COUNTIF(Herramientas_neumáticas1963[Herramientas_neumáticas], B345) &gt; 0, Herramientas_neumáticas1963[[#Headers],[Herramientas_neumáticas]],
    COUNTIF(Herramientas_de_medición2064[Herramientas_de_medición], B345) &gt; 0, Herramientas_de_medición2064[[#Headers],[Herramientas_de_medición]],
    COUNTIF(Herrramientas_mecánicas2165[Herramientas_mecánicas], B345) &gt; 0, Herrramientas_mecánicas2165[[#Headers],[Herramientas_mecánicas]],
    COUNTIF(AK345:AK351, B345) &gt; 0, Herramientas_hidráulicas2266[[#Headers],[Herramientas_hidráulicas]],
    COUNTIF(EPP_2367[SPCC], B345) &gt; 0, EPP_2367[[#Headers],[SPCC]],
   COUNTIF(Herramientas_de_izaje2468[Herramientas_de_izaje], B345) &gt; 0, Herramientas_de_izaje2468[[#Headers],[Herramientas_de_izaje]],
COUNTIF(Tabla162670[Equipos], B345) &gt; 0, Tabla162670[[#Headers],[Equipos]],
    TRUE, "Sin clasificación"
)</f>
        <v>Sin clasificación</v>
      </c>
      <c r="G345" s="15"/>
      <c r="H345" s="47"/>
      <c r="I345" s="87"/>
      <c r="J345" s="78"/>
      <c r="K345" s="78"/>
      <c r="L345" s="78"/>
      <c r="M345" s="78"/>
      <c r="N345" s="76"/>
      <c r="O345" s="76"/>
      <c r="P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Q345" s="77"/>
      <c r="R345" s="32"/>
      <c r="S345" s="32"/>
      <c r="T345" s="32"/>
      <c r="U345" s="32"/>
    </row>
    <row r="346" spans="3:21" x14ac:dyDescent="0.3">
      <c r="C346" s="11"/>
      <c r="D346" s="32"/>
      <c r="E346" s="11" t="str" cm="1">
        <f t="array" ref="E346">_xlfn.IFS(
    COUNTIF(Herramientas_eléctricas1862[Herramientas_eléctricas], B346) &gt; 0, Herramientas_eléctricas1862[[#Headers],[Herramientas_eléctricas]],
    COUNTIF(Herramientas_neumáticas1963[Herramientas_neumáticas], B346) &gt; 0, Herramientas_neumáticas1963[[#Headers],[Herramientas_neumáticas]],
    COUNTIF(Herramientas_de_medición2064[Herramientas_de_medición], B346) &gt; 0, Herramientas_de_medición2064[[#Headers],[Herramientas_de_medición]],
    COUNTIF(Herrramientas_mecánicas2165[Herramientas_mecánicas], B346) &gt; 0, Herrramientas_mecánicas2165[[#Headers],[Herramientas_mecánicas]],
    COUNTIF(AK346:AK352, B346) &gt; 0, Herramientas_hidráulicas2266[[#Headers],[Herramientas_hidráulicas]],
    COUNTIF(EPP_2367[SPCC], B346) &gt; 0, EPP_2367[[#Headers],[SPCC]],
   COUNTIF(Herramientas_de_izaje2468[Herramientas_de_izaje], B346) &gt; 0, Herramientas_de_izaje2468[[#Headers],[Herramientas_de_izaje]],
COUNTIF(Tabla162670[Equipos], B346) &gt; 0, Tabla162670[[#Headers],[Equipos]],
    TRUE, "Sin clasificación"
)</f>
        <v>Sin clasificación</v>
      </c>
      <c r="G346" s="15"/>
      <c r="H346" s="47"/>
      <c r="I346" s="87"/>
      <c r="J346" s="78"/>
      <c r="K346" s="78"/>
      <c r="L346" s="78"/>
      <c r="M346" s="78"/>
      <c r="N346" s="76"/>
      <c r="O346" s="76"/>
      <c r="P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Q346" s="77"/>
      <c r="R346" s="32"/>
      <c r="S346" s="32"/>
      <c r="T346" s="32"/>
      <c r="U346" s="32"/>
    </row>
    <row r="347" spans="3:21" x14ac:dyDescent="0.3">
      <c r="C347" s="11"/>
      <c r="D347" s="32"/>
      <c r="E347" s="11" t="str" cm="1">
        <f t="array" ref="E347">_xlfn.IFS(
    COUNTIF(Herramientas_eléctricas1862[Herramientas_eléctricas], B347) &gt; 0, Herramientas_eléctricas1862[[#Headers],[Herramientas_eléctricas]],
    COUNTIF(Herramientas_neumáticas1963[Herramientas_neumáticas], B347) &gt; 0, Herramientas_neumáticas1963[[#Headers],[Herramientas_neumáticas]],
    COUNTIF(Herramientas_de_medición2064[Herramientas_de_medición], B347) &gt; 0, Herramientas_de_medición2064[[#Headers],[Herramientas_de_medición]],
    COUNTIF(Herrramientas_mecánicas2165[Herramientas_mecánicas], B347) &gt; 0, Herrramientas_mecánicas2165[[#Headers],[Herramientas_mecánicas]],
    COUNTIF(AK347:AK353, B347) &gt; 0, Herramientas_hidráulicas2266[[#Headers],[Herramientas_hidráulicas]],
    COUNTIF(EPP_2367[SPCC], B347) &gt; 0, EPP_2367[[#Headers],[SPCC]],
   COUNTIF(Herramientas_de_izaje2468[Herramientas_de_izaje], B347) &gt; 0, Herramientas_de_izaje2468[[#Headers],[Herramientas_de_izaje]],
COUNTIF(Tabla162670[Equipos], B347) &gt; 0, Tabla162670[[#Headers],[Equipos]],
    TRUE, "Sin clasificación"
)</f>
        <v>Sin clasificación</v>
      </c>
      <c r="G347" s="15"/>
      <c r="H347" s="47"/>
      <c r="I347" s="87"/>
      <c r="J347" s="78"/>
      <c r="K347" s="78"/>
      <c r="L347" s="78"/>
      <c r="M347" s="78"/>
      <c r="N347" s="76"/>
      <c r="O347" s="76"/>
      <c r="P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Q347" s="77"/>
      <c r="R347" s="32"/>
      <c r="S347" s="32"/>
      <c r="T347" s="32"/>
      <c r="U347" s="32"/>
    </row>
    <row r="348" spans="3:21" x14ac:dyDescent="0.3">
      <c r="C348" s="11"/>
      <c r="D348" s="32"/>
      <c r="E348" s="11" t="str" cm="1">
        <f t="array" ref="E348">_xlfn.IFS(
    COUNTIF(Herramientas_eléctricas1862[Herramientas_eléctricas], B348) &gt; 0, Herramientas_eléctricas1862[[#Headers],[Herramientas_eléctricas]],
    COUNTIF(Herramientas_neumáticas1963[Herramientas_neumáticas], B348) &gt; 0, Herramientas_neumáticas1963[[#Headers],[Herramientas_neumáticas]],
    COUNTIF(Herramientas_de_medición2064[Herramientas_de_medición], B348) &gt; 0, Herramientas_de_medición2064[[#Headers],[Herramientas_de_medición]],
    COUNTIF(Herrramientas_mecánicas2165[Herramientas_mecánicas], B348) &gt; 0, Herrramientas_mecánicas2165[[#Headers],[Herramientas_mecánicas]],
    COUNTIF(AK348:AK354, B348) &gt; 0, Herramientas_hidráulicas2266[[#Headers],[Herramientas_hidráulicas]],
    COUNTIF(EPP_2367[SPCC], B348) &gt; 0, EPP_2367[[#Headers],[SPCC]],
   COUNTIF(Herramientas_de_izaje2468[Herramientas_de_izaje], B348) &gt; 0, Herramientas_de_izaje2468[[#Headers],[Herramientas_de_izaje]],
COUNTIF(Tabla162670[Equipos], B348) &gt; 0, Tabla162670[[#Headers],[Equipos]],
    TRUE, "Sin clasificación"
)</f>
        <v>Sin clasificación</v>
      </c>
      <c r="G348" s="15"/>
      <c r="H348" s="47"/>
      <c r="I348" s="87"/>
      <c r="J348" s="78"/>
      <c r="K348" s="78"/>
      <c r="L348" s="78"/>
      <c r="M348" s="78"/>
      <c r="N348" s="76"/>
      <c r="O348" s="76"/>
      <c r="P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Q348" s="77"/>
      <c r="R348" s="32"/>
      <c r="S348" s="32"/>
      <c r="T348" s="32"/>
      <c r="U348" s="32"/>
    </row>
    <row r="349" spans="3:21" x14ac:dyDescent="0.3">
      <c r="C349" s="11"/>
      <c r="D349" s="32"/>
      <c r="E349" s="11" t="str" cm="1">
        <f t="array" ref="E349">_xlfn.IFS(
    COUNTIF(Herramientas_eléctricas1862[Herramientas_eléctricas], B349) &gt; 0, Herramientas_eléctricas1862[[#Headers],[Herramientas_eléctricas]],
    COUNTIF(Herramientas_neumáticas1963[Herramientas_neumáticas], B349) &gt; 0, Herramientas_neumáticas1963[[#Headers],[Herramientas_neumáticas]],
    COUNTIF(Herramientas_de_medición2064[Herramientas_de_medición], B349) &gt; 0, Herramientas_de_medición2064[[#Headers],[Herramientas_de_medición]],
    COUNTIF(Herrramientas_mecánicas2165[Herramientas_mecánicas], B349) &gt; 0, Herrramientas_mecánicas2165[[#Headers],[Herramientas_mecánicas]],
    COUNTIF(AK349:AK355, B349) &gt; 0, Herramientas_hidráulicas2266[[#Headers],[Herramientas_hidráulicas]],
    COUNTIF(EPP_2367[SPCC], B349) &gt; 0, EPP_2367[[#Headers],[SPCC]],
   COUNTIF(Herramientas_de_izaje2468[Herramientas_de_izaje], B349) &gt; 0, Herramientas_de_izaje2468[[#Headers],[Herramientas_de_izaje]],
COUNTIF(Tabla162670[Equipos], B349) &gt; 0, Tabla162670[[#Headers],[Equipos]],
    TRUE, "Sin clasificación"
)</f>
        <v>Sin clasificación</v>
      </c>
      <c r="G349" s="15"/>
      <c r="H349" s="47"/>
      <c r="I349" s="87"/>
      <c r="J349" s="78"/>
      <c r="K349" s="78"/>
      <c r="L349" s="78"/>
      <c r="M349" s="78"/>
      <c r="N349" s="76"/>
      <c r="O349" s="76"/>
      <c r="P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Q349" s="77"/>
      <c r="R349" s="32"/>
      <c r="S349" s="32"/>
      <c r="T349" s="32"/>
      <c r="U349" s="32"/>
    </row>
    <row r="350" spans="3:21" x14ac:dyDescent="0.3">
      <c r="C350" s="11"/>
      <c r="D350" s="32"/>
      <c r="E350" s="11" t="str" cm="1">
        <f t="array" ref="E350">_xlfn.IFS(
    COUNTIF(Herramientas_eléctricas1862[Herramientas_eléctricas], B350) &gt; 0, Herramientas_eléctricas1862[[#Headers],[Herramientas_eléctricas]],
    COUNTIF(Herramientas_neumáticas1963[Herramientas_neumáticas], B350) &gt; 0, Herramientas_neumáticas1963[[#Headers],[Herramientas_neumáticas]],
    COUNTIF(Herramientas_de_medición2064[Herramientas_de_medición], B350) &gt; 0, Herramientas_de_medición2064[[#Headers],[Herramientas_de_medición]],
    COUNTIF(Herrramientas_mecánicas2165[Herramientas_mecánicas], B350) &gt; 0, Herrramientas_mecánicas2165[[#Headers],[Herramientas_mecánicas]],
    COUNTIF(AK350:AK356, B350) &gt; 0, Herramientas_hidráulicas2266[[#Headers],[Herramientas_hidráulicas]],
    COUNTIF(EPP_2367[SPCC], B350) &gt; 0, EPP_2367[[#Headers],[SPCC]],
   COUNTIF(Herramientas_de_izaje2468[Herramientas_de_izaje], B350) &gt; 0, Herramientas_de_izaje2468[[#Headers],[Herramientas_de_izaje]],
COUNTIF(Tabla162670[Equipos], B350) &gt; 0, Tabla162670[[#Headers],[Equipos]],
    TRUE, "Sin clasificación"
)</f>
        <v>Sin clasificación</v>
      </c>
      <c r="G350" s="15"/>
      <c r="H350" s="47"/>
      <c r="I350" s="87"/>
      <c r="J350" s="78"/>
      <c r="K350" s="78"/>
      <c r="L350" s="78"/>
      <c r="M350" s="78"/>
      <c r="N350" s="76"/>
      <c r="O350" s="76"/>
      <c r="P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Q350" s="77"/>
      <c r="R350" s="32"/>
      <c r="S350" s="32"/>
      <c r="T350" s="32"/>
      <c r="U350" s="32"/>
    </row>
    <row r="351" spans="3:21" x14ac:dyDescent="0.3">
      <c r="C351" s="11"/>
      <c r="D351" s="32"/>
      <c r="E351" s="11" t="str" cm="1">
        <f t="array" ref="E351">_xlfn.IFS(
    COUNTIF(Herramientas_eléctricas1862[Herramientas_eléctricas], B351) &gt; 0, Herramientas_eléctricas1862[[#Headers],[Herramientas_eléctricas]],
    COUNTIF(Herramientas_neumáticas1963[Herramientas_neumáticas], B351) &gt; 0, Herramientas_neumáticas1963[[#Headers],[Herramientas_neumáticas]],
    COUNTIF(Herramientas_de_medición2064[Herramientas_de_medición], B351) &gt; 0, Herramientas_de_medición2064[[#Headers],[Herramientas_de_medición]],
    COUNTIF(Herrramientas_mecánicas2165[Herramientas_mecánicas], B351) &gt; 0, Herrramientas_mecánicas2165[[#Headers],[Herramientas_mecánicas]],
    COUNTIF(AK351:AK357, B351) &gt; 0, Herramientas_hidráulicas2266[[#Headers],[Herramientas_hidráulicas]],
    COUNTIF(EPP_2367[SPCC], B351) &gt; 0, EPP_2367[[#Headers],[SPCC]],
   COUNTIF(Herramientas_de_izaje2468[Herramientas_de_izaje], B351) &gt; 0, Herramientas_de_izaje2468[[#Headers],[Herramientas_de_izaje]],
COUNTIF(Tabla162670[Equipos], B351) &gt; 0, Tabla162670[[#Headers],[Equipos]],
    TRUE, "Sin clasificación"
)</f>
        <v>Sin clasificación</v>
      </c>
      <c r="G351" s="15"/>
      <c r="H351" s="47"/>
      <c r="I351" s="87"/>
      <c r="J351" s="78"/>
      <c r="K351" s="78"/>
      <c r="L351" s="78"/>
      <c r="M351" s="78"/>
      <c r="N351" s="76"/>
      <c r="O351" s="76"/>
      <c r="P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Q351" s="77"/>
      <c r="R351" s="32"/>
      <c r="S351" s="32"/>
      <c r="T351" s="32"/>
      <c r="U351" s="32"/>
    </row>
    <row r="352" spans="3:21" x14ac:dyDescent="0.3">
      <c r="C352" s="11"/>
      <c r="D352" s="32"/>
      <c r="E352" s="11" t="str" cm="1">
        <f t="array" ref="E352">_xlfn.IFS(
    COUNTIF(Herramientas_eléctricas1862[Herramientas_eléctricas], B352) &gt; 0, Herramientas_eléctricas1862[[#Headers],[Herramientas_eléctricas]],
    COUNTIF(Herramientas_neumáticas1963[Herramientas_neumáticas], B352) &gt; 0, Herramientas_neumáticas1963[[#Headers],[Herramientas_neumáticas]],
    COUNTIF(Herramientas_de_medición2064[Herramientas_de_medición], B352) &gt; 0, Herramientas_de_medición2064[[#Headers],[Herramientas_de_medición]],
    COUNTIF(Herrramientas_mecánicas2165[Herramientas_mecánicas], B352) &gt; 0, Herrramientas_mecánicas2165[[#Headers],[Herramientas_mecánicas]],
    COUNTIF(AK352:AK358, B352) &gt; 0, Herramientas_hidráulicas2266[[#Headers],[Herramientas_hidráulicas]],
    COUNTIF(EPP_2367[SPCC], B352) &gt; 0, EPP_2367[[#Headers],[SPCC]],
   COUNTIF(Herramientas_de_izaje2468[Herramientas_de_izaje], B352) &gt; 0, Herramientas_de_izaje2468[[#Headers],[Herramientas_de_izaje]],
COUNTIF(Tabla162670[Equipos], B352) &gt; 0, Tabla162670[[#Headers],[Equipos]],
    TRUE, "Sin clasificación"
)</f>
        <v>Sin clasificación</v>
      </c>
      <c r="G352" s="15"/>
      <c r="H352" s="47"/>
      <c r="I352" s="87"/>
      <c r="J352" s="78"/>
      <c r="K352" s="78"/>
      <c r="L352" s="78"/>
      <c r="M352" s="78"/>
      <c r="N352" s="76"/>
      <c r="O352" s="76"/>
      <c r="P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Q352" s="77"/>
      <c r="R352" s="32"/>
      <c r="S352" s="32"/>
      <c r="T352" s="32"/>
      <c r="U352" s="32"/>
    </row>
    <row r="353" spans="3:21" x14ac:dyDescent="0.3">
      <c r="C353" s="11"/>
      <c r="D353" s="32"/>
      <c r="E353" s="11" t="str" cm="1">
        <f t="array" ref="E353">_xlfn.IFS(
    COUNTIF(Herramientas_eléctricas1862[Herramientas_eléctricas], B353) &gt; 0, Herramientas_eléctricas1862[[#Headers],[Herramientas_eléctricas]],
    COUNTIF(Herramientas_neumáticas1963[Herramientas_neumáticas], B353) &gt; 0, Herramientas_neumáticas1963[[#Headers],[Herramientas_neumáticas]],
    COUNTIF(Herramientas_de_medición2064[Herramientas_de_medición], B353) &gt; 0, Herramientas_de_medición2064[[#Headers],[Herramientas_de_medición]],
    COUNTIF(Herrramientas_mecánicas2165[Herramientas_mecánicas], B353) &gt; 0, Herrramientas_mecánicas2165[[#Headers],[Herramientas_mecánicas]],
    COUNTIF(AK353:AK359, B353) &gt; 0, Herramientas_hidráulicas2266[[#Headers],[Herramientas_hidráulicas]],
    COUNTIF(EPP_2367[SPCC], B353) &gt; 0, EPP_2367[[#Headers],[SPCC]],
   COUNTIF(Herramientas_de_izaje2468[Herramientas_de_izaje], B353) &gt; 0, Herramientas_de_izaje2468[[#Headers],[Herramientas_de_izaje]],
COUNTIF(Tabla162670[Equipos], B353) &gt; 0, Tabla162670[[#Headers],[Equipos]],
    TRUE, "Sin clasificación"
)</f>
        <v>Sin clasificación</v>
      </c>
      <c r="G353" s="15"/>
      <c r="H353" s="47"/>
      <c r="I353" s="87"/>
      <c r="J353" s="78"/>
      <c r="K353" s="78"/>
      <c r="L353" s="78"/>
      <c r="M353" s="78"/>
      <c r="N353" s="76"/>
      <c r="O353" s="76"/>
      <c r="P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Q353" s="77"/>
      <c r="R353" s="32"/>
      <c r="S353" s="32"/>
      <c r="T353" s="32"/>
      <c r="U353" s="32"/>
    </row>
    <row r="354" spans="3:21" x14ac:dyDescent="0.3">
      <c r="C354" s="11"/>
      <c r="D354" s="32"/>
      <c r="E354" s="11" t="str" cm="1">
        <f t="array" ref="E354">_xlfn.IFS(
    COUNTIF(Herramientas_eléctricas1862[Herramientas_eléctricas], B354) &gt; 0, Herramientas_eléctricas1862[[#Headers],[Herramientas_eléctricas]],
    COUNTIF(Herramientas_neumáticas1963[Herramientas_neumáticas], B354) &gt; 0, Herramientas_neumáticas1963[[#Headers],[Herramientas_neumáticas]],
    COUNTIF(Herramientas_de_medición2064[Herramientas_de_medición], B354) &gt; 0, Herramientas_de_medición2064[[#Headers],[Herramientas_de_medición]],
    COUNTIF(Herrramientas_mecánicas2165[Herramientas_mecánicas], B354) &gt; 0, Herrramientas_mecánicas2165[[#Headers],[Herramientas_mecánicas]],
    COUNTIF(AK354:AK360, B354) &gt; 0, Herramientas_hidráulicas2266[[#Headers],[Herramientas_hidráulicas]],
    COUNTIF(EPP_2367[SPCC], B354) &gt; 0, EPP_2367[[#Headers],[SPCC]],
   COUNTIF(Herramientas_de_izaje2468[Herramientas_de_izaje], B354) &gt; 0, Herramientas_de_izaje2468[[#Headers],[Herramientas_de_izaje]],
COUNTIF(Tabla162670[Equipos], B354) &gt; 0, Tabla162670[[#Headers],[Equipos]],
    TRUE, "Sin clasificación"
)</f>
        <v>Sin clasificación</v>
      </c>
      <c r="G354" s="15"/>
      <c r="H354" s="47"/>
      <c r="I354" s="87"/>
      <c r="J354" s="78"/>
      <c r="K354" s="78"/>
      <c r="L354" s="78"/>
      <c r="M354" s="78"/>
      <c r="N354" s="76"/>
      <c r="O354" s="76"/>
      <c r="P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Q354" s="77"/>
      <c r="R354" s="32"/>
      <c r="S354" s="32"/>
      <c r="T354" s="32"/>
      <c r="U354" s="32"/>
    </row>
    <row r="355" spans="3:21" x14ac:dyDescent="0.3">
      <c r="C355" s="11"/>
      <c r="D355" s="32"/>
      <c r="E355" s="11" t="str" cm="1">
        <f t="array" ref="E355">_xlfn.IFS(
    COUNTIF(Herramientas_eléctricas1862[Herramientas_eléctricas], B355) &gt; 0, Herramientas_eléctricas1862[[#Headers],[Herramientas_eléctricas]],
    COUNTIF(Herramientas_neumáticas1963[Herramientas_neumáticas], B355) &gt; 0, Herramientas_neumáticas1963[[#Headers],[Herramientas_neumáticas]],
    COUNTIF(Herramientas_de_medición2064[Herramientas_de_medición], B355) &gt; 0, Herramientas_de_medición2064[[#Headers],[Herramientas_de_medición]],
    COUNTIF(Herrramientas_mecánicas2165[Herramientas_mecánicas], B355) &gt; 0, Herrramientas_mecánicas2165[[#Headers],[Herramientas_mecánicas]],
    COUNTIF(AK355:AK361, B355) &gt; 0, Herramientas_hidráulicas2266[[#Headers],[Herramientas_hidráulicas]],
    COUNTIF(EPP_2367[SPCC], B355) &gt; 0, EPP_2367[[#Headers],[SPCC]],
   COUNTIF(Herramientas_de_izaje2468[Herramientas_de_izaje], B355) &gt; 0, Herramientas_de_izaje2468[[#Headers],[Herramientas_de_izaje]],
COUNTIF(Tabla162670[Equipos], B355) &gt; 0, Tabla162670[[#Headers],[Equipos]],
    TRUE, "Sin clasificación"
)</f>
        <v>Sin clasificación</v>
      </c>
      <c r="G355" s="15"/>
      <c r="H355" s="47"/>
      <c r="I355" s="87"/>
      <c r="J355" s="78"/>
      <c r="K355" s="78"/>
      <c r="L355" s="78"/>
      <c r="M355" s="78"/>
      <c r="N355" s="76"/>
      <c r="O355" s="76"/>
      <c r="P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Q355" s="77"/>
      <c r="R355" s="32"/>
      <c r="S355" s="32"/>
      <c r="T355" s="32"/>
      <c r="U355" s="32"/>
    </row>
    <row r="356" spans="3:21" x14ac:dyDescent="0.3">
      <c r="C356" s="11"/>
      <c r="D356" s="32"/>
      <c r="E356" s="11" t="str" cm="1">
        <f t="array" ref="E356">_xlfn.IFS(
    COUNTIF(Herramientas_eléctricas1862[Herramientas_eléctricas], B356) &gt; 0, Herramientas_eléctricas1862[[#Headers],[Herramientas_eléctricas]],
    COUNTIF(Herramientas_neumáticas1963[Herramientas_neumáticas], B356) &gt; 0, Herramientas_neumáticas1963[[#Headers],[Herramientas_neumáticas]],
    COUNTIF(Herramientas_de_medición2064[Herramientas_de_medición], B356) &gt; 0, Herramientas_de_medición2064[[#Headers],[Herramientas_de_medición]],
    COUNTIF(Herrramientas_mecánicas2165[Herramientas_mecánicas], B356) &gt; 0, Herrramientas_mecánicas2165[[#Headers],[Herramientas_mecánicas]],
    COUNTIF(AK356:AK362, B356) &gt; 0, Herramientas_hidráulicas2266[[#Headers],[Herramientas_hidráulicas]],
    COUNTIF(EPP_2367[SPCC], B356) &gt; 0, EPP_2367[[#Headers],[SPCC]],
   COUNTIF(Herramientas_de_izaje2468[Herramientas_de_izaje], B356) &gt; 0, Herramientas_de_izaje2468[[#Headers],[Herramientas_de_izaje]],
COUNTIF(Tabla162670[Equipos], B356) &gt; 0, Tabla162670[[#Headers],[Equipos]],
    TRUE, "Sin clasificación"
)</f>
        <v>Sin clasificación</v>
      </c>
      <c r="G356" s="15"/>
      <c r="H356" s="47"/>
      <c r="I356" s="87"/>
      <c r="J356" s="78"/>
      <c r="K356" s="78"/>
      <c r="L356" s="78"/>
      <c r="M356" s="78"/>
      <c r="N356" s="76"/>
      <c r="O356" s="76"/>
      <c r="P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Q356" s="77"/>
      <c r="R356" s="32"/>
      <c r="S356" s="32"/>
      <c r="T356" s="32"/>
      <c r="U356" s="32"/>
    </row>
    <row r="357" spans="3:21" x14ac:dyDescent="0.3">
      <c r="C357" s="11"/>
      <c r="D357" s="32"/>
      <c r="E357" s="11" t="str" cm="1">
        <f t="array" ref="E357">_xlfn.IFS(
    COUNTIF(Herramientas_eléctricas1862[Herramientas_eléctricas], B357) &gt; 0, Herramientas_eléctricas1862[[#Headers],[Herramientas_eléctricas]],
    COUNTIF(Herramientas_neumáticas1963[Herramientas_neumáticas], B357) &gt; 0, Herramientas_neumáticas1963[[#Headers],[Herramientas_neumáticas]],
    COUNTIF(Herramientas_de_medición2064[Herramientas_de_medición], B357) &gt; 0, Herramientas_de_medición2064[[#Headers],[Herramientas_de_medición]],
    COUNTIF(Herrramientas_mecánicas2165[Herramientas_mecánicas], B357) &gt; 0, Herrramientas_mecánicas2165[[#Headers],[Herramientas_mecánicas]],
    COUNTIF(AK357:AK363, B357) &gt; 0, Herramientas_hidráulicas2266[[#Headers],[Herramientas_hidráulicas]],
    COUNTIF(EPP_2367[SPCC], B357) &gt; 0, EPP_2367[[#Headers],[SPCC]],
   COUNTIF(Herramientas_de_izaje2468[Herramientas_de_izaje], B357) &gt; 0, Herramientas_de_izaje2468[[#Headers],[Herramientas_de_izaje]],
COUNTIF(Tabla162670[Equipos], B357) &gt; 0, Tabla162670[[#Headers],[Equipos]],
    TRUE, "Sin clasificación"
)</f>
        <v>Sin clasificación</v>
      </c>
      <c r="G357" s="15"/>
      <c r="H357" s="47"/>
      <c r="I357" s="87"/>
      <c r="J357" s="78"/>
      <c r="K357" s="78"/>
      <c r="L357" s="78"/>
      <c r="M357" s="78"/>
      <c r="N357" s="76"/>
      <c r="O357" s="76"/>
      <c r="P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Q357" s="77"/>
      <c r="R357" s="32"/>
      <c r="S357" s="32"/>
      <c r="T357" s="32"/>
      <c r="U357" s="32"/>
    </row>
    <row r="358" spans="3:21" x14ac:dyDescent="0.3">
      <c r="C358" s="11"/>
      <c r="D358" s="32"/>
      <c r="E358" s="11" t="str" cm="1">
        <f t="array" ref="E358">_xlfn.IFS(
    COUNTIF(Herramientas_eléctricas1862[Herramientas_eléctricas], B358) &gt; 0, Herramientas_eléctricas1862[[#Headers],[Herramientas_eléctricas]],
    COUNTIF(Herramientas_neumáticas1963[Herramientas_neumáticas], B358) &gt; 0, Herramientas_neumáticas1963[[#Headers],[Herramientas_neumáticas]],
    COUNTIF(Herramientas_de_medición2064[Herramientas_de_medición], B358) &gt; 0, Herramientas_de_medición2064[[#Headers],[Herramientas_de_medición]],
    COUNTIF(Herrramientas_mecánicas2165[Herramientas_mecánicas], B358) &gt; 0, Herrramientas_mecánicas2165[[#Headers],[Herramientas_mecánicas]],
    COUNTIF(AK358:AK364, B358) &gt; 0, Herramientas_hidráulicas2266[[#Headers],[Herramientas_hidráulicas]],
    COUNTIF(EPP_2367[SPCC], B358) &gt; 0, EPP_2367[[#Headers],[SPCC]],
   COUNTIF(Herramientas_de_izaje2468[Herramientas_de_izaje], B358) &gt; 0, Herramientas_de_izaje2468[[#Headers],[Herramientas_de_izaje]],
COUNTIF(Tabla162670[Equipos], B358) &gt; 0, Tabla162670[[#Headers],[Equipos]],
    TRUE, "Sin clasificación"
)</f>
        <v>Sin clasificación</v>
      </c>
      <c r="G358" s="15"/>
      <c r="H358" s="47"/>
      <c r="I358" s="87"/>
      <c r="J358" s="78"/>
      <c r="K358" s="78"/>
      <c r="L358" s="78"/>
      <c r="M358" s="78"/>
      <c r="N358" s="76"/>
      <c r="O358" s="76"/>
      <c r="P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Q358" s="77"/>
      <c r="R358" s="32"/>
      <c r="S358" s="32"/>
      <c r="T358" s="32"/>
      <c r="U358" s="32"/>
    </row>
    <row r="359" spans="3:21" x14ac:dyDescent="0.3">
      <c r="C359" s="11"/>
      <c r="D359" s="32"/>
      <c r="E359" s="11" t="str" cm="1">
        <f t="array" ref="E359">_xlfn.IFS(
    COUNTIF(Herramientas_eléctricas1862[Herramientas_eléctricas], B359) &gt; 0, Herramientas_eléctricas1862[[#Headers],[Herramientas_eléctricas]],
    COUNTIF(Herramientas_neumáticas1963[Herramientas_neumáticas], B359) &gt; 0, Herramientas_neumáticas1963[[#Headers],[Herramientas_neumáticas]],
    COUNTIF(Herramientas_de_medición2064[Herramientas_de_medición], B359) &gt; 0, Herramientas_de_medición2064[[#Headers],[Herramientas_de_medición]],
    COUNTIF(Herrramientas_mecánicas2165[Herramientas_mecánicas], B359) &gt; 0, Herrramientas_mecánicas2165[[#Headers],[Herramientas_mecánicas]],
    COUNTIF(AK359:AK365, B359) &gt; 0, Herramientas_hidráulicas2266[[#Headers],[Herramientas_hidráulicas]],
    COUNTIF(EPP_2367[SPCC], B359) &gt; 0, EPP_2367[[#Headers],[SPCC]],
   COUNTIF(Herramientas_de_izaje2468[Herramientas_de_izaje], B359) &gt; 0, Herramientas_de_izaje2468[[#Headers],[Herramientas_de_izaje]],
COUNTIF(Tabla162670[Equipos], B359) &gt; 0, Tabla162670[[#Headers],[Equipos]],
    TRUE, "Sin clasificación"
)</f>
        <v>Sin clasificación</v>
      </c>
      <c r="G359" s="15"/>
      <c r="H359" s="47"/>
      <c r="I359" s="87"/>
      <c r="J359" s="78"/>
      <c r="K359" s="78"/>
      <c r="L359" s="78"/>
      <c r="M359" s="78"/>
      <c r="N359" s="76"/>
      <c r="O359" s="76"/>
      <c r="P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Q359" s="77"/>
      <c r="R359" s="32"/>
      <c r="S359" s="32"/>
      <c r="T359" s="32"/>
      <c r="U359" s="32"/>
    </row>
    <row r="360" spans="3:21" x14ac:dyDescent="0.3">
      <c r="C360" s="11"/>
      <c r="D360" s="32"/>
      <c r="E360" s="11" t="str" cm="1">
        <f t="array" ref="E360">_xlfn.IFS(
    COUNTIF(Herramientas_eléctricas1862[Herramientas_eléctricas], B360) &gt; 0, Herramientas_eléctricas1862[[#Headers],[Herramientas_eléctricas]],
    COUNTIF(Herramientas_neumáticas1963[Herramientas_neumáticas], B360) &gt; 0, Herramientas_neumáticas1963[[#Headers],[Herramientas_neumáticas]],
    COUNTIF(Herramientas_de_medición2064[Herramientas_de_medición], B360) &gt; 0, Herramientas_de_medición2064[[#Headers],[Herramientas_de_medición]],
    COUNTIF(Herrramientas_mecánicas2165[Herramientas_mecánicas], B360) &gt; 0, Herrramientas_mecánicas2165[[#Headers],[Herramientas_mecánicas]],
    COUNTIF(AK360:AK366, B360) &gt; 0, Herramientas_hidráulicas2266[[#Headers],[Herramientas_hidráulicas]],
    COUNTIF(EPP_2367[SPCC], B360) &gt; 0, EPP_2367[[#Headers],[SPCC]],
   COUNTIF(Herramientas_de_izaje2468[Herramientas_de_izaje], B360) &gt; 0, Herramientas_de_izaje2468[[#Headers],[Herramientas_de_izaje]],
COUNTIF(Tabla162670[Equipos], B360) &gt; 0, Tabla162670[[#Headers],[Equipos]],
    TRUE, "Sin clasificación"
)</f>
        <v>Sin clasificación</v>
      </c>
      <c r="G360" s="15"/>
      <c r="H360" s="47"/>
      <c r="I360" s="87"/>
      <c r="J360" s="78"/>
      <c r="K360" s="78"/>
      <c r="L360" s="78"/>
      <c r="M360" s="78"/>
      <c r="N360" s="76"/>
      <c r="O360" s="76"/>
      <c r="P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Q360" s="77"/>
      <c r="R360" s="32"/>
      <c r="S360" s="32"/>
      <c r="T360" s="32"/>
      <c r="U360" s="32"/>
    </row>
    <row r="361" spans="3:21" x14ac:dyDescent="0.3">
      <c r="C361" s="11"/>
      <c r="D361" s="32"/>
      <c r="E361" s="11" t="str" cm="1">
        <f t="array" ref="E361">_xlfn.IFS(
    COUNTIF(Herramientas_eléctricas1862[Herramientas_eléctricas], B361) &gt; 0, Herramientas_eléctricas1862[[#Headers],[Herramientas_eléctricas]],
    COUNTIF(Herramientas_neumáticas1963[Herramientas_neumáticas], B361) &gt; 0, Herramientas_neumáticas1963[[#Headers],[Herramientas_neumáticas]],
    COUNTIF(Herramientas_de_medición2064[Herramientas_de_medición], B361) &gt; 0, Herramientas_de_medición2064[[#Headers],[Herramientas_de_medición]],
    COUNTIF(Herrramientas_mecánicas2165[Herramientas_mecánicas], B361) &gt; 0, Herrramientas_mecánicas2165[[#Headers],[Herramientas_mecánicas]],
    COUNTIF(AK361:AK367, B361) &gt; 0, Herramientas_hidráulicas2266[[#Headers],[Herramientas_hidráulicas]],
    COUNTIF(EPP_2367[SPCC], B361) &gt; 0, EPP_2367[[#Headers],[SPCC]],
   COUNTIF(Herramientas_de_izaje2468[Herramientas_de_izaje], B361) &gt; 0, Herramientas_de_izaje2468[[#Headers],[Herramientas_de_izaje]],
COUNTIF(Tabla162670[Equipos], B361) &gt; 0, Tabla162670[[#Headers],[Equipos]],
    TRUE, "Sin clasificación"
)</f>
        <v>Sin clasificación</v>
      </c>
      <c r="G361" s="15"/>
      <c r="H361" s="47"/>
      <c r="I361" s="87"/>
      <c r="J361" s="78"/>
      <c r="K361" s="78"/>
      <c r="L361" s="78"/>
      <c r="M361" s="78"/>
      <c r="N361" s="76"/>
      <c r="O361" s="76"/>
      <c r="P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Q361" s="77"/>
      <c r="R361" s="32"/>
      <c r="S361" s="32"/>
      <c r="T361" s="32"/>
      <c r="U361" s="32"/>
    </row>
    <row r="362" spans="3:21" x14ac:dyDescent="0.3">
      <c r="C362" s="11"/>
      <c r="D362" s="32"/>
      <c r="E362" s="11" t="str" cm="1">
        <f t="array" ref="E362">_xlfn.IFS(
    COUNTIF(Herramientas_eléctricas1862[Herramientas_eléctricas], B362) &gt; 0, Herramientas_eléctricas1862[[#Headers],[Herramientas_eléctricas]],
    COUNTIF(Herramientas_neumáticas1963[Herramientas_neumáticas], B362) &gt; 0, Herramientas_neumáticas1963[[#Headers],[Herramientas_neumáticas]],
    COUNTIF(Herramientas_de_medición2064[Herramientas_de_medición], B362) &gt; 0, Herramientas_de_medición2064[[#Headers],[Herramientas_de_medición]],
    COUNTIF(Herrramientas_mecánicas2165[Herramientas_mecánicas], B362) &gt; 0, Herrramientas_mecánicas2165[[#Headers],[Herramientas_mecánicas]],
    COUNTIF(AK362:AK368, B362) &gt; 0, Herramientas_hidráulicas2266[[#Headers],[Herramientas_hidráulicas]],
    COUNTIF(EPP_2367[SPCC], B362) &gt; 0, EPP_2367[[#Headers],[SPCC]],
   COUNTIF(Herramientas_de_izaje2468[Herramientas_de_izaje], B362) &gt; 0, Herramientas_de_izaje2468[[#Headers],[Herramientas_de_izaje]],
COUNTIF(Tabla162670[Equipos], B362) &gt; 0, Tabla162670[[#Headers],[Equipos]],
    TRUE, "Sin clasificación"
)</f>
        <v>Sin clasificación</v>
      </c>
      <c r="G362" s="15"/>
      <c r="H362" s="47"/>
      <c r="I362" s="87"/>
      <c r="J362" s="78"/>
      <c r="K362" s="78"/>
      <c r="L362" s="78"/>
      <c r="M362" s="78"/>
      <c r="N362" s="76"/>
      <c r="O362" s="76"/>
      <c r="P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Q362" s="77"/>
      <c r="R362" s="32"/>
      <c r="S362" s="32"/>
      <c r="T362" s="32"/>
      <c r="U362" s="32"/>
    </row>
    <row r="363" spans="3:21" x14ac:dyDescent="0.3">
      <c r="C363" s="11"/>
      <c r="D363" s="32"/>
      <c r="E363" s="11" t="str" cm="1">
        <f t="array" ref="E363">_xlfn.IFS(
    COUNTIF(Herramientas_eléctricas1862[Herramientas_eléctricas], B363) &gt; 0, Herramientas_eléctricas1862[[#Headers],[Herramientas_eléctricas]],
    COUNTIF(Herramientas_neumáticas1963[Herramientas_neumáticas], B363) &gt; 0, Herramientas_neumáticas1963[[#Headers],[Herramientas_neumáticas]],
    COUNTIF(Herramientas_de_medición2064[Herramientas_de_medición], B363) &gt; 0, Herramientas_de_medición2064[[#Headers],[Herramientas_de_medición]],
    COUNTIF(Herrramientas_mecánicas2165[Herramientas_mecánicas], B363) &gt; 0, Herrramientas_mecánicas2165[[#Headers],[Herramientas_mecánicas]],
    COUNTIF(AK363:AK369, B363) &gt; 0, Herramientas_hidráulicas2266[[#Headers],[Herramientas_hidráulicas]],
    COUNTIF(EPP_2367[SPCC], B363) &gt; 0, EPP_2367[[#Headers],[SPCC]],
   COUNTIF(Herramientas_de_izaje2468[Herramientas_de_izaje], B363) &gt; 0, Herramientas_de_izaje2468[[#Headers],[Herramientas_de_izaje]],
COUNTIF(Tabla162670[Equipos], B363) &gt; 0, Tabla162670[[#Headers],[Equipos]],
    TRUE, "Sin clasificación"
)</f>
        <v>Sin clasificación</v>
      </c>
      <c r="G363" s="15"/>
      <c r="H363" s="47"/>
      <c r="I363" s="87"/>
      <c r="J363" s="78"/>
      <c r="K363" s="78"/>
      <c r="L363" s="78"/>
      <c r="M363" s="78"/>
      <c r="N363" s="76"/>
      <c r="O363" s="76"/>
      <c r="P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Q363" s="77"/>
      <c r="R363" s="32"/>
      <c r="S363" s="32"/>
      <c r="T363" s="32"/>
      <c r="U363" s="32"/>
    </row>
    <row r="364" spans="3:21" x14ac:dyDescent="0.3">
      <c r="C364" s="11"/>
      <c r="D364" s="32"/>
      <c r="E364" s="11" t="str" cm="1">
        <f t="array" ref="E364">_xlfn.IFS(
    COUNTIF(Herramientas_eléctricas1862[Herramientas_eléctricas], B364) &gt; 0, Herramientas_eléctricas1862[[#Headers],[Herramientas_eléctricas]],
    COUNTIF(Herramientas_neumáticas1963[Herramientas_neumáticas], B364) &gt; 0, Herramientas_neumáticas1963[[#Headers],[Herramientas_neumáticas]],
    COUNTIF(Herramientas_de_medición2064[Herramientas_de_medición], B364) &gt; 0, Herramientas_de_medición2064[[#Headers],[Herramientas_de_medición]],
    COUNTIF(Herrramientas_mecánicas2165[Herramientas_mecánicas], B364) &gt; 0, Herrramientas_mecánicas2165[[#Headers],[Herramientas_mecánicas]],
    COUNTIF(AK364:AK370, B364) &gt; 0, Herramientas_hidráulicas2266[[#Headers],[Herramientas_hidráulicas]],
    COUNTIF(EPP_2367[SPCC], B364) &gt; 0, EPP_2367[[#Headers],[SPCC]],
   COUNTIF(Herramientas_de_izaje2468[Herramientas_de_izaje], B364) &gt; 0, Herramientas_de_izaje2468[[#Headers],[Herramientas_de_izaje]],
COUNTIF(Tabla162670[Equipos], B364) &gt; 0, Tabla162670[[#Headers],[Equipos]],
    TRUE, "Sin clasificación"
)</f>
        <v>Sin clasificación</v>
      </c>
      <c r="G364" s="15"/>
      <c r="H364" s="47"/>
      <c r="I364" s="87"/>
      <c r="J364" s="78"/>
      <c r="K364" s="78"/>
      <c r="L364" s="78"/>
      <c r="M364" s="78"/>
      <c r="N364" s="76"/>
      <c r="O364" s="76"/>
      <c r="P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Q364" s="77"/>
      <c r="R364" s="32"/>
      <c r="S364" s="32"/>
      <c r="T364" s="32"/>
      <c r="U364" s="32"/>
    </row>
    <row r="365" spans="3:21" x14ac:dyDescent="0.3">
      <c r="C365" s="11"/>
      <c r="D365" s="32"/>
      <c r="E365" s="11" t="str" cm="1">
        <f t="array" ref="E365">_xlfn.IFS(
    COUNTIF(Herramientas_eléctricas1862[Herramientas_eléctricas], B365) &gt; 0, Herramientas_eléctricas1862[[#Headers],[Herramientas_eléctricas]],
    COUNTIF(Herramientas_neumáticas1963[Herramientas_neumáticas], B365) &gt; 0, Herramientas_neumáticas1963[[#Headers],[Herramientas_neumáticas]],
    COUNTIF(Herramientas_de_medición2064[Herramientas_de_medición], B365) &gt; 0, Herramientas_de_medición2064[[#Headers],[Herramientas_de_medición]],
    COUNTIF(Herrramientas_mecánicas2165[Herramientas_mecánicas], B365) &gt; 0, Herrramientas_mecánicas2165[[#Headers],[Herramientas_mecánicas]],
    COUNTIF(AK365:AK371, B365) &gt; 0, Herramientas_hidráulicas2266[[#Headers],[Herramientas_hidráulicas]],
    COUNTIF(EPP_2367[SPCC], B365) &gt; 0, EPP_2367[[#Headers],[SPCC]],
   COUNTIF(Herramientas_de_izaje2468[Herramientas_de_izaje], B365) &gt; 0, Herramientas_de_izaje2468[[#Headers],[Herramientas_de_izaje]],
COUNTIF(Tabla162670[Equipos], B365) &gt; 0, Tabla162670[[#Headers],[Equipos]],
    TRUE, "Sin clasificación"
)</f>
        <v>Sin clasificación</v>
      </c>
      <c r="G365" s="15"/>
      <c r="H365" s="47"/>
      <c r="I365" s="87"/>
      <c r="J365" s="78"/>
      <c r="K365" s="78"/>
      <c r="L365" s="78"/>
      <c r="M365" s="78"/>
      <c r="N365" s="76"/>
      <c r="O365" s="76"/>
      <c r="P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Q365" s="77"/>
      <c r="R365" s="32"/>
      <c r="S365" s="32"/>
      <c r="T365" s="32"/>
      <c r="U365" s="32"/>
    </row>
    <row r="366" spans="3:21" x14ac:dyDescent="0.3">
      <c r="C366" s="11"/>
      <c r="D366" s="32"/>
      <c r="E366" s="11" t="str" cm="1">
        <f t="array" ref="E366">_xlfn.IFS(
    COUNTIF(Herramientas_eléctricas1862[Herramientas_eléctricas], B366) &gt; 0, Herramientas_eléctricas1862[[#Headers],[Herramientas_eléctricas]],
    COUNTIF(Herramientas_neumáticas1963[Herramientas_neumáticas], B366) &gt; 0, Herramientas_neumáticas1963[[#Headers],[Herramientas_neumáticas]],
    COUNTIF(Herramientas_de_medición2064[Herramientas_de_medición], B366) &gt; 0, Herramientas_de_medición2064[[#Headers],[Herramientas_de_medición]],
    COUNTIF(Herrramientas_mecánicas2165[Herramientas_mecánicas], B366) &gt; 0, Herrramientas_mecánicas2165[[#Headers],[Herramientas_mecánicas]],
    COUNTIF(AK366:AK372, B366) &gt; 0, Herramientas_hidráulicas2266[[#Headers],[Herramientas_hidráulicas]],
    COUNTIF(EPP_2367[SPCC], B366) &gt; 0, EPP_2367[[#Headers],[SPCC]],
   COUNTIF(Herramientas_de_izaje2468[Herramientas_de_izaje], B366) &gt; 0, Herramientas_de_izaje2468[[#Headers],[Herramientas_de_izaje]],
COUNTIF(Tabla162670[Equipos], B366) &gt; 0, Tabla162670[[#Headers],[Equipos]],
    TRUE, "Sin clasificación"
)</f>
        <v>Sin clasificación</v>
      </c>
      <c r="G366" s="15"/>
      <c r="H366" s="47"/>
      <c r="I366" s="87"/>
      <c r="J366" s="78"/>
      <c r="K366" s="78"/>
      <c r="L366" s="78"/>
      <c r="M366" s="78"/>
      <c r="N366" s="76"/>
      <c r="O366" s="76"/>
      <c r="P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Q366" s="77"/>
      <c r="R366" s="32"/>
      <c r="S366" s="32"/>
      <c r="T366" s="32"/>
      <c r="U366" s="32"/>
    </row>
    <row r="367" spans="3:21" x14ac:dyDescent="0.3">
      <c r="C367" s="11"/>
      <c r="D367" s="32"/>
      <c r="E367" s="11" t="str" cm="1">
        <f t="array" ref="E367">_xlfn.IFS(
    COUNTIF(Herramientas_eléctricas1862[Herramientas_eléctricas], B367) &gt; 0, Herramientas_eléctricas1862[[#Headers],[Herramientas_eléctricas]],
    COUNTIF(Herramientas_neumáticas1963[Herramientas_neumáticas], B367) &gt; 0, Herramientas_neumáticas1963[[#Headers],[Herramientas_neumáticas]],
    COUNTIF(Herramientas_de_medición2064[Herramientas_de_medición], B367) &gt; 0, Herramientas_de_medición2064[[#Headers],[Herramientas_de_medición]],
    COUNTIF(Herrramientas_mecánicas2165[Herramientas_mecánicas], B367) &gt; 0, Herrramientas_mecánicas2165[[#Headers],[Herramientas_mecánicas]],
    COUNTIF(AK367:AK373, B367) &gt; 0, Herramientas_hidráulicas2266[[#Headers],[Herramientas_hidráulicas]],
    COUNTIF(EPP_2367[SPCC], B367) &gt; 0, EPP_2367[[#Headers],[SPCC]],
   COUNTIF(Herramientas_de_izaje2468[Herramientas_de_izaje], B367) &gt; 0, Herramientas_de_izaje2468[[#Headers],[Herramientas_de_izaje]],
COUNTIF(Tabla162670[Equipos], B367) &gt; 0, Tabla162670[[#Headers],[Equipos]],
    TRUE, "Sin clasificación"
)</f>
        <v>Sin clasificación</v>
      </c>
      <c r="G367" s="15"/>
      <c r="H367" s="47"/>
      <c r="I367" s="87"/>
      <c r="J367" s="78"/>
      <c r="K367" s="78"/>
      <c r="L367" s="78"/>
      <c r="M367" s="78"/>
      <c r="N367" s="76"/>
      <c r="O367" s="76"/>
      <c r="P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Q367" s="77"/>
      <c r="R367" s="32"/>
      <c r="S367" s="32"/>
      <c r="T367" s="32"/>
      <c r="U367" s="32"/>
    </row>
    <row r="368" spans="3:21" x14ac:dyDescent="0.3">
      <c r="C368" s="11"/>
      <c r="D368" s="32"/>
      <c r="E368" s="11" t="str" cm="1">
        <f t="array" ref="E368">_xlfn.IFS(
    COUNTIF(Herramientas_eléctricas1862[Herramientas_eléctricas], B368) &gt; 0, Herramientas_eléctricas1862[[#Headers],[Herramientas_eléctricas]],
    COUNTIF(Herramientas_neumáticas1963[Herramientas_neumáticas], B368) &gt; 0, Herramientas_neumáticas1963[[#Headers],[Herramientas_neumáticas]],
    COUNTIF(Herramientas_de_medición2064[Herramientas_de_medición], B368) &gt; 0, Herramientas_de_medición2064[[#Headers],[Herramientas_de_medición]],
    COUNTIF(Herrramientas_mecánicas2165[Herramientas_mecánicas], B368) &gt; 0, Herrramientas_mecánicas2165[[#Headers],[Herramientas_mecánicas]],
    COUNTIF(AK368:AK374, B368) &gt; 0, Herramientas_hidráulicas2266[[#Headers],[Herramientas_hidráulicas]],
    COUNTIF(EPP_2367[SPCC], B368) &gt; 0, EPP_2367[[#Headers],[SPCC]],
   COUNTIF(Herramientas_de_izaje2468[Herramientas_de_izaje], B368) &gt; 0, Herramientas_de_izaje2468[[#Headers],[Herramientas_de_izaje]],
COUNTIF(Tabla162670[Equipos], B368) &gt; 0, Tabla162670[[#Headers],[Equipos]],
    TRUE, "Sin clasificación"
)</f>
        <v>Sin clasificación</v>
      </c>
      <c r="G368" s="15"/>
      <c r="H368" s="47"/>
      <c r="I368" s="87"/>
      <c r="J368" s="78"/>
      <c r="K368" s="78"/>
      <c r="L368" s="78"/>
      <c r="M368" s="78"/>
      <c r="N368" s="76"/>
      <c r="O368" s="76"/>
      <c r="P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Q368" s="77"/>
      <c r="R368" s="32"/>
      <c r="S368" s="32"/>
      <c r="T368" s="32"/>
      <c r="U368" s="32"/>
    </row>
    <row r="369" spans="3:21" x14ac:dyDescent="0.3">
      <c r="C369" s="11"/>
      <c r="D369" s="32"/>
      <c r="E369" s="11" t="str" cm="1">
        <f t="array" ref="E369">_xlfn.IFS(
    COUNTIF(Herramientas_eléctricas1862[Herramientas_eléctricas], B369) &gt; 0, Herramientas_eléctricas1862[[#Headers],[Herramientas_eléctricas]],
    COUNTIF(Herramientas_neumáticas1963[Herramientas_neumáticas], B369) &gt; 0, Herramientas_neumáticas1963[[#Headers],[Herramientas_neumáticas]],
    COUNTIF(Herramientas_de_medición2064[Herramientas_de_medición], B369) &gt; 0, Herramientas_de_medición2064[[#Headers],[Herramientas_de_medición]],
    COUNTIF(Herrramientas_mecánicas2165[Herramientas_mecánicas], B369) &gt; 0, Herrramientas_mecánicas2165[[#Headers],[Herramientas_mecánicas]],
    COUNTIF(AK369:AK375, B369) &gt; 0, Herramientas_hidráulicas2266[[#Headers],[Herramientas_hidráulicas]],
    COUNTIF(EPP_2367[SPCC], B369) &gt; 0, EPP_2367[[#Headers],[SPCC]],
   COUNTIF(Herramientas_de_izaje2468[Herramientas_de_izaje], B369) &gt; 0, Herramientas_de_izaje2468[[#Headers],[Herramientas_de_izaje]],
COUNTIF(Tabla162670[Equipos], B369) &gt; 0, Tabla162670[[#Headers],[Equipos]],
    TRUE, "Sin clasificación"
)</f>
        <v>Sin clasificación</v>
      </c>
      <c r="G369" s="15"/>
      <c r="H369" s="47"/>
      <c r="I369" s="87"/>
      <c r="J369" s="78"/>
      <c r="K369" s="78"/>
      <c r="L369" s="78"/>
      <c r="M369" s="78"/>
      <c r="N369" s="76"/>
      <c r="O369" s="76"/>
      <c r="P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Q369" s="77"/>
      <c r="R369" s="32"/>
      <c r="S369" s="32"/>
      <c r="T369" s="32"/>
      <c r="U369" s="32"/>
    </row>
    <row r="370" spans="3:21" x14ac:dyDescent="0.3">
      <c r="C370" s="11"/>
      <c r="D370" s="32"/>
      <c r="E370" s="11" t="str" cm="1">
        <f t="array" ref="E370">_xlfn.IFS(
    COUNTIF(Herramientas_eléctricas1862[Herramientas_eléctricas], B370) &gt; 0, Herramientas_eléctricas1862[[#Headers],[Herramientas_eléctricas]],
    COUNTIF(Herramientas_neumáticas1963[Herramientas_neumáticas], B370) &gt; 0, Herramientas_neumáticas1963[[#Headers],[Herramientas_neumáticas]],
    COUNTIF(Herramientas_de_medición2064[Herramientas_de_medición], B370) &gt; 0, Herramientas_de_medición2064[[#Headers],[Herramientas_de_medición]],
    COUNTIF(Herrramientas_mecánicas2165[Herramientas_mecánicas], B370) &gt; 0, Herrramientas_mecánicas2165[[#Headers],[Herramientas_mecánicas]],
    COUNTIF(AK370:AK376, B370) &gt; 0, Herramientas_hidráulicas2266[[#Headers],[Herramientas_hidráulicas]],
    COUNTIF(EPP_2367[SPCC], B370) &gt; 0, EPP_2367[[#Headers],[SPCC]],
   COUNTIF(Herramientas_de_izaje2468[Herramientas_de_izaje], B370) &gt; 0, Herramientas_de_izaje2468[[#Headers],[Herramientas_de_izaje]],
COUNTIF(Tabla162670[Equipos], B370) &gt; 0, Tabla162670[[#Headers],[Equipos]],
    TRUE, "Sin clasificación"
)</f>
        <v>Sin clasificación</v>
      </c>
      <c r="G370" s="15"/>
      <c r="H370" s="47"/>
      <c r="I370" s="87"/>
      <c r="J370" s="78"/>
      <c r="K370" s="78"/>
      <c r="L370" s="78"/>
      <c r="M370" s="78"/>
      <c r="N370" s="76"/>
      <c r="O370" s="76"/>
      <c r="P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Q370" s="77"/>
      <c r="R370" s="32"/>
      <c r="S370" s="32"/>
      <c r="T370" s="32"/>
      <c r="U370" s="32"/>
    </row>
    <row r="371" spans="3:21" x14ac:dyDescent="0.3">
      <c r="C371" s="11"/>
      <c r="D371" s="32"/>
      <c r="E371" s="11" t="str" cm="1">
        <f t="array" ref="E371">_xlfn.IFS(
    COUNTIF(Herramientas_eléctricas1862[Herramientas_eléctricas], B371) &gt; 0, Herramientas_eléctricas1862[[#Headers],[Herramientas_eléctricas]],
    COUNTIF(Herramientas_neumáticas1963[Herramientas_neumáticas], B371) &gt; 0, Herramientas_neumáticas1963[[#Headers],[Herramientas_neumáticas]],
    COUNTIF(Herramientas_de_medición2064[Herramientas_de_medición], B371) &gt; 0, Herramientas_de_medición2064[[#Headers],[Herramientas_de_medición]],
    COUNTIF(Herrramientas_mecánicas2165[Herramientas_mecánicas], B371) &gt; 0, Herrramientas_mecánicas2165[[#Headers],[Herramientas_mecánicas]],
    COUNTIF(AK371:AK377, B371) &gt; 0, Herramientas_hidráulicas2266[[#Headers],[Herramientas_hidráulicas]],
    COUNTIF(EPP_2367[SPCC], B371) &gt; 0, EPP_2367[[#Headers],[SPCC]],
   COUNTIF(Herramientas_de_izaje2468[Herramientas_de_izaje], B371) &gt; 0, Herramientas_de_izaje2468[[#Headers],[Herramientas_de_izaje]],
COUNTIF(Tabla162670[Equipos], B371) &gt; 0, Tabla162670[[#Headers],[Equipos]],
    TRUE, "Sin clasificación"
)</f>
        <v>Sin clasificación</v>
      </c>
      <c r="G371" s="15"/>
      <c r="H371" s="47"/>
      <c r="I371" s="87"/>
      <c r="J371" s="78"/>
      <c r="K371" s="78"/>
      <c r="L371" s="78"/>
      <c r="M371" s="78"/>
      <c r="N371" s="76"/>
      <c r="O371" s="76"/>
      <c r="P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Q371" s="77"/>
      <c r="R371" s="32"/>
      <c r="S371" s="32"/>
      <c r="T371" s="32"/>
      <c r="U371" s="32"/>
    </row>
    <row r="372" spans="3:21" x14ac:dyDescent="0.3">
      <c r="C372" s="11"/>
      <c r="D372" s="32"/>
      <c r="E372" s="11" t="str" cm="1">
        <f t="array" ref="E372">_xlfn.IFS(
    COUNTIF(Herramientas_eléctricas1862[Herramientas_eléctricas], B372) &gt; 0, Herramientas_eléctricas1862[[#Headers],[Herramientas_eléctricas]],
    COUNTIF(Herramientas_neumáticas1963[Herramientas_neumáticas], B372) &gt; 0, Herramientas_neumáticas1963[[#Headers],[Herramientas_neumáticas]],
    COUNTIF(Herramientas_de_medición2064[Herramientas_de_medición], B372) &gt; 0, Herramientas_de_medición2064[[#Headers],[Herramientas_de_medición]],
    COUNTIF(Herrramientas_mecánicas2165[Herramientas_mecánicas], B372) &gt; 0, Herrramientas_mecánicas2165[[#Headers],[Herramientas_mecánicas]],
    COUNTIF(AK372:AK378, B372) &gt; 0, Herramientas_hidráulicas2266[[#Headers],[Herramientas_hidráulicas]],
    COUNTIF(EPP_2367[SPCC], B372) &gt; 0, EPP_2367[[#Headers],[SPCC]],
   COUNTIF(Herramientas_de_izaje2468[Herramientas_de_izaje], B372) &gt; 0, Herramientas_de_izaje2468[[#Headers],[Herramientas_de_izaje]],
COUNTIF(Tabla162670[Equipos], B372) &gt; 0, Tabla162670[[#Headers],[Equipos]],
    TRUE, "Sin clasificación"
)</f>
        <v>Sin clasificación</v>
      </c>
      <c r="G372" s="15"/>
      <c r="H372" s="47"/>
      <c r="I372" s="87"/>
      <c r="J372" s="78"/>
      <c r="K372" s="78"/>
      <c r="L372" s="78"/>
      <c r="M372" s="78"/>
      <c r="N372" s="76"/>
      <c r="O372" s="76"/>
      <c r="P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Q372" s="77"/>
      <c r="R372" s="32"/>
      <c r="S372" s="32"/>
      <c r="T372" s="32"/>
      <c r="U372" s="32"/>
    </row>
    <row r="373" spans="3:21" x14ac:dyDescent="0.3">
      <c r="C373" s="11"/>
      <c r="D373" s="32"/>
      <c r="E373" s="11" t="str" cm="1">
        <f t="array" ref="E373">_xlfn.IFS(
    COUNTIF(Herramientas_eléctricas1862[Herramientas_eléctricas], B373) &gt; 0, Herramientas_eléctricas1862[[#Headers],[Herramientas_eléctricas]],
    COUNTIF(Herramientas_neumáticas1963[Herramientas_neumáticas], B373) &gt; 0, Herramientas_neumáticas1963[[#Headers],[Herramientas_neumáticas]],
    COUNTIF(Herramientas_de_medición2064[Herramientas_de_medición], B373) &gt; 0, Herramientas_de_medición2064[[#Headers],[Herramientas_de_medición]],
    COUNTIF(Herrramientas_mecánicas2165[Herramientas_mecánicas], B373) &gt; 0, Herrramientas_mecánicas2165[[#Headers],[Herramientas_mecánicas]],
    COUNTIF(AK373:AK379, B373) &gt; 0, Herramientas_hidráulicas2266[[#Headers],[Herramientas_hidráulicas]],
    COUNTIF(EPP_2367[SPCC], B373) &gt; 0, EPP_2367[[#Headers],[SPCC]],
   COUNTIF(Herramientas_de_izaje2468[Herramientas_de_izaje], B373) &gt; 0, Herramientas_de_izaje2468[[#Headers],[Herramientas_de_izaje]],
COUNTIF(Tabla162670[Equipos], B373) &gt; 0, Tabla162670[[#Headers],[Equipos]],
    TRUE, "Sin clasificación"
)</f>
        <v>Sin clasificación</v>
      </c>
      <c r="G373" s="15"/>
      <c r="H373" s="47"/>
      <c r="I373" s="87"/>
      <c r="J373" s="78"/>
      <c r="K373" s="78"/>
      <c r="L373" s="78"/>
      <c r="M373" s="78"/>
      <c r="N373" s="76"/>
      <c r="O373" s="76"/>
      <c r="P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Q373" s="77"/>
      <c r="R373" s="32"/>
      <c r="S373" s="32"/>
      <c r="T373" s="32"/>
      <c r="U373" s="32"/>
    </row>
    <row r="374" spans="3:21" x14ac:dyDescent="0.3">
      <c r="C374" s="11"/>
      <c r="D374" s="32"/>
      <c r="E374" s="11" t="str" cm="1">
        <f t="array" ref="E374">_xlfn.IFS(
    COUNTIF(Herramientas_eléctricas1862[Herramientas_eléctricas], B374) &gt; 0, Herramientas_eléctricas1862[[#Headers],[Herramientas_eléctricas]],
    COUNTIF(Herramientas_neumáticas1963[Herramientas_neumáticas], B374) &gt; 0, Herramientas_neumáticas1963[[#Headers],[Herramientas_neumáticas]],
    COUNTIF(Herramientas_de_medición2064[Herramientas_de_medición], B374) &gt; 0, Herramientas_de_medición2064[[#Headers],[Herramientas_de_medición]],
    COUNTIF(Herrramientas_mecánicas2165[Herramientas_mecánicas], B374) &gt; 0, Herrramientas_mecánicas2165[[#Headers],[Herramientas_mecánicas]],
    COUNTIF(AK374:AK380, B374) &gt; 0, Herramientas_hidráulicas2266[[#Headers],[Herramientas_hidráulicas]],
    COUNTIF(EPP_2367[SPCC], B374) &gt; 0, EPP_2367[[#Headers],[SPCC]],
   COUNTIF(Herramientas_de_izaje2468[Herramientas_de_izaje], B374) &gt; 0, Herramientas_de_izaje2468[[#Headers],[Herramientas_de_izaje]],
COUNTIF(Tabla162670[Equipos], B374) &gt; 0, Tabla162670[[#Headers],[Equipos]],
    TRUE, "Sin clasificación"
)</f>
        <v>Sin clasificación</v>
      </c>
      <c r="G374" s="15"/>
      <c r="H374" s="47"/>
      <c r="I374" s="87"/>
      <c r="J374" s="78"/>
      <c r="K374" s="78"/>
      <c r="L374" s="78"/>
      <c r="M374" s="78"/>
      <c r="N374" s="76"/>
      <c r="O374" s="76"/>
      <c r="P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Q374" s="77"/>
      <c r="R374" s="32"/>
      <c r="S374" s="32"/>
      <c r="T374" s="32"/>
      <c r="U374" s="32"/>
    </row>
    <row r="375" spans="3:21" x14ac:dyDescent="0.3">
      <c r="C375" s="11"/>
      <c r="D375" s="32"/>
      <c r="E375" s="11" t="str" cm="1">
        <f t="array" ref="E375">_xlfn.IFS(
    COUNTIF(Herramientas_eléctricas1862[Herramientas_eléctricas], B375) &gt; 0, Herramientas_eléctricas1862[[#Headers],[Herramientas_eléctricas]],
    COUNTIF(Herramientas_neumáticas1963[Herramientas_neumáticas], B375) &gt; 0, Herramientas_neumáticas1963[[#Headers],[Herramientas_neumáticas]],
    COUNTIF(Herramientas_de_medición2064[Herramientas_de_medición], B375) &gt; 0, Herramientas_de_medición2064[[#Headers],[Herramientas_de_medición]],
    COUNTIF(Herrramientas_mecánicas2165[Herramientas_mecánicas], B375) &gt; 0, Herrramientas_mecánicas2165[[#Headers],[Herramientas_mecánicas]],
    COUNTIF(AK375:AK381, B375) &gt; 0, Herramientas_hidráulicas2266[[#Headers],[Herramientas_hidráulicas]],
    COUNTIF(EPP_2367[SPCC], B375) &gt; 0, EPP_2367[[#Headers],[SPCC]],
   COUNTIF(Herramientas_de_izaje2468[Herramientas_de_izaje], B375) &gt; 0, Herramientas_de_izaje2468[[#Headers],[Herramientas_de_izaje]],
COUNTIF(Tabla162670[Equipos], B375) &gt; 0, Tabla162670[[#Headers],[Equipos]],
    TRUE, "Sin clasificación"
)</f>
        <v>Sin clasificación</v>
      </c>
      <c r="G375" s="15"/>
      <c r="H375" s="47"/>
      <c r="I375" s="87"/>
      <c r="J375" s="78"/>
      <c r="K375" s="78"/>
      <c r="L375" s="78"/>
      <c r="M375" s="78"/>
      <c r="N375" s="76"/>
      <c r="O375" s="76"/>
      <c r="P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Q375" s="77"/>
      <c r="R375" s="32"/>
      <c r="S375" s="32"/>
      <c r="T375" s="32"/>
      <c r="U375" s="32"/>
    </row>
    <row r="376" spans="3:21" x14ac:dyDescent="0.3">
      <c r="C376" s="11"/>
      <c r="D376" s="32"/>
      <c r="E376" s="11" t="str" cm="1">
        <f t="array" ref="E376">_xlfn.IFS(
    COUNTIF(Herramientas_eléctricas1862[Herramientas_eléctricas], B376) &gt; 0, Herramientas_eléctricas1862[[#Headers],[Herramientas_eléctricas]],
    COUNTIF(Herramientas_neumáticas1963[Herramientas_neumáticas], B376) &gt; 0, Herramientas_neumáticas1963[[#Headers],[Herramientas_neumáticas]],
    COUNTIF(Herramientas_de_medición2064[Herramientas_de_medición], B376) &gt; 0, Herramientas_de_medición2064[[#Headers],[Herramientas_de_medición]],
    COUNTIF(Herrramientas_mecánicas2165[Herramientas_mecánicas], B376) &gt; 0, Herrramientas_mecánicas2165[[#Headers],[Herramientas_mecánicas]],
    COUNTIF(AK376:AK382, B376) &gt; 0, Herramientas_hidráulicas2266[[#Headers],[Herramientas_hidráulicas]],
    COUNTIF(EPP_2367[SPCC], B376) &gt; 0, EPP_2367[[#Headers],[SPCC]],
   COUNTIF(Herramientas_de_izaje2468[Herramientas_de_izaje], B376) &gt; 0, Herramientas_de_izaje2468[[#Headers],[Herramientas_de_izaje]],
COUNTIF(Tabla162670[Equipos], B376) &gt; 0, Tabla162670[[#Headers],[Equipos]],
    TRUE, "Sin clasificación"
)</f>
        <v>Sin clasificación</v>
      </c>
      <c r="G376" s="15"/>
      <c r="H376" s="47"/>
      <c r="I376" s="87"/>
      <c r="J376" s="78"/>
      <c r="K376" s="78"/>
      <c r="L376" s="78"/>
      <c r="M376" s="78"/>
      <c r="N376" s="76"/>
      <c r="O376" s="76"/>
      <c r="P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Q376" s="77"/>
      <c r="R376" s="32"/>
      <c r="S376" s="32"/>
      <c r="T376" s="32"/>
      <c r="U376" s="32"/>
    </row>
    <row r="377" spans="3:21" x14ac:dyDescent="0.3">
      <c r="C377" s="11"/>
      <c r="D377" s="32"/>
      <c r="E377" s="11" t="str" cm="1">
        <f t="array" ref="E377">_xlfn.IFS(
    COUNTIF(Herramientas_eléctricas1862[Herramientas_eléctricas], B377) &gt; 0, Herramientas_eléctricas1862[[#Headers],[Herramientas_eléctricas]],
    COUNTIF(Herramientas_neumáticas1963[Herramientas_neumáticas], B377) &gt; 0, Herramientas_neumáticas1963[[#Headers],[Herramientas_neumáticas]],
    COUNTIF(Herramientas_de_medición2064[Herramientas_de_medición], B377) &gt; 0, Herramientas_de_medición2064[[#Headers],[Herramientas_de_medición]],
    COUNTIF(Herrramientas_mecánicas2165[Herramientas_mecánicas], B377) &gt; 0, Herrramientas_mecánicas2165[[#Headers],[Herramientas_mecánicas]],
    COUNTIF(AK377:AK383, B377) &gt; 0, Herramientas_hidráulicas2266[[#Headers],[Herramientas_hidráulicas]],
    COUNTIF(EPP_2367[SPCC], B377) &gt; 0, EPP_2367[[#Headers],[SPCC]],
   COUNTIF(Herramientas_de_izaje2468[Herramientas_de_izaje], B377) &gt; 0, Herramientas_de_izaje2468[[#Headers],[Herramientas_de_izaje]],
COUNTIF(Tabla162670[Equipos], B377) &gt; 0, Tabla162670[[#Headers],[Equipos]],
    TRUE, "Sin clasificación"
)</f>
        <v>Sin clasificación</v>
      </c>
      <c r="G377" s="15"/>
      <c r="H377" s="47"/>
      <c r="I377" s="87"/>
      <c r="J377" s="78"/>
      <c r="K377" s="78"/>
      <c r="L377" s="78"/>
      <c r="M377" s="78"/>
      <c r="N377" s="76"/>
      <c r="O377" s="76"/>
      <c r="P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Q377" s="77"/>
      <c r="R377" s="32"/>
      <c r="S377" s="32"/>
      <c r="T377" s="32"/>
      <c r="U377" s="32"/>
    </row>
    <row r="378" spans="3:21" x14ac:dyDescent="0.3">
      <c r="C378" s="11"/>
      <c r="D378" s="32"/>
      <c r="E378" s="11" t="str" cm="1">
        <f t="array" ref="E378">_xlfn.IFS(
    COUNTIF(Herramientas_eléctricas1862[Herramientas_eléctricas], B378) &gt; 0, Herramientas_eléctricas1862[[#Headers],[Herramientas_eléctricas]],
    COUNTIF(Herramientas_neumáticas1963[Herramientas_neumáticas], B378) &gt; 0, Herramientas_neumáticas1963[[#Headers],[Herramientas_neumáticas]],
    COUNTIF(Herramientas_de_medición2064[Herramientas_de_medición], B378) &gt; 0, Herramientas_de_medición2064[[#Headers],[Herramientas_de_medición]],
    COUNTIF(Herrramientas_mecánicas2165[Herramientas_mecánicas], B378) &gt; 0, Herrramientas_mecánicas2165[[#Headers],[Herramientas_mecánicas]],
    COUNTIF(AK378:AK384, B378) &gt; 0, Herramientas_hidráulicas2266[[#Headers],[Herramientas_hidráulicas]],
    COUNTIF(EPP_2367[SPCC], B378) &gt; 0, EPP_2367[[#Headers],[SPCC]],
   COUNTIF(Herramientas_de_izaje2468[Herramientas_de_izaje], B378) &gt; 0, Herramientas_de_izaje2468[[#Headers],[Herramientas_de_izaje]],
COUNTIF(Tabla162670[Equipos], B378) &gt; 0, Tabla162670[[#Headers],[Equipos]],
    TRUE, "Sin clasificación"
)</f>
        <v>Sin clasificación</v>
      </c>
      <c r="G378" s="15"/>
      <c r="H378" s="47"/>
      <c r="I378" s="87"/>
      <c r="J378" s="78"/>
      <c r="K378" s="78"/>
      <c r="L378" s="78"/>
      <c r="M378" s="78"/>
      <c r="N378" s="76"/>
      <c r="O378" s="76"/>
      <c r="P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Q378" s="77"/>
      <c r="R378" s="32"/>
      <c r="S378" s="32"/>
      <c r="T378" s="32"/>
      <c r="U378" s="32"/>
    </row>
    <row r="379" spans="3:21" x14ac:dyDescent="0.3">
      <c r="C379" s="11"/>
      <c r="D379" s="32"/>
      <c r="E379" s="11" t="str" cm="1">
        <f t="array" ref="E379">_xlfn.IFS(
    COUNTIF(Herramientas_eléctricas1862[Herramientas_eléctricas], B379) &gt; 0, Herramientas_eléctricas1862[[#Headers],[Herramientas_eléctricas]],
    COUNTIF(Herramientas_neumáticas1963[Herramientas_neumáticas], B379) &gt; 0, Herramientas_neumáticas1963[[#Headers],[Herramientas_neumáticas]],
    COUNTIF(Herramientas_de_medición2064[Herramientas_de_medición], B379) &gt; 0, Herramientas_de_medición2064[[#Headers],[Herramientas_de_medición]],
    COUNTIF(Herrramientas_mecánicas2165[Herramientas_mecánicas], B379) &gt; 0, Herrramientas_mecánicas2165[[#Headers],[Herramientas_mecánicas]],
    COUNTIF(AK379:AK385, B379) &gt; 0, Herramientas_hidráulicas2266[[#Headers],[Herramientas_hidráulicas]],
    COUNTIF(EPP_2367[SPCC], B379) &gt; 0, EPP_2367[[#Headers],[SPCC]],
   COUNTIF(Herramientas_de_izaje2468[Herramientas_de_izaje], B379) &gt; 0, Herramientas_de_izaje2468[[#Headers],[Herramientas_de_izaje]],
COUNTIF(Tabla162670[Equipos], B379) &gt; 0, Tabla162670[[#Headers],[Equipos]],
    TRUE, "Sin clasificación"
)</f>
        <v>Sin clasificación</v>
      </c>
      <c r="G379" s="15"/>
      <c r="H379" s="47"/>
      <c r="I379" s="87"/>
      <c r="J379" s="78"/>
      <c r="K379" s="78"/>
      <c r="L379" s="78"/>
      <c r="M379" s="78"/>
      <c r="N379" s="76"/>
      <c r="O379" s="76"/>
      <c r="P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Q379" s="77"/>
      <c r="R379" s="32"/>
      <c r="S379" s="32"/>
      <c r="T379" s="32"/>
      <c r="U379" s="32"/>
    </row>
    <row r="380" spans="3:21" x14ac:dyDescent="0.3">
      <c r="C380" s="11"/>
      <c r="D380" s="32"/>
      <c r="E380" s="11" t="str" cm="1">
        <f t="array" ref="E380">_xlfn.IFS(
    COUNTIF(Herramientas_eléctricas1862[Herramientas_eléctricas], B380) &gt; 0, Herramientas_eléctricas1862[[#Headers],[Herramientas_eléctricas]],
    COUNTIF(Herramientas_neumáticas1963[Herramientas_neumáticas], B380) &gt; 0, Herramientas_neumáticas1963[[#Headers],[Herramientas_neumáticas]],
    COUNTIF(Herramientas_de_medición2064[Herramientas_de_medición], B380) &gt; 0, Herramientas_de_medición2064[[#Headers],[Herramientas_de_medición]],
    COUNTIF(Herrramientas_mecánicas2165[Herramientas_mecánicas], B380) &gt; 0, Herrramientas_mecánicas2165[[#Headers],[Herramientas_mecánicas]],
    COUNTIF(AK380:AK386, B380) &gt; 0, Herramientas_hidráulicas2266[[#Headers],[Herramientas_hidráulicas]],
    COUNTIF(EPP_2367[SPCC], B380) &gt; 0, EPP_2367[[#Headers],[SPCC]],
   COUNTIF(Herramientas_de_izaje2468[Herramientas_de_izaje], B380) &gt; 0, Herramientas_de_izaje2468[[#Headers],[Herramientas_de_izaje]],
COUNTIF(Tabla162670[Equipos], B380) &gt; 0, Tabla162670[[#Headers],[Equipos]],
    TRUE, "Sin clasificación"
)</f>
        <v>Sin clasificación</v>
      </c>
      <c r="G380" s="15"/>
      <c r="H380" s="47"/>
      <c r="I380" s="87"/>
      <c r="J380" s="78"/>
      <c r="K380" s="78"/>
      <c r="L380" s="78"/>
      <c r="M380" s="78"/>
      <c r="N380" s="76"/>
      <c r="O380" s="76"/>
      <c r="P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Q380" s="77"/>
      <c r="R380" s="32"/>
      <c r="S380" s="32"/>
      <c r="T380" s="32"/>
      <c r="U380" s="32"/>
    </row>
    <row r="381" spans="3:21" x14ac:dyDescent="0.3">
      <c r="C381" s="11"/>
      <c r="D381" s="32"/>
      <c r="E381" s="11" t="str" cm="1">
        <f t="array" ref="E381">_xlfn.IFS(
    COUNTIF(Herramientas_eléctricas1862[Herramientas_eléctricas], B381) &gt; 0, Herramientas_eléctricas1862[[#Headers],[Herramientas_eléctricas]],
    COUNTIF(Herramientas_neumáticas1963[Herramientas_neumáticas], B381) &gt; 0, Herramientas_neumáticas1963[[#Headers],[Herramientas_neumáticas]],
    COUNTIF(Herramientas_de_medición2064[Herramientas_de_medición], B381) &gt; 0, Herramientas_de_medición2064[[#Headers],[Herramientas_de_medición]],
    COUNTIF(Herrramientas_mecánicas2165[Herramientas_mecánicas], B381) &gt; 0, Herrramientas_mecánicas2165[[#Headers],[Herramientas_mecánicas]],
    COUNTIF(AK381:AK387, B381) &gt; 0, Herramientas_hidráulicas2266[[#Headers],[Herramientas_hidráulicas]],
    COUNTIF(EPP_2367[SPCC], B381) &gt; 0, EPP_2367[[#Headers],[SPCC]],
   COUNTIF(Herramientas_de_izaje2468[Herramientas_de_izaje], B381) &gt; 0, Herramientas_de_izaje2468[[#Headers],[Herramientas_de_izaje]],
COUNTIF(Tabla162670[Equipos], B381) &gt; 0, Tabla162670[[#Headers],[Equipos]],
    TRUE, "Sin clasificación"
)</f>
        <v>Sin clasificación</v>
      </c>
      <c r="G381" s="15"/>
      <c r="H381" s="47"/>
      <c r="I381" s="87"/>
      <c r="J381" s="78"/>
      <c r="K381" s="78"/>
      <c r="L381" s="78"/>
      <c r="M381" s="78"/>
      <c r="N381" s="76"/>
      <c r="O381" s="76"/>
      <c r="P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Q381" s="77"/>
      <c r="R381" s="32"/>
      <c r="S381" s="32"/>
      <c r="T381" s="32"/>
      <c r="U381" s="32"/>
    </row>
    <row r="382" spans="3:21" x14ac:dyDescent="0.3">
      <c r="C382" s="11"/>
      <c r="D382" s="32"/>
      <c r="E382" s="11" t="str" cm="1">
        <f t="array" ref="E382">_xlfn.IFS(
    COUNTIF(Herramientas_eléctricas1862[Herramientas_eléctricas], B382) &gt; 0, Herramientas_eléctricas1862[[#Headers],[Herramientas_eléctricas]],
    COUNTIF(Herramientas_neumáticas1963[Herramientas_neumáticas], B382) &gt; 0, Herramientas_neumáticas1963[[#Headers],[Herramientas_neumáticas]],
    COUNTIF(Herramientas_de_medición2064[Herramientas_de_medición], B382) &gt; 0, Herramientas_de_medición2064[[#Headers],[Herramientas_de_medición]],
    COUNTIF(Herrramientas_mecánicas2165[Herramientas_mecánicas], B382) &gt; 0, Herrramientas_mecánicas2165[[#Headers],[Herramientas_mecánicas]],
    COUNTIF(AK382:AK388, B382) &gt; 0, Herramientas_hidráulicas2266[[#Headers],[Herramientas_hidráulicas]],
    COUNTIF(EPP_2367[SPCC], B382) &gt; 0, EPP_2367[[#Headers],[SPCC]],
   COUNTIF(Herramientas_de_izaje2468[Herramientas_de_izaje], B382) &gt; 0, Herramientas_de_izaje2468[[#Headers],[Herramientas_de_izaje]],
COUNTIF(Tabla162670[Equipos], B382) &gt; 0, Tabla162670[[#Headers],[Equipos]],
    TRUE, "Sin clasificación"
)</f>
        <v>Sin clasificación</v>
      </c>
      <c r="G382" s="15"/>
      <c r="H382" s="47"/>
      <c r="I382" s="87"/>
      <c r="J382" s="78"/>
      <c r="K382" s="78"/>
      <c r="L382" s="78"/>
      <c r="M382" s="78"/>
      <c r="N382" s="76"/>
      <c r="O382" s="76"/>
      <c r="P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Q382" s="77"/>
      <c r="R382" s="32"/>
      <c r="S382" s="32"/>
      <c r="T382" s="32"/>
      <c r="U382" s="32"/>
    </row>
    <row r="383" spans="3:21" x14ac:dyDescent="0.3">
      <c r="C383" s="11"/>
      <c r="D383" s="32"/>
      <c r="E383" s="11" t="str" cm="1">
        <f t="array" ref="E383">_xlfn.IFS(
    COUNTIF(Herramientas_eléctricas1862[Herramientas_eléctricas], B383) &gt; 0, Herramientas_eléctricas1862[[#Headers],[Herramientas_eléctricas]],
    COUNTIF(Herramientas_neumáticas1963[Herramientas_neumáticas], B383) &gt; 0, Herramientas_neumáticas1963[[#Headers],[Herramientas_neumáticas]],
    COUNTIF(Herramientas_de_medición2064[Herramientas_de_medición], B383) &gt; 0, Herramientas_de_medición2064[[#Headers],[Herramientas_de_medición]],
    COUNTIF(Herrramientas_mecánicas2165[Herramientas_mecánicas], B383) &gt; 0, Herrramientas_mecánicas2165[[#Headers],[Herramientas_mecánicas]],
    COUNTIF(AK383:AK389, B383) &gt; 0, Herramientas_hidráulicas2266[[#Headers],[Herramientas_hidráulicas]],
    COUNTIF(EPP_2367[SPCC], B383) &gt; 0, EPP_2367[[#Headers],[SPCC]],
   COUNTIF(Herramientas_de_izaje2468[Herramientas_de_izaje], B383) &gt; 0, Herramientas_de_izaje2468[[#Headers],[Herramientas_de_izaje]],
COUNTIF(Tabla162670[Equipos], B383) &gt; 0, Tabla162670[[#Headers],[Equipos]],
    TRUE, "Sin clasificación"
)</f>
        <v>Sin clasificación</v>
      </c>
      <c r="G383" s="15"/>
      <c r="H383" s="47"/>
      <c r="I383" s="87"/>
      <c r="J383" s="78"/>
      <c r="K383" s="78"/>
      <c r="L383" s="78"/>
      <c r="M383" s="78"/>
      <c r="N383" s="76"/>
      <c r="O383" s="76"/>
      <c r="P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Q383" s="77"/>
      <c r="R383" s="32"/>
      <c r="S383" s="32"/>
      <c r="T383" s="32"/>
      <c r="U383" s="32"/>
    </row>
    <row r="384" spans="3:21" x14ac:dyDescent="0.3">
      <c r="C384" s="11"/>
      <c r="D384" s="32"/>
      <c r="E384" s="11" t="str" cm="1">
        <f t="array" ref="E384">_xlfn.IFS(
    COUNTIF(Herramientas_eléctricas1862[Herramientas_eléctricas], B384) &gt; 0, Herramientas_eléctricas1862[[#Headers],[Herramientas_eléctricas]],
    COUNTIF(Herramientas_neumáticas1963[Herramientas_neumáticas], B384) &gt; 0, Herramientas_neumáticas1963[[#Headers],[Herramientas_neumáticas]],
    COUNTIF(Herramientas_de_medición2064[Herramientas_de_medición], B384) &gt; 0, Herramientas_de_medición2064[[#Headers],[Herramientas_de_medición]],
    COUNTIF(Herrramientas_mecánicas2165[Herramientas_mecánicas], B384) &gt; 0, Herrramientas_mecánicas2165[[#Headers],[Herramientas_mecánicas]],
    COUNTIF(AK384:AK390, B384) &gt; 0, Herramientas_hidráulicas2266[[#Headers],[Herramientas_hidráulicas]],
    COUNTIF(EPP_2367[SPCC], B384) &gt; 0, EPP_2367[[#Headers],[SPCC]],
   COUNTIF(Herramientas_de_izaje2468[Herramientas_de_izaje], B384) &gt; 0, Herramientas_de_izaje2468[[#Headers],[Herramientas_de_izaje]],
COUNTIF(Tabla162670[Equipos], B384) &gt; 0, Tabla162670[[#Headers],[Equipos]],
    TRUE, "Sin clasificación"
)</f>
        <v>Sin clasificación</v>
      </c>
      <c r="G384" s="15"/>
      <c r="H384" s="47"/>
      <c r="I384" s="87"/>
      <c r="J384" s="78"/>
      <c r="K384" s="78"/>
      <c r="L384" s="78"/>
      <c r="M384" s="78"/>
      <c r="N384" s="76"/>
      <c r="O384" s="76"/>
      <c r="P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Q384" s="77"/>
      <c r="R384" s="32"/>
      <c r="S384" s="32"/>
      <c r="T384" s="32"/>
      <c r="U384" s="32"/>
    </row>
    <row r="385" spans="3:21" x14ac:dyDescent="0.3">
      <c r="C385" s="11"/>
      <c r="D385" s="32"/>
      <c r="E385" s="11" t="str" cm="1">
        <f t="array" ref="E385">_xlfn.IFS(
    COUNTIF(Herramientas_eléctricas1862[Herramientas_eléctricas], B385) &gt; 0, Herramientas_eléctricas1862[[#Headers],[Herramientas_eléctricas]],
    COUNTIF(Herramientas_neumáticas1963[Herramientas_neumáticas], B385) &gt; 0, Herramientas_neumáticas1963[[#Headers],[Herramientas_neumáticas]],
    COUNTIF(Herramientas_de_medición2064[Herramientas_de_medición], B385) &gt; 0, Herramientas_de_medición2064[[#Headers],[Herramientas_de_medición]],
    COUNTIF(Herrramientas_mecánicas2165[Herramientas_mecánicas], B385) &gt; 0, Herrramientas_mecánicas2165[[#Headers],[Herramientas_mecánicas]],
    COUNTIF(AK385:AK391, B385) &gt; 0, Herramientas_hidráulicas2266[[#Headers],[Herramientas_hidráulicas]],
    COUNTIF(EPP_2367[SPCC], B385) &gt; 0, EPP_2367[[#Headers],[SPCC]],
   COUNTIF(Herramientas_de_izaje2468[Herramientas_de_izaje], B385) &gt; 0, Herramientas_de_izaje2468[[#Headers],[Herramientas_de_izaje]],
COUNTIF(Tabla162670[Equipos], B385) &gt; 0, Tabla162670[[#Headers],[Equipos]],
    TRUE, "Sin clasificación"
)</f>
        <v>Sin clasificación</v>
      </c>
      <c r="G385" s="15"/>
      <c r="H385" s="47"/>
      <c r="I385" s="87"/>
      <c r="J385" s="78"/>
      <c r="K385" s="78"/>
      <c r="L385" s="78"/>
      <c r="M385" s="78"/>
      <c r="N385" s="76"/>
      <c r="O385" s="76"/>
      <c r="P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Q385" s="77"/>
      <c r="R385" s="32"/>
      <c r="S385" s="32"/>
      <c r="T385" s="32"/>
      <c r="U385" s="32"/>
    </row>
    <row r="386" spans="3:21" x14ac:dyDescent="0.3">
      <c r="C386" s="11"/>
      <c r="D386" s="32"/>
      <c r="E386" s="11" t="str" cm="1">
        <f t="array" ref="E386">_xlfn.IFS(
    COUNTIF(Herramientas_eléctricas1862[Herramientas_eléctricas], B386) &gt; 0, Herramientas_eléctricas1862[[#Headers],[Herramientas_eléctricas]],
    COUNTIF(Herramientas_neumáticas1963[Herramientas_neumáticas], B386) &gt; 0, Herramientas_neumáticas1963[[#Headers],[Herramientas_neumáticas]],
    COUNTIF(Herramientas_de_medición2064[Herramientas_de_medición], B386) &gt; 0, Herramientas_de_medición2064[[#Headers],[Herramientas_de_medición]],
    COUNTIF(Herrramientas_mecánicas2165[Herramientas_mecánicas], B386) &gt; 0, Herrramientas_mecánicas2165[[#Headers],[Herramientas_mecánicas]],
    COUNTIF(AK386:AK392, B386) &gt; 0, Herramientas_hidráulicas2266[[#Headers],[Herramientas_hidráulicas]],
    COUNTIF(EPP_2367[SPCC], B386) &gt; 0, EPP_2367[[#Headers],[SPCC]],
   COUNTIF(Herramientas_de_izaje2468[Herramientas_de_izaje], B386) &gt; 0, Herramientas_de_izaje2468[[#Headers],[Herramientas_de_izaje]],
COUNTIF(Tabla162670[Equipos], B386) &gt; 0, Tabla162670[[#Headers],[Equipos]],
    TRUE, "Sin clasificación"
)</f>
        <v>Sin clasificación</v>
      </c>
      <c r="G386" s="15"/>
      <c r="H386" s="47"/>
      <c r="I386" s="87"/>
      <c r="J386" s="78"/>
      <c r="K386" s="78"/>
      <c r="L386" s="78"/>
      <c r="M386" s="78"/>
      <c r="N386" s="76"/>
      <c r="O386" s="76"/>
      <c r="P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Q386" s="77"/>
      <c r="R386" s="32"/>
      <c r="S386" s="32"/>
      <c r="T386" s="32"/>
      <c r="U386" s="32"/>
    </row>
    <row r="387" spans="3:21" x14ac:dyDescent="0.3">
      <c r="C387" s="11"/>
      <c r="D387" s="32"/>
      <c r="E387" s="11" t="str" cm="1">
        <f t="array" ref="E387">_xlfn.IFS(
    COUNTIF(Herramientas_eléctricas1862[Herramientas_eléctricas], B387) &gt; 0, Herramientas_eléctricas1862[[#Headers],[Herramientas_eléctricas]],
    COUNTIF(Herramientas_neumáticas1963[Herramientas_neumáticas], B387) &gt; 0, Herramientas_neumáticas1963[[#Headers],[Herramientas_neumáticas]],
    COUNTIF(Herramientas_de_medición2064[Herramientas_de_medición], B387) &gt; 0, Herramientas_de_medición2064[[#Headers],[Herramientas_de_medición]],
    COUNTIF(Herrramientas_mecánicas2165[Herramientas_mecánicas], B387) &gt; 0, Herrramientas_mecánicas2165[[#Headers],[Herramientas_mecánicas]],
    COUNTIF(AK387:AK393, B387) &gt; 0, Herramientas_hidráulicas2266[[#Headers],[Herramientas_hidráulicas]],
    COUNTIF(EPP_2367[SPCC], B387) &gt; 0, EPP_2367[[#Headers],[SPCC]],
   COUNTIF(Herramientas_de_izaje2468[Herramientas_de_izaje], B387) &gt; 0, Herramientas_de_izaje2468[[#Headers],[Herramientas_de_izaje]],
COUNTIF(Tabla162670[Equipos], B387) &gt; 0, Tabla162670[[#Headers],[Equipos]],
    TRUE, "Sin clasificación"
)</f>
        <v>Sin clasificación</v>
      </c>
      <c r="G387" s="15"/>
      <c r="H387" s="47"/>
      <c r="I387" s="87"/>
      <c r="J387" s="78"/>
      <c r="K387" s="78"/>
      <c r="L387" s="78"/>
      <c r="M387" s="78"/>
      <c r="N387" s="76"/>
      <c r="O387" s="76"/>
      <c r="P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Q387" s="77"/>
      <c r="R387" s="32"/>
      <c r="S387" s="32"/>
      <c r="T387" s="32"/>
      <c r="U387" s="32"/>
    </row>
    <row r="388" spans="3:21" x14ac:dyDescent="0.3">
      <c r="C388" s="11"/>
      <c r="D388" s="32"/>
      <c r="E388" s="11" t="str" cm="1">
        <f t="array" ref="E388">_xlfn.IFS(
    COUNTIF(Herramientas_eléctricas1862[Herramientas_eléctricas], B388) &gt; 0, Herramientas_eléctricas1862[[#Headers],[Herramientas_eléctricas]],
    COUNTIF(Herramientas_neumáticas1963[Herramientas_neumáticas], B388) &gt; 0, Herramientas_neumáticas1963[[#Headers],[Herramientas_neumáticas]],
    COUNTIF(Herramientas_de_medición2064[Herramientas_de_medición], B388) &gt; 0, Herramientas_de_medición2064[[#Headers],[Herramientas_de_medición]],
    COUNTIF(Herrramientas_mecánicas2165[Herramientas_mecánicas], B388) &gt; 0, Herrramientas_mecánicas2165[[#Headers],[Herramientas_mecánicas]],
    COUNTIF(AK388:AK394, B388) &gt; 0, Herramientas_hidráulicas2266[[#Headers],[Herramientas_hidráulicas]],
    COUNTIF(EPP_2367[SPCC], B388) &gt; 0, EPP_2367[[#Headers],[SPCC]],
   COUNTIF(Herramientas_de_izaje2468[Herramientas_de_izaje], B388) &gt; 0, Herramientas_de_izaje2468[[#Headers],[Herramientas_de_izaje]],
COUNTIF(Tabla162670[Equipos], B388) &gt; 0, Tabla162670[[#Headers],[Equipos]],
    TRUE, "Sin clasificación"
)</f>
        <v>Sin clasificación</v>
      </c>
      <c r="G388" s="15"/>
      <c r="H388" s="47"/>
      <c r="I388" s="87"/>
      <c r="J388" s="78"/>
      <c r="K388" s="78"/>
      <c r="L388" s="78"/>
      <c r="M388" s="78"/>
      <c r="N388" s="76"/>
      <c r="O388" s="76"/>
      <c r="P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Q388" s="77"/>
      <c r="R388" s="32"/>
      <c r="S388" s="32"/>
      <c r="T388" s="32"/>
      <c r="U388" s="32"/>
    </row>
    <row r="389" spans="3:21" x14ac:dyDescent="0.3">
      <c r="C389" s="11"/>
      <c r="D389" s="32"/>
      <c r="E389" s="11" t="str" cm="1">
        <f t="array" ref="E389">_xlfn.IFS(
    COUNTIF(Herramientas_eléctricas1862[Herramientas_eléctricas], B389) &gt; 0, Herramientas_eléctricas1862[[#Headers],[Herramientas_eléctricas]],
    COUNTIF(Herramientas_neumáticas1963[Herramientas_neumáticas], B389) &gt; 0, Herramientas_neumáticas1963[[#Headers],[Herramientas_neumáticas]],
    COUNTIF(Herramientas_de_medición2064[Herramientas_de_medición], B389) &gt; 0, Herramientas_de_medición2064[[#Headers],[Herramientas_de_medición]],
    COUNTIF(Herrramientas_mecánicas2165[Herramientas_mecánicas], B389) &gt; 0, Herrramientas_mecánicas2165[[#Headers],[Herramientas_mecánicas]],
    COUNTIF(AK389:AK395, B389) &gt; 0, Herramientas_hidráulicas2266[[#Headers],[Herramientas_hidráulicas]],
    COUNTIF(EPP_2367[SPCC], B389) &gt; 0, EPP_2367[[#Headers],[SPCC]],
   COUNTIF(Herramientas_de_izaje2468[Herramientas_de_izaje], B389) &gt; 0, Herramientas_de_izaje2468[[#Headers],[Herramientas_de_izaje]],
COUNTIF(Tabla162670[Equipos], B389) &gt; 0, Tabla162670[[#Headers],[Equipos]],
    TRUE, "Sin clasificación"
)</f>
        <v>Sin clasificación</v>
      </c>
      <c r="G389" s="15"/>
      <c r="H389" s="47"/>
      <c r="I389" s="87"/>
      <c r="J389" s="78"/>
      <c r="K389" s="78"/>
      <c r="L389" s="78"/>
      <c r="M389" s="78"/>
      <c r="N389" s="76"/>
      <c r="O389" s="76"/>
      <c r="P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Q389" s="77"/>
      <c r="R389" s="32"/>
      <c r="S389" s="32"/>
      <c r="T389" s="32"/>
      <c r="U389" s="32"/>
    </row>
    <row r="390" spans="3:21" x14ac:dyDescent="0.3">
      <c r="C390" s="11"/>
      <c r="D390" s="32"/>
      <c r="E390" s="11" t="str" cm="1">
        <f t="array" ref="E390">_xlfn.IFS(
    COUNTIF(Herramientas_eléctricas1862[Herramientas_eléctricas], B390) &gt; 0, Herramientas_eléctricas1862[[#Headers],[Herramientas_eléctricas]],
    COUNTIF(Herramientas_neumáticas1963[Herramientas_neumáticas], B390) &gt; 0, Herramientas_neumáticas1963[[#Headers],[Herramientas_neumáticas]],
    COUNTIF(Herramientas_de_medición2064[Herramientas_de_medición], B390) &gt; 0, Herramientas_de_medición2064[[#Headers],[Herramientas_de_medición]],
    COUNTIF(Herrramientas_mecánicas2165[Herramientas_mecánicas], B390) &gt; 0, Herrramientas_mecánicas2165[[#Headers],[Herramientas_mecánicas]],
    COUNTIF(AK390:AK396, B390) &gt; 0, Herramientas_hidráulicas2266[[#Headers],[Herramientas_hidráulicas]],
    COUNTIF(EPP_2367[SPCC], B390) &gt; 0, EPP_2367[[#Headers],[SPCC]],
   COUNTIF(Herramientas_de_izaje2468[Herramientas_de_izaje], B390) &gt; 0, Herramientas_de_izaje2468[[#Headers],[Herramientas_de_izaje]],
COUNTIF(Tabla162670[Equipos], B390) &gt; 0, Tabla162670[[#Headers],[Equipos]],
    TRUE, "Sin clasificación"
)</f>
        <v>Sin clasificación</v>
      </c>
      <c r="G390" s="15"/>
      <c r="H390" s="47"/>
      <c r="I390" s="87"/>
      <c r="J390" s="78"/>
      <c r="K390" s="78"/>
      <c r="L390" s="78"/>
      <c r="M390" s="78"/>
      <c r="N390" s="76"/>
      <c r="O390" s="76"/>
      <c r="P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Q390" s="77"/>
      <c r="R390" s="32"/>
      <c r="S390" s="32"/>
      <c r="T390" s="32"/>
      <c r="U390" s="32"/>
    </row>
    <row r="391" spans="3:21" x14ac:dyDescent="0.3">
      <c r="C391" s="11"/>
      <c r="D391" s="32"/>
      <c r="E391" s="11" t="str" cm="1">
        <f t="array" ref="E391">_xlfn.IFS(
    COUNTIF(Herramientas_eléctricas1862[Herramientas_eléctricas], B391) &gt; 0, Herramientas_eléctricas1862[[#Headers],[Herramientas_eléctricas]],
    COUNTIF(Herramientas_neumáticas1963[Herramientas_neumáticas], B391) &gt; 0, Herramientas_neumáticas1963[[#Headers],[Herramientas_neumáticas]],
    COUNTIF(Herramientas_de_medición2064[Herramientas_de_medición], B391) &gt; 0, Herramientas_de_medición2064[[#Headers],[Herramientas_de_medición]],
    COUNTIF(Herrramientas_mecánicas2165[Herramientas_mecánicas], B391) &gt; 0, Herrramientas_mecánicas2165[[#Headers],[Herramientas_mecánicas]],
    COUNTIF(AK391:AK397, B391) &gt; 0, Herramientas_hidráulicas2266[[#Headers],[Herramientas_hidráulicas]],
    COUNTIF(EPP_2367[SPCC], B391) &gt; 0, EPP_2367[[#Headers],[SPCC]],
   COUNTIF(Herramientas_de_izaje2468[Herramientas_de_izaje], B391) &gt; 0, Herramientas_de_izaje2468[[#Headers],[Herramientas_de_izaje]],
COUNTIF(Tabla162670[Equipos], B391) &gt; 0, Tabla162670[[#Headers],[Equipos]],
    TRUE, "Sin clasificación"
)</f>
        <v>Sin clasificación</v>
      </c>
      <c r="G391" s="15"/>
      <c r="H391" s="47"/>
      <c r="I391" s="87"/>
      <c r="J391" s="78"/>
      <c r="K391" s="78"/>
      <c r="L391" s="78"/>
      <c r="M391" s="78"/>
      <c r="N391" s="76"/>
      <c r="O391" s="76"/>
      <c r="P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Q391" s="77"/>
      <c r="R391" s="32"/>
      <c r="S391" s="32"/>
      <c r="T391" s="32"/>
      <c r="U391" s="32"/>
    </row>
    <row r="392" spans="3:21" x14ac:dyDescent="0.3">
      <c r="C392" s="11"/>
      <c r="D392" s="32"/>
      <c r="E392" s="11" t="str" cm="1">
        <f t="array" ref="E392">_xlfn.IFS(
    COUNTIF(Herramientas_eléctricas1862[Herramientas_eléctricas], B392) &gt; 0, Herramientas_eléctricas1862[[#Headers],[Herramientas_eléctricas]],
    COUNTIF(Herramientas_neumáticas1963[Herramientas_neumáticas], B392) &gt; 0, Herramientas_neumáticas1963[[#Headers],[Herramientas_neumáticas]],
    COUNTIF(Herramientas_de_medición2064[Herramientas_de_medición], B392) &gt; 0, Herramientas_de_medición2064[[#Headers],[Herramientas_de_medición]],
    COUNTIF(Herrramientas_mecánicas2165[Herramientas_mecánicas], B392) &gt; 0, Herrramientas_mecánicas2165[[#Headers],[Herramientas_mecánicas]],
    COUNTIF(AK392:AK398, B392) &gt; 0, Herramientas_hidráulicas2266[[#Headers],[Herramientas_hidráulicas]],
    COUNTIF(EPP_2367[SPCC], B392) &gt; 0, EPP_2367[[#Headers],[SPCC]],
   COUNTIF(Herramientas_de_izaje2468[Herramientas_de_izaje], B392) &gt; 0, Herramientas_de_izaje2468[[#Headers],[Herramientas_de_izaje]],
COUNTIF(Tabla162670[Equipos], B392) &gt; 0, Tabla162670[[#Headers],[Equipos]],
    TRUE, "Sin clasificación"
)</f>
        <v>Sin clasificación</v>
      </c>
      <c r="G392" s="15"/>
      <c r="H392" s="47"/>
      <c r="I392" s="87"/>
      <c r="J392" s="78"/>
      <c r="K392" s="78"/>
      <c r="L392" s="78"/>
      <c r="M392" s="78"/>
      <c r="N392" s="76"/>
      <c r="O392" s="76"/>
      <c r="P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Q392" s="77"/>
      <c r="R392" s="32"/>
      <c r="S392" s="32"/>
      <c r="T392" s="32"/>
      <c r="U392" s="32"/>
    </row>
    <row r="393" spans="3:21" x14ac:dyDescent="0.3">
      <c r="C393" s="11"/>
      <c r="D393" s="32"/>
      <c r="E393" s="11" t="str" cm="1">
        <f t="array" ref="E393">_xlfn.IFS(
    COUNTIF(Herramientas_eléctricas1862[Herramientas_eléctricas], B393) &gt; 0, Herramientas_eléctricas1862[[#Headers],[Herramientas_eléctricas]],
    COUNTIF(Herramientas_neumáticas1963[Herramientas_neumáticas], B393) &gt; 0, Herramientas_neumáticas1963[[#Headers],[Herramientas_neumáticas]],
    COUNTIF(Herramientas_de_medición2064[Herramientas_de_medición], B393) &gt; 0, Herramientas_de_medición2064[[#Headers],[Herramientas_de_medición]],
    COUNTIF(Herrramientas_mecánicas2165[Herramientas_mecánicas], B393) &gt; 0, Herrramientas_mecánicas2165[[#Headers],[Herramientas_mecánicas]],
    COUNTIF(AK393:AK399, B393) &gt; 0, Herramientas_hidráulicas2266[[#Headers],[Herramientas_hidráulicas]],
    COUNTIF(EPP_2367[SPCC], B393) &gt; 0, EPP_2367[[#Headers],[SPCC]],
   COUNTIF(Herramientas_de_izaje2468[Herramientas_de_izaje], B393) &gt; 0, Herramientas_de_izaje2468[[#Headers],[Herramientas_de_izaje]],
COUNTIF(Tabla162670[Equipos], B393) &gt; 0, Tabla162670[[#Headers],[Equipos]],
    TRUE, "Sin clasificación"
)</f>
        <v>Sin clasificación</v>
      </c>
      <c r="G393" s="15"/>
      <c r="H393" s="47"/>
      <c r="I393" s="87"/>
      <c r="J393" s="78"/>
      <c r="K393" s="78"/>
      <c r="L393" s="78"/>
      <c r="M393" s="78"/>
      <c r="N393" s="76"/>
      <c r="O393" s="76"/>
      <c r="P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Q393" s="77"/>
      <c r="R393" s="32"/>
      <c r="S393" s="32"/>
      <c r="T393" s="32"/>
      <c r="U393" s="32"/>
    </row>
    <row r="394" spans="3:21" x14ac:dyDescent="0.3">
      <c r="C394" s="11"/>
      <c r="D394" s="32"/>
      <c r="E394" s="11" t="str" cm="1">
        <f t="array" ref="E394">_xlfn.IFS(
    COUNTIF(Herramientas_eléctricas1862[Herramientas_eléctricas], B394) &gt; 0, Herramientas_eléctricas1862[[#Headers],[Herramientas_eléctricas]],
    COUNTIF(Herramientas_neumáticas1963[Herramientas_neumáticas], B394) &gt; 0, Herramientas_neumáticas1963[[#Headers],[Herramientas_neumáticas]],
    COUNTIF(Herramientas_de_medición2064[Herramientas_de_medición], B394) &gt; 0, Herramientas_de_medición2064[[#Headers],[Herramientas_de_medición]],
    COUNTIF(Herrramientas_mecánicas2165[Herramientas_mecánicas], B394) &gt; 0, Herrramientas_mecánicas2165[[#Headers],[Herramientas_mecánicas]],
    COUNTIF(AK394:AK400, B394) &gt; 0, Herramientas_hidráulicas2266[[#Headers],[Herramientas_hidráulicas]],
    COUNTIF(EPP_2367[SPCC], B394) &gt; 0, EPP_2367[[#Headers],[SPCC]],
   COUNTIF(Herramientas_de_izaje2468[Herramientas_de_izaje], B394) &gt; 0, Herramientas_de_izaje2468[[#Headers],[Herramientas_de_izaje]],
COUNTIF(Tabla162670[Equipos], B394) &gt; 0, Tabla162670[[#Headers],[Equipos]],
    TRUE, "Sin clasificación"
)</f>
        <v>Sin clasificación</v>
      </c>
      <c r="G394" s="15"/>
      <c r="H394" s="47"/>
      <c r="I394" s="87"/>
      <c r="J394" s="78"/>
      <c r="K394" s="78"/>
      <c r="L394" s="78"/>
      <c r="M394" s="78"/>
      <c r="N394" s="76"/>
      <c r="O394" s="76"/>
      <c r="P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Q394" s="77"/>
      <c r="R394" s="32"/>
      <c r="S394" s="32"/>
      <c r="T394" s="32"/>
      <c r="U394" s="32"/>
    </row>
    <row r="395" spans="3:21" x14ac:dyDescent="0.3">
      <c r="C395" s="11"/>
      <c r="D395" s="32"/>
      <c r="E395" s="11" t="str" cm="1">
        <f t="array" ref="E395">_xlfn.IFS(
    COUNTIF(Herramientas_eléctricas1862[Herramientas_eléctricas], B395) &gt; 0, Herramientas_eléctricas1862[[#Headers],[Herramientas_eléctricas]],
    COUNTIF(Herramientas_neumáticas1963[Herramientas_neumáticas], B395) &gt; 0, Herramientas_neumáticas1963[[#Headers],[Herramientas_neumáticas]],
    COUNTIF(Herramientas_de_medición2064[Herramientas_de_medición], B395) &gt; 0, Herramientas_de_medición2064[[#Headers],[Herramientas_de_medición]],
    COUNTIF(Herrramientas_mecánicas2165[Herramientas_mecánicas], B395) &gt; 0, Herrramientas_mecánicas2165[[#Headers],[Herramientas_mecánicas]],
    COUNTIF(AK395:AK401, B395) &gt; 0, Herramientas_hidráulicas2266[[#Headers],[Herramientas_hidráulicas]],
    COUNTIF(EPP_2367[SPCC], B395) &gt; 0, EPP_2367[[#Headers],[SPCC]],
   COUNTIF(Herramientas_de_izaje2468[Herramientas_de_izaje], B395) &gt; 0, Herramientas_de_izaje2468[[#Headers],[Herramientas_de_izaje]],
COUNTIF(Tabla162670[Equipos], B395) &gt; 0, Tabla162670[[#Headers],[Equipos]],
    TRUE, "Sin clasificación"
)</f>
        <v>Sin clasificación</v>
      </c>
      <c r="G395" s="15"/>
      <c r="H395" s="47"/>
      <c r="I395" s="87"/>
      <c r="J395" s="78"/>
      <c r="K395" s="78"/>
      <c r="L395" s="78"/>
      <c r="M395" s="78"/>
      <c r="N395" s="76"/>
      <c r="O395" s="76"/>
      <c r="P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Q395" s="77"/>
      <c r="R395" s="32"/>
      <c r="S395" s="32"/>
      <c r="T395" s="32"/>
      <c r="U395" s="32"/>
    </row>
    <row r="396" spans="3:21" x14ac:dyDescent="0.3">
      <c r="C396" s="11"/>
      <c r="D396" s="32"/>
      <c r="E396" s="11" t="str" cm="1">
        <f t="array" ref="E396">_xlfn.IFS(
    COUNTIF(Herramientas_eléctricas1862[Herramientas_eléctricas], B396) &gt; 0, Herramientas_eléctricas1862[[#Headers],[Herramientas_eléctricas]],
    COUNTIF(Herramientas_neumáticas1963[Herramientas_neumáticas], B396) &gt; 0, Herramientas_neumáticas1963[[#Headers],[Herramientas_neumáticas]],
    COUNTIF(Herramientas_de_medición2064[Herramientas_de_medición], B396) &gt; 0, Herramientas_de_medición2064[[#Headers],[Herramientas_de_medición]],
    COUNTIF(Herrramientas_mecánicas2165[Herramientas_mecánicas], B396) &gt; 0, Herrramientas_mecánicas2165[[#Headers],[Herramientas_mecánicas]],
    COUNTIF(AK396:AK402, B396) &gt; 0, Herramientas_hidráulicas2266[[#Headers],[Herramientas_hidráulicas]],
    COUNTIF(EPP_2367[SPCC], B396) &gt; 0, EPP_2367[[#Headers],[SPCC]],
   COUNTIF(Herramientas_de_izaje2468[Herramientas_de_izaje], B396) &gt; 0, Herramientas_de_izaje2468[[#Headers],[Herramientas_de_izaje]],
COUNTIF(Tabla162670[Equipos], B396) &gt; 0, Tabla162670[[#Headers],[Equipos]],
    TRUE, "Sin clasificación"
)</f>
        <v>Sin clasificación</v>
      </c>
      <c r="G396" s="15"/>
      <c r="H396" s="47"/>
      <c r="I396" s="87"/>
      <c r="J396" s="78"/>
      <c r="K396" s="78"/>
      <c r="L396" s="78"/>
      <c r="M396" s="78"/>
      <c r="N396" s="76"/>
      <c r="O396" s="76"/>
      <c r="P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Q396" s="77"/>
      <c r="R396" s="32"/>
      <c r="S396" s="32"/>
      <c r="T396" s="32"/>
      <c r="U396" s="32"/>
    </row>
    <row r="397" spans="3:21" x14ac:dyDescent="0.3">
      <c r="C397" s="11"/>
      <c r="D397" s="32"/>
      <c r="E397" s="11" t="str" cm="1">
        <f t="array" ref="E397">_xlfn.IFS(
    COUNTIF(Herramientas_eléctricas1862[Herramientas_eléctricas], B397) &gt; 0, Herramientas_eléctricas1862[[#Headers],[Herramientas_eléctricas]],
    COUNTIF(Herramientas_neumáticas1963[Herramientas_neumáticas], B397) &gt; 0, Herramientas_neumáticas1963[[#Headers],[Herramientas_neumáticas]],
    COUNTIF(Herramientas_de_medición2064[Herramientas_de_medición], B397) &gt; 0, Herramientas_de_medición2064[[#Headers],[Herramientas_de_medición]],
    COUNTIF(Herrramientas_mecánicas2165[Herramientas_mecánicas], B397) &gt; 0, Herrramientas_mecánicas2165[[#Headers],[Herramientas_mecánicas]],
    COUNTIF(AK397:AK403, B397) &gt; 0, Herramientas_hidráulicas2266[[#Headers],[Herramientas_hidráulicas]],
    COUNTIF(EPP_2367[SPCC], B397) &gt; 0, EPP_2367[[#Headers],[SPCC]],
   COUNTIF(Herramientas_de_izaje2468[Herramientas_de_izaje], B397) &gt; 0, Herramientas_de_izaje2468[[#Headers],[Herramientas_de_izaje]],
COUNTIF(Tabla162670[Equipos], B397) &gt; 0, Tabla162670[[#Headers],[Equipos]],
    TRUE, "Sin clasificación"
)</f>
        <v>Sin clasificación</v>
      </c>
      <c r="G397" s="15"/>
      <c r="H397" s="47"/>
      <c r="I397" s="87"/>
      <c r="J397" s="78"/>
      <c r="K397" s="78"/>
      <c r="L397" s="78"/>
      <c r="M397" s="78"/>
      <c r="N397" s="76"/>
      <c r="O397" s="76"/>
      <c r="P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Q397" s="77"/>
      <c r="R397" s="32"/>
      <c r="S397" s="32"/>
      <c r="T397" s="32"/>
      <c r="U397" s="32"/>
    </row>
    <row r="398" spans="3:21" x14ac:dyDescent="0.3">
      <c r="C398" s="11"/>
      <c r="D398" s="32"/>
      <c r="E398" s="11" t="str" cm="1">
        <f t="array" ref="E398">_xlfn.IFS(
    COUNTIF(Herramientas_eléctricas1862[Herramientas_eléctricas], B398) &gt; 0, Herramientas_eléctricas1862[[#Headers],[Herramientas_eléctricas]],
    COUNTIF(Herramientas_neumáticas1963[Herramientas_neumáticas], B398) &gt; 0, Herramientas_neumáticas1963[[#Headers],[Herramientas_neumáticas]],
    COUNTIF(Herramientas_de_medición2064[Herramientas_de_medición], B398) &gt; 0, Herramientas_de_medición2064[[#Headers],[Herramientas_de_medición]],
    COUNTIF(Herrramientas_mecánicas2165[Herramientas_mecánicas], B398) &gt; 0, Herrramientas_mecánicas2165[[#Headers],[Herramientas_mecánicas]],
    COUNTIF(AK398:AK404, B398) &gt; 0, Herramientas_hidráulicas2266[[#Headers],[Herramientas_hidráulicas]],
    COUNTIF(EPP_2367[SPCC], B398) &gt; 0, EPP_2367[[#Headers],[SPCC]],
   COUNTIF(Herramientas_de_izaje2468[Herramientas_de_izaje], B398) &gt; 0, Herramientas_de_izaje2468[[#Headers],[Herramientas_de_izaje]],
COUNTIF(Tabla162670[Equipos], B398) &gt; 0, Tabla162670[[#Headers],[Equipos]],
    TRUE, "Sin clasificación"
)</f>
        <v>Sin clasificación</v>
      </c>
      <c r="G398" s="15"/>
      <c r="H398" s="47"/>
      <c r="I398" s="87"/>
      <c r="J398" s="78"/>
      <c r="K398" s="78"/>
      <c r="L398" s="78"/>
      <c r="M398" s="78"/>
      <c r="N398" s="76"/>
      <c r="O398" s="76"/>
      <c r="P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Q398" s="77"/>
      <c r="R398" s="32"/>
      <c r="S398" s="32"/>
      <c r="T398" s="32"/>
      <c r="U398" s="32"/>
    </row>
    <row r="399" spans="3:21" x14ac:dyDescent="0.3">
      <c r="C399" s="11"/>
      <c r="D399" s="32"/>
      <c r="E399" s="11" t="str" cm="1">
        <f t="array" ref="E399">_xlfn.IFS(
    COUNTIF(Herramientas_eléctricas1862[Herramientas_eléctricas], B399) &gt; 0, Herramientas_eléctricas1862[[#Headers],[Herramientas_eléctricas]],
    COUNTIF(Herramientas_neumáticas1963[Herramientas_neumáticas], B399) &gt; 0, Herramientas_neumáticas1963[[#Headers],[Herramientas_neumáticas]],
    COUNTIF(Herramientas_de_medición2064[Herramientas_de_medición], B399) &gt; 0, Herramientas_de_medición2064[[#Headers],[Herramientas_de_medición]],
    COUNTIF(Herrramientas_mecánicas2165[Herramientas_mecánicas], B399) &gt; 0, Herrramientas_mecánicas2165[[#Headers],[Herramientas_mecánicas]],
    COUNTIF(AK399:AK405, B399) &gt; 0, Herramientas_hidráulicas2266[[#Headers],[Herramientas_hidráulicas]],
    COUNTIF(EPP_2367[SPCC], B399) &gt; 0, EPP_2367[[#Headers],[SPCC]],
   COUNTIF(Herramientas_de_izaje2468[Herramientas_de_izaje], B399) &gt; 0, Herramientas_de_izaje2468[[#Headers],[Herramientas_de_izaje]],
COUNTIF(Tabla162670[Equipos], B399) &gt; 0, Tabla162670[[#Headers],[Equipos]],
    TRUE, "Sin clasificación"
)</f>
        <v>Sin clasificación</v>
      </c>
      <c r="G399" s="15"/>
      <c r="H399" s="47"/>
      <c r="I399" s="87"/>
      <c r="J399" s="78"/>
      <c r="K399" s="78"/>
      <c r="L399" s="78"/>
      <c r="M399" s="78"/>
      <c r="N399" s="76"/>
      <c r="O399" s="76"/>
      <c r="P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Q399" s="77"/>
      <c r="R399" s="32"/>
      <c r="S399" s="32"/>
      <c r="T399" s="32"/>
      <c r="U399" s="32"/>
    </row>
    <row r="400" spans="3:21" x14ac:dyDescent="0.3">
      <c r="C400" s="11"/>
      <c r="D400" s="32"/>
      <c r="E400" s="11" t="str" cm="1">
        <f t="array" ref="E400">_xlfn.IFS(
    COUNTIF(Herramientas_eléctricas1862[Herramientas_eléctricas], B400) &gt; 0, Herramientas_eléctricas1862[[#Headers],[Herramientas_eléctricas]],
    COUNTIF(Herramientas_neumáticas1963[Herramientas_neumáticas], B400) &gt; 0, Herramientas_neumáticas1963[[#Headers],[Herramientas_neumáticas]],
    COUNTIF(Herramientas_de_medición2064[Herramientas_de_medición], B400) &gt; 0, Herramientas_de_medición2064[[#Headers],[Herramientas_de_medición]],
    COUNTIF(Herrramientas_mecánicas2165[Herramientas_mecánicas], B400) &gt; 0, Herrramientas_mecánicas2165[[#Headers],[Herramientas_mecánicas]],
    COUNTIF(AK400:AK406, B400) &gt; 0, Herramientas_hidráulicas2266[[#Headers],[Herramientas_hidráulicas]],
    COUNTIF(EPP_2367[SPCC], B400) &gt; 0, EPP_2367[[#Headers],[SPCC]],
   COUNTIF(Herramientas_de_izaje2468[Herramientas_de_izaje], B400) &gt; 0, Herramientas_de_izaje2468[[#Headers],[Herramientas_de_izaje]],
COUNTIF(Tabla162670[Equipos], B400) &gt; 0, Tabla162670[[#Headers],[Equipos]],
    TRUE, "Sin clasificación"
)</f>
        <v>Sin clasificación</v>
      </c>
      <c r="G400" s="15"/>
      <c r="H400" s="47"/>
      <c r="I400" s="87"/>
      <c r="J400" s="78"/>
      <c r="K400" s="78"/>
      <c r="L400" s="78"/>
      <c r="M400" s="78"/>
      <c r="N400" s="76"/>
      <c r="O400" s="76"/>
      <c r="P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Q400" s="77"/>
      <c r="R400" s="32"/>
      <c r="S400" s="32"/>
      <c r="T400" s="32"/>
      <c r="U400" s="32"/>
    </row>
    <row r="401" spans="3:21" x14ac:dyDescent="0.3">
      <c r="C401" s="11"/>
      <c r="D401" s="32"/>
      <c r="E401" s="11" t="str" cm="1">
        <f t="array" ref="E401">_xlfn.IFS(
    COUNTIF(Herramientas_eléctricas1862[Herramientas_eléctricas], B401) &gt; 0, Herramientas_eléctricas1862[[#Headers],[Herramientas_eléctricas]],
    COUNTIF(Herramientas_neumáticas1963[Herramientas_neumáticas], B401) &gt; 0, Herramientas_neumáticas1963[[#Headers],[Herramientas_neumáticas]],
    COUNTIF(Herramientas_de_medición2064[Herramientas_de_medición], B401) &gt; 0, Herramientas_de_medición2064[[#Headers],[Herramientas_de_medición]],
    COUNTIF(Herrramientas_mecánicas2165[Herramientas_mecánicas], B401) &gt; 0, Herrramientas_mecánicas2165[[#Headers],[Herramientas_mecánicas]],
    COUNTIF(AK401:AK407, B401) &gt; 0, Herramientas_hidráulicas2266[[#Headers],[Herramientas_hidráulicas]],
    COUNTIF(EPP_2367[SPCC], B401) &gt; 0, EPP_2367[[#Headers],[SPCC]],
   COUNTIF(Herramientas_de_izaje2468[Herramientas_de_izaje], B401) &gt; 0, Herramientas_de_izaje2468[[#Headers],[Herramientas_de_izaje]],
COUNTIF(Tabla162670[Equipos], B401) &gt; 0, Tabla162670[[#Headers],[Equipos]],
    TRUE, "Sin clasificación"
)</f>
        <v>Sin clasificación</v>
      </c>
      <c r="G401" s="15"/>
      <c r="H401" s="47"/>
      <c r="I401" s="87"/>
      <c r="J401" s="78"/>
      <c r="K401" s="78"/>
      <c r="L401" s="78"/>
      <c r="M401" s="78"/>
      <c r="N401" s="76"/>
      <c r="O401" s="76"/>
      <c r="P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Q401" s="77"/>
      <c r="R401" s="32"/>
      <c r="S401" s="32"/>
      <c r="T401" s="32"/>
      <c r="U401" s="32"/>
    </row>
    <row r="402" spans="3:21" x14ac:dyDescent="0.3">
      <c r="C402" s="11"/>
      <c r="D402" s="32"/>
      <c r="E402" s="11" t="str" cm="1">
        <f t="array" ref="E402">_xlfn.IFS(
    COUNTIF(Herramientas_eléctricas1862[Herramientas_eléctricas], B402) &gt; 0, Herramientas_eléctricas1862[[#Headers],[Herramientas_eléctricas]],
    COUNTIF(Herramientas_neumáticas1963[Herramientas_neumáticas], B402) &gt; 0, Herramientas_neumáticas1963[[#Headers],[Herramientas_neumáticas]],
    COUNTIF(Herramientas_de_medición2064[Herramientas_de_medición], B402) &gt; 0, Herramientas_de_medición2064[[#Headers],[Herramientas_de_medición]],
    COUNTIF(Herrramientas_mecánicas2165[Herramientas_mecánicas], B402) &gt; 0, Herrramientas_mecánicas2165[[#Headers],[Herramientas_mecánicas]],
    COUNTIF(AK402:AK408, B402) &gt; 0, Herramientas_hidráulicas2266[[#Headers],[Herramientas_hidráulicas]],
    COUNTIF(EPP_2367[SPCC], B402) &gt; 0, EPP_2367[[#Headers],[SPCC]],
   COUNTIF(Herramientas_de_izaje2468[Herramientas_de_izaje], B402) &gt; 0, Herramientas_de_izaje2468[[#Headers],[Herramientas_de_izaje]],
COUNTIF(Tabla162670[Equipos], B402) &gt; 0, Tabla162670[[#Headers],[Equipos]],
    TRUE, "Sin clasificación"
)</f>
        <v>Sin clasificación</v>
      </c>
      <c r="G402" s="15"/>
      <c r="H402" s="47"/>
      <c r="I402" s="87"/>
      <c r="J402" s="78"/>
      <c r="K402" s="78"/>
      <c r="L402" s="78"/>
      <c r="M402" s="78"/>
      <c r="N402" s="76"/>
      <c r="O402" s="76"/>
      <c r="P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Q402" s="77"/>
      <c r="R402" s="32"/>
      <c r="S402" s="32"/>
      <c r="T402" s="32"/>
      <c r="U402" s="32"/>
    </row>
    <row r="403" spans="3:21" x14ac:dyDescent="0.3">
      <c r="C403" s="11"/>
      <c r="D403" s="32"/>
      <c r="E403" s="11" t="str" cm="1">
        <f t="array" ref="E403">_xlfn.IFS(
    COUNTIF(Herramientas_eléctricas1862[Herramientas_eléctricas], B403) &gt; 0, Herramientas_eléctricas1862[[#Headers],[Herramientas_eléctricas]],
    COUNTIF(Herramientas_neumáticas1963[Herramientas_neumáticas], B403) &gt; 0, Herramientas_neumáticas1963[[#Headers],[Herramientas_neumáticas]],
    COUNTIF(Herramientas_de_medición2064[Herramientas_de_medición], B403) &gt; 0, Herramientas_de_medición2064[[#Headers],[Herramientas_de_medición]],
    COUNTIF(Herrramientas_mecánicas2165[Herramientas_mecánicas], B403) &gt; 0, Herrramientas_mecánicas2165[[#Headers],[Herramientas_mecánicas]],
    COUNTIF(AK403:AK409, B403) &gt; 0, Herramientas_hidráulicas2266[[#Headers],[Herramientas_hidráulicas]],
    COUNTIF(EPP_2367[SPCC], B403) &gt; 0, EPP_2367[[#Headers],[SPCC]],
   COUNTIF(Herramientas_de_izaje2468[Herramientas_de_izaje], B403) &gt; 0, Herramientas_de_izaje2468[[#Headers],[Herramientas_de_izaje]],
COUNTIF(Tabla162670[Equipos], B403) &gt; 0, Tabla162670[[#Headers],[Equipos]],
    TRUE, "Sin clasificación"
)</f>
        <v>Sin clasificación</v>
      </c>
      <c r="G403" s="15"/>
      <c r="H403" s="47"/>
      <c r="I403" s="87"/>
      <c r="J403" s="78"/>
      <c r="K403" s="78"/>
      <c r="L403" s="78"/>
      <c r="M403" s="78"/>
      <c r="N403" s="76"/>
      <c r="O403" s="76"/>
      <c r="P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Q403" s="77"/>
      <c r="R403" s="32"/>
      <c r="S403" s="32"/>
      <c r="T403" s="32"/>
      <c r="U403" s="32"/>
    </row>
    <row r="404" spans="3:21" x14ac:dyDescent="0.3">
      <c r="C404" s="11"/>
      <c r="D404" s="32"/>
      <c r="E404" s="11" t="str" cm="1">
        <f t="array" ref="E404">_xlfn.IFS(
    COUNTIF(Herramientas_eléctricas1862[Herramientas_eléctricas], B404) &gt; 0, Herramientas_eléctricas1862[[#Headers],[Herramientas_eléctricas]],
    COUNTIF(Herramientas_neumáticas1963[Herramientas_neumáticas], B404) &gt; 0, Herramientas_neumáticas1963[[#Headers],[Herramientas_neumáticas]],
    COUNTIF(Herramientas_de_medición2064[Herramientas_de_medición], B404) &gt; 0, Herramientas_de_medición2064[[#Headers],[Herramientas_de_medición]],
    COUNTIF(Herrramientas_mecánicas2165[Herramientas_mecánicas], B404) &gt; 0, Herrramientas_mecánicas2165[[#Headers],[Herramientas_mecánicas]],
    COUNTIF(AK404:AK410, B404) &gt; 0, Herramientas_hidráulicas2266[[#Headers],[Herramientas_hidráulicas]],
    COUNTIF(EPP_2367[SPCC], B404) &gt; 0, EPP_2367[[#Headers],[SPCC]],
   COUNTIF(Herramientas_de_izaje2468[Herramientas_de_izaje], B404) &gt; 0, Herramientas_de_izaje2468[[#Headers],[Herramientas_de_izaje]],
COUNTIF(Tabla162670[Equipos], B404) &gt; 0, Tabla162670[[#Headers],[Equipos]],
    TRUE, "Sin clasificación"
)</f>
        <v>Sin clasificación</v>
      </c>
      <c r="G404" s="15"/>
      <c r="H404" s="47"/>
      <c r="I404" s="87"/>
      <c r="J404" s="78"/>
      <c r="K404" s="78"/>
      <c r="L404" s="78"/>
      <c r="M404" s="78"/>
      <c r="N404" s="76"/>
      <c r="O404" s="76"/>
      <c r="P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Q404" s="77"/>
      <c r="R404" s="32"/>
      <c r="S404" s="32"/>
      <c r="T404" s="32"/>
      <c r="U404" s="32"/>
    </row>
    <row r="405" spans="3:21" x14ac:dyDescent="0.3">
      <c r="C405" s="11"/>
      <c r="D405" s="32"/>
      <c r="E405" s="11" t="str" cm="1">
        <f t="array" ref="E405">_xlfn.IFS(
    COUNTIF(Herramientas_eléctricas1862[Herramientas_eléctricas], B405) &gt; 0, Herramientas_eléctricas1862[[#Headers],[Herramientas_eléctricas]],
    COUNTIF(Herramientas_neumáticas1963[Herramientas_neumáticas], B405) &gt; 0, Herramientas_neumáticas1963[[#Headers],[Herramientas_neumáticas]],
    COUNTIF(Herramientas_de_medición2064[Herramientas_de_medición], B405) &gt; 0, Herramientas_de_medición2064[[#Headers],[Herramientas_de_medición]],
    COUNTIF(Herrramientas_mecánicas2165[Herramientas_mecánicas], B405) &gt; 0, Herrramientas_mecánicas2165[[#Headers],[Herramientas_mecánicas]],
    COUNTIF(AK405:AK411, B405) &gt; 0, Herramientas_hidráulicas2266[[#Headers],[Herramientas_hidráulicas]],
    COUNTIF(EPP_2367[SPCC], B405) &gt; 0, EPP_2367[[#Headers],[SPCC]],
   COUNTIF(Herramientas_de_izaje2468[Herramientas_de_izaje], B405) &gt; 0, Herramientas_de_izaje2468[[#Headers],[Herramientas_de_izaje]],
COUNTIF(Tabla162670[Equipos], B405) &gt; 0, Tabla162670[[#Headers],[Equipos]],
    TRUE, "Sin clasificación"
)</f>
        <v>Sin clasificación</v>
      </c>
      <c r="G405" s="15"/>
      <c r="H405" s="47"/>
      <c r="I405" s="87"/>
      <c r="J405" s="78"/>
      <c r="K405" s="78"/>
      <c r="L405" s="78"/>
      <c r="M405" s="78"/>
      <c r="N405" s="76"/>
      <c r="O405" s="76"/>
      <c r="P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Q405" s="77"/>
      <c r="R405" s="32"/>
      <c r="S405" s="32"/>
      <c r="T405" s="32"/>
      <c r="U405" s="32"/>
    </row>
    <row r="406" spans="3:21" x14ac:dyDescent="0.3">
      <c r="C406" s="11"/>
      <c r="D406" s="32"/>
      <c r="E406" s="11" t="str" cm="1">
        <f t="array" ref="E406">_xlfn.IFS(
    COUNTIF(Herramientas_eléctricas1862[Herramientas_eléctricas], B406) &gt; 0, Herramientas_eléctricas1862[[#Headers],[Herramientas_eléctricas]],
    COUNTIF(Herramientas_neumáticas1963[Herramientas_neumáticas], B406) &gt; 0, Herramientas_neumáticas1963[[#Headers],[Herramientas_neumáticas]],
    COUNTIF(Herramientas_de_medición2064[Herramientas_de_medición], B406) &gt; 0, Herramientas_de_medición2064[[#Headers],[Herramientas_de_medición]],
    COUNTIF(Herrramientas_mecánicas2165[Herramientas_mecánicas], B406) &gt; 0, Herrramientas_mecánicas2165[[#Headers],[Herramientas_mecánicas]],
    COUNTIF(AK406:AK412, B406) &gt; 0, Herramientas_hidráulicas2266[[#Headers],[Herramientas_hidráulicas]],
    COUNTIF(EPP_2367[SPCC], B406) &gt; 0, EPP_2367[[#Headers],[SPCC]],
   COUNTIF(Herramientas_de_izaje2468[Herramientas_de_izaje], B406) &gt; 0, Herramientas_de_izaje2468[[#Headers],[Herramientas_de_izaje]],
COUNTIF(Tabla162670[Equipos], B406) &gt; 0, Tabla162670[[#Headers],[Equipos]],
    TRUE, "Sin clasificación"
)</f>
        <v>Sin clasificación</v>
      </c>
      <c r="G406" s="15"/>
      <c r="H406" s="47"/>
      <c r="I406" s="87"/>
      <c r="J406" s="78"/>
      <c r="K406" s="78"/>
      <c r="L406" s="78"/>
      <c r="M406" s="78"/>
      <c r="N406" s="76"/>
      <c r="O406" s="76"/>
      <c r="P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Q406" s="77"/>
      <c r="R406" s="32"/>
      <c r="S406" s="32"/>
      <c r="T406" s="32"/>
      <c r="U406" s="32"/>
    </row>
    <row r="407" spans="3:21" x14ac:dyDescent="0.3">
      <c r="C407" s="11"/>
      <c r="D407" s="32"/>
      <c r="E407" s="11" t="str" cm="1">
        <f t="array" ref="E407">_xlfn.IFS(
    COUNTIF(Herramientas_eléctricas1862[Herramientas_eléctricas], B407) &gt; 0, Herramientas_eléctricas1862[[#Headers],[Herramientas_eléctricas]],
    COUNTIF(Herramientas_neumáticas1963[Herramientas_neumáticas], B407) &gt; 0, Herramientas_neumáticas1963[[#Headers],[Herramientas_neumáticas]],
    COUNTIF(Herramientas_de_medición2064[Herramientas_de_medición], B407) &gt; 0, Herramientas_de_medición2064[[#Headers],[Herramientas_de_medición]],
    COUNTIF(Herrramientas_mecánicas2165[Herramientas_mecánicas], B407) &gt; 0, Herrramientas_mecánicas2165[[#Headers],[Herramientas_mecánicas]],
    COUNTIF(AK407:AK413, B407) &gt; 0, Herramientas_hidráulicas2266[[#Headers],[Herramientas_hidráulicas]],
    COUNTIF(EPP_2367[SPCC], B407) &gt; 0, EPP_2367[[#Headers],[SPCC]],
   COUNTIF(Herramientas_de_izaje2468[Herramientas_de_izaje], B407) &gt; 0, Herramientas_de_izaje2468[[#Headers],[Herramientas_de_izaje]],
COUNTIF(Tabla162670[Equipos], B407) &gt; 0, Tabla162670[[#Headers],[Equipos]],
    TRUE, "Sin clasificación"
)</f>
        <v>Sin clasificación</v>
      </c>
      <c r="G407" s="15"/>
      <c r="H407" s="47"/>
      <c r="I407" s="87"/>
      <c r="J407" s="78"/>
      <c r="K407" s="78"/>
      <c r="L407" s="78"/>
      <c r="M407" s="78"/>
      <c r="N407" s="76"/>
      <c r="O407" s="76"/>
      <c r="P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Q407" s="77"/>
      <c r="R407" s="32"/>
      <c r="S407" s="32"/>
      <c r="T407" s="32"/>
      <c r="U407" s="32"/>
    </row>
    <row r="408" spans="3:21" x14ac:dyDescent="0.3">
      <c r="C408" s="11"/>
      <c r="D408" s="32"/>
      <c r="E408" s="11" t="str" cm="1">
        <f t="array" ref="E408">_xlfn.IFS(
    COUNTIF(Herramientas_eléctricas1862[Herramientas_eléctricas], B408) &gt; 0, Herramientas_eléctricas1862[[#Headers],[Herramientas_eléctricas]],
    COUNTIF(Herramientas_neumáticas1963[Herramientas_neumáticas], B408) &gt; 0, Herramientas_neumáticas1963[[#Headers],[Herramientas_neumáticas]],
    COUNTIF(Herramientas_de_medición2064[Herramientas_de_medición], B408) &gt; 0, Herramientas_de_medición2064[[#Headers],[Herramientas_de_medición]],
    COUNTIF(Herrramientas_mecánicas2165[Herramientas_mecánicas], B408) &gt; 0, Herrramientas_mecánicas2165[[#Headers],[Herramientas_mecánicas]],
    COUNTIF(AK408:AK414, B408) &gt; 0, Herramientas_hidráulicas2266[[#Headers],[Herramientas_hidráulicas]],
    COUNTIF(EPP_2367[SPCC], B408) &gt; 0, EPP_2367[[#Headers],[SPCC]],
   COUNTIF(Herramientas_de_izaje2468[Herramientas_de_izaje], B408) &gt; 0, Herramientas_de_izaje2468[[#Headers],[Herramientas_de_izaje]],
COUNTIF(Tabla162670[Equipos], B408) &gt; 0, Tabla162670[[#Headers],[Equipos]],
    TRUE, "Sin clasificación"
)</f>
        <v>Sin clasificación</v>
      </c>
      <c r="G408" s="15"/>
      <c r="H408" s="47"/>
      <c r="I408" s="87"/>
      <c r="J408" s="78"/>
      <c r="K408" s="78"/>
      <c r="L408" s="78"/>
      <c r="M408" s="78"/>
      <c r="N408" s="76"/>
      <c r="O408" s="76"/>
      <c r="P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Q408" s="77"/>
      <c r="R408" s="32"/>
      <c r="S408" s="32"/>
      <c r="T408" s="32"/>
      <c r="U408" s="32"/>
    </row>
    <row r="409" spans="3:21" x14ac:dyDescent="0.3">
      <c r="C409" s="11"/>
      <c r="D409" s="32"/>
      <c r="E409" s="11" t="str" cm="1">
        <f t="array" ref="E409">_xlfn.IFS(
    COUNTIF(Herramientas_eléctricas1862[Herramientas_eléctricas], B409) &gt; 0, Herramientas_eléctricas1862[[#Headers],[Herramientas_eléctricas]],
    COUNTIF(Herramientas_neumáticas1963[Herramientas_neumáticas], B409) &gt; 0, Herramientas_neumáticas1963[[#Headers],[Herramientas_neumáticas]],
    COUNTIF(Herramientas_de_medición2064[Herramientas_de_medición], B409) &gt; 0, Herramientas_de_medición2064[[#Headers],[Herramientas_de_medición]],
    COUNTIF(Herrramientas_mecánicas2165[Herramientas_mecánicas], B409) &gt; 0, Herrramientas_mecánicas2165[[#Headers],[Herramientas_mecánicas]],
    COUNTIF(AK409:AK415, B409) &gt; 0, Herramientas_hidráulicas2266[[#Headers],[Herramientas_hidráulicas]],
    COUNTIF(EPP_2367[SPCC], B409) &gt; 0, EPP_2367[[#Headers],[SPCC]],
   COUNTIF(Herramientas_de_izaje2468[Herramientas_de_izaje], B409) &gt; 0, Herramientas_de_izaje2468[[#Headers],[Herramientas_de_izaje]],
COUNTIF(Tabla162670[Equipos], B409) &gt; 0, Tabla162670[[#Headers],[Equipos]],
    TRUE, "Sin clasificación"
)</f>
        <v>Sin clasificación</v>
      </c>
      <c r="G409" s="15"/>
      <c r="H409" s="47"/>
      <c r="I409" s="87"/>
      <c r="J409" s="78"/>
      <c r="K409" s="78"/>
      <c r="L409" s="78"/>
      <c r="M409" s="78"/>
      <c r="N409" s="76"/>
      <c r="O409" s="76"/>
      <c r="P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Q409" s="77"/>
      <c r="R409" s="32"/>
      <c r="S409" s="32"/>
      <c r="T409" s="32"/>
      <c r="U409" s="32"/>
    </row>
    <row r="410" spans="3:21" x14ac:dyDescent="0.3">
      <c r="C410" s="11"/>
      <c r="D410" s="32"/>
      <c r="E410" s="11" t="str" cm="1">
        <f t="array" ref="E410">_xlfn.IFS(
    COUNTIF(Herramientas_eléctricas1862[Herramientas_eléctricas], B410) &gt; 0, Herramientas_eléctricas1862[[#Headers],[Herramientas_eléctricas]],
    COUNTIF(Herramientas_neumáticas1963[Herramientas_neumáticas], B410) &gt; 0, Herramientas_neumáticas1963[[#Headers],[Herramientas_neumáticas]],
    COUNTIF(Herramientas_de_medición2064[Herramientas_de_medición], B410) &gt; 0, Herramientas_de_medición2064[[#Headers],[Herramientas_de_medición]],
    COUNTIF(Herrramientas_mecánicas2165[Herramientas_mecánicas], B410) &gt; 0, Herrramientas_mecánicas2165[[#Headers],[Herramientas_mecánicas]],
    COUNTIF(AK410:AK416, B410) &gt; 0, Herramientas_hidráulicas2266[[#Headers],[Herramientas_hidráulicas]],
    COUNTIF(EPP_2367[SPCC], B410) &gt; 0, EPP_2367[[#Headers],[SPCC]],
   COUNTIF(Herramientas_de_izaje2468[Herramientas_de_izaje], B410) &gt; 0, Herramientas_de_izaje2468[[#Headers],[Herramientas_de_izaje]],
COUNTIF(Tabla162670[Equipos], B410) &gt; 0, Tabla162670[[#Headers],[Equipos]],
    TRUE, "Sin clasificación"
)</f>
        <v>Sin clasificación</v>
      </c>
      <c r="G410" s="15"/>
      <c r="H410" s="47"/>
      <c r="I410" s="87"/>
      <c r="J410" s="78"/>
      <c r="K410" s="78"/>
      <c r="L410" s="78"/>
      <c r="M410" s="78"/>
      <c r="N410" s="76"/>
      <c r="O410" s="76"/>
      <c r="P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Q410" s="77"/>
      <c r="R410" s="32"/>
      <c r="S410" s="32"/>
      <c r="T410" s="32"/>
      <c r="U410" s="32"/>
    </row>
    <row r="411" spans="3:21" x14ac:dyDescent="0.3">
      <c r="C411" s="11"/>
      <c r="D411" s="32"/>
      <c r="E411" s="11" t="str" cm="1">
        <f t="array" ref="E411">_xlfn.IFS(
    COUNTIF(Herramientas_eléctricas1862[Herramientas_eléctricas], B411) &gt; 0, Herramientas_eléctricas1862[[#Headers],[Herramientas_eléctricas]],
    COUNTIF(Herramientas_neumáticas1963[Herramientas_neumáticas], B411) &gt; 0, Herramientas_neumáticas1963[[#Headers],[Herramientas_neumáticas]],
    COUNTIF(Herramientas_de_medición2064[Herramientas_de_medición], B411) &gt; 0, Herramientas_de_medición2064[[#Headers],[Herramientas_de_medición]],
    COUNTIF(Herrramientas_mecánicas2165[Herramientas_mecánicas], B411) &gt; 0, Herrramientas_mecánicas2165[[#Headers],[Herramientas_mecánicas]],
    COUNTIF(AK411:AK417, B411) &gt; 0, Herramientas_hidráulicas2266[[#Headers],[Herramientas_hidráulicas]],
    COUNTIF(EPP_2367[SPCC], B411) &gt; 0, EPP_2367[[#Headers],[SPCC]],
   COUNTIF(Herramientas_de_izaje2468[Herramientas_de_izaje], B411) &gt; 0, Herramientas_de_izaje2468[[#Headers],[Herramientas_de_izaje]],
COUNTIF(Tabla162670[Equipos], B411) &gt; 0, Tabla162670[[#Headers],[Equipos]],
    TRUE, "Sin clasificación"
)</f>
        <v>Sin clasificación</v>
      </c>
      <c r="G411" s="15"/>
      <c r="H411" s="47"/>
      <c r="I411" s="87"/>
      <c r="J411" s="78"/>
      <c r="K411" s="78"/>
      <c r="L411" s="78"/>
      <c r="M411" s="78"/>
      <c r="N411" s="76"/>
      <c r="O411" s="76"/>
      <c r="P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Q411" s="77"/>
      <c r="R411" s="32"/>
      <c r="S411" s="32"/>
      <c r="T411" s="32"/>
      <c r="U411" s="32"/>
    </row>
    <row r="412" spans="3:21" x14ac:dyDescent="0.3">
      <c r="C412" s="11"/>
      <c r="D412" s="32"/>
      <c r="E412" s="11" t="str" cm="1">
        <f t="array" ref="E412">_xlfn.IFS(
    COUNTIF(Herramientas_eléctricas1862[Herramientas_eléctricas], B412) &gt; 0, Herramientas_eléctricas1862[[#Headers],[Herramientas_eléctricas]],
    COUNTIF(Herramientas_neumáticas1963[Herramientas_neumáticas], B412) &gt; 0, Herramientas_neumáticas1963[[#Headers],[Herramientas_neumáticas]],
    COUNTIF(Herramientas_de_medición2064[Herramientas_de_medición], B412) &gt; 0, Herramientas_de_medición2064[[#Headers],[Herramientas_de_medición]],
    COUNTIF(Herrramientas_mecánicas2165[Herramientas_mecánicas], B412) &gt; 0, Herrramientas_mecánicas2165[[#Headers],[Herramientas_mecánicas]],
    COUNTIF(AK412:AK418, B412) &gt; 0, Herramientas_hidráulicas2266[[#Headers],[Herramientas_hidráulicas]],
    COUNTIF(EPP_2367[SPCC], B412) &gt; 0, EPP_2367[[#Headers],[SPCC]],
   COUNTIF(Herramientas_de_izaje2468[Herramientas_de_izaje], B412) &gt; 0, Herramientas_de_izaje2468[[#Headers],[Herramientas_de_izaje]],
COUNTIF(Tabla162670[Equipos], B412) &gt; 0, Tabla162670[[#Headers],[Equipos]],
    TRUE, "Sin clasificación"
)</f>
        <v>Sin clasificación</v>
      </c>
      <c r="G412" s="15"/>
      <c r="H412" s="47"/>
      <c r="I412" s="87"/>
      <c r="J412" s="78"/>
      <c r="K412" s="78"/>
      <c r="L412" s="78"/>
      <c r="M412" s="78"/>
      <c r="N412" s="76"/>
      <c r="O412" s="76"/>
      <c r="P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Q412" s="77"/>
      <c r="R412" s="32"/>
      <c r="S412" s="32"/>
      <c r="T412" s="32"/>
      <c r="U412" s="32"/>
    </row>
    <row r="413" spans="3:21" x14ac:dyDescent="0.3">
      <c r="C413" s="11"/>
      <c r="D413" s="32"/>
      <c r="E413" s="11" t="str" cm="1">
        <f t="array" ref="E413">_xlfn.IFS(
    COUNTIF(Herramientas_eléctricas1862[Herramientas_eléctricas], B413) &gt; 0, Herramientas_eléctricas1862[[#Headers],[Herramientas_eléctricas]],
    COUNTIF(Herramientas_neumáticas1963[Herramientas_neumáticas], B413) &gt; 0, Herramientas_neumáticas1963[[#Headers],[Herramientas_neumáticas]],
    COUNTIF(Herramientas_de_medición2064[Herramientas_de_medición], B413) &gt; 0, Herramientas_de_medición2064[[#Headers],[Herramientas_de_medición]],
    COUNTIF(Herrramientas_mecánicas2165[Herramientas_mecánicas], B413) &gt; 0, Herrramientas_mecánicas2165[[#Headers],[Herramientas_mecánicas]],
    COUNTIF(AK413:AK419, B413) &gt; 0, Herramientas_hidráulicas2266[[#Headers],[Herramientas_hidráulicas]],
    COUNTIF(EPP_2367[SPCC], B413) &gt; 0, EPP_2367[[#Headers],[SPCC]],
   COUNTIF(Herramientas_de_izaje2468[Herramientas_de_izaje], B413) &gt; 0, Herramientas_de_izaje2468[[#Headers],[Herramientas_de_izaje]],
COUNTIF(Tabla162670[Equipos], B413) &gt; 0, Tabla162670[[#Headers],[Equipos]],
    TRUE, "Sin clasificación"
)</f>
        <v>Sin clasificación</v>
      </c>
      <c r="G413" s="15"/>
      <c r="H413" s="47"/>
      <c r="I413" s="87"/>
      <c r="J413" s="78"/>
      <c r="K413" s="78"/>
      <c r="L413" s="78"/>
      <c r="M413" s="78"/>
      <c r="N413" s="76"/>
      <c r="O413" s="76"/>
      <c r="P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Q413" s="77"/>
      <c r="R413" s="32"/>
      <c r="S413" s="32"/>
      <c r="T413" s="32"/>
      <c r="U413" s="32"/>
    </row>
    <row r="414" spans="3:21" x14ac:dyDescent="0.3">
      <c r="C414" s="11"/>
      <c r="D414" s="32"/>
      <c r="E414" s="11" t="str" cm="1">
        <f t="array" ref="E414">_xlfn.IFS(
    COUNTIF(Herramientas_eléctricas1862[Herramientas_eléctricas], B414) &gt; 0, Herramientas_eléctricas1862[[#Headers],[Herramientas_eléctricas]],
    COUNTIF(Herramientas_neumáticas1963[Herramientas_neumáticas], B414) &gt; 0, Herramientas_neumáticas1963[[#Headers],[Herramientas_neumáticas]],
    COUNTIF(Herramientas_de_medición2064[Herramientas_de_medición], B414) &gt; 0, Herramientas_de_medición2064[[#Headers],[Herramientas_de_medición]],
    COUNTIF(Herrramientas_mecánicas2165[Herramientas_mecánicas], B414) &gt; 0, Herrramientas_mecánicas2165[[#Headers],[Herramientas_mecánicas]],
    COUNTIF(AK414:AK420, B414) &gt; 0, Herramientas_hidráulicas2266[[#Headers],[Herramientas_hidráulicas]],
    COUNTIF(EPP_2367[SPCC], B414) &gt; 0, EPP_2367[[#Headers],[SPCC]],
   COUNTIF(Herramientas_de_izaje2468[Herramientas_de_izaje], B414) &gt; 0, Herramientas_de_izaje2468[[#Headers],[Herramientas_de_izaje]],
COUNTIF(Tabla162670[Equipos], B414) &gt; 0, Tabla162670[[#Headers],[Equipos]],
    TRUE, "Sin clasificación"
)</f>
        <v>Sin clasificación</v>
      </c>
      <c r="G414" s="15"/>
      <c r="H414" s="47"/>
      <c r="I414" s="87"/>
      <c r="J414" s="78"/>
      <c r="K414" s="78"/>
      <c r="L414" s="78"/>
      <c r="M414" s="78"/>
      <c r="N414" s="76"/>
      <c r="O414" s="76"/>
      <c r="P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Q414" s="77"/>
      <c r="R414" s="32"/>
      <c r="S414" s="32"/>
      <c r="T414" s="32"/>
      <c r="U414" s="32"/>
    </row>
    <row r="415" spans="3:21" x14ac:dyDescent="0.3">
      <c r="C415" s="11"/>
      <c r="D415" s="32"/>
      <c r="E415" s="11" t="str" cm="1">
        <f t="array" ref="E415">_xlfn.IFS(
    COUNTIF(Herramientas_eléctricas1862[Herramientas_eléctricas], B415) &gt; 0, Herramientas_eléctricas1862[[#Headers],[Herramientas_eléctricas]],
    COUNTIF(Herramientas_neumáticas1963[Herramientas_neumáticas], B415) &gt; 0, Herramientas_neumáticas1963[[#Headers],[Herramientas_neumáticas]],
    COUNTIF(Herramientas_de_medición2064[Herramientas_de_medición], B415) &gt; 0, Herramientas_de_medición2064[[#Headers],[Herramientas_de_medición]],
    COUNTIF(Herrramientas_mecánicas2165[Herramientas_mecánicas], B415) &gt; 0, Herrramientas_mecánicas2165[[#Headers],[Herramientas_mecánicas]],
    COUNTIF(AK415:AK421, B415) &gt; 0, Herramientas_hidráulicas2266[[#Headers],[Herramientas_hidráulicas]],
    COUNTIF(EPP_2367[SPCC], B415) &gt; 0, EPP_2367[[#Headers],[SPCC]],
   COUNTIF(Herramientas_de_izaje2468[Herramientas_de_izaje], B415) &gt; 0, Herramientas_de_izaje2468[[#Headers],[Herramientas_de_izaje]],
COUNTIF(Tabla162670[Equipos], B415) &gt; 0, Tabla162670[[#Headers],[Equipos]],
    TRUE, "Sin clasificación"
)</f>
        <v>Sin clasificación</v>
      </c>
      <c r="G415" s="15"/>
      <c r="H415" s="47"/>
      <c r="I415" s="87"/>
      <c r="J415" s="78"/>
      <c r="K415" s="78"/>
      <c r="L415" s="78"/>
      <c r="M415" s="78"/>
      <c r="N415" s="76"/>
      <c r="O415" s="76"/>
      <c r="P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Q415" s="77"/>
      <c r="R415" s="32"/>
      <c r="S415" s="32"/>
      <c r="T415" s="32"/>
      <c r="U415" s="32"/>
    </row>
    <row r="416" spans="3:21" x14ac:dyDescent="0.3">
      <c r="C416" s="11"/>
      <c r="D416" s="32"/>
      <c r="E416" s="11" t="str" cm="1">
        <f t="array" ref="E416">_xlfn.IFS(
    COUNTIF(Herramientas_eléctricas1862[Herramientas_eléctricas], B416) &gt; 0, Herramientas_eléctricas1862[[#Headers],[Herramientas_eléctricas]],
    COUNTIF(Herramientas_neumáticas1963[Herramientas_neumáticas], B416) &gt; 0, Herramientas_neumáticas1963[[#Headers],[Herramientas_neumáticas]],
    COUNTIF(Herramientas_de_medición2064[Herramientas_de_medición], B416) &gt; 0, Herramientas_de_medición2064[[#Headers],[Herramientas_de_medición]],
    COUNTIF(Herrramientas_mecánicas2165[Herramientas_mecánicas], B416) &gt; 0, Herrramientas_mecánicas2165[[#Headers],[Herramientas_mecánicas]],
    COUNTIF(AK416:AK422, B416) &gt; 0, Herramientas_hidráulicas2266[[#Headers],[Herramientas_hidráulicas]],
    COUNTIF(EPP_2367[SPCC], B416) &gt; 0, EPP_2367[[#Headers],[SPCC]],
   COUNTIF(Herramientas_de_izaje2468[Herramientas_de_izaje], B416) &gt; 0, Herramientas_de_izaje2468[[#Headers],[Herramientas_de_izaje]],
COUNTIF(Tabla162670[Equipos], B416) &gt; 0, Tabla162670[[#Headers],[Equipos]],
    TRUE, "Sin clasificación"
)</f>
        <v>Sin clasificación</v>
      </c>
      <c r="G416" s="15"/>
      <c r="H416" s="47"/>
      <c r="I416" s="87"/>
      <c r="J416" s="78"/>
      <c r="K416" s="78"/>
      <c r="L416" s="78"/>
      <c r="M416" s="78"/>
      <c r="N416" s="76"/>
      <c r="O416" s="76"/>
      <c r="P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Q416" s="77"/>
      <c r="R416" s="32"/>
      <c r="S416" s="32"/>
      <c r="T416" s="32"/>
      <c r="U416" s="32"/>
    </row>
    <row r="417" spans="3:21" x14ac:dyDescent="0.3">
      <c r="C417" s="11"/>
      <c r="D417" s="32"/>
      <c r="E417" s="11" t="str" cm="1">
        <f t="array" ref="E417">_xlfn.IFS(
    COUNTIF(Herramientas_eléctricas1862[Herramientas_eléctricas], B417) &gt; 0, Herramientas_eléctricas1862[[#Headers],[Herramientas_eléctricas]],
    COUNTIF(Herramientas_neumáticas1963[Herramientas_neumáticas], B417) &gt; 0, Herramientas_neumáticas1963[[#Headers],[Herramientas_neumáticas]],
    COUNTIF(Herramientas_de_medición2064[Herramientas_de_medición], B417) &gt; 0, Herramientas_de_medición2064[[#Headers],[Herramientas_de_medición]],
    COUNTIF(Herrramientas_mecánicas2165[Herramientas_mecánicas], B417) &gt; 0, Herrramientas_mecánicas2165[[#Headers],[Herramientas_mecánicas]],
    COUNTIF(AK417:AK423, B417) &gt; 0, Herramientas_hidráulicas2266[[#Headers],[Herramientas_hidráulicas]],
    COUNTIF(EPP_2367[SPCC], B417) &gt; 0, EPP_2367[[#Headers],[SPCC]],
   COUNTIF(Herramientas_de_izaje2468[Herramientas_de_izaje], B417) &gt; 0, Herramientas_de_izaje2468[[#Headers],[Herramientas_de_izaje]],
COUNTIF(Tabla162670[Equipos], B417) &gt; 0, Tabla162670[[#Headers],[Equipos]],
    TRUE, "Sin clasificación"
)</f>
        <v>Sin clasificación</v>
      </c>
      <c r="G417" s="15"/>
      <c r="H417" s="47"/>
      <c r="I417" s="87"/>
      <c r="J417" s="78"/>
      <c r="K417" s="78"/>
      <c r="L417" s="78"/>
      <c r="M417" s="78"/>
      <c r="N417" s="76"/>
      <c r="O417" s="76"/>
      <c r="P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Q417" s="77"/>
      <c r="R417" s="32"/>
      <c r="S417" s="32"/>
      <c r="T417" s="32"/>
      <c r="U417" s="32"/>
    </row>
    <row r="418" spans="3:21" x14ac:dyDescent="0.3">
      <c r="C418" s="11"/>
      <c r="D418" s="32"/>
      <c r="E418" s="11" t="str" cm="1">
        <f t="array" ref="E418">_xlfn.IFS(
    COUNTIF(Herramientas_eléctricas1862[Herramientas_eléctricas], B418) &gt; 0, Herramientas_eléctricas1862[[#Headers],[Herramientas_eléctricas]],
    COUNTIF(Herramientas_neumáticas1963[Herramientas_neumáticas], B418) &gt; 0, Herramientas_neumáticas1963[[#Headers],[Herramientas_neumáticas]],
    COUNTIF(Herramientas_de_medición2064[Herramientas_de_medición], B418) &gt; 0, Herramientas_de_medición2064[[#Headers],[Herramientas_de_medición]],
    COUNTIF(Herrramientas_mecánicas2165[Herramientas_mecánicas], B418) &gt; 0, Herrramientas_mecánicas2165[[#Headers],[Herramientas_mecánicas]],
    COUNTIF(AK418:AK424, B418) &gt; 0, Herramientas_hidráulicas2266[[#Headers],[Herramientas_hidráulicas]],
    COUNTIF(EPP_2367[SPCC], B418) &gt; 0, EPP_2367[[#Headers],[SPCC]],
   COUNTIF(Herramientas_de_izaje2468[Herramientas_de_izaje], B418) &gt; 0, Herramientas_de_izaje2468[[#Headers],[Herramientas_de_izaje]],
COUNTIF(Tabla162670[Equipos], B418) &gt; 0, Tabla162670[[#Headers],[Equipos]],
    TRUE, "Sin clasificación"
)</f>
        <v>Sin clasificación</v>
      </c>
      <c r="G418" s="15"/>
      <c r="H418" s="47"/>
      <c r="I418" s="87"/>
      <c r="J418" s="78"/>
      <c r="K418" s="78"/>
      <c r="L418" s="78"/>
      <c r="M418" s="78"/>
      <c r="N418" s="76"/>
      <c r="O418" s="76"/>
      <c r="P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Q418" s="77"/>
      <c r="R418" s="32"/>
      <c r="S418" s="32"/>
      <c r="T418" s="32"/>
      <c r="U418" s="32"/>
    </row>
    <row r="419" spans="3:21" x14ac:dyDescent="0.3">
      <c r="C419" s="11"/>
      <c r="D419" s="32"/>
      <c r="E419" s="11" t="str" cm="1">
        <f t="array" ref="E419">_xlfn.IFS(
    COUNTIF(Herramientas_eléctricas1862[Herramientas_eléctricas], B419) &gt; 0, Herramientas_eléctricas1862[[#Headers],[Herramientas_eléctricas]],
    COUNTIF(Herramientas_neumáticas1963[Herramientas_neumáticas], B419) &gt; 0, Herramientas_neumáticas1963[[#Headers],[Herramientas_neumáticas]],
    COUNTIF(Herramientas_de_medición2064[Herramientas_de_medición], B419) &gt; 0, Herramientas_de_medición2064[[#Headers],[Herramientas_de_medición]],
    COUNTIF(Herrramientas_mecánicas2165[Herramientas_mecánicas], B419) &gt; 0, Herrramientas_mecánicas2165[[#Headers],[Herramientas_mecánicas]],
    COUNTIF(AK419:AK425, B419) &gt; 0, Herramientas_hidráulicas2266[[#Headers],[Herramientas_hidráulicas]],
    COUNTIF(EPP_2367[SPCC], B419) &gt; 0, EPP_2367[[#Headers],[SPCC]],
   COUNTIF(Herramientas_de_izaje2468[Herramientas_de_izaje], B419) &gt; 0, Herramientas_de_izaje2468[[#Headers],[Herramientas_de_izaje]],
COUNTIF(Tabla162670[Equipos], B419) &gt; 0, Tabla162670[[#Headers],[Equipos]],
    TRUE, "Sin clasificación"
)</f>
        <v>Sin clasificación</v>
      </c>
      <c r="G419" s="15"/>
      <c r="H419" s="47"/>
      <c r="I419" s="87"/>
      <c r="J419" s="78"/>
      <c r="K419" s="78"/>
      <c r="L419" s="78"/>
      <c r="M419" s="78"/>
      <c r="N419" s="76"/>
      <c r="O419" s="76"/>
      <c r="P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Q419" s="77"/>
      <c r="R419" s="32"/>
      <c r="S419" s="32"/>
      <c r="T419" s="32"/>
      <c r="U419" s="32"/>
    </row>
    <row r="420" spans="3:21" x14ac:dyDescent="0.3">
      <c r="C420" s="11"/>
      <c r="D420" s="32"/>
      <c r="E420" s="11" t="str" cm="1">
        <f t="array" ref="E420">_xlfn.IFS(
    COUNTIF(Herramientas_eléctricas1862[Herramientas_eléctricas], B420) &gt; 0, Herramientas_eléctricas1862[[#Headers],[Herramientas_eléctricas]],
    COUNTIF(Herramientas_neumáticas1963[Herramientas_neumáticas], B420) &gt; 0, Herramientas_neumáticas1963[[#Headers],[Herramientas_neumáticas]],
    COUNTIF(Herramientas_de_medición2064[Herramientas_de_medición], B420) &gt; 0, Herramientas_de_medición2064[[#Headers],[Herramientas_de_medición]],
    COUNTIF(Herrramientas_mecánicas2165[Herramientas_mecánicas], B420) &gt; 0, Herrramientas_mecánicas2165[[#Headers],[Herramientas_mecánicas]],
    COUNTIF(AK420:AK426, B420) &gt; 0, Herramientas_hidráulicas2266[[#Headers],[Herramientas_hidráulicas]],
    COUNTIF(EPP_2367[SPCC], B420) &gt; 0, EPP_2367[[#Headers],[SPCC]],
   COUNTIF(Herramientas_de_izaje2468[Herramientas_de_izaje], B420) &gt; 0, Herramientas_de_izaje2468[[#Headers],[Herramientas_de_izaje]],
COUNTIF(Tabla162670[Equipos], B420) &gt; 0, Tabla162670[[#Headers],[Equipos]],
    TRUE, "Sin clasificación"
)</f>
        <v>Sin clasificación</v>
      </c>
      <c r="G420" s="15"/>
      <c r="H420" s="47"/>
      <c r="I420" s="87"/>
      <c r="J420" s="78"/>
      <c r="K420" s="78"/>
      <c r="L420" s="78"/>
      <c r="M420" s="78"/>
      <c r="N420" s="76"/>
      <c r="O420" s="76"/>
      <c r="P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Q420" s="77"/>
      <c r="R420" s="32"/>
      <c r="S420" s="32"/>
      <c r="T420" s="32"/>
      <c r="U420" s="32"/>
    </row>
    <row r="421" spans="3:21" x14ac:dyDescent="0.3">
      <c r="C421" s="11"/>
      <c r="D421" s="32"/>
      <c r="E421" s="11" t="str" cm="1">
        <f t="array" ref="E421">_xlfn.IFS(
    COUNTIF(Herramientas_eléctricas1862[Herramientas_eléctricas], B421) &gt; 0, Herramientas_eléctricas1862[[#Headers],[Herramientas_eléctricas]],
    COUNTIF(Herramientas_neumáticas1963[Herramientas_neumáticas], B421) &gt; 0, Herramientas_neumáticas1963[[#Headers],[Herramientas_neumáticas]],
    COUNTIF(Herramientas_de_medición2064[Herramientas_de_medición], B421) &gt; 0, Herramientas_de_medición2064[[#Headers],[Herramientas_de_medición]],
    COUNTIF(Herrramientas_mecánicas2165[Herramientas_mecánicas], B421) &gt; 0, Herrramientas_mecánicas2165[[#Headers],[Herramientas_mecánicas]],
    COUNTIF(AK421:AK427, B421) &gt; 0, Herramientas_hidráulicas2266[[#Headers],[Herramientas_hidráulicas]],
    COUNTIF(EPP_2367[SPCC], B421) &gt; 0, EPP_2367[[#Headers],[SPCC]],
   COUNTIF(Herramientas_de_izaje2468[Herramientas_de_izaje], B421) &gt; 0, Herramientas_de_izaje2468[[#Headers],[Herramientas_de_izaje]],
COUNTIF(Tabla162670[Equipos], B421) &gt; 0, Tabla162670[[#Headers],[Equipos]],
    TRUE, "Sin clasificación"
)</f>
        <v>Sin clasificación</v>
      </c>
      <c r="G421" s="15"/>
      <c r="H421" s="47"/>
      <c r="I421" s="87"/>
      <c r="J421" s="78"/>
      <c r="K421" s="78"/>
      <c r="L421" s="78"/>
      <c r="M421" s="78"/>
      <c r="N421" s="76"/>
      <c r="O421" s="76"/>
      <c r="P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Q421" s="77"/>
      <c r="R421" s="32"/>
      <c r="S421" s="32"/>
      <c r="T421" s="32"/>
      <c r="U421" s="32"/>
    </row>
    <row r="422" spans="3:21" x14ac:dyDescent="0.3">
      <c r="C422" s="11"/>
      <c r="D422" s="32"/>
      <c r="E422" s="11" t="str" cm="1">
        <f t="array" ref="E422">_xlfn.IFS(
    COUNTIF(Herramientas_eléctricas1862[Herramientas_eléctricas], B422) &gt; 0, Herramientas_eléctricas1862[[#Headers],[Herramientas_eléctricas]],
    COUNTIF(Herramientas_neumáticas1963[Herramientas_neumáticas], B422) &gt; 0, Herramientas_neumáticas1963[[#Headers],[Herramientas_neumáticas]],
    COUNTIF(Herramientas_de_medición2064[Herramientas_de_medición], B422) &gt; 0, Herramientas_de_medición2064[[#Headers],[Herramientas_de_medición]],
    COUNTIF(Herrramientas_mecánicas2165[Herramientas_mecánicas], B422) &gt; 0, Herrramientas_mecánicas2165[[#Headers],[Herramientas_mecánicas]],
    COUNTIF(AK422:AK428, B422) &gt; 0, Herramientas_hidráulicas2266[[#Headers],[Herramientas_hidráulicas]],
    COUNTIF(EPP_2367[SPCC], B422) &gt; 0, EPP_2367[[#Headers],[SPCC]],
   COUNTIF(Herramientas_de_izaje2468[Herramientas_de_izaje], B422) &gt; 0, Herramientas_de_izaje2468[[#Headers],[Herramientas_de_izaje]],
COUNTIF(Tabla162670[Equipos], B422) &gt; 0, Tabla162670[[#Headers],[Equipos]],
    TRUE, "Sin clasificación"
)</f>
        <v>Sin clasificación</v>
      </c>
      <c r="G422" s="15"/>
      <c r="H422" s="47"/>
      <c r="I422" s="87"/>
      <c r="J422" s="78"/>
      <c r="K422" s="78"/>
      <c r="L422" s="78"/>
      <c r="M422" s="78"/>
      <c r="N422" s="76"/>
      <c r="O422" s="76"/>
      <c r="P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Q422" s="77"/>
      <c r="R422" s="32"/>
      <c r="S422" s="32"/>
      <c r="T422" s="32"/>
      <c r="U422" s="32"/>
    </row>
    <row r="423" spans="3:21" x14ac:dyDescent="0.3">
      <c r="C423" s="11"/>
      <c r="D423" s="32"/>
      <c r="E423" s="11" t="str" cm="1">
        <f t="array" ref="E423">_xlfn.IFS(
    COUNTIF(Herramientas_eléctricas1862[Herramientas_eléctricas], B423) &gt; 0, Herramientas_eléctricas1862[[#Headers],[Herramientas_eléctricas]],
    COUNTIF(Herramientas_neumáticas1963[Herramientas_neumáticas], B423) &gt; 0, Herramientas_neumáticas1963[[#Headers],[Herramientas_neumáticas]],
    COUNTIF(Herramientas_de_medición2064[Herramientas_de_medición], B423) &gt; 0, Herramientas_de_medición2064[[#Headers],[Herramientas_de_medición]],
    COUNTIF(Herrramientas_mecánicas2165[Herramientas_mecánicas], B423) &gt; 0, Herrramientas_mecánicas2165[[#Headers],[Herramientas_mecánicas]],
    COUNTIF(AK423:AK429, B423) &gt; 0, Herramientas_hidráulicas2266[[#Headers],[Herramientas_hidráulicas]],
    COUNTIF(EPP_2367[SPCC], B423) &gt; 0, EPP_2367[[#Headers],[SPCC]],
   COUNTIF(Herramientas_de_izaje2468[Herramientas_de_izaje], B423) &gt; 0, Herramientas_de_izaje2468[[#Headers],[Herramientas_de_izaje]],
COUNTIF(Tabla162670[Equipos], B423) &gt; 0, Tabla162670[[#Headers],[Equipos]],
    TRUE, "Sin clasificación"
)</f>
        <v>Sin clasificación</v>
      </c>
      <c r="G423" s="15"/>
      <c r="H423" s="47"/>
      <c r="I423" s="87"/>
      <c r="J423" s="78"/>
      <c r="K423" s="78"/>
      <c r="L423" s="78"/>
      <c r="M423" s="78"/>
      <c r="N423" s="76"/>
      <c r="O423" s="76"/>
      <c r="P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Q423" s="77"/>
      <c r="R423" s="32"/>
      <c r="S423" s="32"/>
      <c r="T423" s="32"/>
      <c r="U423" s="32"/>
    </row>
    <row r="424" spans="3:21" x14ac:dyDescent="0.3">
      <c r="C424" s="11"/>
      <c r="D424" s="32"/>
      <c r="E424" s="11" t="str" cm="1">
        <f t="array" ref="E424">_xlfn.IFS(
    COUNTIF(Herramientas_eléctricas1862[Herramientas_eléctricas], B424) &gt; 0, Herramientas_eléctricas1862[[#Headers],[Herramientas_eléctricas]],
    COUNTIF(Herramientas_neumáticas1963[Herramientas_neumáticas], B424) &gt; 0, Herramientas_neumáticas1963[[#Headers],[Herramientas_neumáticas]],
    COUNTIF(Herramientas_de_medición2064[Herramientas_de_medición], B424) &gt; 0, Herramientas_de_medición2064[[#Headers],[Herramientas_de_medición]],
    COUNTIF(Herrramientas_mecánicas2165[Herramientas_mecánicas], B424) &gt; 0, Herrramientas_mecánicas2165[[#Headers],[Herramientas_mecánicas]],
    COUNTIF(AK424:AK430, B424) &gt; 0, Herramientas_hidráulicas2266[[#Headers],[Herramientas_hidráulicas]],
    COUNTIF(EPP_2367[SPCC], B424) &gt; 0, EPP_2367[[#Headers],[SPCC]],
   COUNTIF(Herramientas_de_izaje2468[Herramientas_de_izaje], B424) &gt; 0, Herramientas_de_izaje2468[[#Headers],[Herramientas_de_izaje]],
COUNTIF(Tabla162670[Equipos], B424) &gt; 0, Tabla162670[[#Headers],[Equipos]],
    TRUE, "Sin clasificación"
)</f>
        <v>Sin clasificación</v>
      </c>
      <c r="G424" s="15"/>
      <c r="H424" s="47"/>
      <c r="I424" s="87"/>
      <c r="J424" s="78"/>
      <c r="K424" s="78"/>
      <c r="L424" s="78"/>
      <c r="M424" s="78"/>
      <c r="N424" s="76"/>
      <c r="O424" s="76"/>
      <c r="P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Q424" s="77"/>
      <c r="R424" s="32"/>
      <c r="S424" s="32"/>
      <c r="T424" s="32"/>
      <c r="U424" s="32"/>
    </row>
    <row r="425" spans="3:21" x14ac:dyDescent="0.3">
      <c r="C425" s="11"/>
      <c r="D425" s="32"/>
      <c r="E425" s="11" t="str" cm="1">
        <f t="array" ref="E425">_xlfn.IFS(
    COUNTIF(Herramientas_eléctricas1862[Herramientas_eléctricas], B425) &gt; 0, Herramientas_eléctricas1862[[#Headers],[Herramientas_eléctricas]],
    COUNTIF(Herramientas_neumáticas1963[Herramientas_neumáticas], B425) &gt; 0, Herramientas_neumáticas1963[[#Headers],[Herramientas_neumáticas]],
    COUNTIF(Herramientas_de_medición2064[Herramientas_de_medición], B425) &gt; 0, Herramientas_de_medición2064[[#Headers],[Herramientas_de_medición]],
    COUNTIF(Herrramientas_mecánicas2165[Herramientas_mecánicas], B425) &gt; 0, Herrramientas_mecánicas2165[[#Headers],[Herramientas_mecánicas]],
    COUNTIF(AK425:AK431, B425) &gt; 0, Herramientas_hidráulicas2266[[#Headers],[Herramientas_hidráulicas]],
    COUNTIF(EPP_2367[SPCC], B425) &gt; 0, EPP_2367[[#Headers],[SPCC]],
   COUNTIF(Herramientas_de_izaje2468[Herramientas_de_izaje], B425) &gt; 0, Herramientas_de_izaje2468[[#Headers],[Herramientas_de_izaje]],
COUNTIF(Tabla162670[Equipos], B425) &gt; 0, Tabla162670[[#Headers],[Equipos]],
    TRUE, "Sin clasificación"
)</f>
        <v>Sin clasificación</v>
      </c>
      <c r="G425" s="15"/>
      <c r="H425" s="47"/>
      <c r="I425" s="87"/>
      <c r="J425" s="78"/>
      <c r="K425" s="78"/>
      <c r="L425" s="78"/>
      <c r="M425" s="78"/>
      <c r="N425" s="76"/>
      <c r="O425" s="76"/>
      <c r="P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Q425" s="77"/>
      <c r="R425" s="32"/>
      <c r="S425" s="32"/>
      <c r="T425" s="32"/>
      <c r="U425" s="32"/>
    </row>
    <row r="426" spans="3:21" x14ac:dyDescent="0.3">
      <c r="C426" s="11"/>
      <c r="D426" s="32"/>
      <c r="E426" s="11" t="str" cm="1">
        <f t="array" ref="E426">_xlfn.IFS(
    COUNTIF(Herramientas_eléctricas1862[Herramientas_eléctricas], B426) &gt; 0, Herramientas_eléctricas1862[[#Headers],[Herramientas_eléctricas]],
    COUNTIF(Herramientas_neumáticas1963[Herramientas_neumáticas], B426) &gt; 0, Herramientas_neumáticas1963[[#Headers],[Herramientas_neumáticas]],
    COUNTIF(Herramientas_de_medición2064[Herramientas_de_medición], B426) &gt; 0, Herramientas_de_medición2064[[#Headers],[Herramientas_de_medición]],
    COUNTIF(Herrramientas_mecánicas2165[Herramientas_mecánicas], B426) &gt; 0, Herrramientas_mecánicas2165[[#Headers],[Herramientas_mecánicas]],
    COUNTIF(AK426:AK432, B426) &gt; 0, Herramientas_hidráulicas2266[[#Headers],[Herramientas_hidráulicas]],
    COUNTIF(EPP_2367[SPCC], B426) &gt; 0, EPP_2367[[#Headers],[SPCC]],
   COUNTIF(Herramientas_de_izaje2468[Herramientas_de_izaje], B426) &gt; 0, Herramientas_de_izaje2468[[#Headers],[Herramientas_de_izaje]],
COUNTIF(Tabla162670[Equipos], B426) &gt; 0, Tabla162670[[#Headers],[Equipos]],
    TRUE, "Sin clasificación"
)</f>
        <v>Sin clasificación</v>
      </c>
      <c r="G426" s="15"/>
      <c r="H426" s="47"/>
      <c r="I426" s="87"/>
      <c r="J426" s="78"/>
      <c r="K426" s="78"/>
      <c r="L426" s="78"/>
      <c r="M426" s="78"/>
      <c r="N426" s="76"/>
      <c r="O426" s="76"/>
      <c r="P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Q426" s="77"/>
      <c r="R426" s="32"/>
      <c r="S426" s="32"/>
      <c r="T426" s="32"/>
      <c r="U426" s="32"/>
    </row>
    <row r="427" spans="3:21" x14ac:dyDescent="0.3">
      <c r="C427" s="11"/>
      <c r="D427" s="32"/>
      <c r="E427" s="11" t="str" cm="1">
        <f t="array" ref="E427">_xlfn.IFS(
    COUNTIF(Herramientas_eléctricas1862[Herramientas_eléctricas], B427) &gt; 0, Herramientas_eléctricas1862[[#Headers],[Herramientas_eléctricas]],
    COUNTIF(Herramientas_neumáticas1963[Herramientas_neumáticas], B427) &gt; 0, Herramientas_neumáticas1963[[#Headers],[Herramientas_neumáticas]],
    COUNTIF(Herramientas_de_medición2064[Herramientas_de_medición], B427) &gt; 0, Herramientas_de_medición2064[[#Headers],[Herramientas_de_medición]],
    COUNTIF(Herrramientas_mecánicas2165[Herramientas_mecánicas], B427) &gt; 0, Herrramientas_mecánicas2165[[#Headers],[Herramientas_mecánicas]],
    COUNTIF(AK427:AK433, B427) &gt; 0, Herramientas_hidráulicas2266[[#Headers],[Herramientas_hidráulicas]],
    COUNTIF(EPP_2367[SPCC], B427) &gt; 0, EPP_2367[[#Headers],[SPCC]],
   COUNTIF(Herramientas_de_izaje2468[Herramientas_de_izaje], B427) &gt; 0, Herramientas_de_izaje2468[[#Headers],[Herramientas_de_izaje]],
COUNTIF(Tabla162670[Equipos], B427) &gt; 0, Tabla162670[[#Headers],[Equipos]],
    TRUE, "Sin clasificación"
)</f>
        <v>Sin clasificación</v>
      </c>
      <c r="G427" s="15"/>
      <c r="H427" s="47"/>
      <c r="I427" s="87"/>
      <c r="J427" s="78"/>
      <c r="K427" s="78"/>
      <c r="L427" s="78"/>
      <c r="M427" s="78"/>
      <c r="N427" s="76"/>
      <c r="O427" s="76"/>
      <c r="P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Q427" s="77"/>
      <c r="R427" s="32"/>
      <c r="S427" s="32"/>
      <c r="T427" s="32"/>
      <c r="U427" s="32"/>
    </row>
    <row r="428" spans="3:21" x14ac:dyDescent="0.3">
      <c r="C428" s="11"/>
      <c r="D428" s="32"/>
      <c r="E428" s="11" t="str" cm="1">
        <f t="array" ref="E428">_xlfn.IFS(
    COUNTIF(Herramientas_eléctricas1862[Herramientas_eléctricas], B428) &gt; 0, Herramientas_eléctricas1862[[#Headers],[Herramientas_eléctricas]],
    COUNTIF(Herramientas_neumáticas1963[Herramientas_neumáticas], B428) &gt; 0, Herramientas_neumáticas1963[[#Headers],[Herramientas_neumáticas]],
    COUNTIF(Herramientas_de_medición2064[Herramientas_de_medición], B428) &gt; 0, Herramientas_de_medición2064[[#Headers],[Herramientas_de_medición]],
    COUNTIF(Herrramientas_mecánicas2165[Herramientas_mecánicas], B428) &gt; 0, Herrramientas_mecánicas2165[[#Headers],[Herramientas_mecánicas]],
    COUNTIF(AK428:AK434, B428) &gt; 0, Herramientas_hidráulicas2266[[#Headers],[Herramientas_hidráulicas]],
    COUNTIF(EPP_2367[SPCC], B428) &gt; 0, EPP_2367[[#Headers],[SPCC]],
   COUNTIF(Herramientas_de_izaje2468[Herramientas_de_izaje], B428) &gt; 0, Herramientas_de_izaje2468[[#Headers],[Herramientas_de_izaje]],
COUNTIF(Tabla162670[Equipos], B428) &gt; 0, Tabla162670[[#Headers],[Equipos]],
    TRUE, "Sin clasificación"
)</f>
        <v>Sin clasificación</v>
      </c>
      <c r="G428" s="15"/>
      <c r="H428" s="47"/>
      <c r="I428" s="87"/>
      <c r="J428" s="78"/>
      <c r="K428" s="78"/>
      <c r="L428" s="78"/>
      <c r="M428" s="78"/>
      <c r="N428" s="76"/>
      <c r="O428" s="76"/>
      <c r="P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Q428" s="77"/>
      <c r="R428" s="32"/>
      <c r="S428" s="32"/>
      <c r="T428" s="32"/>
      <c r="U428" s="32"/>
    </row>
    <row r="429" spans="3:21" x14ac:dyDescent="0.3">
      <c r="C429" s="11"/>
      <c r="D429" s="32"/>
      <c r="E429" s="11" t="str" cm="1">
        <f t="array" ref="E429">_xlfn.IFS(
    COUNTIF(Herramientas_eléctricas1862[Herramientas_eléctricas], B429) &gt; 0, Herramientas_eléctricas1862[[#Headers],[Herramientas_eléctricas]],
    COUNTIF(Herramientas_neumáticas1963[Herramientas_neumáticas], B429) &gt; 0, Herramientas_neumáticas1963[[#Headers],[Herramientas_neumáticas]],
    COUNTIF(Herramientas_de_medición2064[Herramientas_de_medición], B429) &gt; 0, Herramientas_de_medición2064[[#Headers],[Herramientas_de_medición]],
    COUNTIF(Herrramientas_mecánicas2165[Herramientas_mecánicas], B429) &gt; 0, Herrramientas_mecánicas2165[[#Headers],[Herramientas_mecánicas]],
    COUNTIF(AK429:AK435, B429) &gt; 0, Herramientas_hidráulicas2266[[#Headers],[Herramientas_hidráulicas]],
    COUNTIF(EPP_2367[SPCC], B429) &gt; 0, EPP_2367[[#Headers],[SPCC]],
   COUNTIF(Herramientas_de_izaje2468[Herramientas_de_izaje], B429) &gt; 0, Herramientas_de_izaje2468[[#Headers],[Herramientas_de_izaje]],
COUNTIF(Tabla162670[Equipos], B429) &gt; 0, Tabla162670[[#Headers],[Equipos]],
    TRUE, "Sin clasificación"
)</f>
        <v>Sin clasificación</v>
      </c>
      <c r="G429" s="15"/>
      <c r="H429" s="47"/>
      <c r="I429" s="87"/>
      <c r="J429" s="78"/>
      <c r="K429" s="78"/>
      <c r="L429" s="78"/>
      <c r="M429" s="78"/>
      <c r="N429" s="76"/>
      <c r="O429" s="76"/>
      <c r="P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Q429" s="77"/>
      <c r="R429" s="32"/>
      <c r="S429" s="32"/>
      <c r="T429" s="32"/>
      <c r="U429" s="32"/>
    </row>
    <row r="430" spans="3:21" x14ac:dyDescent="0.3">
      <c r="C430" s="11"/>
      <c r="D430" s="32"/>
      <c r="E430" s="11" t="str" cm="1">
        <f t="array" ref="E430">_xlfn.IFS(
    COUNTIF(Herramientas_eléctricas1862[Herramientas_eléctricas], B430) &gt; 0, Herramientas_eléctricas1862[[#Headers],[Herramientas_eléctricas]],
    COUNTIF(Herramientas_neumáticas1963[Herramientas_neumáticas], B430) &gt; 0, Herramientas_neumáticas1963[[#Headers],[Herramientas_neumáticas]],
    COUNTIF(Herramientas_de_medición2064[Herramientas_de_medición], B430) &gt; 0, Herramientas_de_medición2064[[#Headers],[Herramientas_de_medición]],
    COUNTIF(Herrramientas_mecánicas2165[Herramientas_mecánicas], B430) &gt; 0, Herrramientas_mecánicas2165[[#Headers],[Herramientas_mecánicas]],
    COUNTIF(AK430:AK436, B430) &gt; 0, Herramientas_hidráulicas2266[[#Headers],[Herramientas_hidráulicas]],
    COUNTIF(EPP_2367[SPCC], B430) &gt; 0, EPP_2367[[#Headers],[SPCC]],
   COUNTIF(Herramientas_de_izaje2468[Herramientas_de_izaje], B430) &gt; 0, Herramientas_de_izaje2468[[#Headers],[Herramientas_de_izaje]],
COUNTIF(Tabla162670[Equipos], B430) &gt; 0, Tabla162670[[#Headers],[Equipos]],
    TRUE, "Sin clasificación"
)</f>
        <v>Sin clasificación</v>
      </c>
      <c r="G430" s="15"/>
      <c r="H430" s="47"/>
      <c r="I430" s="87"/>
      <c r="J430" s="78"/>
      <c r="K430" s="78"/>
      <c r="L430" s="78"/>
      <c r="M430" s="78"/>
      <c r="N430" s="76"/>
      <c r="O430" s="76"/>
      <c r="P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Q430" s="77"/>
      <c r="R430" s="32"/>
      <c r="S430" s="32"/>
      <c r="T430" s="32"/>
      <c r="U430" s="32"/>
    </row>
    <row r="431" spans="3:21" x14ac:dyDescent="0.3">
      <c r="C431" s="11"/>
      <c r="D431" s="32"/>
      <c r="E431" s="11" t="str" cm="1">
        <f t="array" ref="E431">_xlfn.IFS(
    COUNTIF(Herramientas_eléctricas1862[Herramientas_eléctricas], B431) &gt; 0, Herramientas_eléctricas1862[[#Headers],[Herramientas_eléctricas]],
    COUNTIF(Herramientas_neumáticas1963[Herramientas_neumáticas], B431) &gt; 0, Herramientas_neumáticas1963[[#Headers],[Herramientas_neumáticas]],
    COUNTIF(Herramientas_de_medición2064[Herramientas_de_medición], B431) &gt; 0, Herramientas_de_medición2064[[#Headers],[Herramientas_de_medición]],
    COUNTIF(Herrramientas_mecánicas2165[Herramientas_mecánicas], B431) &gt; 0, Herrramientas_mecánicas2165[[#Headers],[Herramientas_mecánicas]],
    COUNTIF(AK431:AK437, B431) &gt; 0, Herramientas_hidráulicas2266[[#Headers],[Herramientas_hidráulicas]],
    COUNTIF(EPP_2367[SPCC], B431) &gt; 0, EPP_2367[[#Headers],[SPCC]],
   COUNTIF(Herramientas_de_izaje2468[Herramientas_de_izaje], B431) &gt; 0, Herramientas_de_izaje2468[[#Headers],[Herramientas_de_izaje]],
COUNTIF(Tabla162670[Equipos], B431) &gt; 0, Tabla162670[[#Headers],[Equipos]],
    TRUE, "Sin clasificación"
)</f>
        <v>Sin clasificación</v>
      </c>
      <c r="G431" s="15"/>
      <c r="H431" s="47"/>
      <c r="I431" s="87"/>
      <c r="J431" s="78"/>
      <c r="K431" s="78"/>
      <c r="L431" s="78"/>
      <c r="M431" s="78"/>
      <c r="N431" s="76"/>
      <c r="O431" s="76"/>
      <c r="P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Q431" s="77"/>
      <c r="R431" s="32"/>
      <c r="S431" s="32"/>
      <c r="T431" s="32"/>
      <c r="U431" s="32"/>
    </row>
    <row r="432" spans="3:21" x14ac:dyDescent="0.3">
      <c r="C432" s="11"/>
      <c r="D432" s="32"/>
      <c r="E432" s="11" t="str" cm="1">
        <f t="array" ref="E432">_xlfn.IFS(
    COUNTIF(Herramientas_eléctricas1862[Herramientas_eléctricas], B432) &gt; 0, Herramientas_eléctricas1862[[#Headers],[Herramientas_eléctricas]],
    COUNTIF(Herramientas_neumáticas1963[Herramientas_neumáticas], B432) &gt; 0, Herramientas_neumáticas1963[[#Headers],[Herramientas_neumáticas]],
    COUNTIF(Herramientas_de_medición2064[Herramientas_de_medición], B432) &gt; 0, Herramientas_de_medición2064[[#Headers],[Herramientas_de_medición]],
    COUNTIF(Herrramientas_mecánicas2165[Herramientas_mecánicas], B432) &gt; 0, Herrramientas_mecánicas2165[[#Headers],[Herramientas_mecánicas]],
    COUNTIF(AK432:AK438, B432) &gt; 0, Herramientas_hidráulicas2266[[#Headers],[Herramientas_hidráulicas]],
    COUNTIF(EPP_2367[SPCC], B432) &gt; 0, EPP_2367[[#Headers],[SPCC]],
   COUNTIF(Herramientas_de_izaje2468[Herramientas_de_izaje], B432) &gt; 0, Herramientas_de_izaje2468[[#Headers],[Herramientas_de_izaje]],
COUNTIF(Tabla162670[Equipos], B432) &gt; 0, Tabla162670[[#Headers],[Equipos]],
    TRUE, "Sin clasificación"
)</f>
        <v>Sin clasificación</v>
      </c>
      <c r="G432" s="15"/>
      <c r="H432" s="47"/>
      <c r="I432" s="87"/>
      <c r="J432" s="78"/>
      <c r="K432" s="78"/>
      <c r="L432" s="78"/>
      <c r="M432" s="78"/>
      <c r="N432" s="76"/>
      <c r="O432" s="76"/>
      <c r="P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Q432" s="77"/>
      <c r="R432" s="32"/>
      <c r="S432" s="32"/>
      <c r="T432" s="32"/>
      <c r="U432" s="32"/>
    </row>
    <row r="433" spans="3:21" x14ac:dyDescent="0.3">
      <c r="C433" s="11"/>
      <c r="D433" s="32"/>
      <c r="E433" s="11" t="str" cm="1">
        <f t="array" ref="E433">_xlfn.IFS(
    COUNTIF(Herramientas_eléctricas1862[Herramientas_eléctricas], B433) &gt; 0, Herramientas_eléctricas1862[[#Headers],[Herramientas_eléctricas]],
    COUNTIF(Herramientas_neumáticas1963[Herramientas_neumáticas], B433) &gt; 0, Herramientas_neumáticas1963[[#Headers],[Herramientas_neumáticas]],
    COUNTIF(Herramientas_de_medición2064[Herramientas_de_medición], B433) &gt; 0, Herramientas_de_medición2064[[#Headers],[Herramientas_de_medición]],
    COUNTIF(Herrramientas_mecánicas2165[Herramientas_mecánicas], B433) &gt; 0, Herrramientas_mecánicas2165[[#Headers],[Herramientas_mecánicas]],
    COUNTIF(AK433:AK439, B433) &gt; 0, Herramientas_hidráulicas2266[[#Headers],[Herramientas_hidráulicas]],
    COUNTIF(EPP_2367[SPCC], B433) &gt; 0, EPP_2367[[#Headers],[SPCC]],
   COUNTIF(Herramientas_de_izaje2468[Herramientas_de_izaje], B433) &gt; 0, Herramientas_de_izaje2468[[#Headers],[Herramientas_de_izaje]],
COUNTIF(Tabla162670[Equipos], B433) &gt; 0, Tabla162670[[#Headers],[Equipos]],
    TRUE, "Sin clasificación"
)</f>
        <v>Sin clasificación</v>
      </c>
      <c r="G433" s="15"/>
      <c r="H433" s="47"/>
      <c r="I433" s="87"/>
      <c r="J433" s="78"/>
      <c r="K433" s="78"/>
      <c r="L433" s="78"/>
      <c r="M433" s="78"/>
      <c r="N433" s="76"/>
      <c r="O433" s="76"/>
      <c r="P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Q433" s="77"/>
      <c r="R433" s="32"/>
      <c r="S433" s="32"/>
      <c r="T433" s="32"/>
      <c r="U433" s="32"/>
    </row>
    <row r="434" spans="3:21" x14ac:dyDescent="0.3">
      <c r="C434" s="11"/>
      <c r="D434" s="32"/>
      <c r="E434" s="11" t="str" cm="1">
        <f t="array" ref="E434">_xlfn.IFS(
    COUNTIF(Herramientas_eléctricas1862[Herramientas_eléctricas], B434) &gt; 0, Herramientas_eléctricas1862[[#Headers],[Herramientas_eléctricas]],
    COUNTIF(Herramientas_neumáticas1963[Herramientas_neumáticas], B434) &gt; 0, Herramientas_neumáticas1963[[#Headers],[Herramientas_neumáticas]],
    COUNTIF(Herramientas_de_medición2064[Herramientas_de_medición], B434) &gt; 0, Herramientas_de_medición2064[[#Headers],[Herramientas_de_medición]],
    COUNTIF(Herrramientas_mecánicas2165[Herramientas_mecánicas], B434) &gt; 0, Herrramientas_mecánicas2165[[#Headers],[Herramientas_mecánicas]],
    COUNTIF(AK434:AK440, B434) &gt; 0, Herramientas_hidráulicas2266[[#Headers],[Herramientas_hidráulicas]],
    COUNTIF(EPP_2367[SPCC], B434) &gt; 0, EPP_2367[[#Headers],[SPCC]],
   COUNTIF(Herramientas_de_izaje2468[Herramientas_de_izaje], B434) &gt; 0, Herramientas_de_izaje2468[[#Headers],[Herramientas_de_izaje]],
COUNTIF(Tabla162670[Equipos], B434) &gt; 0, Tabla162670[[#Headers],[Equipos]],
    TRUE, "Sin clasificación"
)</f>
        <v>Sin clasificación</v>
      </c>
      <c r="G434" s="15"/>
      <c r="H434" s="47"/>
      <c r="I434" s="87"/>
      <c r="J434" s="78"/>
      <c r="K434" s="78"/>
      <c r="L434" s="78"/>
      <c r="M434" s="78"/>
      <c r="N434" s="76"/>
      <c r="O434" s="76"/>
      <c r="P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Q434" s="77"/>
      <c r="R434" s="32"/>
      <c r="S434" s="32"/>
      <c r="T434" s="32"/>
      <c r="U434" s="32"/>
    </row>
    <row r="435" spans="3:21" x14ac:dyDescent="0.3">
      <c r="C435" s="11"/>
      <c r="D435" s="32"/>
      <c r="E435" s="11" t="str" cm="1">
        <f t="array" ref="E435">_xlfn.IFS(
    COUNTIF(Herramientas_eléctricas1862[Herramientas_eléctricas], B435) &gt; 0, Herramientas_eléctricas1862[[#Headers],[Herramientas_eléctricas]],
    COUNTIF(Herramientas_neumáticas1963[Herramientas_neumáticas], B435) &gt; 0, Herramientas_neumáticas1963[[#Headers],[Herramientas_neumáticas]],
    COUNTIF(Herramientas_de_medición2064[Herramientas_de_medición], B435) &gt; 0, Herramientas_de_medición2064[[#Headers],[Herramientas_de_medición]],
    COUNTIF(Herrramientas_mecánicas2165[Herramientas_mecánicas], B435) &gt; 0, Herrramientas_mecánicas2165[[#Headers],[Herramientas_mecánicas]],
    COUNTIF(AK435:AK441, B435) &gt; 0, Herramientas_hidráulicas2266[[#Headers],[Herramientas_hidráulicas]],
    COUNTIF(EPP_2367[SPCC], B435) &gt; 0, EPP_2367[[#Headers],[SPCC]],
   COUNTIF(Herramientas_de_izaje2468[Herramientas_de_izaje], B435) &gt; 0, Herramientas_de_izaje2468[[#Headers],[Herramientas_de_izaje]],
COUNTIF(Tabla162670[Equipos], B435) &gt; 0, Tabla162670[[#Headers],[Equipos]],
    TRUE, "Sin clasificación"
)</f>
        <v>Sin clasificación</v>
      </c>
      <c r="G435" s="15"/>
      <c r="H435" s="47"/>
      <c r="I435" s="87"/>
      <c r="J435" s="78"/>
      <c r="K435" s="78"/>
      <c r="L435" s="78"/>
      <c r="M435" s="78"/>
      <c r="N435" s="76"/>
      <c r="O435" s="76"/>
      <c r="P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Q435" s="77"/>
      <c r="R435" s="32"/>
      <c r="S435" s="32"/>
      <c r="T435" s="32"/>
      <c r="U435" s="32"/>
    </row>
    <row r="436" spans="3:21" x14ac:dyDescent="0.3">
      <c r="C436" s="11"/>
      <c r="D436" s="32"/>
      <c r="E436" s="11" t="str" cm="1">
        <f t="array" ref="E436">_xlfn.IFS(
    COUNTIF(Herramientas_eléctricas1862[Herramientas_eléctricas], B436) &gt; 0, Herramientas_eléctricas1862[[#Headers],[Herramientas_eléctricas]],
    COUNTIF(Herramientas_neumáticas1963[Herramientas_neumáticas], B436) &gt; 0, Herramientas_neumáticas1963[[#Headers],[Herramientas_neumáticas]],
    COUNTIF(Herramientas_de_medición2064[Herramientas_de_medición], B436) &gt; 0, Herramientas_de_medición2064[[#Headers],[Herramientas_de_medición]],
    COUNTIF(Herrramientas_mecánicas2165[Herramientas_mecánicas], B436) &gt; 0, Herrramientas_mecánicas2165[[#Headers],[Herramientas_mecánicas]],
    COUNTIF(AK436:AK442, B436) &gt; 0, Herramientas_hidráulicas2266[[#Headers],[Herramientas_hidráulicas]],
    COUNTIF(EPP_2367[SPCC], B436) &gt; 0, EPP_2367[[#Headers],[SPCC]],
   COUNTIF(Herramientas_de_izaje2468[Herramientas_de_izaje], B436) &gt; 0, Herramientas_de_izaje2468[[#Headers],[Herramientas_de_izaje]],
COUNTIF(Tabla162670[Equipos], B436) &gt; 0, Tabla162670[[#Headers],[Equipos]],
    TRUE, "Sin clasificación"
)</f>
        <v>Sin clasificación</v>
      </c>
      <c r="G436" s="15"/>
      <c r="H436" s="47"/>
      <c r="I436" s="87"/>
      <c r="J436" s="78"/>
      <c r="K436" s="78"/>
      <c r="L436" s="78"/>
      <c r="M436" s="78"/>
      <c r="N436" s="76"/>
      <c r="O436" s="76"/>
      <c r="P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Q436" s="77"/>
      <c r="R436" s="32"/>
      <c r="S436" s="32"/>
      <c r="T436" s="32"/>
      <c r="U436" s="32"/>
    </row>
    <row r="437" spans="3:21" x14ac:dyDescent="0.3">
      <c r="C437" s="11"/>
      <c r="D437" s="32"/>
      <c r="E437" s="11" t="str" cm="1">
        <f t="array" ref="E437">_xlfn.IFS(
    COUNTIF(Herramientas_eléctricas1862[Herramientas_eléctricas], B437) &gt; 0, Herramientas_eléctricas1862[[#Headers],[Herramientas_eléctricas]],
    COUNTIF(Herramientas_neumáticas1963[Herramientas_neumáticas], B437) &gt; 0, Herramientas_neumáticas1963[[#Headers],[Herramientas_neumáticas]],
    COUNTIF(Herramientas_de_medición2064[Herramientas_de_medición], B437) &gt; 0, Herramientas_de_medición2064[[#Headers],[Herramientas_de_medición]],
    COUNTIF(Herrramientas_mecánicas2165[Herramientas_mecánicas], B437) &gt; 0, Herrramientas_mecánicas2165[[#Headers],[Herramientas_mecánicas]],
    COUNTIF(AK437:AK443, B437) &gt; 0, Herramientas_hidráulicas2266[[#Headers],[Herramientas_hidráulicas]],
    COUNTIF(EPP_2367[SPCC], B437) &gt; 0, EPP_2367[[#Headers],[SPCC]],
   COUNTIF(Herramientas_de_izaje2468[Herramientas_de_izaje], B437) &gt; 0, Herramientas_de_izaje2468[[#Headers],[Herramientas_de_izaje]],
COUNTIF(Tabla162670[Equipos], B437) &gt; 0, Tabla162670[[#Headers],[Equipos]],
    TRUE, "Sin clasificación"
)</f>
        <v>Sin clasificación</v>
      </c>
      <c r="G437" s="15"/>
      <c r="H437" s="47"/>
      <c r="I437" s="87"/>
      <c r="J437" s="78"/>
      <c r="K437" s="78"/>
      <c r="L437" s="78"/>
      <c r="M437" s="78"/>
      <c r="N437" s="76"/>
      <c r="O437" s="76"/>
      <c r="P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Q437" s="77"/>
      <c r="R437" s="32"/>
      <c r="S437" s="32"/>
      <c r="T437" s="32"/>
      <c r="U437" s="32"/>
    </row>
    <row r="438" spans="3:21" x14ac:dyDescent="0.3">
      <c r="C438" s="11"/>
      <c r="D438" s="32"/>
      <c r="E438" s="11" t="str" cm="1">
        <f t="array" ref="E438">_xlfn.IFS(
    COUNTIF(Herramientas_eléctricas1862[Herramientas_eléctricas], B438) &gt; 0, Herramientas_eléctricas1862[[#Headers],[Herramientas_eléctricas]],
    COUNTIF(Herramientas_neumáticas1963[Herramientas_neumáticas], B438) &gt; 0, Herramientas_neumáticas1963[[#Headers],[Herramientas_neumáticas]],
    COUNTIF(Herramientas_de_medición2064[Herramientas_de_medición], B438) &gt; 0, Herramientas_de_medición2064[[#Headers],[Herramientas_de_medición]],
    COUNTIF(Herrramientas_mecánicas2165[Herramientas_mecánicas], B438) &gt; 0, Herrramientas_mecánicas2165[[#Headers],[Herramientas_mecánicas]],
    COUNTIF(AK438:AK444, B438) &gt; 0, Herramientas_hidráulicas2266[[#Headers],[Herramientas_hidráulicas]],
    COUNTIF(EPP_2367[SPCC], B438) &gt; 0, EPP_2367[[#Headers],[SPCC]],
   COUNTIF(Herramientas_de_izaje2468[Herramientas_de_izaje], B438) &gt; 0, Herramientas_de_izaje2468[[#Headers],[Herramientas_de_izaje]],
COUNTIF(Tabla162670[Equipos], B438) &gt; 0, Tabla162670[[#Headers],[Equipos]],
    TRUE, "Sin clasificación"
)</f>
        <v>Sin clasificación</v>
      </c>
      <c r="G438" s="15"/>
      <c r="H438" s="47"/>
      <c r="I438" s="87"/>
      <c r="J438" s="78"/>
      <c r="K438" s="78"/>
      <c r="L438" s="78"/>
      <c r="M438" s="78"/>
      <c r="N438" s="76"/>
      <c r="O438" s="76"/>
      <c r="P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Q438" s="77"/>
      <c r="R438" s="32"/>
      <c r="S438" s="32"/>
      <c r="T438" s="32"/>
      <c r="U438" s="32"/>
    </row>
    <row r="439" spans="3:21" x14ac:dyDescent="0.3">
      <c r="C439" s="11"/>
      <c r="D439" s="32"/>
      <c r="E439" s="11" t="str" cm="1">
        <f t="array" ref="E439">_xlfn.IFS(
    COUNTIF(Herramientas_eléctricas1862[Herramientas_eléctricas], B439) &gt; 0, Herramientas_eléctricas1862[[#Headers],[Herramientas_eléctricas]],
    COUNTIF(Herramientas_neumáticas1963[Herramientas_neumáticas], B439) &gt; 0, Herramientas_neumáticas1963[[#Headers],[Herramientas_neumáticas]],
    COUNTIF(Herramientas_de_medición2064[Herramientas_de_medición], B439) &gt; 0, Herramientas_de_medición2064[[#Headers],[Herramientas_de_medición]],
    COUNTIF(Herrramientas_mecánicas2165[Herramientas_mecánicas], B439) &gt; 0, Herrramientas_mecánicas2165[[#Headers],[Herramientas_mecánicas]],
    COUNTIF(AK439:AK445, B439) &gt; 0, Herramientas_hidráulicas2266[[#Headers],[Herramientas_hidráulicas]],
    COUNTIF(EPP_2367[SPCC], B439) &gt; 0, EPP_2367[[#Headers],[SPCC]],
   COUNTIF(Herramientas_de_izaje2468[Herramientas_de_izaje], B439) &gt; 0, Herramientas_de_izaje2468[[#Headers],[Herramientas_de_izaje]],
COUNTIF(Tabla162670[Equipos], B439) &gt; 0, Tabla162670[[#Headers],[Equipos]],
    TRUE, "Sin clasificación"
)</f>
        <v>Sin clasificación</v>
      </c>
      <c r="G439" s="15"/>
      <c r="H439" s="47"/>
      <c r="I439" s="87"/>
      <c r="J439" s="78"/>
      <c r="K439" s="78"/>
      <c r="L439" s="78"/>
      <c r="M439" s="78"/>
      <c r="N439" s="76"/>
      <c r="O439" s="76"/>
      <c r="P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Q439" s="77"/>
      <c r="R439" s="32"/>
      <c r="S439" s="32"/>
      <c r="T439" s="32"/>
      <c r="U439" s="32"/>
    </row>
    <row r="440" spans="3:21" x14ac:dyDescent="0.3">
      <c r="C440" s="11"/>
      <c r="D440" s="32"/>
      <c r="E440" s="11" t="str" cm="1">
        <f t="array" ref="E440">_xlfn.IFS(
    COUNTIF(Herramientas_eléctricas1862[Herramientas_eléctricas], B440) &gt; 0, Herramientas_eléctricas1862[[#Headers],[Herramientas_eléctricas]],
    COUNTIF(Herramientas_neumáticas1963[Herramientas_neumáticas], B440) &gt; 0, Herramientas_neumáticas1963[[#Headers],[Herramientas_neumáticas]],
    COUNTIF(Herramientas_de_medición2064[Herramientas_de_medición], B440) &gt; 0, Herramientas_de_medición2064[[#Headers],[Herramientas_de_medición]],
    COUNTIF(Herrramientas_mecánicas2165[Herramientas_mecánicas], B440) &gt; 0, Herrramientas_mecánicas2165[[#Headers],[Herramientas_mecánicas]],
    COUNTIF(AK440:AK446, B440) &gt; 0, Herramientas_hidráulicas2266[[#Headers],[Herramientas_hidráulicas]],
    COUNTIF(EPP_2367[SPCC], B440) &gt; 0, EPP_2367[[#Headers],[SPCC]],
   COUNTIF(Herramientas_de_izaje2468[Herramientas_de_izaje], B440) &gt; 0, Herramientas_de_izaje2468[[#Headers],[Herramientas_de_izaje]],
COUNTIF(Tabla162670[Equipos], B440) &gt; 0, Tabla162670[[#Headers],[Equipos]],
    TRUE, "Sin clasificación"
)</f>
        <v>Sin clasificación</v>
      </c>
      <c r="G440" s="15"/>
      <c r="H440" s="47"/>
      <c r="I440" s="87"/>
      <c r="J440" s="78"/>
      <c r="K440" s="78"/>
      <c r="L440" s="78"/>
      <c r="M440" s="78"/>
      <c r="N440" s="76"/>
      <c r="O440" s="76"/>
      <c r="P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Q440" s="77"/>
      <c r="R440" s="32"/>
      <c r="S440" s="32"/>
      <c r="T440" s="32"/>
      <c r="U440" s="32"/>
    </row>
    <row r="441" spans="3:21" x14ac:dyDescent="0.3">
      <c r="C441" s="11"/>
      <c r="D441" s="32"/>
      <c r="E441" s="11" t="str" cm="1">
        <f t="array" ref="E441">_xlfn.IFS(
    COUNTIF(Herramientas_eléctricas1862[Herramientas_eléctricas], B441) &gt; 0, Herramientas_eléctricas1862[[#Headers],[Herramientas_eléctricas]],
    COUNTIF(Herramientas_neumáticas1963[Herramientas_neumáticas], B441) &gt; 0, Herramientas_neumáticas1963[[#Headers],[Herramientas_neumáticas]],
    COUNTIF(Herramientas_de_medición2064[Herramientas_de_medición], B441) &gt; 0, Herramientas_de_medición2064[[#Headers],[Herramientas_de_medición]],
    COUNTIF(Herrramientas_mecánicas2165[Herramientas_mecánicas], B441) &gt; 0, Herrramientas_mecánicas2165[[#Headers],[Herramientas_mecánicas]],
    COUNTIF(AK441:AK447, B441) &gt; 0, Herramientas_hidráulicas2266[[#Headers],[Herramientas_hidráulicas]],
    COUNTIF(EPP_2367[SPCC], B441) &gt; 0, EPP_2367[[#Headers],[SPCC]],
   COUNTIF(Herramientas_de_izaje2468[Herramientas_de_izaje], B441) &gt; 0, Herramientas_de_izaje2468[[#Headers],[Herramientas_de_izaje]],
COUNTIF(Tabla162670[Equipos], B441) &gt; 0, Tabla162670[[#Headers],[Equipos]],
    TRUE, "Sin clasificación"
)</f>
        <v>Sin clasificación</v>
      </c>
      <c r="G441" s="15"/>
      <c r="H441" s="47"/>
      <c r="I441" s="87"/>
      <c r="J441" s="78"/>
      <c r="K441" s="78"/>
      <c r="L441" s="78"/>
      <c r="M441" s="78"/>
      <c r="N441" s="76"/>
      <c r="O441" s="76"/>
      <c r="P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Q441" s="77"/>
      <c r="R441" s="32"/>
      <c r="S441" s="32"/>
      <c r="T441" s="32"/>
      <c r="U441" s="32"/>
    </row>
    <row r="442" spans="3:21" x14ac:dyDescent="0.3">
      <c r="C442" s="11"/>
      <c r="D442" s="32"/>
      <c r="E442" s="11" t="str" cm="1">
        <f t="array" ref="E442">_xlfn.IFS(
    COUNTIF(Herramientas_eléctricas1862[Herramientas_eléctricas], B442) &gt; 0, Herramientas_eléctricas1862[[#Headers],[Herramientas_eléctricas]],
    COUNTIF(Herramientas_neumáticas1963[Herramientas_neumáticas], B442) &gt; 0, Herramientas_neumáticas1963[[#Headers],[Herramientas_neumáticas]],
    COUNTIF(Herramientas_de_medición2064[Herramientas_de_medición], B442) &gt; 0, Herramientas_de_medición2064[[#Headers],[Herramientas_de_medición]],
    COUNTIF(Herrramientas_mecánicas2165[Herramientas_mecánicas], B442) &gt; 0, Herrramientas_mecánicas2165[[#Headers],[Herramientas_mecánicas]],
    COUNTIF(AK442:AK448, B442) &gt; 0, Herramientas_hidráulicas2266[[#Headers],[Herramientas_hidráulicas]],
    COUNTIF(EPP_2367[SPCC], B442) &gt; 0, EPP_2367[[#Headers],[SPCC]],
   COUNTIF(Herramientas_de_izaje2468[Herramientas_de_izaje], B442) &gt; 0, Herramientas_de_izaje2468[[#Headers],[Herramientas_de_izaje]],
COUNTIF(Tabla162670[Equipos], B442) &gt; 0, Tabla162670[[#Headers],[Equipos]],
    TRUE, "Sin clasificación"
)</f>
        <v>Sin clasificación</v>
      </c>
      <c r="G442" s="15"/>
      <c r="H442" s="47"/>
      <c r="I442" s="87"/>
      <c r="J442" s="78"/>
      <c r="K442" s="78"/>
      <c r="L442" s="78"/>
      <c r="M442" s="78"/>
      <c r="N442" s="76"/>
      <c r="O442" s="76"/>
      <c r="P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Q442" s="77"/>
      <c r="R442" s="32"/>
      <c r="S442" s="32"/>
      <c r="T442" s="32"/>
      <c r="U442" s="32"/>
    </row>
    <row r="443" spans="3:21" x14ac:dyDescent="0.3">
      <c r="C443" s="11"/>
      <c r="D443" s="32"/>
      <c r="E443" s="11" t="str" cm="1">
        <f t="array" ref="E443">_xlfn.IFS(
    COUNTIF(Herramientas_eléctricas1862[Herramientas_eléctricas], B443) &gt; 0, Herramientas_eléctricas1862[[#Headers],[Herramientas_eléctricas]],
    COUNTIF(Herramientas_neumáticas1963[Herramientas_neumáticas], B443) &gt; 0, Herramientas_neumáticas1963[[#Headers],[Herramientas_neumáticas]],
    COUNTIF(Herramientas_de_medición2064[Herramientas_de_medición], B443) &gt; 0, Herramientas_de_medición2064[[#Headers],[Herramientas_de_medición]],
    COUNTIF(Herrramientas_mecánicas2165[Herramientas_mecánicas], B443) &gt; 0, Herrramientas_mecánicas2165[[#Headers],[Herramientas_mecánicas]],
    COUNTIF(AK443:AK449, B443) &gt; 0, Herramientas_hidráulicas2266[[#Headers],[Herramientas_hidráulicas]],
    COUNTIF(EPP_2367[SPCC], B443) &gt; 0, EPP_2367[[#Headers],[SPCC]],
   COUNTIF(Herramientas_de_izaje2468[Herramientas_de_izaje], B443) &gt; 0, Herramientas_de_izaje2468[[#Headers],[Herramientas_de_izaje]],
COUNTIF(Tabla162670[Equipos], B443) &gt; 0, Tabla162670[[#Headers],[Equipos]],
    TRUE, "Sin clasificación"
)</f>
        <v>Sin clasificación</v>
      </c>
      <c r="G443" s="15"/>
      <c r="H443" s="47"/>
      <c r="I443" s="87"/>
      <c r="J443" s="78"/>
      <c r="K443" s="78"/>
      <c r="L443" s="78"/>
      <c r="M443" s="78"/>
      <c r="N443" s="76"/>
      <c r="O443" s="76"/>
      <c r="P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Q443" s="77"/>
      <c r="R443" s="32"/>
      <c r="S443" s="32"/>
      <c r="T443" s="32"/>
      <c r="U443" s="32"/>
    </row>
    <row r="444" spans="3:21" x14ac:dyDescent="0.3">
      <c r="C444" s="11"/>
      <c r="D444" s="32"/>
      <c r="E444" s="11" t="str" cm="1">
        <f t="array" ref="E444">_xlfn.IFS(
    COUNTIF(Herramientas_eléctricas1862[Herramientas_eléctricas], B444) &gt; 0, Herramientas_eléctricas1862[[#Headers],[Herramientas_eléctricas]],
    COUNTIF(Herramientas_neumáticas1963[Herramientas_neumáticas], B444) &gt; 0, Herramientas_neumáticas1963[[#Headers],[Herramientas_neumáticas]],
    COUNTIF(Herramientas_de_medición2064[Herramientas_de_medición], B444) &gt; 0, Herramientas_de_medición2064[[#Headers],[Herramientas_de_medición]],
    COUNTIF(Herrramientas_mecánicas2165[Herramientas_mecánicas], B444) &gt; 0, Herrramientas_mecánicas2165[[#Headers],[Herramientas_mecánicas]],
    COUNTIF(AK444:AK450, B444) &gt; 0, Herramientas_hidráulicas2266[[#Headers],[Herramientas_hidráulicas]],
    COUNTIF(EPP_2367[SPCC], B444) &gt; 0, EPP_2367[[#Headers],[SPCC]],
   COUNTIF(Herramientas_de_izaje2468[Herramientas_de_izaje], B444) &gt; 0, Herramientas_de_izaje2468[[#Headers],[Herramientas_de_izaje]],
COUNTIF(Tabla162670[Equipos], B444) &gt; 0, Tabla162670[[#Headers],[Equipos]],
    TRUE, "Sin clasificación"
)</f>
        <v>Sin clasificación</v>
      </c>
      <c r="G444" s="15"/>
      <c r="H444" s="47"/>
      <c r="I444" s="87"/>
      <c r="J444" s="78"/>
      <c r="K444" s="78"/>
      <c r="L444" s="78"/>
      <c r="M444" s="78"/>
      <c r="N444" s="76"/>
      <c r="O444" s="76"/>
      <c r="P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Q444" s="77"/>
      <c r="R444" s="32"/>
      <c r="S444" s="32"/>
      <c r="T444" s="32"/>
      <c r="U444" s="32"/>
    </row>
    <row r="445" spans="3:21" x14ac:dyDescent="0.3">
      <c r="C445" s="11"/>
      <c r="D445" s="32"/>
      <c r="E445" s="11" t="str" cm="1">
        <f t="array" ref="E445">_xlfn.IFS(
    COUNTIF(Herramientas_eléctricas1862[Herramientas_eléctricas], B445) &gt; 0, Herramientas_eléctricas1862[[#Headers],[Herramientas_eléctricas]],
    COUNTIF(Herramientas_neumáticas1963[Herramientas_neumáticas], B445) &gt; 0, Herramientas_neumáticas1963[[#Headers],[Herramientas_neumáticas]],
    COUNTIF(Herramientas_de_medición2064[Herramientas_de_medición], B445) &gt; 0, Herramientas_de_medición2064[[#Headers],[Herramientas_de_medición]],
    COUNTIF(Herrramientas_mecánicas2165[Herramientas_mecánicas], B445) &gt; 0, Herrramientas_mecánicas2165[[#Headers],[Herramientas_mecánicas]],
    COUNTIF(AK445:AK451, B445) &gt; 0, Herramientas_hidráulicas2266[[#Headers],[Herramientas_hidráulicas]],
    COUNTIF(EPP_2367[SPCC], B445) &gt; 0, EPP_2367[[#Headers],[SPCC]],
   COUNTIF(Herramientas_de_izaje2468[Herramientas_de_izaje], B445) &gt; 0, Herramientas_de_izaje2468[[#Headers],[Herramientas_de_izaje]],
COUNTIF(Tabla162670[Equipos], B445) &gt; 0, Tabla162670[[#Headers],[Equipos]],
    TRUE, "Sin clasificación"
)</f>
        <v>Sin clasificación</v>
      </c>
      <c r="G445" s="15"/>
      <c r="H445" s="47"/>
      <c r="I445" s="87"/>
      <c r="J445" s="78"/>
      <c r="K445" s="78"/>
      <c r="L445" s="78"/>
      <c r="M445" s="78"/>
      <c r="N445" s="76"/>
      <c r="O445" s="76"/>
      <c r="P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Q445" s="77"/>
      <c r="R445" s="32"/>
      <c r="S445" s="32"/>
      <c r="T445" s="32"/>
      <c r="U445" s="32"/>
    </row>
    <row r="446" spans="3:21" x14ac:dyDescent="0.3">
      <c r="C446" s="11"/>
      <c r="D446" s="32"/>
      <c r="E446" s="11" t="str" cm="1">
        <f t="array" ref="E446">_xlfn.IFS(
    COUNTIF(Herramientas_eléctricas1862[Herramientas_eléctricas], B446) &gt; 0, Herramientas_eléctricas1862[[#Headers],[Herramientas_eléctricas]],
    COUNTIF(Herramientas_neumáticas1963[Herramientas_neumáticas], B446) &gt; 0, Herramientas_neumáticas1963[[#Headers],[Herramientas_neumáticas]],
    COUNTIF(Herramientas_de_medición2064[Herramientas_de_medición], B446) &gt; 0, Herramientas_de_medición2064[[#Headers],[Herramientas_de_medición]],
    COUNTIF(Herrramientas_mecánicas2165[Herramientas_mecánicas], B446) &gt; 0, Herrramientas_mecánicas2165[[#Headers],[Herramientas_mecánicas]],
    COUNTIF(AK446:AK452, B446) &gt; 0, Herramientas_hidráulicas2266[[#Headers],[Herramientas_hidráulicas]],
    COUNTIF(EPP_2367[SPCC], B446) &gt; 0, EPP_2367[[#Headers],[SPCC]],
   COUNTIF(Herramientas_de_izaje2468[Herramientas_de_izaje], B446) &gt; 0, Herramientas_de_izaje2468[[#Headers],[Herramientas_de_izaje]],
COUNTIF(Tabla162670[Equipos], B446) &gt; 0, Tabla162670[[#Headers],[Equipos]],
    TRUE, "Sin clasificación"
)</f>
        <v>Sin clasificación</v>
      </c>
      <c r="G446" s="15"/>
      <c r="H446" s="47"/>
      <c r="I446" s="87"/>
      <c r="J446" s="78"/>
      <c r="K446" s="78"/>
      <c r="L446" s="78"/>
      <c r="M446" s="78"/>
      <c r="N446" s="76"/>
      <c r="O446" s="76"/>
      <c r="P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Q446" s="77"/>
      <c r="R446" s="32"/>
      <c r="S446" s="32"/>
      <c r="T446" s="32"/>
      <c r="U446" s="32"/>
    </row>
    <row r="447" spans="3:21" x14ac:dyDescent="0.3">
      <c r="C447" s="11"/>
      <c r="D447" s="32"/>
      <c r="E447" s="11" t="str" cm="1">
        <f t="array" ref="E447">_xlfn.IFS(
    COUNTIF(Herramientas_eléctricas1862[Herramientas_eléctricas], B447) &gt; 0, Herramientas_eléctricas1862[[#Headers],[Herramientas_eléctricas]],
    COUNTIF(Herramientas_neumáticas1963[Herramientas_neumáticas], B447) &gt; 0, Herramientas_neumáticas1963[[#Headers],[Herramientas_neumáticas]],
    COUNTIF(Herramientas_de_medición2064[Herramientas_de_medición], B447) &gt; 0, Herramientas_de_medición2064[[#Headers],[Herramientas_de_medición]],
    COUNTIF(Herrramientas_mecánicas2165[Herramientas_mecánicas], B447) &gt; 0, Herrramientas_mecánicas2165[[#Headers],[Herramientas_mecánicas]],
    COUNTIF(AK447:AK453, B447) &gt; 0, Herramientas_hidráulicas2266[[#Headers],[Herramientas_hidráulicas]],
    COUNTIF(EPP_2367[SPCC], B447) &gt; 0, EPP_2367[[#Headers],[SPCC]],
   COUNTIF(Herramientas_de_izaje2468[Herramientas_de_izaje], B447) &gt; 0, Herramientas_de_izaje2468[[#Headers],[Herramientas_de_izaje]],
COUNTIF(Tabla162670[Equipos], B447) &gt; 0, Tabla162670[[#Headers],[Equipos]],
    TRUE, "Sin clasificación"
)</f>
        <v>Sin clasificación</v>
      </c>
      <c r="G447" s="15"/>
      <c r="H447" s="47"/>
      <c r="I447" s="87"/>
      <c r="J447" s="78"/>
      <c r="K447" s="78"/>
      <c r="L447" s="78"/>
      <c r="M447" s="78"/>
      <c r="N447" s="76"/>
      <c r="O447" s="76"/>
      <c r="P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Q447" s="77"/>
      <c r="R447" s="32"/>
      <c r="S447" s="32"/>
      <c r="T447" s="32"/>
      <c r="U447" s="32"/>
    </row>
    <row r="448" spans="3:21" x14ac:dyDescent="0.3">
      <c r="C448" s="11"/>
      <c r="D448" s="32"/>
      <c r="E448" s="11" t="str" cm="1">
        <f t="array" ref="E448">_xlfn.IFS(
    COUNTIF(Herramientas_eléctricas1862[Herramientas_eléctricas], B448) &gt; 0, Herramientas_eléctricas1862[[#Headers],[Herramientas_eléctricas]],
    COUNTIF(Herramientas_neumáticas1963[Herramientas_neumáticas], B448) &gt; 0, Herramientas_neumáticas1963[[#Headers],[Herramientas_neumáticas]],
    COUNTIF(Herramientas_de_medición2064[Herramientas_de_medición], B448) &gt; 0, Herramientas_de_medición2064[[#Headers],[Herramientas_de_medición]],
    COUNTIF(Herrramientas_mecánicas2165[Herramientas_mecánicas], B448) &gt; 0, Herrramientas_mecánicas2165[[#Headers],[Herramientas_mecánicas]],
    COUNTIF(AK448:AK454, B448) &gt; 0, Herramientas_hidráulicas2266[[#Headers],[Herramientas_hidráulicas]],
    COUNTIF(EPP_2367[SPCC], B448) &gt; 0, EPP_2367[[#Headers],[SPCC]],
   COUNTIF(Herramientas_de_izaje2468[Herramientas_de_izaje], B448) &gt; 0, Herramientas_de_izaje2468[[#Headers],[Herramientas_de_izaje]],
COUNTIF(Tabla162670[Equipos], B448) &gt; 0, Tabla162670[[#Headers],[Equipos]],
    TRUE, "Sin clasificación"
)</f>
        <v>Sin clasificación</v>
      </c>
      <c r="G448" s="15"/>
      <c r="H448" s="47"/>
      <c r="I448" s="87"/>
      <c r="J448" s="78"/>
      <c r="K448" s="78"/>
      <c r="L448" s="78"/>
      <c r="M448" s="78"/>
      <c r="N448" s="76"/>
      <c r="O448" s="76"/>
      <c r="P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Q448" s="77"/>
      <c r="R448" s="32"/>
      <c r="S448" s="32"/>
      <c r="T448" s="32"/>
      <c r="U448" s="32"/>
    </row>
    <row r="449" spans="3:21" x14ac:dyDescent="0.3">
      <c r="C449" s="11"/>
      <c r="D449" s="32"/>
      <c r="E449" s="11" t="str" cm="1">
        <f t="array" ref="E449">_xlfn.IFS(
    COUNTIF(Herramientas_eléctricas1862[Herramientas_eléctricas], B449) &gt; 0, Herramientas_eléctricas1862[[#Headers],[Herramientas_eléctricas]],
    COUNTIF(Herramientas_neumáticas1963[Herramientas_neumáticas], B449) &gt; 0, Herramientas_neumáticas1963[[#Headers],[Herramientas_neumáticas]],
    COUNTIF(Herramientas_de_medición2064[Herramientas_de_medición], B449) &gt; 0, Herramientas_de_medición2064[[#Headers],[Herramientas_de_medición]],
    COUNTIF(Herrramientas_mecánicas2165[Herramientas_mecánicas], B449) &gt; 0, Herrramientas_mecánicas2165[[#Headers],[Herramientas_mecánicas]],
    COUNTIF(AK449:AK455, B449) &gt; 0, Herramientas_hidráulicas2266[[#Headers],[Herramientas_hidráulicas]],
    COUNTIF(EPP_2367[SPCC], B449) &gt; 0, EPP_2367[[#Headers],[SPCC]],
   COUNTIF(Herramientas_de_izaje2468[Herramientas_de_izaje], B449) &gt; 0, Herramientas_de_izaje2468[[#Headers],[Herramientas_de_izaje]],
COUNTIF(Tabla162670[Equipos], B449) &gt; 0, Tabla162670[[#Headers],[Equipos]],
    TRUE, "Sin clasificación"
)</f>
        <v>Sin clasificación</v>
      </c>
      <c r="G449" s="15"/>
      <c r="H449" s="47"/>
      <c r="I449" s="87"/>
      <c r="J449" s="78"/>
      <c r="K449" s="78"/>
      <c r="L449" s="78"/>
      <c r="M449" s="78"/>
      <c r="N449" s="76"/>
      <c r="O449" s="76"/>
      <c r="P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Q449" s="77"/>
      <c r="R449" s="32"/>
      <c r="S449" s="32"/>
      <c r="T449" s="32"/>
      <c r="U449" s="32"/>
    </row>
    <row r="450" spans="3:21" x14ac:dyDescent="0.3">
      <c r="C450" s="11"/>
      <c r="D450" s="32"/>
      <c r="E450" s="11" t="str" cm="1">
        <f t="array" ref="E450">_xlfn.IFS(
    COUNTIF(Herramientas_eléctricas1862[Herramientas_eléctricas], B450) &gt; 0, Herramientas_eléctricas1862[[#Headers],[Herramientas_eléctricas]],
    COUNTIF(Herramientas_neumáticas1963[Herramientas_neumáticas], B450) &gt; 0, Herramientas_neumáticas1963[[#Headers],[Herramientas_neumáticas]],
    COUNTIF(Herramientas_de_medición2064[Herramientas_de_medición], B450) &gt; 0, Herramientas_de_medición2064[[#Headers],[Herramientas_de_medición]],
    COUNTIF(Herrramientas_mecánicas2165[Herramientas_mecánicas], B450) &gt; 0, Herrramientas_mecánicas2165[[#Headers],[Herramientas_mecánicas]],
    COUNTIF(AK450:AK456, B450) &gt; 0, Herramientas_hidráulicas2266[[#Headers],[Herramientas_hidráulicas]],
    COUNTIF(EPP_2367[SPCC], B450) &gt; 0, EPP_2367[[#Headers],[SPCC]],
   COUNTIF(Herramientas_de_izaje2468[Herramientas_de_izaje], B450) &gt; 0, Herramientas_de_izaje2468[[#Headers],[Herramientas_de_izaje]],
COUNTIF(Tabla162670[Equipos], B450) &gt; 0, Tabla162670[[#Headers],[Equipos]],
    TRUE, "Sin clasificación"
)</f>
        <v>Sin clasificación</v>
      </c>
      <c r="G450" s="15"/>
      <c r="H450" s="47"/>
      <c r="I450" s="87"/>
      <c r="J450" s="78"/>
      <c r="K450" s="78"/>
      <c r="L450" s="78"/>
      <c r="M450" s="78"/>
      <c r="N450" s="76"/>
      <c r="O450" s="76"/>
      <c r="P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Q450" s="77"/>
      <c r="R450" s="32"/>
      <c r="S450" s="32"/>
      <c r="T450" s="32"/>
      <c r="U450" s="32"/>
    </row>
    <row r="451" spans="3:21" x14ac:dyDescent="0.3">
      <c r="C451" s="11"/>
      <c r="D451" s="32"/>
      <c r="E451" s="11" t="str" cm="1">
        <f t="array" ref="E451">_xlfn.IFS(
    COUNTIF(Herramientas_eléctricas1862[Herramientas_eléctricas], B451) &gt; 0, Herramientas_eléctricas1862[[#Headers],[Herramientas_eléctricas]],
    COUNTIF(Herramientas_neumáticas1963[Herramientas_neumáticas], B451) &gt; 0, Herramientas_neumáticas1963[[#Headers],[Herramientas_neumáticas]],
    COUNTIF(Herramientas_de_medición2064[Herramientas_de_medición], B451) &gt; 0, Herramientas_de_medición2064[[#Headers],[Herramientas_de_medición]],
    COUNTIF(Herrramientas_mecánicas2165[Herramientas_mecánicas], B451) &gt; 0, Herrramientas_mecánicas2165[[#Headers],[Herramientas_mecánicas]],
    COUNTIF(AK451:AK457, B451) &gt; 0, Herramientas_hidráulicas2266[[#Headers],[Herramientas_hidráulicas]],
    COUNTIF(EPP_2367[SPCC], B451) &gt; 0, EPP_2367[[#Headers],[SPCC]],
   COUNTIF(Herramientas_de_izaje2468[Herramientas_de_izaje], B451) &gt; 0, Herramientas_de_izaje2468[[#Headers],[Herramientas_de_izaje]],
COUNTIF(Tabla162670[Equipos], B451) &gt; 0, Tabla162670[[#Headers],[Equipos]],
    TRUE, "Sin clasificación"
)</f>
        <v>Sin clasificación</v>
      </c>
      <c r="G451" s="15"/>
      <c r="H451" s="47"/>
      <c r="I451" s="87"/>
      <c r="J451" s="78"/>
      <c r="K451" s="78"/>
      <c r="L451" s="78"/>
      <c r="M451" s="78"/>
      <c r="N451" s="76"/>
      <c r="O451" s="76"/>
      <c r="P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Q451" s="77"/>
      <c r="R451" s="32"/>
      <c r="S451" s="32"/>
      <c r="T451" s="32"/>
      <c r="U451" s="32"/>
    </row>
    <row r="452" spans="3:21" x14ac:dyDescent="0.3">
      <c r="C452" s="11"/>
      <c r="D452" s="32"/>
      <c r="E452" s="11" t="str" cm="1">
        <f t="array" ref="E452">_xlfn.IFS(
    COUNTIF(Herramientas_eléctricas1862[Herramientas_eléctricas], B452) &gt; 0, Herramientas_eléctricas1862[[#Headers],[Herramientas_eléctricas]],
    COUNTIF(Herramientas_neumáticas1963[Herramientas_neumáticas], B452) &gt; 0, Herramientas_neumáticas1963[[#Headers],[Herramientas_neumáticas]],
    COUNTIF(Herramientas_de_medición2064[Herramientas_de_medición], B452) &gt; 0, Herramientas_de_medición2064[[#Headers],[Herramientas_de_medición]],
    COUNTIF(Herrramientas_mecánicas2165[Herramientas_mecánicas], B452) &gt; 0, Herrramientas_mecánicas2165[[#Headers],[Herramientas_mecánicas]],
    COUNTIF(AK452:AK458, B452) &gt; 0, Herramientas_hidráulicas2266[[#Headers],[Herramientas_hidráulicas]],
    COUNTIF(EPP_2367[SPCC], B452) &gt; 0, EPP_2367[[#Headers],[SPCC]],
   COUNTIF(Herramientas_de_izaje2468[Herramientas_de_izaje], B452) &gt; 0, Herramientas_de_izaje2468[[#Headers],[Herramientas_de_izaje]],
COUNTIF(Tabla162670[Equipos], B452) &gt; 0, Tabla162670[[#Headers],[Equipos]],
    TRUE, "Sin clasificación"
)</f>
        <v>Sin clasificación</v>
      </c>
      <c r="G452" s="15"/>
      <c r="H452" s="47"/>
      <c r="I452" s="87"/>
      <c r="J452" s="78"/>
      <c r="K452" s="78"/>
      <c r="L452" s="78"/>
      <c r="M452" s="78"/>
      <c r="N452" s="76"/>
      <c r="O452" s="76"/>
      <c r="P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Q452" s="77"/>
      <c r="R452" s="32"/>
      <c r="S452" s="32"/>
      <c r="T452" s="32"/>
      <c r="U452" s="32"/>
    </row>
    <row r="453" spans="3:21" x14ac:dyDescent="0.3">
      <c r="C453" s="11"/>
      <c r="D453" s="32"/>
      <c r="E453" s="11" t="str" cm="1">
        <f t="array" ref="E453">_xlfn.IFS(
    COUNTIF(Herramientas_eléctricas1862[Herramientas_eléctricas], B453) &gt; 0, Herramientas_eléctricas1862[[#Headers],[Herramientas_eléctricas]],
    COUNTIF(Herramientas_neumáticas1963[Herramientas_neumáticas], B453) &gt; 0, Herramientas_neumáticas1963[[#Headers],[Herramientas_neumáticas]],
    COUNTIF(Herramientas_de_medición2064[Herramientas_de_medición], B453) &gt; 0, Herramientas_de_medición2064[[#Headers],[Herramientas_de_medición]],
    COUNTIF(Herrramientas_mecánicas2165[Herramientas_mecánicas], B453) &gt; 0, Herrramientas_mecánicas2165[[#Headers],[Herramientas_mecánicas]],
    COUNTIF(AK453:AK459, B453) &gt; 0, Herramientas_hidráulicas2266[[#Headers],[Herramientas_hidráulicas]],
    COUNTIF(EPP_2367[SPCC], B453) &gt; 0, EPP_2367[[#Headers],[SPCC]],
   COUNTIF(Herramientas_de_izaje2468[Herramientas_de_izaje], B453) &gt; 0, Herramientas_de_izaje2468[[#Headers],[Herramientas_de_izaje]],
COUNTIF(Tabla162670[Equipos], B453) &gt; 0, Tabla162670[[#Headers],[Equipos]],
    TRUE, "Sin clasificación"
)</f>
        <v>Sin clasificación</v>
      </c>
      <c r="G453" s="15"/>
      <c r="H453" s="47"/>
      <c r="I453" s="87"/>
      <c r="J453" s="78"/>
      <c r="K453" s="78"/>
      <c r="L453" s="78"/>
      <c r="M453" s="78"/>
      <c r="N453" s="76"/>
      <c r="O453" s="76"/>
      <c r="P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Q453" s="77"/>
      <c r="R453" s="32"/>
      <c r="S453" s="32"/>
      <c r="T453" s="32"/>
      <c r="U453" s="32"/>
    </row>
    <row r="454" spans="3:21" x14ac:dyDescent="0.3">
      <c r="C454" s="11"/>
      <c r="D454" s="32"/>
      <c r="E454" s="11" t="str" cm="1">
        <f t="array" ref="E454">_xlfn.IFS(
    COUNTIF(Herramientas_eléctricas1862[Herramientas_eléctricas], B454) &gt; 0, Herramientas_eléctricas1862[[#Headers],[Herramientas_eléctricas]],
    COUNTIF(Herramientas_neumáticas1963[Herramientas_neumáticas], B454) &gt; 0, Herramientas_neumáticas1963[[#Headers],[Herramientas_neumáticas]],
    COUNTIF(Herramientas_de_medición2064[Herramientas_de_medición], B454) &gt; 0, Herramientas_de_medición2064[[#Headers],[Herramientas_de_medición]],
    COUNTIF(Herrramientas_mecánicas2165[Herramientas_mecánicas], B454) &gt; 0, Herrramientas_mecánicas2165[[#Headers],[Herramientas_mecánicas]],
    COUNTIF(AK454:AK460, B454) &gt; 0, Herramientas_hidráulicas2266[[#Headers],[Herramientas_hidráulicas]],
    COUNTIF(EPP_2367[SPCC], B454) &gt; 0, EPP_2367[[#Headers],[SPCC]],
   COUNTIF(Herramientas_de_izaje2468[Herramientas_de_izaje], B454) &gt; 0, Herramientas_de_izaje2468[[#Headers],[Herramientas_de_izaje]],
COUNTIF(Tabla162670[Equipos], B454) &gt; 0, Tabla162670[[#Headers],[Equipos]],
    TRUE, "Sin clasificación"
)</f>
        <v>Sin clasificación</v>
      </c>
      <c r="G454" s="15"/>
      <c r="H454" s="47"/>
      <c r="I454" s="87"/>
      <c r="J454" s="78"/>
      <c r="K454" s="78"/>
      <c r="L454" s="78"/>
      <c r="M454" s="78"/>
      <c r="N454" s="76"/>
      <c r="O454" s="76"/>
      <c r="P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Q454" s="77"/>
      <c r="R454" s="32"/>
      <c r="S454" s="32"/>
      <c r="T454" s="32"/>
      <c r="U454" s="32"/>
    </row>
    <row r="455" spans="3:21" x14ac:dyDescent="0.3">
      <c r="C455" s="11"/>
      <c r="D455" s="32"/>
      <c r="E455" s="11" t="str" cm="1">
        <f t="array" ref="E455">_xlfn.IFS(
    COUNTIF(Herramientas_eléctricas1862[Herramientas_eléctricas], B455) &gt; 0, Herramientas_eléctricas1862[[#Headers],[Herramientas_eléctricas]],
    COUNTIF(Herramientas_neumáticas1963[Herramientas_neumáticas], B455) &gt; 0, Herramientas_neumáticas1963[[#Headers],[Herramientas_neumáticas]],
    COUNTIF(Herramientas_de_medición2064[Herramientas_de_medición], B455) &gt; 0, Herramientas_de_medición2064[[#Headers],[Herramientas_de_medición]],
    COUNTIF(Herrramientas_mecánicas2165[Herramientas_mecánicas], B455) &gt; 0, Herrramientas_mecánicas2165[[#Headers],[Herramientas_mecánicas]],
    COUNTIF(AK455:AK461, B455) &gt; 0, Herramientas_hidráulicas2266[[#Headers],[Herramientas_hidráulicas]],
    COUNTIF(EPP_2367[SPCC], B455) &gt; 0, EPP_2367[[#Headers],[SPCC]],
   COUNTIF(Herramientas_de_izaje2468[Herramientas_de_izaje], B455) &gt; 0, Herramientas_de_izaje2468[[#Headers],[Herramientas_de_izaje]],
COUNTIF(Tabla162670[Equipos], B455) &gt; 0, Tabla162670[[#Headers],[Equipos]],
    TRUE, "Sin clasificación"
)</f>
        <v>Sin clasificación</v>
      </c>
      <c r="G455" s="15"/>
      <c r="H455" s="47"/>
      <c r="I455" s="87"/>
      <c r="J455" s="78"/>
      <c r="K455" s="78"/>
      <c r="L455" s="78"/>
      <c r="M455" s="78"/>
      <c r="N455" s="76"/>
      <c r="O455" s="76"/>
      <c r="P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Q455" s="77"/>
      <c r="R455" s="32"/>
      <c r="S455" s="32"/>
      <c r="T455" s="32"/>
      <c r="U455" s="32"/>
    </row>
    <row r="456" spans="3:21" x14ac:dyDescent="0.3">
      <c r="C456" s="11"/>
      <c r="D456" s="32"/>
      <c r="E456" s="11" t="str" cm="1">
        <f t="array" ref="E456">_xlfn.IFS(
    COUNTIF(Herramientas_eléctricas1862[Herramientas_eléctricas], B456) &gt; 0, Herramientas_eléctricas1862[[#Headers],[Herramientas_eléctricas]],
    COUNTIF(Herramientas_neumáticas1963[Herramientas_neumáticas], B456) &gt; 0, Herramientas_neumáticas1963[[#Headers],[Herramientas_neumáticas]],
    COUNTIF(Herramientas_de_medición2064[Herramientas_de_medición], B456) &gt; 0, Herramientas_de_medición2064[[#Headers],[Herramientas_de_medición]],
    COUNTIF(Herrramientas_mecánicas2165[Herramientas_mecánicas], B456) &gt; 0, Herrramientas_mecánicas2165[[#Headers],[Herramientas_mecánicas]],
    COUNTIF(AK456:AK462, B456) &gt; 0, Herramientas_hidráulicas2266[[#Headers],[Herramientas_hidráulicas]],
    COUNTIF(EPP_2367[SPCC], B456) &gt; 0, EPP_2367[[#Headers],[SPCC]],
   COUNTIF(Herramientas_de_izaje2468[Herramientas_de_izaje], B456) &gt; 0, Herramientas_de_izaje2468[[#Headers],[Herramientas_de_izaje]],
COUNTIF(Tabla162670[Equipos], B456) &gt; 0, Tabla162670[[#Headers],[Equipos]],
    TRUE, "Sin clasificación"
)</f>
        <v>Sin clasificación</v>
      </c>
      <c r="G456" s="15"/>
      <c r="H456" s="47"/>
      <c r="I456" s="87"/>
      <c r="J456" s="78"/>
      <c r="K456" s="78"/>
      <c r="L456" s="78"/>
      <c r="M456" s="78"/>
      <c r="N456" s="76"/>
      <c r="O456" s="76"/>
      <c r="P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Q456" s="77"/>
      <c r="R456" s="32"/>
      <c r="S456" s="32"/>
      <c r="T456" s="32"/>
      <c r="U456" s="32"/>
    </row>
    <row r="457" spans="3:21" x14ac:dyDescent="0.3">
      <c r="C457" s="11"/>
      <c r="D457" s="32"/>
      <c r="E457" s="11" t="str" cm="1">
        <f t="array" ref="E457">_xlfn.IFS(
    COUNTIF(Herramientas_eléctricas1862[Herramientas_eléctricas], B457) &gt; 0, Herramientas_eléctricas1862[[#Headers],[Herramientas_eléctricas]],
    COUNTIF(Herramientas_neumáticas1963[Herramientas_neumáticas], B457) &gt; 0, Herramientas_neumáticas1963[[#Headers],[Herramientas_neumáticas]],
    COUNTIF(Herramientas_de_medición2064[Herramientas_de_medición], B457) &gt; 0, Herramientas_de_medición2064[[#Headers],[Herramientas_de_medición]],
    COUNTIF(Herrramientas_mecánicas2165[Herramientas_mecánicas], B457) &gt; 0, Herrramientas_mecánicas2165[[#Headers],[Herramientas_mecánicas]],
    COUNTIF(AK457:AK463, B457) &gt; 0, Herramientas_hidráulicas2266[[#Headers],[Herramientas_hidráulicas]],
    COUNTIF(EPP_2367[SPCC], B457) &gt; 0, EPP_2367[[#Headers],[SPCC]],
   COUNTIF(Herramientas_de_izaje2468[Herramientas_de_izaje], B457) &gt; 0, Herramientas_de_izaje2468[[#Headers],[Herramientas_de_izaje]],
COUNTIF(Tabla162670[Equipos], B457) &gt; 0, Tabla162670[[#Headers],[Equipos]],
    TRUE, "Sin clasificación"
)</f>
        <v>Sin clasificación</v>
      </c>
      <c r="G457" s="15"/>
      <c r="H457" s="47"/>
      <c r="I457" s="87"/>
      <c r="J457" s="78"/>
      <c r="K457" s="78"/>
      <c r="L457" s="78"/>
      <c r="M457" s="78"/>
      <c r="N457" s="76"/>
      <c r="O457" s="76"/>
      <c r="P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Q457" s="77"/>
      <c r="R457" s="32"/>
      <c r="S457" s="32"/>
      <c r="T457" s="32"/>
      <c r="U457" s="32"/>
    </row>
    <row r="458" spans="3:21" x14ac:dyDescent="0.3">
      <c r="C458" s="11"/>
      <c r="D458" s="32"/>
      <c r="E458" s="11" t="str" cm="1">
        <f t="array" ref="E458">_xlfn.IFS(
    COUNTIF(Herramientas_eléctricas1862[Herramientas_eléctricas], B458) &gt; 0, Herramientas_eléctricas1862[[#Headers],[Herramientas_eléctricas]],
    COUNTIF(Herramientas_neumáticas1963[Herramientas_neumáticas], B458) &gt; 0, Herramientas_neumáticas1963[[#Headers],[Herramientas_neumáticas]],
    COUNTIF(Herramientas_de_medición2064[Herramientas_de_medición], B458) &gt; 0, Herramientas_de_medición2064[[#Headers],[Herramientas_de_medición]],
    COUNTIF(Herrramientas_mecánicas2165[Herramientas_mecánicas], B458) &gt; 0, Herrramientas_mecánicas2165[[#Headers],[Herramientas_mecánicas]],
    COUNTIF(AK458:AK464, B458) &gt; 0, Herramientas_hidráulicas2266[[#Headers],[Herramientas_hidráulicas]],
    COUNTIF(EPP_2367[SPCC], B458) &gt; 0, EPP_2367[[#Headers],[SPCC]],
   COUNTIF(Herramientas_de_izaje2468[Herramientas_de_izaje], B458) &gt; 0, Herramientas_de_izaje2468[[#Headers],[Herramientas_de_izaje]],
COUNTIF(Tabla162670[Equipos], B458) &gt; 0, Tabla162670[[#Headers],[Equipos]],
    TRUE, "Sin clasificación"
)</f>
        <v>Sin clasificación</v>
      </c>
      <c r="G458" s="15"/>
      <c r="H458" s="47"/>
      <c r="I458" s="87"/>
      <c r="J458" s="78"/>
      <c r="K458" s="78"/>
      <c r="L458" s="78"/>
      <c r="M458" s="78"/>
      <c r="N458" s="76"/>
      <c r="O458" s="76"/>
      <c r="P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Q458" s="77"/>
      <c r="R458" s="32"/>
      <c r="S458" s="32"/>
      <c r="T458" s="32"/>
      <c r="U458" s="32"/>
    </row>
    <row r="459" spans="3:21" x14ac:dyDescent="0.3">
      <c r="C459" s="11"/>
      <c r="D459" s="32"/>
      <c r="E459" s="11" t="str" cm="1">
        <f t="array" ref="E459">_xlfn.IFS(
    COUNTIF(Herramientas_eléctricas1862[Herramientas_eléctricas], B459) &gt; 0, Herramientas_eléctricas1862[[#Headers],[Herramientas_eléctricas]],
    COUNTIF(Herramientas_neumáticas1963[Herramientas_neumáticas], B459) &gt; 0, Herramientas_neumáticas1963[[#Headers],[Herramientas_neumáticas]],
    COUNTIF(Herramientas_de_medición2064[Herramientas_de_medición], B459) &gt; 0, Herramientas_de_medición2064[[#Headers],[Herramientas_de_medición]],
    COUNTIF(Herrramientas_mecánicas2165[Herramientas_mecánicas], B459) &gt; 0, Herrramientas_mecánicas2165[[#Headers],[Herramientas_mecánicas]],
    COUNTIF(AK459:AK465, B459) &gt; 0, Herramientas_hidráulicas2266[[#Headers],[Herramientas_hidráulicas]],
    COUNTIF(EPP_2367[SPCC], B459) &gt; 0, EPP_2367[[#Headers],[SPCC]],
   COUNTIF(Herramientas_de_izaje2468[Herramientas_de_izaje], B459) &gt; 0, Herramientas_de_izaje2468[[#Headers],[Herramientas_de_izaje]],
COUNTIF(Tabla162670[Equipos], B459) &gt; 0, Tabla162670[[#Headers],[Equipos]],
    TRUE, "Sin clasificación"
)</f>
        <v>Sin clasificación</v>
      </c>
      <c r="G459" s="15"/>
      <c r="H459" s="47"/>
      <c r="I459" s="87"/>
      <c r="J459" s="78"/>
      <c r="K459" s="78"/>
      <c r="L459" s="78"/>
      <c r="M459" s="78"/>
      <c r="N459" s="76"/>
      <c r="O459" s="76"/>
      <c r="P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Q459" s="77"/>
      <c r="R459" s="32"/>
      <c r="S459" s="32"/>
      <c r="T459" s="32"/>
      <c r="U459" s="32"/>
    </row>
    <row r="460" spans="3:21" x14ac:dyDescent="0.3">
      <c r="C460" s="11"/>
      <c r="D460" s="32"/>
      <c r="E460" s="11" t="str" cm="1">
        <f t="array" ref="E460">_xlfn.IFS(
    COUNTIF(Herramientas_eléctricas1862[Herramientas_eléctricas], B460) &gt; 0, Herramientas_eléctricas1862[[#Headers],[Herramientas_eléctricas]],
    COUNTIF(Herramientas_neumáticas1963[Herramientas_neumáticas], B460) &gt; 0, Herramientas_neumáticas1963[[#Headers],[Herramientas_neumáticas]],
    COUNTIF(Herramientas_de_medición2064[Herramientas_de_medición], B460) &gt; 0, Herramientas_de_medición2064[[#Headers],[Herramientas_de_medición]],
    COUNTIF(Herrramientas_mecánicas2165[Herramientas_mecánicas], B460) &gt; 0, Herrramientas_mecánicas2165[[#Headers],[Herramientas_mecánicas]],
    COUNTIF(AK460:AK466, B460) &gt; 0, Herramientas_hidráulicas2266[[#Headers],[Herramientas_hidráulicas]],
    COUNTIF(EPP_2367[SPCC], B460) &gt; 0, EPP_2367[[#Headers],[SPCC]],
   COUNTIF(Herramientas_de_izaje2468[Herramientas_de_izaje], B460) &gt; 0, Herramientas_de_izaje2468[[#Headers],[Herramientas_de_izaje]],
COUNTIF(Tabla162670[Equipos], B460) &gt; 0, Tabla162670[[#Headers],[Equipos]],
    TRUE, "Sin clasificación"
)</f>
        <v>Sin clasificación</v>
      </c>
      <c r="G460" s="15"/>
      <c r="H460" s="47"/>
      <c r="I460" s="87"/>
      <c r="J460" s="78"/>
      <c r="K460" s="78"/>
      <c r="L460" s="78"/>
      <c r="M460" s="78"/>
      <c r="N460" s="76"/>
      <c r="O460" s="76"/>
      <c r="P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Q460" s="77"/>
      <c r="R460" s="32"/>
      <c r="S460" s="32"/>
      <c r="T460" s="32"/>
      <c r="U460" s="32"/>
    </row>
    <row r="461" spans="3:21" x14ac:dyDescent="0.3">
      <c r="C461" s="11"/>
      <c r="D461" s="32"/>
      <c r="E461" s="11" t="str" cm="1">
        <f t="array" ref="E461">_xlfn.IFS(
    COUNTIF(Herramientas_eléctricas1862[Herramientas_eléctricas], B461) &gt; 0, Herramientas_eléctricas1862[[#Headers],[Herramientas_eléctricas]],
    COUNTIF(Herramientas_neumáticas1963[Herramientas_neumáticas], B461) &gt; 0, Herramientas_neumáticas1963[[#Headers],[Herramientas_neumáticas]],
    COUNTIF(Herramientas_de_medición2064[Herramientas_de_medición], B461) &gt; 0, Herramientas_de_medición2064[[#Headers],[Herramientas_de_medición]],
    COUNTIF(Herrramientas_mecánicas2165[Herramientas_mecánicas], B461) &gt; 0, Herrramientas_mecánicas2165[[#Headers],[Herramientas_mecánicas]],
    COUNTIF(AK461:AK467, B461) &gt; 0, Herramientas_hidráulicas2266[[#Headers],[Herramientas_hidráulicas]],
    COUNTIF(EPP_2367[SPCC], B461) &gt; 0, EPP_2367[[#Headers],[SPCC]],
   COUNTIF(Herramientas_de_izaje2468[Herramientas_de_izaje], B461) &gt; 0, Herramientas_de_izaje2468[[#Headers],[Herramientas_de_izaje]],
COUNTIF(Tabla162670[Equipos], B461) &gt; 0, Tabla162670[[#Headers],[Equipos]],
    TRUE, "Sin clasificación"
)</f>
        <v>Sin clasificación</v>
      </c>
      <c r="G461" s="15"/>
      <c r="H461" s="47"/>
      <c r="I461" s="87"/>
      <c r="J461" s="78"/>
      <c r="K461" s="78"/>
      <c r="L461" s="78"/>
      <c r="M461" s="78"/>
      <c r="N461" s="76"/>
      <c r="O461" s="76"/>
      <c r="P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Q461" s="77"/>
      <c r="R461" s="32"/>
      <c r="S461" s="32"/>
      <c r="T461" s="32"/>
      <c r="U461" s="32"/>
    </row>
    <row r="462" spans="3:21" x14ac:dyDescent="0.3">
      <c r="C462" s="11"/>
      <c r="D462" s="32"/>
      <c r="E462" s="11" t="str" cm="1">
        <f t="array" ref="E462">_xlfn.IFS(
    COUNTIF(Herramientas_eléctricas1862[Herramientas_eléctricas], B462) &gt; 0, Herramientas_eléctricas1862[[#Headers],[Herramientas_eléctricas]],
    COUNTIF(Herramientas_neumáticas1963[Herramientas_neumáticas], B462) &gt; 0, Herramientas_neumáticas1963[[#Headers],[Herramientas_neumáticas]],
    COUNTIF(Herramientas_de_medición2064[Herramientas_de_medición], B462) &gt; 0, Herramientas_de_medición2064[[#Headers],[Herramientas_de_medición]],
    COUNTIF(Herrramientas_mecánicas2165[Herramientas_mecánicas], B462) &gt; 0, Herrramientas_mecánicas2165[[#Headers],[Herramientas_mecánicas]],
    COUNTIF(AK462:AK468, B462) &gt; 0, Herramientas_hidráulicas2266[[#Headers],[Herramientas_hidráulicas]],
    COUNTIF(EPP_2367[SPCC], B462) &gt; 0, EPP_2367[[#Headers],[SPCC]],
   COUNTIF(Herramientas_de_izaje2468[Herramientas_de_izaje], B462) &gt; 0, Herramientas_de_izaje2468[[#Headers],[Herramientas_de_izaje]],
COUNTIF(Tabla162670[Equipos], B462) &gt; 0, Tabla162670[[#Headers],[Equipos]],
    TRUE, "Sin clasificación"
)</f>
        <v>Sin clasificación</v>
      </c>
      <c r="G462" s="15"/>
      <c r="H462" s="47"/>
      <c r="I462" s="87"/>
      <c r="J462" s="78"/>
      <c r="K462" s="78"/>
      <c r="L462" s="78"/>
      <c r="M462" s="78"/>
      <c r="N462" s="76"/>
      <c r="O462" s="76"/>
      <c r="P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Q462" s="77"/>
      <c r="R462" s="32"/>
      <c r="S462" s="32"/>
      <c r="T462" s="32"/>
      <c r="U462" s="32"/>
    </row>
    <row r="463" spans="3:21" x14ac:dyDescent="0.3">
      <c r="C463" s="11"/>
      <c r="D463" s="32"/>
      <c r="E463" s="11" t="str" cm="1">
        <f t="array" ref="E463">_xlfn.IFS(
    COUNTIF(Herramientas_eléctricas1862[Herramientas_eléctricas], B463) &gt; 0, Herramientas_eléctricas1862[[#Headers],[Herramientas_eléctricas]],
    COUNTIF(Herramientas_neumáticas1963[Herramientas_neumáticas], B463) &gt; 0, Herramientas_neumáticas1963[[#Headers],[Herramientas_neumáticas]],
    COUNTIF(Herramientas_de_medición2064[Herramientas_de_medición], B463) &gt; 0, Herramientas_de_medición2064[[#Headers],[Herramientas_de_medición]],
    COUNTIF(Herrramientas_mecánicas2165[Herramientas_mecánicas], B463) &gt; 0, Herrramientas_mecánicas2165[[#Headers],[Herramientas_mecánicas]],
    COUNTIF(AK463:AK469, B463) &gt; 0, Herramientas_hidráulicas2266[[#Headers],[Herramientas_hidráulicas]],
    COUNTIF(EPP_2367[SPCC], B463) &gt; 0, EPP_2367[[#Headers],[SPCC]],
   COUNTIF(Herramientas_de_izaje2468[Herramientas_de_izaje], B463) &gt; 0, Herramientas_de_izaje2468[[#Headers],[Herramientas_de_izaje]],
COUNTIF(Tabla162670[Equipos], B463) &gt; 0, Tabla162670[[#Headers],[Equipos]],
    TRUE, "Sin clasificación"
)</f>
        <v>Sin clasificación</v>
      </c>
      <c r="G463" s="15"/>
      <c r="H463" s="47"/>
      <c r="I463" s="87"/>
      <c r="J463" s="78"/>
      <c r="K463" s="78"/>
      <c r="L463" s="78"/>
      <c r="M463" s="78"/>
      <c r="N463" s="76"/>
      <c r="O463" s="76"/>
      <c r="P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Q463" s="77"/>
      <c r="R463" s="32"/>
      <c r="S463" s="32"/>
      <c r="T463" s="32"/>
      <c r="U463" s="32"/>
    </row>
    <row r="464" spans="3:21" x14ac:dyDescent="0.3">
      <c r="C464" s="11"/>
      <c r="D464" s="32"/>
      <c r="E464" s="11" t="str" cm="1">
        <f t="array" ref="E464">_xlfn.IFS(
    COUNTIF(Herramientas_eléctricas1862[Herramientas_eléctricas], B464) &gt; 0, Herramientas_eléctricas1862[[#Headers],[Herramientas_eléctricas]],
    COUNTIF(Herramientas_neumáticas1963[Herramientas_neumáticas], B464) &gt; 0, Herramientas_neumáticas1963[[#Headers],[Herramientas_neumáticas]],
    COUNTIF(Herramientas_de_medición2064[Herramientas_de_medición], B464) &gt; 0, Herramientas_de_medición2064[[#Headers],[Herramientas_de_medición]],
    COUNTIF(Herrramientas_mecánicas2165[Herramientas_mecánicas], B464) &gt; 0, Herrramientas_mecánicas2165[[#Headers],[Herramientas_mecánicas]],
    COUNTIF(AK464:AK470, B464) &gt; 0, Herramientas_hidráulicas2266[[#Headers],[Herramientas_hidráulicas]],
    COUNTIF(EPP_2367[SPCC], B464) &gt; 0, EPP_2367[[#Headers],[SPCC]],
   COUNTIF(Herramientas_de_izaje2468[Herramientas_de_izaje], B464) &gt; 0, Herramientas_de_izaje2468[[#Headers],[Herramientas_de_izaje]],
COUNTIF(Tabla162670[Equipos], B464) &gt; 0, Tabla162670[[#Headers],[Equipos]],
    TRUE, "Sin clasificación"
)</f>
        <v>Sin clasificación</v>
      </c>
      <c r="G464" s="15"/>
      <c r="H464" s="47"/>
      <c r="I464" s="87"/>
      <c r="J464" s="78"/>
      <c r="K464" s="78"/>
      <c r="L464" s="78"/>
      <c r="M464" s="78"/>
      <c r="N464" s="76"/>
      <c r="O464" s="76"/>
      <c r="P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Q464" s="77"/>
      <c r="R464" s="32"/>
      <c r="S464" s="32"/>
      <c r="T464" s="32"/>
      <c r="U464" s="32"/>
    </row>
    <row r="465" spans="3:21" x14ac:dyDescent="0.3">
      <c r="C465" s="11"/>
      <c r="D465" s="32"/>
      <c r="E465" s="11" t="str" cm="1">
        <f t="array" ref="E465">_xlfn.IFS(
    COUNTIF(Herramientas_eléctricas1862[Herramientas_eléctricas], B465) &gt; 0, Herramientas_eléctricas1862[[#Headers],[Herramientas_eléctricas]],
    COUNTIF(Herramientas_neumáticas1963[Herramientas_neumáticas], B465) &gt; 0, Herramientas_neumáticas1963[[#Headers],[Herramientas_neumáticas]],
    COUNTIF(Herramientas_de_medición2064[Herramientas_de_medición], B465) &gt; 0, Herramientas_de_medición2064[[#Headers],[Herramientas_de_medición]],
    COUNTIF(Herrramientas_mecánicas2165[Herramientas_mecánicas], B465) &gt; 0, Herrramientas_mecánicas2165[[#Headers],[Herramientas_mecánicas]],
    COUNTIF(AK465:AK471, B465) &gt; 0, Herramientas_hidráulicas2266[[#Headers],[Herramientas_hidráulicas]],
    COUNTIF(EPP_2367[SPCC], B465) &gt; 0, EPP_2367[[#Headers],[SPCC]],
   COUNTIF(Herramientas_de_izaje2468[Herramientas_de_izaje], B465) &gt; 0, Herramientas_de_izaje2468[[#Headers],[Herramientas_de_izaje]],
COUNTIF(Tabla162670[Equipos], B465) &gt; 0, Tabla162670[[#Headers],[Equipos]],
    TRUE, "Sin clasificación"
)</f>
        <v>Sin clasificación</v>
      </c>
      <c r="G465" s="15"/>
      <c r="H465" s="47"/>
      <c r="I465" s="87"/>
      <c r="J465" s="78"/>
      <c r="K465" s="78"/>
      <c r="L465" s="78"/>
      <c r="M465" s="78"/>
      <c r="N465" s="76"/>
      <c r="O465" s="76"/>
      <c r="P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Q465" s="77"/>
      <c r="R465" s="32"/>
      <c r="S465" s="32"/>
      <c r="T465" s="32"/>
      <c r="U465" s="32"/>
    </row>
    <row r="466" spans="3:21" x14ac:dyDescent="0.3">
      <c r="C466" s="11"/>
      <c r="D466" s="32"/>
      <c r="E466" s="11" t="str" cm="1">
        <f t="array" ref="E466">_xlfn.IFS(
    COUNTIF(Herramientas_eléctricas1862[Herramientas_eléctricas], B466) &gt; 0, Herramientas_eléctricas1862[[#Headers],[Herramientas_eléctricas]],
    COUNTIF(Herramientas_neumáticas1963[Herramientas_neumáticas], B466) &gt; 0, Herramientas_neumáticas1963[[#Headers],[Herramientas_neumáticas]],
    COUNTIF(Herramientas_de_medición2064[Herramientas_de_medición], B466) &gt; 0, Herramientas_de_medición2064[[#Headers],[Herramientas_de_medición]],
    COUNTIF(Herrramientas_mecánicas2165[Herramientas_mecánicas], B466) &gt; 0, Herrramientas_mecánicas2165[[#Headers],[Herramientas_mecánicas]],
    COUNTIF(AK466:AK472, B466) &gt; 0, Herramientas_hidráulicas2266[[#Headers],[Herramientas_hidráulicas]],
    COUNTIF(EPP_2367[SPCC], B466) &gt; 0, EPP_2367[[#Headers],[SPCC]],
   COUNTIF(Herramientas_de_izaje2468[Herramientas_de_izaje], B466) &gt; 0, Herramientas_de_izaje2468[[#Headers],[Herramientas_de_izaje]],
COUNTIF(Tabla162670[Equipos], B466) &gt; 0, Tabla162670[[#Headers],[Equipos]],
    TRUE, "Sin clasificación"
)</f>
        <v>Sin clasificación</v>
      </c>
      <c r="G466" s="15"/>
      <c r="H466" s="47"/>
      <c r="I466" s="87"/>
      <c r="J466" s="78"/>
      <c r="K466" s="78"/>
      <c r="L466" s="78"/>
      <c r="M466" s="78"/>
      <c r="N466" s="76"/>
      <c r="O466" s="76"/>
      <c r="P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Q466" s="77"/>
      <c r="R466" s="32"/>
      <c r="S466" s="32"/>
      <c r="T466" s="32"/>
      <c r="U466" s="32"/>
    </row>
    <row r="467" spans="3:21" x14ac:dyDescent="0.3">
      <c r="C467" s="11"/>
      <c r="D467" s="32"/>
      <c r="E467" s="11" t="str" cm="1">
        <f t="array" ref="E467">_xlfn.IFS(
    COUNTIF(Herramientas_eléctricas1862[Herramientas_eléctricas], B467) &gt; 0, Herramientas_eléctricas1862[[#Headers],[Herramientas_eléctricas]],
    COUNTIF(Herramientas_neumáticas1963[Herramientas_neumáticas], B467) &gt; 0, Herramientas_neumáticas1963[[#Headers],[Herramientas_neumáticas]],
    COUNTIF(Herramientas_de_medición2064[Herramientas_de_medición], B467) &gt; 0, Herramientas_de_medición2064[[#Headers],[Herramientas_de_medición]],
    COUNTIF(Herrramientas_mecánicas2165[Herramientas_mecánicas], B467) &gt; 0, Herrramientas_mecánicas2165[[#Headers],[Herramientas_mecánicas]],
    COUNTIF(AK467:AK473, B467) &gt; 0, Herramientas_hidráulicas2266[[#Headers],[Herramientas_hidráulicas]],
    COUNTIF(EPP_2367[SPCC], B467) &gt; 0, EPP_2367[[#Headers],[SPCC]],
   COUNTIF(Herramientas_de_izaje2468[Herramientas_de_izaje], B467) &gt; 0, Herramientas_de_izaje2468[[#Headers],[Herramientas_de_izaje]],
COUNTIF(Tabla162670[Equipos], B467) &gt; 0, Tabla162670[[#Headers],[Equipos]],
    TRUE, "Sin clasificación"
)</f>
        <v>Sin clasificación</v>
      </c>
      <c r="G467" s="15"/>
      <c r="H467" s="47"/>
      <c r="I467" s="87"/>
      <c r="J467" s="78"/>
      <c r="K467" s="78"/>
      <c r="L467" s="78"/>
      <c r="M467" s="78"/>
      <c r="N467" s="76"/>
      <c r="O467" s="76"/>
      <c r="P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Q467" s="77"/>
      <c r="R467" s="32"/>
      <c r="S467" s="32"/>
      <c r="T467" s="32"/>
      <c r="U467" s="32"/>
    </row>
    <row r="468" spans="3:21" x14ac:dyDescent="0.3">
      <c r="C468" s="11"/>
      <c r="D468" s="32"/>
      <c r="E468" s="11" t="str" cm="1">
        <f t="array" ref="E468">_xlfn.IFS(
    COUNTIF(Herramientas_eléctricas1862[Herramientas_eléctricas], B468) &gt; 0, Herramientas_eléctricas1862[[#Headers],[Herramientas_eléctricas]],
    COUNTIF(Herramientas_neumáticas1963[Herramientas_neumáticas], B468) &gt; 0, Herramientas_neumáticas1963[[#Headers],[Herramientas_neumáticas]],
    COUNTIF(Herramientas_de_medición2064[Herramientas_de_medición], B468) &gt; 0, Herramientas_de_medición2064[[#Headers],[Herramientas_de_medición]],
    COUNTIF(Herrramientas_mecánicas2165[Herramientas_mecánicas], B468) &gt; 0, Herrramientas_mecánicas2165[[#Headers],[Herramientas_mecánicas]],
    COUNTIF(AK468:AK474, B468) &gt; 0, Herramientas_hidráulicas2266[[#Headers],[Herramientas_hidráulicas]],
    COUNTIF(EPP_2367[SPCC], B468) &gt; 0, EPP_2367[[#Headers],[SPCC]],
   COUNTIF(Herramientas_de_izaje2468[Herramientas_de_izaje], B468) &gt; 0, Herramientas_de_izaje2468[[#Headers],[Herramientas_de_izaje]],
COUNTIF(Tabla162670[Equipos], B468) &gt; 0, Tabla162670[[#Headers],[Equipos]],
    TRUE, "Sin clasificación"
)</f>
        <v>Sin clasificación</v>
      </c>
      <c r="G468" s="15"/>
      <c r="H468" s="47"/>
      <c r="I468" s="87"/>
      <c r="J468" s="78"/>
      <c r="K468" s="78"/>
      <c r="L468" s="78"/>
      <c r="M468" s="78"/>
      <c r="N468" s="76"/>
      <c r="O468" s="76"/>
      <c r="P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Q468" s="77"/>
      <c r="R468" s="32"/>
      <c r="S468" s="32"/>
      <c r="T468" s="32"/>
      <c r="U468" s="32"/>
    </row>
    <row r="469" spans="3:21" x14ac:dyDescent="0.3">
      <c r="C469" s="11"/>
      <c r="D469" s="32"/>
      <c r="E469" s="11" t="str" cm="1">
        <f t="array" ref="E469">_xlfn.IFS(
    COUNTIF(Herramientas_eléctricas1862[Herramientas_eléctricas], B469) &gt; 0, Herramientas_eléctricas1862[[#Headers],[Herramientas_eléctricas]],
    COUNTIF(Herramientas_neumáticas1963[Herramientas_neumáticas], B469) &gt; 0, Herramientas_neumáticas1963[[#Headers],[Herramientas_neumáticas]],
    COUNTIF(Herramientas_de_medición2064[Herramientas_de_medición], B469) &gt; 0, Herramientas_de_medición2064[[#Headers],[Herramientas_de_medición]],
    COUNTIF(Herrramientas_mecánicas2165[Herramientas_mecánicas], B469) &gt; 0, Herrramientas_mecánicas2165[[#Headers],[Herramientas_mecánicas]],
    COUNTIF(AK469:AK475, B469) &gt; 0, Herramientas_hidráulicas2266[[#Headers],[Herramientas_hidráulicas]],
    COUNTIF(EPP_2367[SPCC], B469) &gt; 0, EPP_2367[[#Headers],[SPCC]],
   COUNTIF(Herramientas_de_izaje2468[Herramientas_de_izaje], B469) &gt; 0, Herramientas_de_izaje2468[[#Headers],[Herramientas_de_izaje]],
COUNTIF(Tabla162670[Equipos], B469) &gt; 0, Tabla162670[[#Headers],[Equipos]],
    TRUE, "Sin clasificación"
)</f>
        <v>Sin clasificación</v>
      </c>
      <c r="G469" s="15"/>
      <c r="H469" s="47"/>
      <c r="I469" s="87"/>
      <c r="J469" s="78"/>
      <c r="K469" s="78"/>
      <c r="L469" s="78"/>
      <c r="M469" s="78"/>
      <c r="N469" s="76"/>
      <c r="O469" s="76"/>
      <c r="P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Q469" s="77"/>
      <c r="R469" s="32"/>
      <c r="S469" s="32"/>
      <c r="T469" s="32"/>
      <c r="U469" s="32"/>
    </row>
    <row r="470" spans="3:21" x14ac:dyDescent="0.3">
      <c r="C470" s="11"/>
      <c r="D470" s="32"/>
      <c r="E470" s="11" t="str" cm="1">
        <f t="array" ref="E470">_xlfn.IFS(
    COUNTIF(Herramientas_eléctricas1862[Herramientas_eléctricas], B470) &gt; 0, Herramientas_eléctricas1862[[#Headers],[Herramientas_eléctricas]],
    COUNTIF(Herramientas_neumáticas1963[Herramientas_neumáticas], B470) &gt; 0, Herramientas_neumáticas1963[[#Headers],[Herramientas_neumáticas]],
    COUNTIF(Herramientas_de_medición2064[Herramientas_de_medición], B470) &gt; 0, Herramientas_de_medición2064[[#Headers],[Herramientas_de_medición]],
    COUNTIF(Herrramientas_mecánicas2165[Herramientas_mecánicas], B470) &gt; 0, Herrramientas_mecánicas2165[[#Headers],[Herramientas_mecánicas]],
    COUNTIF(AK470:AK476, B470) &gt; 0, Herramientas_hidráulicas2266[[#Headers],[Herramientas_hidráulicas]],
    COUNTIF(EPP_2367[SPCC], B470) &gt; 0, EPP_2367[[#Headers],[SPCC]],
   COUNTIF(Herramientas_de_izaje2468[Herramientas_de_izaje], B470) &gt; 0, Herramientas_de_izaje2468[[#Headers],[Herramientas_de_izaje]],
COUNTIF(Tabla162670[Equipos], B470) &gt; 0, Tabla162670[[#Headers],[Equipos]],
    TRUE, "Sin clasificación"
)</f>
        <v>Sin clasificación</v>
      </c>
      <c r="G470" s="15"/>
      <c r="H470" s="47"/>
      <c r="I470" s="87"/>
      <c r="J470" s="78"/>
      <c r="K470" s="78"/>
      <c r="L470" s="78"/>
      <c r="M470" s="78"/>
      <c r="N470" s="76"/>
      <c r="O470" s="76"/>
      <c r="P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Q470" s="77"/>
      <c r="R470" s="32"/>
      <c r="S470" s="32"/>
      <c r="T470" s="32"/>
      <c r="U470" s="32"/>
    </row>
    <row r="471" spans="3:21" x14ac:dyDescent="0.3">
      <c r="C471" s="11"/>
      <c r="D471" s="32"/>
      <c r="E471" s="11" t="str" cm="1">
        <f t="array" ref="E471">_xlfn.IFS(
    COUNTIF(Herramientas_eléctricas1862[Herramientas_eléctricas], B471) &gt; 0, Herramientas_eléctricas1862[[#Headers],[Herramientas_eléctricas]],
    COUNTIF(Herramientas_neumáticas1963[Herramientas_neumáticas], B471) &gt; 0, Herramientas_neumáticas1963[[#Headers],[Herramientas_neumáticas]],
    COUNTIF(Herramientas_de_medición2064[Herramientas_de_medición], B471) &gt; 0, Herramientas_de_medición2064[[#Headers],[Herramientas_de_medición]],
    COUNTIF(Herrramientas_mecánicas2165[Herramientas_mecánicas], B471) &gt; 0, Herrramientas_mecánicas2165[[#Headers],[Herramientas_mecánicas]],
    COUNTIF(AK471:AK477, B471) &gt; 0, Herramientas_hidráulicas2266[[#Headers],[Herramientas_hidráulicas]],
    COUNTIF(EPP_2367[SPCC], B471) &gt; 0, EPP_2367[[#Headers],[SPCC]],
   COUNTIF(Herramientas_de_izaje2468[Herramientas_de_izaje], B471) &gt; 0, Herramientas_de_izaje2468[[#Headers],[Herramientas_de_izaje]],
COUNTIF(Tabla162670[Equipos], B471) &gt; 0, Tabla162670[[#Headers],[Equipos]],
    TRUE, "Sin clasificación"
)</f>
        <v>Sin clasificación</v>
      </c>
      <c r="G471" s="15"/>
      <c r="H471" s="47"/>
      <c r="I471" s="87"/>
      <c r="J471" s="78"/>
      <c r="K471" s="78"/>
      <c r="L471" s="78"/>
      <c r="M471" s="78"/>
      <c r="N471" s="76"/>
      <c r="O471" s="76"/>
      <c r="P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Q471" s="77"/>
      <c r="R471" s="32"/>
      <c r="S471" s="32"/>
      <c r="T471" s="32"/>
      <c r="U471" s="32"/>
    </row>
    <row r="472" spans="3:21" x14ac:dyDescent="0.3">
      <c r="C472" s="11"/>
      <c r="D472" s="32"/>
      <c r="E472" s="11" t="str" cm="1">
        <f t="array" ref="E472">_xlfn.IFS(
    COUNTIF(Herramientas_eléctricas1862[Herramientas_eléctricas], B472) &gt; 0, Herramientas_eléctricas1862[[#Headers],[Herramientas_eléctricas]],
    COUNTIF(Herramientas_neumáticas1963[Herramientas_neumáticas], B472) &gt; 0, Herramientas_neumáticas1963[[#Headers],[Herramientas_neumáticas]],
    COUNTIF(Herramientas_de_medición2064[Herramientas_de_medición], B472) &gt; 0, Herramientas_de_medición2064[[#Headers],[Herramientas_de_medición]],
    COUNTIF(Herrramientas_mecánicas2165[Herramientas_mecánicas], B472) &gt; 0, Herrramientas_mecánicas2165[[#Headers],[Herramientas_mecánicas]],
    COUNTIF(AK472:AK478, B472) &gt; 0, Herramientas_hidráulicas2266[[#Headers],[Herramientas_hidráulicas]],
    COUNTIF(EPP_2367[SPCC], B472) &gt; 0, EPP_2367[[#Headers],[SPCC]],
   COUNTIF(Herramientas_de_izaje2468[Herramientas_de_izaje], B472) &gt; 0, Herramientas_de_izaje2468[[#Headers],[Herramientas_de_izaje]],
COUNTIF(Tabla162670[Equipos], B472) &gt; 0, Tabla162670[[#Headers],[Equipos]],
    TRUE, "Sin clasificación"
)</f>
        <v>Sin clasificación</v>
      </c>
      <c r="G472" s="15"/>
      <c r="H472" s="47"/>
      <c r="I472" s="87"/>
      <c r="J472" s="78"/>
      <c r="K472" s="78"/>
      <c r="L472" s="78"/>
      <c r="M472" s="78"/>
      <c r="N472" s="76"/>
      <c r="O472" s="76"/>
      <c r="P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Q472" s="77"/>
      <c r="R472" s="32"/>
      <c r="S472" s="32"/>
      <c r="T472" s="32"/>
      <c r="U472" s="32"/>
    </row>
    <row r="473" spans="3:21" x14ac:dyDescent="0.3">
      <c r="C473" s="11"/>
      <c r="D473" s="32"/>
      <c r="E473" s="11" t="str" cm="1">
        <f t="array" ref="E473">_xlfn.IFS(
    COUNTIF(Herramientas_eléctricas1862[Herramientas_eléctricas], B473) &gt; 0, Herramientas_eléctricas1862[[#Headers],[Herramientas_eléctricas]],
    COUNTIF(Herramientas_neumáticas1963[Herramientas_neumáticas], B473) &gt; 0, Herramientas_neumáticas1963[[#Headers],[Herramientas_neumáticas]],
    COUNTIF(Herramientas_de_medición2064[Herramientas_de_medición], B473) &gt; 0, Herramientas_de_medición2064[[#Headers],[Herramientas_de_medición]],
    COUNTIF(Herrramientas_mecánicas2165[Herramientas_mecánicas], B473) &gt; 0, Herrramientas_mecánicas2165[[#Headers],[Herramientas_mecánicas]],
    COUNTIF(AK473:AK479, B473) &gt; 0, Herramientas_hidráulicas2266[[#Headers],[Herramientas_hidráulicas]],
    COUNTIF(EPP_2367[SPCC], B473) &gt; 0, EPP_2367[[#Headers],[SPCC]],
   COUNTIF(Herramientas_de_izaje2468[Herramientas_de_izaje], B473) &gt; 0, Herramientas_de_izaje2468[[#Headers],[Herramientas_de_izaje]],
COUNTIF(Tabla162670[Equipos], B473) &gt; 0, Tabla162670[[#Headers],[Equipos]],
    TRUE, "Sin clasificación"
)</f>
        <v>Sin clasificación</v>
      </c>
      <c r="G473" s="15"/>
      <c r="H473" s="47"/>
      <c r="I473" s="87"/>
      <c r="J473" s="78"/>
      <c r="K473" s="78"/>
      <c r="L473" s="78"/>
      <c r="M473" s="78"/>
      <c r="N473" s="76"/>
      <c r="O473" s="76"/>
      <c r="P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Q473" s="77"/>
      <c r="R473" s="32"/>
      <c r="S473" s="32"/>
      <c r="T473" s="32"/>
      <c r="U473" s="32"/>
    </row>
    <row r="474" spans="3:21" x14ac:dyDescent="0.3">
      <c r="C474" s="11"/>
      <c r="D474" s="32"/>
      <c r="E474" s="11" t="str" cm="1">
        <f t="array" ref="E474">_xlfn.IFS(
    COUNTIF(Herramientas_eléctricas1862[Herramientas_eléctricas], B474) &gt; 0, Herramientas_eléctricas1862[[#Headers],[Herramientas_eléctricas]],
    COUNTIF(Herramientas_neumáticas1963[Herramientas_neumáticas], B474) &gt; 0, Herramientas_neumáticas1963[[#Headers],[Herramientas_neumáticas]],
    COUNTIF(Herramientas_de_medición2064[Herramientas_de_medición], B474) &gt; 0, Herramientas_de_medición2064[[#Headers],[Herramientas_de_medición]],
    COUNTIF(Herrramientas_mecánicas2165[Herramientas_mecánicas], B474) &gt; 0, Herrramientas_mecánicas2165[[#Headers],[Herramientas_mecánicas]],
    COUNTIF(AK474:AK480, B474) &gt; 0, Herramientas_hidráulicas2266[[#Headers],[Herramientas_hidráulicas]],
    COUNTIF(EPP_2367[SPCC], B474) &gt; 0, EPP_2367[[#Headers],[SPCC]],
   COUNTIF(Herramientas_de_izaje2468[Herramientas_de_izaje], B474) &gt; 0, Herramientas_de_izaje2468[[#Headers],[Herramientas_de_izaje]],
COUNTIF(Tabla162670[Equipos], B474) &gt; 0, Tabla162670[[#Headers],[Equipos]],
    TRUE, "Sin clasificación"
)</f>
        <v>Sin clasificación</v>
      </c>
      <c r="G474" s="15"/>
      <c r="H474" s="47"/>
      <c r="I474" s="87"/>
      <c r="J474" s="78"/>
      <c r="K474" s="78"/>
      <c r="L474" s="78"/>
      <c r="M474" s="78"/>
      <c r="N474" s="76"/>
      <c r="O474" s="76"/>
      <c r="P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Q474" s="77"/>
      <c r="R474" s="32"/>
      <c r="S474" s="32"/>
      <c r="T474" s="32"/>
      <c r="U474" s="32"/>
    </row>
    <row r="475" spans="3:21" x14ac:dyDescent="0.3">
      <c r="C475" s="11"/>
      <c r="D475" s="32"/>
      <c r="E475" s="11" t="str" cm="1">
        <f t="array" ref="E475">_xlfn.IFS(
    COUNTIF(Herramientas_eléctricas1862[Herramientas_eléctricas], B475) &gt; 0, Herramientas_eléctricas1862[[#Headers],[Herramientas_eléctricas]],
    COUNTIF(Herramientas_neumáticas1963[Herramientas_neumáticas], B475) &gt; 0, Herramientas_neumáticas1963[[#Headers],[Herramientas_neumáticas]],
    COUNTIF(Herramientas_de_medición2064[Herramientas_de_medición], B475) &gt; 0, Herramientas_de_medición2064[[#Headers],[Herramientas_de_medición]],
    COUNTIF(Herrramientas_mecánicas2165[Herramientas_mecánicas], B475) &gt; 0, Herrramientas_mecánicas2165[[#Headers],[Herramientas_mecánicas]],
    COUNTIF(AK475:AK481, B475) &gt; 0, Herramientas_hidráulicas2266[[#Headers],[Herramientas_hidráulicas]],
    COUNTIF(EPP_2367[SPCC], B475) &gt; 0, EPP_2367[[#Headers],[SPCC]],
   COUNTIF(Herramientas_de_izaje2468[Herramientas_de_izaje], B475) &gt; 0, Herramientas_de_izaje2468[[#Headers],[Herramientas_de_izaje]],
COUNTIF(Tabla162670[Equipos], B475) &gt; 0, Tabla162670[[#Headers],[Equipos]],
    TRUE, "Sin clasificación"
)</f>
        <v>Sin clasificación</v>
      </c>
      <c r="G475" s="15"/>
      <c r="H475" s="47"/>
      <c r="I475" s="87"/>
      <c r="J475" s="78"/>
      <c r="K475" s="78"/>
      <c r="L475" s="78"/>
      <c r="M475" s="78"/>
      <c r="N475" s="76"/>
      <c r="O475" s="76"/>
      <c r="P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Q475" s="77"/>
      <c r="R475" s="32"/>
      <c r="S475" s="32"/>
      <c r="T475" s="32"/>
      <c r="U475" s="32"/>
    </row>
    <row r="476" spans="3:21" x14ac:dyDescent="0.3">
      <c r="C476" s="11"/>
      <c r="D476" s="32"/>
      <c r="E476" s="11" t="str" cm="1">
        <f t="array" ref="E476">_xlfn.IFS(
    COUNTIF(Herramientas_eléctricas1862[Herramientas_eléctricas], B476) &gt; 0, Herramientas_eléctricas1862[[#Headers],[Herramientas_eléctricas]],
    COUNTIF(Herramientas_neumáticas1963[Herramientas_neumáticas], B476) &gt; 0, Herramientas_neumáticas1963[[#Headers],[Herramientas_neumáticas]],
    COUNTIF(Herramientas_de_medición2064[Herramientas_de_medición], B476) &gt; 0, Herramientas_de_medición2064[[#Headers],[Herramientas_de_medición]],
    COUNTIF(Herrramientas_mecánicas2165[Herramientas_mecánicas], B476) &gt; 0, Herrramientas_mecánicas2165[[#Headers],[Herramientas_mecánicas]],
    COUNTIF(AK476:AK482, B476) &gt; 0, Herramientas_hidráulicas2266[[#Headers],[Herramientas_hidráulicas]],
    COUNTIF(EPP_2367[SPCC], B476) &gt; 0, EPP_2367[[#Headers],[SPCC]],
   COUNTIF(Herramientas_de_izaje2468[Herramientas_de_izaje], B476) &gt; 0, Herramientas_de_izaje2468[[#Headers],[Herramientas_de_izaje]],
COUNTIF(Tabla162670[Equipos], B476) &gt; 0, Tabla162670[[#Headers],[Equipos]],
    TRUE, "Sin clasificación"
)</f>
        <v>Sin clasificación</v>
      </c>
      <c r="G476" s="15"/>
      <c r="H476" s="47"/>
      <c r="I476" s="87"/>
      <c r="J476" s="78"/>
      <c r="K476" s="78"/>
      <c r="L476" s="78"/>
      <c r="M476" s="78"/>
      <c r="N476" s="76"/>
      <c r="O476" s="76"/>
      <c r="P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Q476" s="77"/>
      <c r="R476" s="32"/>
      <c r="S476" s="32"/>
      <c r="T476" s="32"/>
      <c r="U476" s="32"/>
    </row>
    <row r="477" spans="3:21" x14ac:dyDescent="0.3">
      <c r="C477" s="11"/>
      <c r="D477" s="32"/>
      <c r="E477" s="11" t="str" cm="1">
        <f t="array" ref="E477">_xlfn.IFS(
    COUNTIF(Herramientas_eléctricas1862[Herramientas_eléctricas], B477) &gt; 0, Herramientas_eléctricas1862[[#Headers],[Herramientas_eléctricas]],
    COUNTIF(Herramientas_neumáticas1963[Herramientas_neumáticas], B477) &gt; 0, Herramientas_neumáticas1963[[#Headers],[Herramientas_neumáticas]],
    COUNTIF(Herramientas_de_medición2064[Herramientas_de_medición], B477) &gt; 0, Herramientas_de_medición2064[[#Headers],[Herramientas_de_medición]],
    COUNTIF(Herrramientas_mecánicas2165[Herramientas_mecánicas], B477) &gt; 0, Herrramientas_mecánicas2165[[#Headers],[Herramientas_mecánicas]],
    COUNTIF(AK477:AK483, B477) &gt; 0, Herramientas_hidráulicas2266[[#Headers],[Herramientas_hidráulicas]],
    COUNTIF(EPP_2367[SPCC], B477) &gt; 0, EPP_2367[[#Headers],[SPCC]],
   COUNTIF(Herramientas_de_izaje2468[Herramientas_de_izaje], B477) &gt; 0, Herramientas_de_izaje2468[[#Headers],[Herramientas_de_izaje]],
COUNTIF(Tabla162670[Equipos], B477) &gt; 0, Tabla162670[[#Headers],[Equipos]],
    TRUE, "Sin clasificación"
)</f>
        <v>Sin clasificación</v>
      </c>
      <c r="G477" s="15"/>
      <c r="H477" s="47"/>
      <c r="I477" s="87"/>
      <c r="J477" s="78"/>
      <c r="K477" s="78"/>
      <c r="L477" s="78"/>
      <c r="M477" s="78"/>
      <c r="N477" s="76"/>
      <c r="O477" s="76"/>
      <c r="P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Q477" s="77"/>
      <c r="R477" s="32"/>
      <c r="S477" s="32"/>
      <c r="T477" s="32"/>
      <c r="U477" s="32"/>
    </row>
    <row r="478" spans="3:21" x14ac:dyDescent="0.3">
      <c r="C478" s="11"/>
      <c r="D478" s="32"/>
      <c r="E478" s="11" t="str" cm="1">
        <f t="array" ref="E478">_xlfn.IFS(
    COUNTIF(Herramientas_eléctricas1862[Herramientas_eléctricas], B478) &gt; 0, Herramientas_eléctricas1862[[#Headers],[Herramientas_eléctricas]],
    COUNTIF(Herramientas_neumáticas1963[Herramientas_neumáticas], B478) &gt; 0, Herramientas_neumáticas1963[[#Headers],[Herramientas_neumáticas]],
    COUNTIF(Herramientas_de_medición2064[Herramientas_de_medición], B478) &gt; 0, Herramientas_de_medición2064[[#Headers],[Herramientas_de_medición]],
    COUNTIF(Herrramientas_mecánicas2165[Herramientas_mecánicas], B478) &gt; 0, Herrramientas_mecánicas2165[[#Headers],[Herramientas_mecánicas]],
    COUNTIF(AK478:AK484, B478) &gt; 0, Herramientas_hidráulicas2266[[#Headers],[Herramientas_hidráulicas]],
    COUNTIF(EPP_2367[SPCC], B478) &gt; 0, EPP_2367[[#Headers],[SPCC]],
   COUNTIF(Herramientas_de_izaje2468[Herramientas_de_izaje], B478) &gt; 0, Herramientas_de_izaje2468[[#Headers],[Herramientas_de_izaje]],
COUNTIF(Tabla162670[Equipos], B478) &gt; 0, Tabla162670[[#Headers],[Equipos]],
    TRUE, "Sin clasificación"
)</f>
        <v>Sin clasificación</v>
      </c>
      <c r="G478" s="15"/>
      <c r="H478" s="47"/>
      <c r="I478" s="87"/>
      <c r="J478" s="78"/>
      <c r="K478" s="78"/>
      <c r="L478" s="78"/>
      <c r="M478" s="78"/>
      <c r="N478" s="76"/>
      <c r="O478" s="76"/>
      <c r="P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Q478" s="77"/>
      <c r="R478" s="32"/>
      <c r="S478" s="32"/>
      <c r="T478" s="32"/>
      <c r="U478" s="32"/>
    </row>
    <row r="479" spans="3:21" x14ac:dyDescent="0.3">
      <c r="C479" s="11"/>
      <c r="D479" s="32"/>
      <c r="E479" s="11" t="str" cm="1">
        <f t="array" ref="E479">_xlfn.IFS(
    COUNTIF(Herramientas_eléctricas1862[Herramientas_eléctricas], B479) &gt; 0, Herramientas_eléctricas1862[[#Headers],[Herramientas_eléctricas]],
    COUNTIF(Herramientas_neumáticas1963[Herramientas_neumáticas], B479) &gt; 0, Herramientas_neumáticas1963[[#Headers],[Herramientas_neumáticas]],
    COUNTIF(Herramientas_de_medición2064[Herramientas_de_medición], B479) &gt; 0, Herramientas_de_medición2064[[#Headers],[Herramientas_de_medición]],
    COUNTIF(Herrramientas_mecánicas2165[Herramientas_mecánicas], B479) &gt; 0, Herrramientas_mecánicas2165[[#Headers],[Herramientas_mecánicas]],
    COUNTIF(AK479:AK485, B479) &gt; 0, Herramientas_hidráulicas2266[[#Headers],[Herramientas_hidráulicas]],
    COUNTIF(EPP_2367[SPCC], B479) &gt; 0, EPP_2367[[#Headers],[SPCC]],
   COUNTIF(Herramientas_de_izaje2468[Herramientas_de_izaje], B479) &gt; 0, Herramientas_de_izaje2468[[#Headers],[Herramientas_de_izaje]],
COUNTIF(Tabla162670[Equipos], B479) &gt; 0, Tabla162670[[#Headers],[Equipos]],
    TRUE, "Sin clasificación"
)</f>
        <v>Sin clasificación</v>
      </c>
      <c r="G479" s="15"/>
      <c r="H479" s="47"/>
      <c r="I479" s="87"/>
      <c r="J479" s="78"/>
      <c r="K479" s="78"/>
      <c r="L479" s="78"/>
      <c r="M479" s="78"/>
      <c r="N479" s="76"/>
      <c r="O479" s="76"/>
      <c r="P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Q479" s="77"/>
      <c r="R479" s="32"/>
      <c r="S479" s="32"/>
      <c r="T479" s="32"/>
      <c r="U479" s="32"/>
    </row>
    <row r="480" spans="3:21" x14ac:dyDescent="0.3">
      <c r="C480" s="11"/>
      <c r="D480" s="32"/>
      <c r="E480" s="11" t="str" cm="1">
        <f t="array" ref="E480">_xlfn.IFS(
    COUNTIF(Herramientas_eléctricas1862[Herramientas_eléctricas], B480) &gt; 0, Herramientas_eléctricas1862[[#Headers],[Herramientas_eléctricas]],
    COUNTIF(Herramientas_neumáticas1963[Herramientas_neumáticas], B480) &gt; 0, Herramientas_neumáticas1963[[#Headers],[Herramientas_neumáticas]],
    COUNTIF(Herramientas_de_medición2064[Herramientas_de_medición], B480) &gt; 0, Herramientas_de_medición2064[[#Headers],[Herramientas_de_medición]],
    COUNTIF(Herrramientas_mecánicas2165[Herramientas_mecánicas], B480) &gt; 0, Herrramientas_mecánicas2165[[#Headers],[Herramientas_mecánicas]],
    COUNTIF(AK480:AK486, B480) &gt; 0, Herramientas_hidráulicas2266[[#Headers],[Herramientas_hidráulicas]],
    COUNTIF(EPP_2367[SPCC], B480) &gt; 0, EPP_2367[[#Headers],[SPCC]],
   COUNTIF(Herramientas_de_izaje2468[Herramientas_de_izaje], B480) &gt; 0, Herramientas_de_izaje2468[[#Headers],[Herramientas_de_izaje]],
COUNTIF(Tabla162670[Equipos], B480) &gt; 0, Tabla162670[[#Headers],[Equipos]],
    TRUE, "Sin clasificación"
)</f>
        <v>Sin clasificación</v>
      </c>
      <c r="G480" s="15"/>
      <c r="H480" s="47"/>
      <c r="I480" s="87"/>
      <c r="J480" s="78"/>
      <c r="K480" s="78"/>
      <c r="L480" s="78"/>
      <c r="M480" s="78"/>
      <c r="N480" s="76"/>
      <c r="O480" s="76"/>
      <c r="P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Q480" s="77"/>
      <c r="R480" s="32"/>
      <c r="S480" s="32"/>
      <c r="T480" s="32"/>
      <c r="U480" s="32"/>
    </row>
    <row r="481" spans="3:21" x14ac:dyDescent="0.3">
      <c r="C481" s="11"/>
      <c r="D481" s="32"/>
      <c r="E481" s="11" t="str" cm="1">
        <f t="array" ref="E481">_xlfn.IFS(
    COUNTIF(Herramientas_eléctricas1862[Herramientas_eléctricas], B481) &gt; 0, Herramientas_eléctricas1862[[#Headers],[Herramientas_eléctricas]],
    COUNTIF(Herramientas_neumáticas1963[Herramientas_neumáticas], B481) &gt; 0, Herramientas_neumáticas1963[[#Headers],[Herramientas_neumáticas]],
    COUNTIF(Herramientas_de_medición2064[Herramientas_de_medición], B481) &gt; 0, Herramientas_de_medición2064[[#Headers],[Herramientas_de_medición]],
    COUNTIF(Herrramientas_mecánicas2165[Herramientas_mecánicas], B481) &gt; 0, Herrramientas_mecánicas2165[[#Headers],[Herramientas_mecánicas]],
    COUNTIF(AK481:AK487, B481) &gt; 0, Herramientas_hidráulicas2266[[#Headers],[Herramientas_hidráulicas]],
    COUNTIF(EPP_2367[SPCC], B481) &gt; 0, EPP_2367[[#Headers],[SPCC]],
   COUNTIF(Herramientas_de_izaje2468[Herramientas_de_izaje], B481) &gt; 0, Herramientas_de_izaje2468[[#Headers],[Herramientas_de_izaje]],
COUNTIF(Tabla162670[Equipos], B481) &gt; 0, Tabla162670[[#Headers],[Equipos]],
    TRUE, "Sin clasificación"
)</f>
        <v>Sin clasificación</v>
      </c>
      <c r="G481" s="15"/>
      <c r="H481" s="47"/>
      <c r="I481" s="87"/>
      <c r="J481" s="78"/>
      <c r="K481" s="78"/>
      <c r="L481" s="78"/>
      <c r="M481" s="78"/>
      <c r="N481" s="76"/>
      <c r="O481" s="76"/>
      <c r="P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Q481" s="77"/>
      <c r="R481" s="32"/>
      <c r="S481" s="32"/>
      <c r="T481" s="32"/>
      <c r="U481" s="32"/>
    </row>
    <row r="482" spans="3:21" x14ac:dyDescent="0.3">
      <c r="C482" s="11"/>
      <c r="D482" s="32"/>
      <c r="E482" s="11" t="str" cm="1">
        <f t="array" ref="E482">_xlfn.IFS(
    COUNTIF(Herramientas_eléctricas1862[Herramientas_eléctricas], B482) &gt; 0, Herramientas_eléctricas1862[[#Headers],[Herramientas_eléctricas]],
    COUNTIF(Herramientas_neumáticas1963[Herramientas_neumáticas], B482) &gt; 0, Herramientas_neumáticas1963[[#Headers],[Herramientas_neumáticas]],
    COUNTIF(Herramientas_de_medición2064[Herramientas_de_medición], B482) &gt; 0, Herramientas_de_medición2064[[#Headers],[Herramientas_de_medición]],
    COUNTIF(Herrramientas_mecánicas2165[Herramientas_mecánicas], B482) &gt; 0, Herrramientas_mecánicas2165[[#Headers],[Herramientas_mecánicas]],
    COUNTIF(AK482:AK488, B482) &gt; 0, Herramientas_hidráulicas2266[[#Headers],[Herramientas_hidráulicas]],
    COUNTIF(EPP_2367[SPCC], B482) &gt; 0, EPP_2367[[#Headers],[SPCC]],
   COUNTIF(Herramientas_de_izaje2468[Herramientas_de_izaje], B482) &gt; 0, Herramientas_de_izaje2468[[#Headers],[Herramientas_de_izaje]],
COUNTIF(Tabla162670[Equipos], B482) &gt; 0, Tabla162670[[#Headers],[Equipos]],
    TRUE, "Sin clasificación"
)</f>
        <v>Sin clasificación</v>
      </c>
      <c r="G482" s="15"/>
      <c r="H482" s="47"/>
      <c r="I482" s="87"/>
      <c r="J482" s="78"/>
      <c r="K482" s="78"/>
      <c r="L482" s="78"/>
      <c r="M482" s="78"/>
      <c r="N482" s="76"/>
      <c r="O482" s="76"/>
      <c r="P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Q482" s="77"/>
      <c r="R482" s="32"/>
      <c r="S482" s="32"/>
      <c r="T482" s="32"/>
      <c r="U482" s="32"/>
    </row>
    <row r="483" spans="3:21" x14ac:dyDescent="0.3">
      <c r="C483" s="11"/>
      <c r="D483" s="32"/>
      <c r="E483" s="11" t="str" cm="1">
        <f t="array" ref="E483">_xlfn.IFS(
    COUNTIF(Herramientas_eléctricas1862[Herramientas_eléctricas], B483) &gt; 0, Herramientas_eléctricas1862[[#Headers],[Herramientas_eléctricas]],
    COUNTIF(Herramientas_neumáticas1963[Herramientas_neumáticas], B483) &gt; 0, Herramientas_neumáticas1963[[#Headers],[Herramientas_neumáticas]],
    COUNTIF(Herramientas_de_medición2064[Herramientas_de_medición], B483) &gt; 0, Herramientas_de_medición2064[[#Headers],[Herramientas_de_medición]],
    COUNTIF(Herrramientas_mecánicas2165[Herramientas_mecánicas], B483) &gt; 0, Herrramientas_mecánicas2165[[#Headers],[Herramientas_mecánicas]],
    COUNTIF(AK483:AK489, B483) &gt; 0, Herramientas_hidráulicas2266[[#Headers],[Herramientas_hidráulicas]],
    COUNTIF(EPP_2367[SPCC], B483) &gt; 0, EPP_2367[[#Headers],[SPCC]],
   COUNTIF(Herramientas_de_izaje2468[Herramientas_de_izaje], B483) &gt; 0, Herramientas_de_izaje2468[[#Headers],[Herramientas_de_izaje]],
COUNTIF(Tabla162670[Equipos], B483) &gt; 0, Tabla162670[[#Headers],[Equipos]],
    TRUE, "Sin clasificación"
)</f>
        <v>Sin clasificación</v>
      </c>
      <c r="G483" s="15"/>
      <c r="H483" s="47"/>
      <c r="I483" s="87"/>
      <c r="J483" s="78"/>
      <c r="K483" s="78"/>
      <c r="L483" s="78"/>
      <c r="M483" s="78"/>
      <c r="N483" s="76"/>
      <c r="O483" s="76"/>
      <c r="P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Q483" s="77"/>
      <c r="R483" s="32"/>
      <c r="S483" s="32"/>
      <c r="T483" s="32"/>
      <c r="U483" s="32"/>
    </row>
    <row r="484" spans="3:21" x14ac:dyDescent="0.3">
      <c r="C484" s="11"/>
      <c r="D484" s="32"/>
      <c r="E484" s="11" t="str" cm="1">
        <f t="array" ref="E484">_xlfn.IFS(
    COUNTIF(Herramientas_eléctricas1862[Herramientas_eléctricas], B484) &gt; 0, Herramientas_eléctricas1862[[#Headers],[Herramientas_eléctricas]],
    COUNTIF(Herramientas_neumáticas1963[Herramientas_neumáticas], B484) &gt; 0, Herramientas_neumáticas1963[[#Headers],[Herramientas_neumáticas]],
    COUNTIF(Herramientas_de_medición2064[Herramientas_de_medición], B484) &gt; 0, Herramientas_de_medición2064[[#Headers],[Herramientas_de_medición]],
    COUNTIF(Herrramientas_mecánicas2165[Herramientas_mecánicas], B484) &gt; 0, Herrramientas_mecánicas2165[[#Headers],[Herramientas_mecánicas]],
    COUNTIF(AK484:AK490, B484) &gt; 0, Herramientas_hidráulicas2266[[#Headers],[Herramientas_hidráulicas]],
    COUNTIF(EPP_2367[SPCC], B484) &gt; 0, EPP_2367[[#Headers],[SPCC]],
   COUNTIF(Herramientas_de_izaje2468[Herramientas_de_izaje], B484) &gt; 0, Herramientas_de_izaje2468[[#Headers],[Herramientas_de_izaje]],
COUNTIF(Tabla162670[Equipos], B484) &gt; 0, Tabla162670[[#Headers],[Equipos]],
    TRUE, "Sin clasificación"
)</f>
        <v>Sin clasificación</v>
      </c>
      <c r="G484" s="15"/>
      <c r="H484" s="47"/>
      <c r="I484" s="87"/>
      <c r="J484" s="78"/>
      <c r="K484" s="78"/>
      <c r="L484" s="78"/>
      <c r="M484" s="78"/>
      <c r="N484" s="76"/>
      <c r="O484" s="76"/>
      <c r="P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Q484" s="77"/>
      <c r="R484" s="32"/>
      <c r="S484" s="32"/>
      <c r="T484" s="32"/>
      <c r="U484" s="32"/>
    </row>
    <row r="485" spans="3:21" x14ac:dyDescent="0.3">
      <c r="C485" s="11"/>
      <c r="D485" s="32"/>
      <c r="E485" s="11" t="str" cm="1">
        <f t="array" ref="E485">_xlfn.IFS(
    COUNTIF(Herramientas_eléctricas1862[Herramientas_eléctricas], B485) &gt; 0, Herramientas_eléctricas1862[[#Headers],[Herramientas_eléctricas]],
    COUNTIF(Herramientas_neumáticas1963[Herramientas_neumáticas], B485) &gt; 0, Herramientas_neumáticas1963[[#Headers],[Herramientas_neumáticas]],
    COUNTIF(Herramientas_de_medición2064[Herramientas_de_medición], B485) &gt; 0, Herramientas_de_medición2064[[#Headers],[Herramientas_de_medición]],
    COUNTIF(Herrramientas_mecánicas2165[Herramientas_mecánicas], B485) &gt; 0, Herrramientas_mecánicas2165[[#Headers],[Herramientas_mecánicas]],
    COUNTIF(AK485:AK491, B485) &gt; 0, Herramientas_hidráulicas2266[[#Headers],[Herramientas_hidráulicas]],
    COUNTIF(EPP_2367[SPCC], B485) &gt; 0, EPP_2367[[#Headers],[SPCC]],
   COUNTIF(Herramientas_de_izaje2468[Herramientas_de_izaje], B485) &gt; 0, Herramientas_de_izaje2468[[#Headers],[Herramientas_de_izaje]],
COUNTIF(Tabla162670[Equipos], B485) &gt; 0, Tabla162670[[#Headers],[Equipos]],
    TRUE, "Sin clasificación"
)</f>
        <v>Sin clasificación</v>
      </c>
      <c r="G485" s="15"/>
      <c r="H485" s="47"/>
      <c r="I485" s="87"/>
      <c r="J485" s="78"/>
      <c r="K485" s="78"/>
      <c r="L485" s="78"/>
      <c r="M485" s="78"/>
      <c r="N485" s="76"/>
      <c r="O485" s="76"/>
      <c r="P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Q485" s="77"/>
      <c r="R485" s="32"/>
      <c r="S485" s="32"/>
      <c r="T485" s="32"/>
      <c r="U485" s="32"/>
    </row>
    <row r="486" spans="3:21" x14ac:dyDescent="0.3">
      <c r="C486" s="11"/>
      <c r="D486" s="32"/>
      <c r="E486" s="11" t="str" cm="1">
        <f t="array" ref="E486">_xlfn.IFS(
    COUNTIF(Herramientas_eléctricas1862[Herramientas_eléctricas], B486) &gt; 0, Herramientas_eléctricas1862[[#Headers],[Herramientas_eléctricas]],
    COUNTIF(Herramientas_neumáticas1963[Herramientas_neumáticas], B486) &gt; 0, Herramientas_neumáticas1963[[#Headers],[Herramientas_neumáticas]],
    COUNTIF(Herramientas_de_medición2064[Herramientas_de_medición], B486) &gt; 0, Herramientas_de_medición2064[[#Headers],[Herramientas_de_medición]],
    COUNTIF(Herrramientas_mecánicas2165[Herramientas_mecánicas], B486) &gt; 0, Herrramientas_mecánicas2165[[#Headers],[Herramientas_mecánicas]],
    COUNTIF(AK486:AK492, B486) &gt; 0, Herramientas_hidráulicas2266[[#Headers],[Herramientas_hidráulicas]],
    COUNTIF(EPP_2367[SPCC], B486) &gt; 0, EPP_2367[[#Headers],[SPCC]],
   COUNTIF(Herramientas_de_izaje2468[Herramientas_de_izaje], B486) &gt; 0, Herramientas_de_izaje2468[[#Headers],[Herramientas_de_izaje]],
COUNTIF(Tabla162670[Equipos], B486) &gt; 0, Tabla162670[[#Headers],[Equipos]],
    TRUE, "Sin clasificación"
)</f>
        <v>Sin clasificación</v>
      </c>
      <c r="G486" s="15"/>
      <c r="H486" s="47"/>
      <c r="I486" s="87"/>
      <c r="J486" s="78"/>
      <c r="K486" s="78"/>
      <c r="L486" s="78"/>
      <c r="M486" s="78"/>
      <c r="N486" s="76"/>
      <c r="O486" s="76"/>
      <c r="P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Q486" s="77"/>
      <c r="R486" s="32"/>
      <c r="S486" s="32"/>
      <c r="T486" s="32"/>
      <c r="U486" s="32"/>
    </row>
    <row r="487" spans="3:21" x14ac:dyDescent="0.3">
      <c r="C487" s="11"/>
      <c r="D487" s="32"/>
      <c r="E487" s="11" t="str" cm="1">
        <f t="array" ref="E487">_xlfn.IFS(
    COUNTIF(Herramientas_eléctricas1862[Herramientas_eléctricas], B487) &gt; 0, Herramientas_eléctricas1862[[#Headers],[Herramientas_eléctricas]],
    COUNTIF(Herramientas_neumáticas1963[Herramientas_neumáticas], B487) &gt; 0, Herramientas_neumáticas1963[[#Headers],[Herramientas_neumáticas]],
    COUNTIF(Herramientas_de_medición2064[Herramientas_de_medición], B487) &gt; 0, Herramientas_de_medición2064[[#Headers],[Herramientas_de_medición]],
    COUNTIF(Herrramientas_mecánicas2165[Herramientas_mecánicas], B487) &gt; 0, Herrramientas_mecánicas2165[[#Headers],[Herramientas_mecánicas]],
    COUNTIF(AK487:AK493, B487) &gt; 0, Herramientas_hidráulicas2266[[#Headers],[Herramientas_hidráulicas]],
    COUNTIF(EPP_2367[SPCC], B487) &gt; 0, EPP_2367[[#Headers],[SPCC]],
   COUNTIF(Herramientas_de_izaje2468[Herramientas_de_izaje], B487) &gt; 0, Herramientas_de_izaje2468[[#Headers],[Herramientas_de_izaje]],
COUNTIF(Tabla162670[Equipos], B487) &gt; 0, Tabla162670[[#Headers],[Equipos]],
    TRUE, "Sin clasificación"
)</f>
        <v>Sin clasificación</v>
      </c>
      <c r="G487" s="15"/>
      <c r="H487" s="47"/>
      <c r="I487" s="87"/>
      <c r="J487" s="78"/>
      <c r="K487" s="78"/>
      <c r="L487" s="78"/>
      <c r="M487" s="78"/>
      <c r="N487" s="76"/>
      <c r="O487" s="76"/>
      <c r="P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Q487" s="77"/>
      <c r="R487" s="32"/>
      <c r="S487" s="32"/>
      <c r="T487" s="32"/>
      <c r="U487" s="32"/>
    </row>
    <row r="488" spans="3:21" x14ac:dyDescent="0.3">
      <c r="C488" s="11"/>
      <c r="D488" s="32"/>
      <c r="E488" s="11" t="str" cm="1">
        <f t="array" ref="E488">_xlfn.IFS(
    COUNTIF(Herramientas_eléctricas1862[Herramientas_eléctricas], B488) &gt; 0, Herramientas_eléctricas1862[[#Headers],[Herramientas_eléctricas]],
    COUNTIF(Herramientas_neumáticas1963[Herramientas_neumáticas], B488) &gt; 0, Herramientas_neumáticas1963[[#Headers],[Herramientas_neumáticas]],
    COUNTIF(Herramientas_de_medición2064[Herramientas_de_medición], B488) &gt; 0, Herramientas_de_medición2064[[#Headers],[Herramientas_de_medición]],
    COUNTIF(Herrramientas_mecánicas2165[Herramientas_mecánicas], B488) &gt; 0, Herrramientas_mecánicas2165[[#Headers],[Herramientas_mecánicas]],
    COUNTIF(AK488:AK494, B488) &gt; 0, Herramientas_hidráulicas2266[[#Headers],[Herramientas_hidráulicas]],
    COUNTIF(EPP_2367[SPCC], B488) &gt; 0, EPP_2367[[#Headers],[SPCC]],
   COUNTIF(Herramientas_de_izaje2468[Herramientas_de_izaje], B488) &gt; 0, Herramientas_de_izaje2468[[#Headers],[Herramientas_de_izaje]],
COUNTIF(Tabla162670[Equipos], B488) &gt; 0, Tabla162670[[#Headers],[Equipos]],
    TRUE, "Sin clasificación"
)</f>
        <v>Sin clasificación</v>
      </c>
      <c r="G488" s="15"/>
      <c r="H488" s="47"/>
      <c r="I488" s="87"/>
      <c r="J488" s="78"/>
      <c r="K488" s="78"/>
      <c r="L488" s="78"/>
      <c r="M488" s="78"/>
      <c r="N488" s="76"/>
      <c r="O488" s="76"/>
      <c r="P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Q488" s="77"/>
      <c r="R488" s="32"/>
      <c r="S488" s="32"/>
      <c r="T488" s="32"/>
      <c r="U488" s="32"/>
    </row>
    <row r="489" spans="3:21" x14ac:dyDescent="0.3">
      <c r="C489" s="11"/>
      <c r="D489" s="32"/>
      <c r="E489" s="11" t="str" cm="1">
        <f t="array" ref="E489">_xlfn.IFS(
    COUNTIF(Herramientas_eléctricas1862[Herramientas_eléctricas], B489) &gt; 0, Herramientas_eléctricas1862[[#Headers],[Herramientas_eléctricas]],
    COUNTIF(Herramientas_neumáticas1963[Herramientas_neumáticas], B489) &gt; 0, Herramientas_neumáticas1963[[#Headers],[Herramientas_neumáticas]],
    COUNTIF(Herramientas_de_medición2064[Herramientas_de_medición], B489) &gt; 0, Herramientas_de_medición2064[[#Headers],[Herramientas_de_medición]],
    COUNTIF(Herrramientas_mecánicas2165[Herramientas_mecánicas], B489) &gt; 0, Herrramientas_mecánicas2165[[#Headers],[Herramientas_mecánicas]],
    COUNTIF(AK489:AK495, B489) &gt; 0, Herramientas_hidráulicas2266[[#Headers],[Herramientas_hidráulicas]],
    COUNTIF(EPP_2367[SPCC], B489) &gt; 0, EPP_2367[[#Headers],[SPCC]],
   COUNTIF(Herramientas_de_izaje2468[Herramientas_de_izaje], B489) &gt; 0, Herramientas_de_izaje2468[[#Headers],[Herramientas_de_izaje]],
COUNTIF(Tabla162670[Equipos], B489) &gt; 0, Tabla162670[[#Headers],[Equipos]],
    TRUE, "Sin clasificación"
)</f>
        <v>Sin clasificación</v>
      </c>
      <c r="G489" s="15"/>
      <c r="H489" s="47"/>
      <c r="I489" s="87"/>
      <c r="J489" s="78"/>
      <c r="K489" s="78"/>
      <c r="L489" s="78"/>
      <c r="M489" s="78"/>
      <c r="N489" s="76"/>
      <c r="O489" s="76"/>
      <c r="P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Q489" s="77"/>
      <c r="R489" s="32"/>
      <c r="S489" s="32"/>
      <c r="T489" s="32"/>
      <c r="U489" s="32"/>
    </row>
    <row r="490" spans="3:21" x14ac:dyDescent="0.3">
      <c r="C490" s="11"/>
      <c r="D490" s="32"/>
      <c r="E490" s="11" t="str" cm="1">
        <f t="array" ref="E490">_xlfn.IFS(
    COUNTIF(Herramientas_eléctricas1862[Herramientas_eléctricas], B490) &gt; 0, Herramientas_eléctricas1862[[#Headers],[Herramientas_eléctricas]],
    COUNTIF(Herramientas_neumáticas1963[Herramientas_neumáticas], B490) &gt; 0, Herramientas_neumáticas1963[[#Headers],[Herramientas_neumáticas]],
    COUNTIF(Herramientas_de_medición2064[Herramientas_de_medición], B490) &gt; 0, Herramientas_de_medición2064[[#Headers],[Herramientas_de_medición]],
    COUNTIF(Herrramientas_mecánicas2165[Herramientas_mecánicas], B490) &gt; 0, Herrramientas_mecánicas2165[[#Headers],[Herramientas_mecánicas]],
    COUNTIF(AK490:AK496, B490) &gt; 0, Herramientas_hidráulicas2266[[#Headers],[Herramientas_hidráulicas]],
    COUNTIF(EPP_2367[SPCC], B490) &gt; 0, EPP_2367[[#Headers],[SPCC]],
   COUNTIF(Herramientas_de_izaje2468[Herramientas_de_izaje], B490) &gt; 0, Herramientas_de_izaje2468[[#Headers],[Herramientas_de_izaje]],
COUNTIF(Tabla162670[Equipos], B490) &gt; 0, Tabla162670[[#Headers],[Equipos]],
    TRUE, "Sin clasificación"
)</f>
        <v>Sin clasificación</v>
      </c>
      <c r="G490" s="15"/>
      <c r="H490" s="47"/>
      <c r="I490" s="87"/>
      <c r="J490" s="78"/>
      <c r="K490" s="78"/>
      <c r="L490" s="78"/>
      <c r="M490" s="78"/>
      <c r="N490" s="76"/>
      <c r="O490" s="76"/>
      <c r="P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Q490" s="77"/>
      <c r="R490" s="32"/>
      <c r="S490" s="32"/>
      <c r="T490" s="32"/>
      <c r="U490" s="32"/>
    </row>
    <row r="491" spans="3:21" x14ac:dyDescent="0.3">
      <c r="C491" s="11"/>
      <c r="D491" s="32"/>
      <c r="E491" s="11" t="str" cm="1">
        <f t="array" ref="E491">_xlfn.IFS(
    COUNTIF(Herramientas_eléctricas1862[Herramientas_eléctricas], B491) &gt; 0, Herramientas_eléctricas1862[[#Headers],[Herramientas_eléctricas]],
    COUNTIF(Herramientas_neumáticas1963[Herramientas_neumáticas], B491) &gt; 0, Herramientas_neumáticas1963[[#Headers],[Herramientas_neumáticas]],
    COUNTIF(Herramientas_de_medición2064[Herramientas_de_medición], B491) &gt; 0, Herramientas_de_medición2064[[#Headers],[Herramientas_de_medición]],
    COUNTIF(Herrramientas_mecánicas2165[Herramientas_mecánicas], B491) &gt; 0, Herrramientas_mecánicas2165[[#Headers],[Herramientas_mecánicas]],
    COUNTIF(AK491:AK497, B491) &gt; 0, Herramientas_hidráulicas2266[[#Headers],[Herramientas_hidráulicas]],
    COUNTIF(EPP_2367[SPCC], B491) &gt; 0, EPP_2367[[#Headers],[SPCC]],
   COUNTIF(Herramientas_de_izaje2468[Herramientas_de_izaje], B491) &gt; 0, Herramientas_de_izaje2468[[#Headers],[Herramientas_de_izaje]],
COUNTIF(Tabla162670[Equipos], B491) &gt; 0, Tabla162670[[#Headers],[Equipos]],
    TRUE, "Sin clasificación"
)</f>
        <v>Sin clasificación</v>
      </c>
      <c r="G491" s="15"/>
      <c r="H491" s="47"/>
      <c r="I491" s="87"/>
      <c r="J491" s="78"/>
      <c r="K491" s="78"/>
      <c r="L491" s="78"/>
      <c r="M491" s="78"/>
      <c r="N491" s="76"/>
      <c r="O491" s="76"/>
      <c r="P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Q491" s="77"/>
      <c r="R491" s="32"/>
      <c r="S491" s="32"/>
      <c r="T491" s="32"/>
      <c r="U491" s="32"/>
    </row>
    <row r="492" spans="3:21" x14ac:dyDescent="0.3">
      <c r="C492" s="11"/>
      <c r="D492" s="32"/>
      <c r="E492" s="11" t="str" cm="1">
        <f t="array" ref="E492">_xlfn.IFS(
    COUNTIF(Herramientas_eléctricas1862[Herramientas_eléctricas], B492) &gt; 0, Herramientas_eléctricas1862[[#Headers],[Herramientas_eléctricas]],
    COUNTIF(Herramientas_neumáticas1963[Herramientas_neumáticas], B492) &gt; 0, Herramientas_neumáticas1963[[#Headers],[Herramientas_neumáticas]],
    COUNTIF(Herramientas_de_medición2064[Herramientas_de_medición], B492) &gt; 0, Herramientas_de_medición2064[[#Headers],[Herramientas_de_medición]],
    COUNTIF(Herrramientas_mecánicas2165[Herramientas_mecánicas], B492) &gt; 0, Herrramientas_mecánicas2165[[#Headers],[Herramientas_mecánicas]],
    COUNTIF(AK492:AK498, B492) &gt; 0, Herramientas_hidráulicas2266[[#Headers],[Herramientas_hidráulicas]],
    COUNTIF(EPP_2367[SPCC], B492) &gt; 0, EPP_2367[[#Headers],[SPCC]],
   COUNTIF(Herramientas_de_izaje2468[Herramientas_de_izaje], B492) &gt; 0, Herramientas_de_izaje2468[[#Headers],[Herramientas_de_izaje]],
COUNTIF(Tabla162670[Equipos], B492) &gt; 0, Tabla162670[[#Headers],[Equipos]],
    TRUE, "Sin clasificación"
)</f>
        <v>Sin clasificación</v>
      </c>
      <c r="G492" s="15"/>
      <c r="H492" s="47"/>
      <c r="I492" s="87"/>
      <c r="J492" s="78"/>
      <c r="K492" s="78"/>
      <c r="L492" s="78"/>
      <c r="M492" s="78"/>
      <c r="N492" s="76"/>
      <c r="O492" s="76"/>
      <c r="P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Q492" s="77"/>
      <c r="R492" s="32"/>
      <c r="S492" s="32"/>
      <c r="T492" s="32"/>
      <c r="U492" s="32"/>
    </row>
    <row r="493" spans="3:21" x14ac:dyDescent="0.3">
      <c r="C493" s="11"/>
      <c r="D493" s="32"/>
      <c r="E493" s="11" t="str" cm="1">
        <f t="array" ref="E493">_xlfn.IFS(
    COUNTIF(Herramientas_eléctricas1862[Herramientas_eléctricas], B493) &gt; 0, Herramientas_eléctricas1862[[#Headers],[Herramientas_eléctricas]],
    COUNTIF(Herramientas_neumáticas1963[Herramientas_neumáticas], B493) &gt; 0, Herramientas_neumáticas1963[[#Headers],[Herramientas_neumáticas]],
    COUNTIF(Herramientas_de_medición2064[Herramientas_de_medición], B493) &gt; 0, Herramientas_de_medición2064[[#Headers],[Herramientas_de_medición]],
    COUNTIF(Herrramientas_mecánicas2165[Herramientas_mecánicas], B493) &gt; 0, Herrramientas_mecánicas2165[[#Headers],[Herramientas_mecánicas]],
    COUNTIF(AK493:AK499, B493) &gt; 0, Herramientas_hidráulicas2266[[#Headers],[Herramientas_hidráulicas]],
    COUNTIF(EPP_2367[SPCC], B493) &gt; 0, EPP_2367[[#Headers],[SPCC]],
   COUNTIF(Herramientas_de_izaje2468[Herramientas_de_izaje], B493) &gt; 0, Herramientas_de_izaje2468[[#Headers],[Herramientas_de_izaje]],
COUNTIF(Tabla162670[Equipos], B493) &gt; 0, Tabla162670[[#Headers],[Equipos]],
    TRUE, "Sin clasificación"
)</f>
        <v>Sin clasificación</v>
      </c>
      <c r="G493" s="15"/>
      <c r="H493" s="47"/>
      <c r="I493" s="87"/>
      <c r="J493" s="78"/>
      <c r="K493" s="78"/>
      <c r="L493" s="78"/>
      <c r="M493" s="78"/>
      <c r="N493" s="76"/>
      <c r="O493" s="76"/>
      <c r="P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Q493" s="77"/>
      <c r="R493" s="32"/>
      <c r="S493" s="32"/>
      <c r="T493" s="32"/>
      <c r="U493" s="32"/>
    </row>
    <row r="494" spans="3:21" x14ac:dyDescent="0.3">
      <c r="C494" s="11"/>
      <c r="D494" s="32"/>
      <c r="E494" s="11" t="str" cm="1">
        <f t="array" ref="E494">_xlfn.IFS(
    COUNTIF(Herramientas_eléctricas1862[Herramientas_eléctricas], B494) &gt; 0, Herramientas_eléctricas1862[[#Headers],[Herramientas_eléctricas]],
    COUNTIF(Herramientas_neumáticas1963[Herramientas_neumáticas], B494) &gt; 0, Herramientas_neumáticas1963[[#Headers],[Herramientas_neumáticas]],
    COUNTIF(Herramientas_de_medición2064[Herramientas_de_medición], B494) &gt; 0, Herramientas_de_medición2064[[#Headers],[Herramientas_de_medición]],
    COUNTIF(Herrramientas_mecánicas2165[Herramientas_mecánicas], B494) &gt; 0, Herrramientas_mecánicas2165[[#Headers],[Herramientas_mecánicas]],
    COUNTIF(AK494:AK500, B494) &gt; 0, Herramientas_hidráulicas2266[[#Headers],[Herramientas_hidráulicas]],
    COUNTIF(EPP_2367[SPCC], B494) &gt; 0, EPP_2367[[#Headers],[SPCC]],
   COUNTIF(Herramientas_de_izaje2468[Herramientas_de_izaje], B494) &gt; 0, Herramientas_de_izaje2468[[#Headers],[Herramientas_de_izaje]],
COUNTIF(Tabla162670[Equipos], B494) &gt; 0, Tabla162670[[#Headers],[Equipos]],
    TRUE, "Sin clasificación"
)</f>
        <v>Sin clasificación</v>
      </c>
      <c r="G494" s="15"/>
      <c r="H494" s="47"/>
      <c r="I494" s="87"/>
      <c r="J494" s="78"/>
      <c r="K494" s="78"/>
      <c r="L494" s="78"/>
      <c r="M494" s="78"/>
      <c r="N494" s="76"/>
      <c r="O494" s="76"/>
      <c r="P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Q494" s="77"/>
      <c r="R494" s="32"/>
      <c r="S494" s="32"/>
      <c r="T494" s="32"/>
      <c r="U494" s="32"/>
    </row>
    <row r="495" spans="3:21" x14ac:dyDescent="0.3">
      <c r="C495" s="11"/>
      <c r="D495" s="32"/>
      <c r="E495" s="11" t="str" cm="1">
        <f t="array" ref="E495">_xlfn.IFS(
    COUNTIF(Herramientas_eléctricas1862[Herramientas_eléctricas], B495) &gt; 0, Herramientas_eléctricas1862[[#Headers],[Herramientas_eléctricas]],
    COUNTIF(Herramientas_neumáticas1963[Herramientas_neumáticas], B495) &gt; 0, Herramientas_neumáticas1963[[#Headers],[Herramientas_neumáticas]],
    COUNTIF(Herramientas_de_medición2064[Herramientas_de_medición], B495) &gt; 0, Herramientas_de_medición2064[[#Headers],[Herramientas_de_medición]],
    COUNTIF(Herrramientas_mecánicas2165[Herramientas_mecánicas], B495) &gt; 0, Herrramientas_mecánicas2165[[#Headers],[Herramientas_mecánicas]],
    COUNTIF(AK495:AK501, B495) &gt; 0, Herramientas_hidráulicas2266[[#Headers],[Herramientas_hidráulicas]],
    COUNTIF(EPP_2367[SPCC], B495) &gt; 0, EPP_2367[[#Headers],[SPCC]],
   COUNTIF(Herramientas_de_izaje2468[Herramientas_de_izaje], B495) &gt; 0, Herramientas_de_izaje2468[[#Headers],[Herramientas_de_izaje]],
COUNTIF(Tabla162670[Equipos], B495) &gt; 0, Tabla162670[[#Headers],[Equipos]],
    TRUE, "Sin clasificación"
)</f>
        <v>Sin clasificación</v>
      </c>
      <c r="G495" s="15"/>
      <c r="H495" s="47"/>
      <c r="I495" s="87"/>
      <c r="J495" s="78"/>
      <c r="K495" s="78"/>
      <c r="L495" s="78"/>
      <c r="M495" s="78"/>
      <c r="N495" s="76"/>
      <c r="O495" s="76"/>
      <c r="P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Q495" s="77"/>
      <c r="R495" s="32"/>
      <c r="S495" s="32"/>
      <c r="T495" s="32"/>
      <c r="U495" s="32"/>
    </row>
    <row r="496" spans="3:21" x14ac:dyDescent="0.3">
      <c r="C496" s="11"/>
      <c r="D496" s="32"/>
      <c r="E496" s="11" t="str" cm="1">
        <f t="array" ref="E496">_xlfn.IFS(
    COUNTIF(Herramientas_eléctricas1862[Herramientas_eléctricas], B496) &gt; 0, Herramientas_eléctricas1862[[#Headers],[Herramientas_eléctricas]],
    COUNTIF(Herramientas_neumáticas1963[Herramientas_neumáticas], B496) &gt; 0, Herramientas_neumáticas1963[[#Headers],[Herramientas_neumáticas]],
    COUNTIF(Herramientas_de_medición2064[Herramientas_de_medición], B496) &gt; 0, Herramientas_de_medición2064[[#Headers],[Herramientas_de_medición]],
    COUNTIF(Herrramientas_mecánicas2165[Herramientas_mecánicas], B496) &gt; 0, Herrramientas_mecánicas2165[[#Headers],[Herramientas_mecánicas]],
    COUNTIF(AK496:AK502, B496) &gt; 0, Herramientas_hidráulicas2266[[#Headers],[Herramientas_hidráulicas]],
    COUNTIF(EPP_2367[SPCC], B496) &gt; 0, EPP_2367[[#Headers],[SPCC]],
   COUNTIF(Herramientas_de_izaje2468[Herramientas_de_izaje], B496) &gt; 0, Herramientas_de_izaje2468[[#Headers],[Herramientas_de_izaje]],
COUNTIF(Tabla162670[Equipos], B496) &gt; 0, Tabla162670[[#Headers],[Equipos]],
    TRUE, "Sin clasificación"
)</f>
        <v>Sin clasificación</v>
      </c>
      <c r="G496" s="15"/>
      <c r="H496" s="47"/>
      <c r="I496" s="87"/>
      <c r="J496" s="78"/>
      <c r="K496" s="78"/>
      <c r="L496" s="78"/>
      <c r="M496" s="78"/>
      <c r="N496" s="76"/>
      <c r="O496" s="76"/>
      <c r="P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Q496" s="77"/>
      <c r="R496" s="32"/>
      <c r="S496" s="32"/>
      <c r="T496" s="32"/>
      <c r="U496" s="32"/>
    </row>
    <row r="497" spans="3:21" x14ac:dyDescent="0.3">
      <c r="C497" s="11"/>
      <c r="D497" s="32"/>
      <c r="E497" s="11" t="str" cm="1">
        <f t="array" ref="E497">_xlfn.IFS(
    COUNTIF(Herramientas_eléctricas1862[Herramientas_eléctricas], B497) &gt; 0, Herramientas_eléctricas1862[[#Headers],[Herramientas_eléctricas]],
    COUNTIF(Herramientas_neumáticas1963[Herramientas_neumáticas], B497) &gt; 0, Herramientas_neumáticas1963[[#Headers],[Herramientas_neumáticas]],
    COUNTIF(Herramientas_de_medición2064[Herramientas_de_medición], B497) &gt; 0, Herramientas_de_medición2064[[#Headers],[Herramientas_de_medición]],
    COUNTIF(Herrramientas_mecánicas2165[Herramientas_mecánicas], B497) &gt; 0, Herrramientas_mecánicas2165[[#Headers],[Herramientas_mecánicas]],
    COUNTIF(AK497:AK503, B497) &gt; 0, Herramientas_hidráulicas2266[[#Headers],[Herramientas_hidráulicas]],
    COUNTIF(EPP_2367[SPCC], B497) &gt; 0, EPP_2367[[#Headers],[SPCC]],
   COUNTIF(Herramientas_de_izaje2468[Herramientas_de_izaje], B497) &gt; 0, Herramientas_de_izaje2468[[#Headers],[Herramientas_de_izaje]],
COUNTIF(Tabla162670[Equipos], B497) &gt; 0, Tabla162670[[#Headers],[Equipos]],
    TRUE, "Sin clasificación"
)</f>
        <v>Sin clasificación</v>
      </c>
      <c r="G497" s="15"/>
      <c r="H497" s="47"/>
      <c r="I497" s="87"/>
      <c r="J497" s="78"/>
      <c r="K497" s="78"/>
      <c r="L497" s="78"/>
      <c r="M497" s="78"/>
      <c r="N497" s="76"/>
      <c r="O497" s="76"/>
      <c r="P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Q497" s="77"/>
      <c r="R497" s="32"/>
      <c r="S497" s="32"/>
      <c r="T497" s="32"/>
      <c r="U497" s="32"/>
    </row>
    <row r="498" spans="3:21" x14ac:dyDescent="0.3">
      <c r="C498" s="11"/>
      <c r="D498" s="32"/>
      <c r="E498" s="11" t="str" cm="1">
        <f t="array" ref="E498">_xlfn.IFS(
    COUNTIF(Herramientas_eléctricas1862[Herramientas_eléctricas], B498) &gt; 0, Herramientas_eléctricas1862[[#Headers],[Herramientas_eléctricas]],
    COUNTIF(Herramientas_neumáticas1963[Herramientas_neumáticas], B498) &gt; 0, Herramientas_neumáticas1963[[#Headers],[Herramientas_neumáticas]],
    COUNTIF(Herramientas_de_medición2064[Herramientas_de_medición], B498) &gt; 0, Herramientas_de_medición2064[[#Headers],[Herramientas_de_medición]],
    COUNTIF(Herrramientas_mecánicas2165[Herramientas_mecánicas], B498) &gt; 0, Herrramientas_mecánicas2165[[#Headers],[Herramientas_mecánicas]],
    COUNTIF(AK498:AK504, B498) &gt; 0, Herramientas_hidráulicas2266[[#Headers],[Herramientas_hidráulicas]],
    COUNTIF(EPP_2367[SPCC], B498) &gt; 0, EPP_2367[[#Headers],[SPCC]],
   COUNTIF(Herramientas_de_izaje2468[Herramientas_de_izaje], B498) &gt; 0, Herramientas_de_izaje2468[[#Headers],[Herramientas_de_izaje]],
COUNTIF(Tabla162670[Equipos], B498) &gt; 0, Tabla162670[[#Headers],[Equipos]],
    TRUE, "Sin clasificación"
)</f>
        <v>Sin clasificación</v>
      </c>
      <c r="G498" s="15"/>
      <c r="H498" s="47"/>
      <c r="I498" s="87"/>
      <c r="J498" s="78"/>
      <c r="K498" s="78"/>
      <c r="L498" s="78"/>
      <c r="M498" s="78"/>
      <c r="N498" s="76"/>
      <c r="O498" s="76"/>
      <c r="P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Q498" s="77"/>
      <c r="R498" s="32"/>
      <c r="S498" s="32"/>
      <c r="T498" s="32"/>
      <c r="U498" s="32"/>
    </row>
    <row r="499" spans="3:21" x14ac:dyDescent="0.3">
      <c r="C499" s="11"/>
      <c r="D499" s="32"/>
      <c r="E499" s="11" t="str" cm="1">
        <f t="array" ref="E499">_xlfn.IFS(
    COUNTIF(Herramientas_eléctricas1862[Herramientas_eléctricas], B499) &gt; 0, Herramientas_eléctricas1862[[#Headers],[Herramientas_eléctricas]],
    COUNTIF(Herramientas_neumáticas1963[Herramientas_neumáticas], B499) &gt; 0, Herramientas_neumáticas1963[[#Headers],[Herramientas_neumáticas]],
    COUNTIF(Herramientas_de_medición2064[Herramientas_de_medición], B499) &gt; 0, Herramientas_de_medición2064[[#Headers],[Herramientas_de_medición]],
    COUNTIF(Herrramientas_mecánicas2165[Herramientas_mecánicas], B499) &gt; 0, Herrramientas_mecánicas2165[[#Headers],[Herramientas_mecánicas]],
    COUNTIF(AK499:AK505, B499) &gt; 0, Herramientas_hidráulicas2266[[#Headers],[Herramientas_hidráulicas]],
    COUNTIF(EPP_2367[SPCC], B499) &gt; 0, EPP_2367[[#Headers],[SPCC]],
   COUNTIF(Herramientas_de_izaje2468[Herramientas_de_izaje], B499) &gt; 0, Herramientas_de_izaje2468[[#Headers],[Herramientas_de_izaje]],
COUNTIF(Tabla162670[Equipos], B499) &gt; 0, Tabla162670[[#Headers],[Equipos]],
    TRUE, "Sin clasificación"
)</f>
        <v>Sin clasificación</v>
      </c>
      <c r="G499" s="15"/>
      <c r="H499" s="47"/>
      <c r="I499" s="87"/>
      <c r="J499" s="78"/>
      <c r="K499" s="78"/>
      <c r="L499" s="78"/>
      <c r="M499" s="78"/>
      <c r="N499" s="76"/>
      <c r="O499" s="76"/>
      <c r="P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Q499" s="77"/>
      <c r="R499" s="32"/>
      <c r="S499" s="32"/>
      <c r="T499" s="32"/>
      <c r="U499" s="32"/>
    </row>
    <row r="500" spans="3:21" x14ac:dyDescent="0.3">
      <c r="C500" s="11"/>
      <c r="D500" s="32"/>
      <c r="E500" s="11" t="str" cm="1">
        <f t="array" ref="E500">_xlfn.IFS(
    COUNTIF(Herramientas_eléctricas1862[Herramientas_eléctricas], B500) &gt; 0, Herramientas_eléctricas1862[[#Headers],[Herramientas_eléctricas]],
    COUNTIF(Herramientas_neumáticas1963[Herramientas_neumáticas], B500) &gt; 0, Herramientas_neumáticas1963[[#Headers],[Herramientas_neumáticas]],
    COUNTIF(Herramientas_de_medición2064[Herramientas_de_medición], B500) &gt; 0, Herramientas_de_medición2064[[#Headers],[Herramientas_de_medición]],
    COUNTIF(Herrramientas_mecánicas2165[Herramientas_mecánicas], B500) &gt; 0, Herrramientas_mecánicas2165[[#Headers],[Herramientas_mecánicas]],
    COUNTIF(AK500:AK506, B500) &gt; 0, Herramientas_hidráulicas2266[[#Headers],[Herramientas_hidráulicas]],
    COUNTIF(EPP_2367[SPCC], B500) &gt; 0, EPP_2367[[#Headers],[SPCC]],
   COUNTIF(Herramientas_de_izaje2468[Herramientas_de_izaje], B500) &gt; 0, Herramientas_de_izaje2468[[#Headers],[Herramientas_de_izaje]],
COUNTIF(Tabla162670[Equipos], B500) &gt; 0, Tabla162670[[#Headers],[Equipos]],
    TRUE, "Sin clasificación"
)</f>
        <v>Sin clasificación</v>
      </c>
      <c r="G500" s="15"/>
      <c r="H500" s="47"/>
      <c r="I500" s="87"/>
      <c r="J500" s="78"/>
      <c r="K500" s="78"/>
      <c r="L500" s="78"/>
      <c r="M500" s="78"/>
      <c r="N500" s="76"/>
      <c r="O500" s="76"/>
      <c r="P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Q500" s="77"/>
      <c r="R500" s="32"/>
      <c r="S500" s="32"/>
      <c r="T500" s="32"/>
      <c r="U500" s="32"/>
    </row>
    <row r="501" spans="3:21" x14ac:dyDescent="0.3">
      <c r="C501" s="11"/>
      <c r="D501" s="32"/>
      <c r="E501" s="11" t="str" cm="1">
        <f t="array" ref="E501">_xlfn.IFS(
    COUNTIF(Herramientas_eléctricas1862[Herramientas_eléctricas], B501) &gt; 0, Herramientas_eléctricas1862[[#Headers],[Herramientas_eléctricas]],
    COUNTIF(Herramientas_neumáticas1963[Herramientas_neumáticas], B501) &gt; 0, Herramientas_neumáticas1963[[#Headers],[Herramientas_neumáticas]],
    COUNTIF(Herramientas_de_medición2064[Herramientas_de_medición], B501) &gt; 0, Herramientas_de_medición2064[[#Headers],[Herramientas_de_medición]],
    COUNTIF(Herrramientas_mecánicas2165[Herramientas_mecánicas], B501) &gt; 0, Herrramientas_mecánicas2165[[#Headers],[Herramientas_mecánicas]],
    COUNTIF(AK501:AK507, B501) &gt; 0, Herramientas_hidráulicas2266[[#Headers],[Herramientas_hidráulicas]],
    COUNTIF(EPP_2367[SPCC], B501) &gt; 0, EPP_2367[[#Headers],[SPCC]],
   COUNTIF(Herramientas_de_izaje2468[Herramientas_de_izaje], B501) &gt; 0, Herramientas_de_izaje2468[[#Headers],[Herramientas_de_izaje]],
COUNTIF(Tabla162670[Equipos], B501) &gt; 0, Tabla162670[[#Headers],[Equipos]],
    TRUE, "Sin clasificación"
)</f>
        <v>Sin clasificación</v>
      </c>
      <c r="G501" s="15"/>
      <c r="H501" s="47"/>
      <c r="I501" s="87"/>
      <c r="J501" s="78"/>
      <c r="K501" s="78"/>
      <c r="L501" s="78"/>
      <c r="M501" s="78"/>
      <c r="N501" s="76"/>
      <c r="O501" s="76"/>
      <c r="P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Q501" s="77"/>
      <c r="R501" s="32"/>
      <c r="S501" s="32"/>
      <c r="T501" s="32"/>
      <c r="U501" s="32"/>
    </row>
    <row r="502" spans="3:21" x14ac:dyDescent="0.3">
      <c r="C502" s="11"/>
      <c r="D502" s="32"/>
      <c r="E502" s="11" t="str" cm="1">
        <f t="array" ref="E502">_xlfn.IFS(
    COUNTIF(Herramientas_eléctricas1862[Herramientas_eléctricas], B502) &gt; 0, Herramientas_eléctricas1862[[#Headers],[Herramientas_eléctricas]],
    COUNTIF(Herramientas_neumáticas1963[Herramientas_neumáticas], B502) &gt; 0, Herramientas_neumáticas1963[[#Headers],[Herramientas_neumáticas]],
    COUNTIF(Herramientas_de_medición2064[Herramientas_de_medición], B502) &gt; 0, Herramientas_de_medición2064[[#Headers],[Herramientas_de_medición]],
    COUNTIF(Herrramientas_mecánicas2165[Herramientas_mecánicas], B502) &gt; 0, Herrramientas_mecánicas2165[[#Headers],[Herramientas_mecánicas]],
    COUNTIF(AK502:AK508, B502) &gt; 0, Herramientas_hidráulicas2266[[#Headers],[Herramientas_hidráulicas]],
    COUNTIF(EPP_2367[SPCC], B502) &gt; 0, EPP_2367[[#Headers],[SPCC]],
   COUNTIF(Herramientas_de_izaje2468[Herramientas_de_izaje], B502) &gt; 0, Herramientas_de_izaje2468[[#Headers],[Herramientas_de_izaje]],
COUNTIF(Tabla162670[Equipos], B502) &gt; 0, Tabla162670[[#Headers],[Equipos]],
    TRUE, "Sin clasificación"
)</f>
        <v>Sin clasificación</v>
      </c>
      <c r="G502" s="15"/>
      <c r="H502" s="47"/>
      <c r="I502" s="87"/>
      <c r="J502" s="78"/>
      <c r="K502" s="78"/>
      <c r="L502" s="78"/>
      <c r="M502" s="78"/>
      <c r="N502" s="76"/>
      <c r="O502" s="76"/>
      <c r="P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Q502" s="77"/>
      <c r="R502" s="32"/>
      <c r="S502" s="32"/>
      <c r="T502" s="32"/>
      <c r="U502" s="32"/>
    </row>
    <row r="503" spans="3:21" x14ac:dyDescent="0.3">
      <c r="C503" s="11"/>
      <c r="D503" s="32"/>
      <c r="E503" s="11" t="str" cm="1">
        <f t="array" ref="E503">_xlfn.IFS(
    COUNTIF(Herramientas_eléctricas1862[Herramientas_eléctricas], B503) &gt; 0, Herramientas_eléctricas1862[[#Headers],[Herramientas_eléctricas]],
    COUNTIF(Herramientas_neumáticas1963[Herramientas_neumáticas], B503) &gt; 0, Herramientas_neumáticas1963[[#Headers],[Herramientas_neumáticas]],
    COUNTIF(Herramientas_de_medición2064[Herramientas_de_medición], B503) &gt; 0, Herramientas_de_medición2064[[#Headers],[Herramientas_de_medición]],
    COUNTIF(Herrramientas_mecánicas2165[Herramientas_mecánicas], B503) &gt; 0, Herrramientas_mecánicas2165[[#Headers],[Herramientas_mecánicas]],
    COUNTIF(AK503:AK509, B503) &gt; 0, Herramientas_hidráulicas2266[[#Headers],[Herramientas_hidráulicas]],
    COUNTIF(EPP_2367[SPCC], B503) &gt; 0, EPP_2367[[#Headers],[SPCC]],
   COUNTIF(Herramientas_de_izaje2468[Herramientas_de_izaje], B503) &gt; 0, Herramientas_de_izaje2468[[#Headers],[Herramientas_de_izaje]],
COUNTIF(Tabla162670[Equipos], B503) &gt; 0, Tabla162670[[#Headers],[Equipos]],
    TRUE, "Sin clasificación"
)</f>
        <v>Sin clasificación</v>
      </c>
      <c r="G503" s="15"/>
      <c r="H503" s="47"/>
      <c r="I503" s="87"/>
      <c r="J503" s="78"/>
      <c r="K503" s="78"/>
      <c r="L503" s="78"/>
      <c r="M503" s="78"/>
      <c r="N503" s="76"/>
      <c r="O503" s="76"/>
      <c r="P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Q503" s="77"/>
      <c r="R503" s="32"/>
      <c r="S503" s="32"/>
      <c r="T503" s="32"/>
      <c r="U503" s="32"/>
    </row>
    <row r="504" spans="3:21" x14ac:dyDescent="0.3">
      <c r="C504" s="11"/>
      <c r="D504" s="32"/>
      <c r="E504" s="11" t="str" cm="1">
        <f t="array" ref="E504">_xlfn.IFS(
    COUNTIF(Herramientas_eléctricas1862[Herramientas_eléctricas], B504) &gt; 0, Herramientas_eléctricas1862[[#Headers],[Herramientas_eléctricas]],
    COUNTIF(Herramientas_neumáticas1963[Herramientas_neumáticas], B504) &gt; 0, Herramientas_neumáticas1963[[#Headers],[Herramientas_neumáticas]],
    COUNTIF(Herramientas_de_medición2064[Herramientas_de_medición], B504) &gt; 0, Herramientas_de_medición2064[[#Headers],[Herramientas_de_medición]],
    COUNTIF(Herrramientas_mecánicas2165[Herramientas_mecánicas], B504) &gt; 0, Herrramientas_mecánicas2165[[#Headers],[Herramientas_mecánicas]],
    COUNTIF(AK504:AK510, B504) &gt; 0, Herramientas_hidráulicas2266[[#Headers],[Herramientas_hidráulicas]],
    COUNTIF(EPP_2367[SPCC], B504) &gt; 0, EPP_2367[[#Headers],[SPCC]],
   COUNTIF(Herramientas_de_izaje2468[Herramientas_de_izaje], B504) &gt; 0, Herramientas_de_izaje2468[[#Headers],[Herramientas_de_izaje]],
COUNTIF(Tabla162670[Equipos], B504) &gt; 0, Tabla162670[[#Headers],[Equipos]],
    TRUE, "Sin clasificación"
)</f>
        <v>Sin clasificación</v>
      </c>
      <c r="G504" s="15"/>
      <c r="H504" s="47"/>
      <c r="I504" s="87"/>
      <c r="J504" s="78"/>
      <c r="K504" s="78"/>
      <c r="L504" s="78"/>
      <c r="M504" s="78"/>
      <c r="N504" s="76"/>
      <c r="O504" s="76"/>
      <c r="P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Q504" s="77"/>
      <c r="R504" s="32"/>
      <c r="S504" s="32"/>
      <c r="T504" s="32"/>
      <c r="U504" s="32"/>
    </row>
    <row r="505" spans="3:21" x14ac:dyDescent="0.3">
      <c r="C505" s="11"/>
      <c r="D505" s="32"/>
      <c r="E505" s="11" t="str" cm="1">
        <f t="array" ref="E505">_xlfn.IFS(
    COUNTIF(Herramientas_eléctricas1862[Herramientas_eléctricas], B505) &gt; 0, Herramientas_eléctricas1862[[#Headers],[Herramientas_eléctricas]],
    COUNTIF(Herramientas_neumáticas1963[Herramientas_neumáticas], B505) &gt; 0, Herramientas_neumáticas1963[[#Headers],[Herramientas_neumáticas]],
    COUNTIF(Herramientas_de_medición2064[Herramientas_de_medición], B505) &gt; 0, Herramientas_de_medición2064[[#Headers],[Herramientas_de_medición]],
    COUNTIF(Herrramientas_mecánicas2165[Herramientas_mecánicas], B505) &gt; 0, Herrramientas_mecánicas2165[[#Headers],[Herramientas_mecánicas]],
    COUNTIF(AK505:AK511, B505) &gt; 0, Herramientas_hidráulicas2266[[#Headers],[Herramientas_hidráulicas]],
    COUNTIF(EPP_2367[SPCC], B505) &gt; 0, EPP_2367[[#Headers],[SPCC]],
   COUNTIF(Herramientas_de_izaje2468[Herramientas_de_izaje], B505) &gt; 0, Herramientas_de_izaje2468[[#Headers],[Herramientas_de_izaje]],
COUNTIF(Tabla162670[Equipos], B505) &gt; 0, Tabla162670[[#Headers],[Equipos]],
    TRUE, "Sin clasificación"
)</f>
        <v>Sin clasificación</v>
      </c>
      <c r="G505" s="15"/>
      <c r="H505" s="47"/>
      <c r="I505" s="87"/>
      <c r="J505" s="78"/>
      <c r="K505" s="78"/>
      <c r="L505" s="78"/>
      <c r="M505" s="78"/>
      <c r="N505" s="76"/>
      <c r="O505" s="76"/>
      <c r="P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Q505" s="77"/>
      <c r="R505" s="32"/>
      <c r="S505" s="32"/>
      <c r="T505" s="32"/>
      <c r="U505" s="32"/>
    </row>
    <row r="506" spans="3:21" x14ac:dyDescent="0.3">
      <c r="C506" s="11"/>
      <c r="D506" s="32"/>
      <c r="E506" s="11" t="str" cm="1">
        <f t="array" ref="E506">_xlfn.IFS(
    COUNTIF(Herramientas_eléctricas1862[Herramientas_eléctricas], B506) &gt; 0, Herramientas_eléctricas1862[[#Headers],[Herramientas_eléctricas]],
    COUNTIF(Herramientas_neumáticas1963[Herramientas_neumáticas], B506) &gt; 0, Herramientas_neumáticas1963[[#Headers],[Herramientas_neumáticas]],
    COUNTIF(Herramientas_de_medición2064[Herramientas_de_medición], B506) &gt; 0, Herramientas_de_medición2064[[#Headers],[Herramientas_de_medición]],
    COUNTIF(Herrramientas_mecánicas2165[Herramientas_mecánicas], B506) &gt; 0, Herrramientas_mecánicas2165[[#Headers],[Herramientas_mecánicas]],
    COUNTIF(AK506:AK512, B506) &gt; 0, Herramientas_hidráulicas2266[[#Headers],[Herramientas_hidráulicas]],
    COUNTIF(EPP_2367[SPCC], B506) &gt; 0, EPP_2367[[#Headers],[SPCC]],
   COUNTIF(Herramientas_de_izaje2468[Herramientas_de_izaje], B506) &gt; 0, Herramientas_de_izaje2468[[#Headers],[Herramientas_de_izaje]],
COUNTIF(Tabla162670[Equipos], B506) &gt; 0, Tabla162670[[#Headers],[Equipos]],
    TRUE, "Sin clasificación"
)</f>
        <v>Sin clasificación</v>
      </c>
      <c r="G506" s="15"/>
      <c r="H506" s="47"/>
      <c r="I506" s="87"/>
      <c r="J506" s="78"/>
      <c r="K506" s="78"/>
      <c r="L506" s="78"/>
      <c r="M506" s="78"/>
      <c r="N506" s="76"/>
      <c r="O506" s="76"/>
      <c r="P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Q506" s="77"/>
      <c r="R506" s="32"/>
      <c r="S506" s="32"/>
      <c r="T506" s="32"/>
      <c r="U506" s="32"/>
    </row>
    <row r="507" spans="3:21" x14ac:dyDescent="0.3">
      <c r="C507" s="11"/>
      <c r="D507" s="32"/>
      <c r="E507" s="11" t="str" cm="1">
        <f t="array" ref="E507">_xlfn.IFS(
    COUNTIF(Herramientas_eléctricas1862[Herramientas_eléctricas], B507) &gt; 0, Herramientas_eléctricas1862[[#Headers],[Herramientas_eléctricas]],
    COUNTIF(Herramientas_neumáticas1963[Herramientas_neumáticas], B507) &gt; 0, Herramientas_neumáticas1963[[#Headers],[Herramientas_neumáticas]],
    COUNTIF(Herramientas_de_medición2064[Herramientas_de_medición], B507) &gt; 0, Herramientas_de_medición2064[[#Headers],[Herramientas_de_medición]],
    COUNTIF(Herrramientas_mecánicas2165[Herramientas_mecánicas], B507) &gt; 0, Herrramientas_mecánicas2165[[#Headers],[Herramientas_mecánicas]],
    COUNTIF(AK507:AK513, B507) &gt; 0, Herramientas_hidráulicas2266[[#Headers],[Herramientas_hidráulicas]],
    COUNTIF(EPP_2367[SPCC], B507) &gt; 0, EPP_2367[[#Headers],[SPCC]],
   COUNTIF(Herramientas_de_izaje2468[Herramientas_de_izaje], B507) &gt; 0, Herramientas_de_izaje2468[[#Headers],[Herramientas_de_izaje]],
COUNTIF(Tabla162670[Equipos], B507) &gt; 0, Tabla162670[[#Headers],[Equipos]],
    TRUE, "Sin clasificación"
)</f>
        <v>Sin clasificación</v>
      </c>
      <c r="G507" s="15"/>
      <c r="H507" s="47"/>
      <c r="I507" s="87"/>
      <c r="J507" s="78"/>
      <c r="K507" s="78"/>
      <c r="L507" s="78"/>
      <c r="M507" s="78"/>
      <c r="N507" s="76"/>
      <c r="O507" s="76"/>
      <c r="P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Q507" s="77"/>
      <c r="R507" s="32"/>
      <c r="S507" s="32"/>
      <c r="T507" s="32"/>
      <c r="U507" s="32"/>
    </row>
    <row r="508" spans="3:21" x14ac:dyDescent="0.3">
      <c r="C508" s="11"/>
      <c r="D508" s="32"/>
      <c r="E508" s="11" t="str" cm="1">
        <f t="array" ref="E508">_xlfn.IFS(
    COUNTIF(Herramientas_eléctricas1862[Herramientas_eléctricas], B508) &gt; 0, Herramientas_eléctricas1862[[#Headers],[Herramientas_eléctricas]],
    COUNTIF(Herramientas_neumáticas1963[Herramientas_neumáticas], B508) &gt; 0, Herramientas_neumáticas1963[[#Headers],[Herramientas_neumáticas]],
    COUNTIF(Herramientas_de_medición2064[Herramientas_de_medición], B508) &gt; 0, Herramientas_de_medición2064[[#Headers],[Herramientas_de_medición]],
    COUNTIF(Herrramientas_mecánicas2165[Herramientas_mecánicas], B508) &gt; 0, Herrramientas_mecánicas2165[[#Headers],[Herramientas_mecánicas]],
    COUNTIF(AK508:AK514, B508) &gt; 0, Herramientas_hidráulicas2266[[#Headers],[Herramientas_hidráulicas]],
    COUNTIF(EPP_2367[SPCC], B508) &gt; 0, EPP_2367[[#Headers],[SPCC]],
   COUNTIF(Herramientas_de_izaje2468[Herramientas_de_izaje], B508) &gt; 0, Herramientas_de_izaje2468[[#Headers],[Herramientas_de_izaje]],
COUNTIF(Tabla162670[Equipos], B508) &gt; 0, Tabla162670[[#Headers],[Equipos]],
    TRUE, "Sin clasificación"
)</f>
        <v>Sin clasificación</v>
      </c>
      <c r="G508" s="15"/>
      <c r="H508" s="47"/>
      <c r="I508" s="87"/>
      <c r="J508" s="78"/>
      <c r="K508" s="78"/>
      <c r="L508" s="78"/>
      <c r="M508" s="78"/>
      <c r="N508" s="76"/>
      <c r="O508" s="76"/>
      <c r="P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Q508" s="77"/>
      <c r="R508" s="32"/>
      <c r="S508" s="32"/>
      <c r="T508" s="32"/>
      <c r="U508" s="32"/>
    </row>
    <row r="509" spans="3:21" x14ac:dyDescent="0.3">
      <c r="C509" s="11"/>
      <c r="D509" s="32"/>
      <c r="E509" s="11" t="str" cm="1">
        <f t="array" ref="E509">_xlfn.IFS(
    COUNTIF(Herramientas_eléctricas1862[Herramientas_eléctricas], B509) &gt; 0, Herramientas_eléctricas1862[[#Headers],[Herramientas_eléctricas]],
    COUNTIF(Herramientas_neumáticas1963[Herramientas_neumáticas], B509) &gt; 0, Herramientas_neumáticas1963[[#Headers],[Herramientas_neumáticas]],
    COUNTIF(Herramientas_de_medición2064[Herramientas_de_medición], B509) &gt; 0, Herramientas_de_medición2064[[#Headers],[Herramientas_de_medición]],
    COUNTIF(Herrramientas_mecánicas2165[Herramientas_mecánicas], B509) &gt; 0, Herrramientas_mecánicas2165[[#Headers],[Herramientas_mecánicas]],
    COUNTIF(AK509:AK515, B509) &gt; 0, Herramientas_hidráulicas2266[[#Headers],[Herramientas_hidráulicas]],
    COUNTIF(EPP_2367[SPCC], B509) &gt; 0, EPP_2367[[#Headers],[SPCC]],
   COUNTIF(Herramientas_de_izaje2468[Herramientas_de_izaje], B509) &gt; 0, Herramientas_de_izaje2468[[#Headers],[Herramientas_de_izaje]],
COUNTIF(Tabla162670[Equipos], B509) &gt; 0, Tabla162670[[#Headers],[Equipos]],
    TRUE, "Sin clasificación"
)</f>
        <v>Sin clasificación</v>
      </c>
      <c r="G509" s="15"/>
      <c r="H509" s="47"/>
      <c r="I509" s="87"/>
      <c r="J509" s="78"/>
      <c r="K509" s="78"/>
      <c r="L509" s="78"/>
      <c r="M509" s="78"/>
      <c r="N509" s="76"/>
      <c r="O509" s="76"/>
      <c r="P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Q509" s="77"/>
      <c r="R509" s="32"/>
      <c r="S509" s="32"/>
      <c r="T509" s="32"/>
      <c r="U509" s="32"/>
    </row>
    <row r="510" spans="3:21" x14ac:dyDescent="0.3">
      <c r="C510" s="11"/>
      <c r="D510" s="32"/>
      <c r="E510" s="11" t="str" cm="1">
        <f t="array" ref="E510">_xlfn.IFS(
    COUNTIF(Herramientas_eléctricas1862[Herramientas_eléctricas], B510) &gt; 0, Herramientas_eléctricas1862[[#Headers],[Herramientas_eléctricas]],
    COUNTIF(Herramientas_neumáticas1963[Herramientas_neumáticas], B510) &gt; 0, Herramientas_neumáticas1963[[#Headers],[Herramientas_neumáticas]],
    COUNTIF(Herramientas_de_medición2064[Herramientas_de_medición], B510) &gt; 0, Herramientas_de_medición2064[[#Headers],[Herramientas_de_medición]],
    COUNTIF(Herrramientas_mecánicas2165[Herramientas_mecánicas], B510) &gt; 0, Herrramientas_mecánicas2165[[#Headers],[Herramientas_mecánicas]],
    COUNTIF(AK510:AK516, B510) &gt; 0, Herramientas_hidráulicas2266[[#Headers],[Herramientas_hidráulicas]],
    COUNTIF(EPP_2367[SPCC], B510) &gt; 0, EPP_2367[[#Headers],[SPCC]],
   COUNTIF(Herramientas_de_izaje2468[Herramientas_de_izaje], B510) &gt; 0, Herramientas_de_izaje2468[[#Headers],[Herramientas_de_izaje]],
COUNTIF(Tabla162670[Equipos], B510) &gt; 0, Tabla162670[[#Headers],[Equipos]],
    TRUE, "Sin clasificación"
)</f>
        <v>Sin clasificación</v>
      </c>
      <c r="G510" s="15"/>
      <c r="H510" s="47"/>
      <c r="I510" s="87"/>
      <c r="J510" s="78"/>
      <c r="K510" s="78"/>
      <c r="L510" s="78"/>
      <c r="M510" s="78"/>
      <c r="N510" s="76"/>
      <c r="O510" s="76"/>
      <c r="P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Q510" s="77"/>
      <c r="R510" s="32"/>
      <c r="S510" s="32"/>
      <c r="T510" s="32"/>
      <c r="U510" s="32"/>
    </row>
    <row r="511" spans="3:21" x14ac:dyDescent="0.3">
      <c r="C511" s="11"/>
      <c r="D511" s="32"/>
      <c r="E511" s="11" t="str" cm="1">
        <f t="array" ref="E511">_xlfn.IFS(
    COUNTIF(Herramientas_eléctricas1862[Herramientas_eléctricas], B511) &gt; 0, Herramientas_eléctricas1862[[#Headers],[Herramientas_eléctricas]],
    COUNTIF(Herramientas_neumáticas1963[Herramientas_neumáticas], B511) &gt; 0, Herramientas_neumáticas1963[[#Headers],[Herramientas_neumáticas]],
    COUNTIF(Herramientas_de_medición2064[Herramientas_de_medición], B511) &gt; 0, Herramientas_de_medición2064[[#Headers],[Herramientas_de_medición]],
    COUNTIF(Herrramientas_mecánicas2165[Herramientas_mecánicas], B511) &gt; 0, Herrramientas_mecánicas2165[[#Headers],[Herramientas_mecánicas]],
    COUNTIF(AK511:AK517, B511) &gt; 0, Herramientas_hidráulicas2266[[#Headers],[Herramientas_hidráulicas]],
    COUNTIF(EPP_2367[SPCC], B511) &gt; 0, EPP_2367[[#Headers],[SPCC]],
   COUNTIF(Herramientas_de_izaje2468[Herramientas_de_izaje], B511) &gt; 0, Herramientas_de_izaje2468[[#Headers],[Herramientas_de_izaje]],
COUNTIF(Tabla162670[Equipos], B511) &gt; 0, Tabla162670[[#Headers],[Equipos]],
    TRUE, "Sin clasificación"
)</f>
        <v>Sin clasificación</v>
      </c>
      <c r="G511" s="15"/>
      <c r="H511" s="47"/>
      <c r="I511" s="87"/>
      <c r="J511" s="78"/>
      <c r="K511" s="78"/>
      <c r="L511" s="78"/>
      <c r="M511" s="78"/>
      <c r="N511" s="76"/>
      <c r="O511" s="76"/>
      <c r="P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Q511" s="77"/>
      <c r="R511" s="32"/>
      <c r="S511" s="32"/>
      <c r="T511" s="32"/>
      <c r="U511" s="32"/>
    </row>
    <row r="512" spans="3:21" x14ac:dyDescent="0.3">
      <c r="C512" s="11"/>
      <c r="D512" s="32"/>
      <c r="E512" s="11" t="str" cm="1">
        <f t="array" ref="E512">_xlfn.IFS(
    COUNTIF(Herramientas_eléctricas1862[Herramientas_eléctricas], B512) &gt; 0, Herramientas_eléctricas1862[[#Headers],[Herramientas_eléctricas]],
    COUNTIF(Herramientas_neumáticas1963[Herramientas_neumáticas], B512) &gt; 0, Herramientas_neumáticas1963[[#Headers],[Herramientas_neumáticas]],
    COUNTIF(Herramientas_de_medición2064[Herramientas_de_medición], B512) &gt; 0, Herramientas_de_medición2064[[#Headers],[Herramientas_de_medición]],
    COUNTIF(Herrramientas_mecánicas2165[Herramientas_mecánicas], B512) &gt; 0, Herrramientas_mecánicas2165[[#Headers],[Herramientas_mecánicas]],
    COUNTIF(AK512:AK518, B512) &gt; 0, Herramientas_hidráulicas2266[[#Headers],[Herramientas_hidráulicas]],
    COUNTIF(EPP_2367[SPCC], B512) &gt; 0, EPP_2367[[#Headers],[SPCC]],
   COUNTIF(Herramientas_de_izaje2468[Herramientas_de_izaje], B512) &gt; 0, Herramientas_de_izaje2468[[#Headers],[Herramientas_de_izaje]],
COUNTIF(Tabla162670[Equipos], B512) &gt; 0, Tabla162670[[#Headers],[Equipos]],
    TRUE, "Sin clasificación"
)</f>
        <v>Sin clasificación</v>
      </c>
      <c r="G512" s="15"/>
      <c r="H512" s="47"/>
      <c r="I512" s="87"/>
      <c r="J512" s="78"/>
      <c r="K512" s="78"/>
      <c r="L512" s="78"/>
      <c r="M512" s="78"/>
      <c r="N512" s="76"/>
      <c r="O512" s="76"/>
      <c r="P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Q512" s="77"/>
      <c r="R512" s="32"/>
      <c r="S512" s="32"/>
      <c r="T512" s="32"/>
      <c r="U512" s="32"/>
    </row>
    <row r="513" spans="3:21" x14ac:dyDescent="0.3">
      <c r="C513" s="11"/>
      <c r="D513" s="32"/>
      <c r="E513" s="11" t="str" cm="1">
        <f t="array" ref="E513">_xlfn.IFS(
    COUNTIF(Herramientas_eléctricas1862[Herramientas_eléctricas], B513) &gt; 0, Herramientas_eléctricas1862[[#Headers],[Herramientas_eléctricas]],
    COUNTIF(Herramientas_neumáticas1963[Herramientas_neumáticas], B513) &gt; 0, Herramientas_neumáticas1963[[#Headers],[Herramientas_neumáticas]],
    COUNTIF(Herramientas_de_medición2064[Herramientas_de_medición], B513) &gt; 0, Herramientas_de_medición2064[[#Headers],[Herramientas_de_medición]],
    COUNTIF(Herrramientas_mecánicas2165[Herramientas_mecánicas], B513) &gt; 0, Herrramientas_mecánicas2165[[#Headers],[Herramientas_mecánicas]],
    COUNTIF(AK513:AK519, B513) &gt; 0, Herramientas_hidráulicas2266[[#Headers],[Herramientas_hidráulicas]],
    COUNTIF(EPP_2367[SPCC], B513) &gt; 0, EPP_2367[[#Headers],[SPCC]],
   COUNTIF(Herramientas_de_izaje2468[Herramientas_de_izaje], B513) &gt; 0, Herramientas_de_izaje2468[[#Headers],[Herramientas_de_izaje]],
COUNTIF(Tabla162670[Equipos], B513) &gt; 0, Tabla162670[[#Headers],[Equipos]],
    TRUE, "Sin clasificación"
)</f>
        <v>Sin clasificación</v>
      </c>
      <c r="G513" s="15"/>
      <c r="H513" s="47"/>
      <c r="I513" s="87"/>
      <c r="J513" s="78"/>
      <c r="K513" s="78"/>
      <c r="L513" s="78"/>
      <c r="M513" s="78"/>
      <c r="N513" s="76"/>
      <c r="O513" s="76"/>
      <c r="P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Q513" s="77"/>
      <c r="R513" s="32"/>
      <c r="S513" s="32"/>
      <c r="T513" s="32"/>
      <c r="U513" s="32"/>
    </row>
    <row r="514" spans="3:21" x14ac:dyDescent="0.3">
      <c r="C514" s="11"/>
      <c r="D514" s="32"/>
      <c r="E514" s="11" t="str" cm="1">
        <f t="array" ref="E514">_xlfn.IFS(
    COUNTIF(Herramientas_eléctricas1862[Herramientas_eléctricas], B514) &gt; 0, Herramientas_eléctricas1862[[#Headers],[Herramientas_eléctricas]],
    COUNTIF(Herramientas_neumáticas1963[Herramientas_neumáticas], B514) &gt; 0, Herramientas_neumáticas1963[[#Headers],[Herramientas_neumáticas]],
    COUNTIF(Herramientas_de_medición2064[Herramientas_de_medición], B514) &gt; 0, Herramientas_de_medición2064[[#Headers],[Herramientas_de_medición]],
    COUNTIF(Herrramientas_mecánicas2165[Herramientas_mecánicas], B514) &gt; 0, Herrramientas_mecánicas2165[[#Headers],[Herramientas_mecánicas]],
    COUNTIF(AK514:AK520, B514) &gt; 0, Herramientas_hidráulicas2266[[#Headers],[Herramientas_hidráulicas]],
    COUNTIF(EPP_2367[SPCC], B514) &gt; 0, EPP_2367[[#Headers],[SPCC]],
   COUNTIF(Herramientas_de_izaje2468[Herramientas_de_izaje], B514) &gt; 0, Herramientas_de_izaje2468[[#Headers],[Herramientas_de_izaje]],
COUNTIF(Tabla162670[Equipos], B514) &gt; 0, Tabla162670[[#Headers],[Equipos]],
    TRUE, "Sin clasificación"
)</f>
        <v>Sin clasificación</v>
      </c>
      <c r="G514" s="15"/>
      <c r="H514" s="47"/>
      <c r="I514" s="87"/>
      <c r="J514" s="78"/>
      <c r="K514" s="78"/>
      <c r="L514" s="78"/>
      <c r="M514" s="78"/>
      <c r="N514" s="76"/>
      <c r="O514" s="76"/>
      <c r="P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Q514" s="77"/>
      <c r="R514" s="32"/>
      <c r="S514" s="32"/>
      <c r="T514" s="32"/>
      <c r="U514" s="32"/>
    </row>
    <row r="515" spans="3:21" x14ac:dyDescent="0.3">
      <c r="C515" s="11"/>
      <c r="D515" s="32"/>
      <c r="E515" s="11" t="str" cm="1">
        <f t="array" ref="E515">_xlfn.IFS(
    COUNTIF(Herramientas_eléctricas1862[Herramientas_eléctricas], B515) &gt; 0, Herramientas_eléctricas1862[[#Headers],[Herramientas_eléctricas]],
    COUNTIF(Herramientas_neumáticas1963[Herramientas_neumáticas], B515) &gt; 0, Herramientas_neumáticas1963[[#Headers],[Herramientas_neumáticas]],
    COUNTIF(Herramientas_de_medición2064[Herramientas_de_medición], B515) &gt; 0, Herramientas_de_medición2064[[#Headers],[Herramientas_de_medición]],
    COUNTIF(Herrramientas_mecánicas2165[Herramientas_mecánicas], B515) &gt; 0, Herrramientas_mecánicas2165[[#Headers],[Herramientas_mecánicas]],
    COUNTIF(AK515:AK521, B515) &gt; 0, Herramientas_hidráulicas2266[[#Headers],[Herramientas_hidráulicas]],
    COUNTIF(EPP_2367[SPCC], B515) &gt; 0, EPP_2367[[#Headers],[SPCC]],
   COUNTIF(Herramientas_de_izaje2468[Herramientas_de_izaje], B515) &gt; 0, Herramientas_de_izaje2468[[#Headers],[Herramientas_de_izaje]],
COUNTIF(Tabla162670[Equipos], B515) &gt; 0, Tabla162670[[#Headers],[Equipos]],
    TRUE, "Sin clasificación"
)</f>
        <v>Sin clasificación</v>
      </c>
      <c r="G515" s="15"/>
      <c r="H515" s="47"/>
      <c r="I515" s="87"/>
      <c r="J515" s="78"/>
      <c r="K515" s="78"/>
      <c r="L515" s="78"/>
      <c r="M515" s="78"/>
      <c r="N515" s="76"/>
      <c r="O515" s="76"/>
      <c r="P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Q515" s="77"/>
      <c r="R515" s="32"/>
      <c r="S515" s="32"/>
      <c r="T515" s="32"/>
      <c r="U515" s="32"/>
    </row>
    <row r="516" spans="3:21" x14ac:dyDescent="0.3">
      <c r="C516" s="11"/>
      <c r="D516" s="32"/>
      <c r="E516" s="11" t="str" cm="1">
        <f t="array" ref="E516">_xlfn.IFS(
    COUNTIF(Herramientas_eléctricas1862[Herramientas_eléctricas], B516) &gt; 0, Herramientas_eléctricas1862[[#Headers],[Herramientas_eléctricas]],
    COUNTIF(Herramientas_neumáticas1963[Herramientas_neumáticas], B516) &gt; 0, Herramientas_neumáticas1963[[#Headers],[Herramientas_neumáticas]],
    COUNTIF(Herramientas_de_medición2064[Herramientas_de_medición], B516) &gt; 0, Herramientas_de_medición2064[[#Headers],[Herramientas_de_medición]],
    COUNTIF(Herrramientas_mecánicas2165[Herramientas_mecánicas], B516) &gt; 0, Herrramientas_mecánicas2165[[#Headers],[Herramientas_mecánicas]],
    COUNTIF(AK516:AK522, B516) &gt; 0, Herramientas_hidráulicas2266[[#Headers],[Herramientas_hidráulicas]],
    COUNTIF(EPP_2367[SPCC], B516) &gt; 0, EPP_2367[[#Headers],[SPCC]],
   COUNTIF(Herramientas_de_izaje2468[Herramientas_de_izaje], B516) &gt; 0, Herramientas_de_izaje2468[[#Headers],[Herramientas_de_izaje]],
COUNTIF(Tabla162670[Equipos], B516) &gt; 0, Tabla162670[[#Headers],[Equipos]],
    TRUE, "Sin clasificación"
)</f>
        <v>Sin clasificación</v>
      </c>
      <c r="G516" s="15"/>
      <c r="H516" s="47"/>
      <c r="I516" s="87"/>
      <c r="J516" s="78"/>
      <c r="K516" s="78"/>
      <c r="L516" s="78"/>
      <c r="M516" s="78"/>
      <c r="N516" s="76"/>
      <c r="O516" s="76"/>
      <c r="P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Q516" s="77"/>
      <c r="R516" s="32"/>
      <c r="S516" s="32"/>
      <c r="T516" s="32"/>
      <c r="U516" s="32"/>
    </row>
    <row r="517" spans="3:21" x14ac:dyDescent="0.3">
      <c r="C517" s="11"/>
      <c r="D517" s="32"/>
      <c r="E517" s="11" t="str" cm="1">
        <f t="array" ref="E517">_xlfn.IFS(
    COUNTIF(Herramientas_eléctricas1862[Herramientas_eléctricas], B517) &gt; 0, Herramientas_eléctricas1862[[#Headers],[Herramientas_eléctricas]],
    COUNTIF(Herramientas_neumáticas1963[Herramientas_neumáticas], B517) &gt; 0, Herramientas_neumáticas1963[[#Headers],[Herramientas_neumáticas]],
    COUNTIF(Herramientas_de_medición2064[Herramientas_de_medición], B517) &gt; 0, Herramientas_de_medición2064[[#Headers],[Herramientas_de_medición]],
    COUNTIF(Herrramientas_mecánicas2165[Herramientas_mecánicas], B517) &gt; 0, Herrramientas_mecánicas2165[[#Headers],[Herramientas_mecánicas]],
    COUNTIF(AK517:AK523, B517) &gt; 0, Herramientas_hidráulicas2266[[#Headers],[Herramientas_hidráulicas]],
    COUNTIF(EPP_2367[SPCC], B517) &gt; 0, EPP_2367[[#Headers],[SPCC]],
   COUNTIF(Herramientas_de_izaje2468[Herramientas_de_izaje], B517) &gt; 0, Herramientas_de_izaje2468[[#Headers],[Herramientas_de_izaje]],
COUNTIF(Tabla162670[Equipos], B517) &gt; 0, Tabla162670[[#Headers],[Equipos]],
    TRUE, "Sin clasificación"
)</f>
        <v>Sin clasificación</v>
      </c>
      <c r="G517" s="15"/>
      <c r="H517" s="47"/>
      <c r="I517" s="87"/>
      <c r="J517" s="78"/>
      <c r="K517" s="78"/>
      <c r="L517" s="78"/>
      <c r="M517" s="78"/>
      <c r="N517" s="76"/>
      <c r="O517" s="76"/>
      <c r="P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Q517" s="77"/>
      <c r="R517" s="32"/>
      <c r="S517" s="32"/>
      <c r="T517" s="32"/>
      <c r="U517" s="32"/>
    </row>
    <row r="518" spans="3:21" x14ac:dyDescent="0.3">
      <c r="C518" s="11"/>
      <c r="D518" s="32"/>
      <c r="E518" s="11" t="str" cm="1">
        <f t="array" ref="E518">_xlfn.IFS(
    COUNTIF(Herramientas_eléctricas1862[Herramientas_eléctricas], B518) &gt; 0, Herramientas_eléctricas1862[[#Headers],[Herramientas_eléctricas]],
    COUNTIF(Herramientas_neumáticas1963[Herramientas_neumáticas], B518) &gt; 0, Herramientas_neumáticas1963[[#Headers],[Herramientas_neumáticas]],
    COUNTIF(Herramientas_de_medición2064[Herramientas_de_medición], B518) &gt; 0, Herramientas_de_medición2064[[#Headers],[Herramientas_de_medición]],
    COUNTIF(Herrramientas_mecánicas2165[Herramientas_mecánicas], B518) &gt; 0, Herrramientas_mecánicas2165[[#Headers],[Herramientas_mecánicas]],
    COUNTIF(AK518:AK524, B518) &gt; 0, Herramientas_hidráulicas2266[[#Headers],[Herramientas_hidráulicas]],
    COUNTIF(EPP_2367[SPCC], B518) &gt; 0, EPP_2367[[#Headers],[SPCC]],
   COUNTIF(Herramientas_de_izaje2468[Herramientas_de_izaje], B518) &gt; 0, Herramientas_de_izaje2468[[#Headers],[Herramientas_de_izaje]],
COUNTIF(Tabla162670[Equipos], B518) &gt; 0, Tabla162670[[#Headers],[Equipos]],
    TRUE, "Sin clasificación"
)</f>
        <v>Sin clasificación</v>
      </c>
      <c r="G518" s="15"/>
      <c r="H518" s="47"/>
      <c r="I518" s="87"/>
      <c r="J518" s="78"/>
      <c r="K518" s="78"/>
      <c r="L518" s="78"/>
      <c r="M518" s="78"/>
      <c r="N518" s="76"/>
      <c r="O518" s="76"/>
      <c r="P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Q518" s="77"/>
      <c r="R518" s="32"/>
      <c r="S518" s="32"/>
      <c r="T518" s="32"/>
      <c r="U518" s="32"/>
    </row>
    <row r="519" spans="3:21" x14ac:dyDescent="0.3">
      <c r="C519" s="11"/>
      <c r="D519" s="32"/>
      <c r="E519" s="11" t="str" cm="1">
        <f t="array" ref="E519">_xlfn.IFS(
    COUNTIF(Herramientas_eléctricas1862[Herramientas_eléctricas], B519) &gt; 0, Herramientas_eléctricas1862[[#Headers],[Herramientas_eléctricas]],
    COUNTIF(Herramientas_neumáticas1963[Herramientas_neumáticas], B519) &gt; 0, Herramientas_neumáticas1963[[#Headers],[Herramientas_neumáticas]],
    COUNTIF(Herramientas_de_medición2064[Herramientas_de_medición], B519) &gt; 0, Herramientas_de_medición2064[[#Headers],[Herramientas_de_medición]],
    COUNTIF(Herrramientas_mecánicas2165[Herramientas_mecánicas], B519) &gt; 0, Herrramientas_mecánicas2165[[#Headers],[Herramientas_mecánicas]],
    COUNTIF(AK519:AK525, B519) &gt; 0, Herramientas_hidráulicas2266[[#Headers],[Herramientas_hidráulicas]],
    COUNTIF(EPP_2367[SPCC], B519) &gt; 0, EPP_2367[[#Headers],[SPCC]],
   COUNTIF(Herramientas_de_izaje2468[Herramientas_de_izaje], B519) &gt; 0, Herramientas_de_izaje2468[[#Headers],[Herramientas_de_izaje]],
COUNTIF(Tabla162670[Equipos], B519) &gt; 0, Tabla162670[[#Headers],[Equipos]],
    TRUE, "Sin clasificación"
)</f>
        <v>Sin clasificación</v>
      </c>
      <c r="G519" s="15"/>
      <c r="H519" s="47"/>
      <c r="I519" s="87"/>
      <c r="J519" s="78"/>
      <c r="K519" s="78"/>
      <c r="L519" s="78"/>
      <c r="M519" s="78"/>
      <c r="N519" s="76"/>
      <c r="O519" s="76"/>
      <c r="P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Q519" s="77"/>
      <c r="R519" s="32"/>
      <c r="S519" s="32"/>
      <c r="T519" s="32"/>
      <c r="U519" s="32"/>
    </row>
    <row r="520" spans="3:21" x14ac:dyDescent="0.3">
      <c r="C520" s="11"/>
      <c r="D520" s="32"/>
      <c r="E520" s="11" t="str" cm="1">
        <f t="array" ref="E520">_xlfn.IFS(
    COUNTIF(Herramientas_eléctricas1862[Herramientas_eléctricas], B520) &gt; 0, Herramientas_eléctricas1862[[#Headers],[Herramientas_eléctricas]],
    COUNTIF(Herramientas_neumáticas1963[Herramientas_neumáticas], B520) &gt; 0, Herramientas_neumáticas1963[[#Headers],[Herramientas_neumáticas]],
    COUNTIF(Herramientas_de_medición2064[Herramientas_de_medición], B520) &gt; 0, Herramientas_de_medición2064[[#Headers],[Herramientas_de_medición]],
    COUNTIF(Herrramientas_mecánicas2165[Herramientas_mecánicas], B520) &gt; 0, Herrramientas_mecánicas2165[[#Headers],[Herramientas_mecánicas]],
    COUNTIF(AK520:AK526, B520) &gt; 0, Herramientas_hidráulicas2266[[#Headers],[Herramientas_hidráulicas]],
    COUNTIF(EPP_2367[SPCC], B520) &gt; 0, EPP_2367[[#Headers],[SPCC]],
   COUNTIF(Herramientas_de_izaje2468[Herramientas_de_izaje], B520) &gt; 0, Herramientas_de_izaje2468[[#Headers],[Herramientas_de_izaje]],
COUNTIF(Tabla162670[Equipos], B520) &gt; 0, Tabla162670[[#Headers],[Equipos]],
    TRUE, "Sin clasificación"
)</f>
        <v>Sin clasificación</v>
      </c>
      <c r="G520" s="15"/>
      <c r="H520" s="47"/>
      <c r="I520" s="87"/>
      <c r="J520" s="78"/>
      <c r="K520" s="78"/>
      <c r="L520" s="78"/>
      <c r="M520" s="78"/>
      <c r="N520" s="76"/>
      <c r="O520" s="76"/>
      <c r="P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Q520" s="77"/>
      <c r="R520" s="32"/>
      <c r="S520" s="32"/>
      <c r="T520" s="32"/>
      <c r="U520" s="32"/>
    </row>
    <row r="521" spans="3:21" x14ac:dyDescent="0.3">
      <c r="C521" s="11"/>
      <c r="D521" s="32"/>
      <c r="E521" s="11" t="str" cm="1">
        <f t="array" ref="E521">_xlfn.IFS(
    COUNTIF(Herramientas_eléctricas1862[Herramientas_eléctricas], B521) &gt; 0, Herramientas_eléctricas1862[[#Headers],[Herramientas_eléctricas]],
    COUNTIF(Herramientas_neumáticas1963[Herramientas_neumáticas], B521) &gt; 0, Herramientas_neumáticas1963[[#Headers],[Herramientas_neumáticas]],
    COUNTIF(Herramientas_de_medición2064[Herramientas_de_medición], B521) &gt; 0, Herramientas_de_medición2064[[#Headers],[Herramientas_de_medición]],
    COUNTIF(Herrramientas_mecánicas2165[Herramientas_mecánicas], B521) &gt; 0, Herrramientas_mecánicas2165[[#Headers],[Herramientas_mecánicas]],
    COUNTIF(AK521:AK527, B521) &gt; 0, Herramientas_hidráulicas2266[[#Headers],[Herramientas_hidráulicas]],
    COUNTIF(EPP_2367[SPCC], B521) &gt; 0, EPP_2367[[#Headers],[SPCC]],
   COUNTIF(Herramientas_de_izaje2468[Herramientas_de_izaje], B521) &gt; 0, Herramientas_de_izaje2468[[#Headers],[Herramientas_de_izaje]],
COUNTIF(Tabla162670[Equipos], B521) &gt; 0, Tabla162670[[#Headers],[Equipos]],
    TRUE, "Sin clasificación"
)</f>
        <v>Sin clasificación</v>
      </c>
      <c r="G521" s="15"/>
      <c r="H521" s="47"/>
      <c r="I521" s="87"/>
      <c r="J521" s="78"/>
      <c r="K521" s="78"/>
      <c r="L521" s="78"/>
      <c r="M521" s="78"/>
      <c r="N521" s="76"/>
      <c r="O521" s="76"/>
      <c r="P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Q521" s="77"/>
      <c r="R521" s="32"/>
      <c r="S521" s="32"/>
      <c r="T521" s="32"/>
      <c r="U521" s="32"/>
    </row>
    <row r="522" spans="3:21" x14ac:dyDescent="0.3">
      <c r="C522" s="11"/>
      <c r="D522" s="32"/>
      <c r="E522" s="11" t="str" cm="1">
        <f t="array" ref="E522">_xlfn.IFS(
    COUNTIF(Herramientas_eléctricas1862[Herramientas_eléctricas], B522) &gt; 0, Herramientas_eléctricas1862[[#Headers],[Herramientas_eléctricas]],
    COUNTIF(Herramientas_neumáticas1963[Herramientas_neumáticas], B522) &gt; 0, Herramientas_neumáticas1963[[#Headers],[Herramientas_neumáticas]],
    COUNTIF(Herramientas_de_medición2064[Herramientas_de_medición], B522) &gt; 0, Herramientas_de_medición2064[[#Headers],[Herramientas_de_medición]],
    COUNTIF(Herrramientas_mecánicas2165[Herramientas_mecánicas], B522) &gt; 0, Herrramientas_mecánicas2165[[#Headers],[Herramientas_mecánicas]],
    COUNTIF(AK522:AK528, B522) &gt; 0, Herramientas_hidráulicas2266[[#Headers],[Herramientas_hidráulicas]],
    COUNTIF(EPP_2367[SPCC], B522) &gt; 0, EPP_2367[[#Headers],[SPCC]],
   COUNTIF(Herramientas_de_izaje2468[Herramientas_de_izaje], B522) &gt; 0, Herramientas_de_izaje2468[[#Headers],[Herramientas_de_izaje]],
COUNTIF(Tabla162670[Equipos], B522) &gt; 0, Tabla162670[[#Headers],[Equipos]],
    TRUE, "Sin clasificación"
)</f>
        <v>Sin clasificación</v>
      </c>
      <c r="G522" s="15"/>
      <c r="H522" s="47"/>
      <c r="I522" s="87"/>
      <c r="J522" s="78"/>
      <c r="K522" s="78"/>
      <c r="L522" s="78"/>
      <c r="M522" s="78"/>
      <c r="N522" s="76"/>
      <c r="O522" s="76"/>
      <c r="P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Q522" s="77"/>
      <c r="R522" s="32"/>
      <c r="S522" s="32"/>
      <c r="T522" s="32"/>
      <c r="U522" s="32"/>
    </row>
    <row r="523" spans="3:21" x14ac:dyDescent="0.3">
      <c r="C523" s="11"/>
      <c r="D523" s="32"/>
      <c r="E523" s="11" t="str" cm="1">
        <f t="array" ref="E523">_xlfn.IFS(
    COUNTIF(Herramientas_eléctricas1862[Herramientas_eléctricas], B523) &gt; 0, Herramientas_eléctricas1862[[#Headers],[Herramientas_eléctricas]],
    COUNTIF(Herramientas_neumáticas1963[Herramientas_neumáticas], B523) &gt; 0, Herramientas_neumáticas1963[[#Headers],[Herramientas_neumáticas]],
    COUNTIF(Herramientas_de_medición2064[Herramientas_de_medición], B523) &gt; 0, Herramientas_de_medición2064[[#Headers],[Herramientas_de_medición]],
    COUNTIF(Herrramientas_mecánicas2165[Herramientas_mecánicas], B523) &gt; 0, Herrramientas_mecánicas2165[[#Headers],[Herramientas_mecánicas]],
    COUNTIF(AK523:AK529, B523) &gt; 0, Herramientas_hidráulicas2266[[#Headers],[Herramientas_hidráulicas]],
    COUNTIF(EPP_2367[SPCC], B523) &gt; 0, EPP_2367[[#Headers],[SPCC]],
   COUNTIF(Herramientas_de_izaje2468[Herramientas_de_izaje], B523) &gt; 0, Herramientas_de_izaje2468[[#Headers],[Herramientas_de_izaje]],
COUNTIF(Tabla162670[Equipos], B523) &gt; 0, Tabla162670[[#Headers],[Equipos]],
    TRUE, "Sin clasificación"
)</f>
        <v>Sin clasificación</v>
      </c>
      <c r="G523" s="15"/>
      <c r="H523" s="47"/>
      <c r="I523" s="87"/>
      <c r="J523" s="78"/>
      <c r="K523" s="78"/>
      <c r="L523" s="78"/>
      <c r="M523" s="78"/>
      <c r="N523" s="76"/>
      <c r="O523" s="76"/>
      <c r="P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Q523" s="77"/>
      <c r="R523" s="32"/>
      <c r="S523" s="32"/>
      <c r="T523" s="32"/>
      <c r="U523" s="32"/>
    </row>
    <row r="524" spans="3:21" x14ac:dyDescent="0.3">
      <c r="C524" s="11"/>
      <c r="D524" s="32"/>
      <c r="E524" s="11" t="str" cm="1">
        <f t="array" ref="E524">_xlfn.IFS(
    COUNTIF(Herramientas_eléctricas1862[Herramientas_eléctricas], B524) &gt; 0, Herramientas_eléctricas1862[[#Headers],[Herramientas_eléctricas]],
    COUNTIF(Herramientas_neumáticas1963[Herramientas_neumáticas], B524) &gt; 0, Herramientas_neumáticas1963[[#Headers],[Herramientas_neumáticas]],
    COUNTIF(Herramientas_de_medición2064[Herramientas_de_medición], B524) &gt; 0, Herramientas_de_medición2064[[#Headers],[Herramientas_de_medición]],
    COUNTIF(Herrramientas_mecánicas2165[Herramientas_mecánicas], B524) &gt; 0, Herrramientas_mecánicas2165[[#Headers],[Herramientas_mecánicas]],
    COUNTIF(AK524:AK530, B524) &gt; 0, Herramientas_hidráulicas2266[[#Headers],[Herramientas_hidráulicas]],
    COUNTIF(EPP_2367[SPCC], B524) &gt; 0, EPP_2367[[#Headers],[SPCC]],
   COUNTIF(Herramientas_de_izaje2468[Herramientas_de_izaje], B524) &gt; 0, Herramientas_de_izaje2468[[#Headers],[Herramientas_de_izaje]],
COUNTIF(Tabla162670[Equipos], B524) &gt; 0, Tabla162670[[#Headers],[Equipos]],
    TRUE, "Sin clasificación"
)</f>
        <v>Sin clasificación</v>
      </c>
      <c r="G524" s="15"/>
      <c r="H524" s="47"/>
      <c r="I524" s="87"/>
      <c r="J524" s="78"/>
      <c r="K524" s="78"/>
      <c r="L524" s="78"/>
      <c r="M524" s="78"/>
      <c r="N524" s="76"/>
      <c r="O524" s="76"/>
      <c r="P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Q524" s="77"/>
      <c r="R524" s="32"/>
      <c r="S524" s="32"/>
      <c r="T524" s="32"/>
      <c r="U524" s="32"/>
    </row>
    <row r="525" spans="3:21" x14ac:dyDescent="0.3">
      <c r="C525" s="11"/>
      <c r="D525" s="32"/>
      <c r="E525" s="11" t="str" cm="1">
        <f t="array" ref="E525">_xlfn.IFS(
    COUNTIF(Herramientas_eléctricas1862[Herramientas_eléctricas], B525) &gt; 0, Herramientas_eléctricas1862[[#Headers],[Herramientas_eléctricas]],
    COUNTIF(Herramientas_neumáticas1963[Herramientas_neumáticas], B525) &gt; 0, Herramientas_neumáticas1963[[#Headers],[Herramientas_neumáticas]],
    COUNTIF(Herramientas_de_medición2064[Herramientas_de_medición], B525) &gt; 0, Herramientas_de_medición2064[[#Headers],[Herramientas_de_medición]],
    COUNTIF(Herrramientas_mecánicas2165[Herramientas_mecánicas], B525) &gt; 0, Herrramientas_mecánicas2165[[#Headers],[Herramientas_mecánicas]],
    COUNTIF(AK525:AK531, B525) &gt; 0, Herramientas_hidráulicas2266[[#Headers],[Herramientas_hidráulicas]],
    COUNTIF(EPP_2367[SPCC], B525) &gt; 0, EPP_2367[[#Headers],[SPCC]],
   COUNTIF(Herramientas_de_izaje2468[Herramientas_de_izaje], B525) &gt; 0, Herramientas_de_izaje2468[[#Headers],[Herramientas_de_izaje]],
COUNTIF(Tabla162670[Equipos], B525) &gt; 0, Tabla162670[[#Headers],[Equipos]],
    TRUE, "Sin clasificación"
)</f>
        <v>Sin clasificación</v>
      </c>
      <c r="G525" s="15"/>
      <c r="H525" s="47"/>
      <c r="I525" s="87"/>
      <c r="J525" s="78"/>
      <c r="K525" s="78"/>
      <c r="L525" s="78"/>
      <c r="M525" s="78"/>
      <c r="N525" s="76"/>
      <c r="O525" s="76"/>
      <c r="P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Q525" s="77"/>
      <c r="R525" s="32"/>
      <c r="S525" s="32"/>
      <c r="T525" s="32"/>
      <c r="U525" s="32"/>
    </row>
    <row r="526" spans="3:21" x14ac:dyDescent="0.3">
      <c r="C526" s="11"/>
      <c r="D526" s="32"/>
      <c r="E526" s="11" t="str" cm="1">
        <f t="array" ref="E526">_xlfn.IFS(
    COUNTIF(Herramientas_eléctricas1862[Herramientas_eléctricas], B526) &gt; 0, Herramientas_eléctricas1862[[#Headers],[Herramientas_eléctricas]],
    COUNTIF(Herramientas_neumáticas1963[Herramientas_neumáticas], B526) &gt; 0, Herramientas_neumáticas1963[[#Headers],[Herramientas_neumáticas]],
    COUNTIF(Herramientas_de_medición2064[Herramientas_de_medición], B526) &gt; 0, Herramientas_de_medición2064[[#Headers],[Herramientas_de_medición]],
    COUNTIF(Herrramientas_mecánicas2165[Herramientas_mecánicas], B526) &gt; 0, Herrramientas_mecánicas2165[[#Headers],[Herramientas_mecánicas]],
    COUNTIF(AK526:AK532, B526) &gt; 0, Herramientas_hidráulicas2266[[#Headers],[Herramientas_hidráulicas]],
    COUNTIF(EPP_2367[SPCC], B526) &gt; 0, EPP_2367[[#Headers],[SPCC]],
   COUNTIF(Herramientas_de_izaje2468[Herramientas_de_izaje], B526) &gt; 0, Herramientas_de_izaje2468[[#Headers],[Herramientas_de_izaje]],
COUNTIF(Tabla162670[Equipos], B526) &gt; 0, Tabla162670[[#Headers],[Equipos]],
    TRUE, "Sin clasificación"
)</f>
        <v>Sin clasificación</v>
      </c>
      <c r="G526" s="15"/>
      <c r="H526" s="47"/>
      <c r="I526" s="87"/>
      <c r="J526" s="78"/>
      <c r="K526" s="78"/>
      <c r="L526" s="78"/>
      <c r="M526" s="78"/>
      <c r="N526" s="76"/>
      <c r="O526" s="76"/>
      <c r="P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Q526" s="77"/>
      <c r="R526" s="32"/>
      <c r="S526" s="32"/>
      <c r="T526" s="32"/>
      <c r="U526" s="32"/>
    </row>
    <row r="527" spans="3:21" x14ac:dyDescent="0.3">
      <c r="C527" s="11"/>
      <c r="D527" s="32"/>
      <c r="E527" s="11" t="str" cm="1">
        <f t="array" ref="E527">_xlfn.IFS(
    COUNTIF(Herramientas_eléctricas1862[Herramientas_eléctricas], B527) &gt; 0, Herramientas_eléctricas1862[[#Headers],[Herramientas_eléctricas]],
    COUNTIF(Herramientas_neumáticas1963[Herramientas_neumáticas], B527) &gt; 0, Herramientas_neumáticas1963[[#Headers],[Herramientas_neumáticas]],
    COUNTIF(Herramientas_de_medición2064[Herramientas_de_medición], B527) &gt; 0, Herramientas_de_medición2064[[#Headers],[Herramientas_de_medición]],
    COUNTIF(Herrramientas_mecánicas2165[Herramientas_mecánicas], B527) &gt; 0, Herrramientas_mecánicas2165[[#Headers],[Herramientas_mecánicas]],
    COUNTIF(AK527:AK533, B527) &gt; 0, Herramientas_hidráulicas2266[[#Headers],[Herramientas_hidráulicas]],
    COUNTIF(EPP_2367[SPCC], B527) &gt; 0, EPP_2367[[#Headers],[SPCC]],
   COUNTIF(Herramientas_de_izaje2468[Herramientas_de_izaje], B527) &gt; 0, Herramientas_de_izaje2468[[#Headers],[Herramientas_de_izaje]],
COUNTIF(Tabla162670[Equipos], B527) &gt; 0, Tabla162670[[#Headers],[Equipos]],
    TRUE, "Sin clasificación"
)</f>
        <v>Sin clasificación</v>
      </c>
      <c r="G527" s="15"/>
      <c r="H527" s="47"/>
      <c r="I527" s="87"/>
      <c r="J527" s="78"/>
      <c r="K527" s="78"/>
      <c r="L527" s="78"/>
      <c r="M527" s="78"/>
      <c r="N527" s="76"/>
      <c r="O527" s="76"/>
      <c r="P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Q527" s="77"/>
      <c r="R527" s="32"/>
      <c r="S527" s="32"/>
      <c r="T527" s="32"/>
      <c r="U527" s="32"/>
    </row>
    <row r="528" spans="3:21" x14ac:dyDescent="0.3">
      <c r="C528" s="11"/>
      <c r="D528" s="32"/>
      <c r="E528" s="11" t="str" cm="1">
        <f t="array" ref="E528">_xlfn.IFS(
    COUNTIF(Herramientas_eléctricas1862[Herramientas_eléctricas], B528) &gt; 0, Herramientas_eléctricas1862[[#Headers],[Herramientas_eléctricas]],
    COUNTIF(Herramientas_neumáticas1963[Herramientas_neumáticas], B528) &gt; 0, Herramientas_neumáticas1963[[#Headers],[Herramientas_neumáticas]],
    COUNTIF(Herramientas_de_medición2064[Herramientas_de_medición], B528) &gt; 0, Herramientas_de_medición2064[[#Headers],[Herramientas_de_medición]],
    COUNTIF(Herrramientas_mecánicas2165[Herramientas_mecánicas], B528) &gt; 0, Herrramientas_mecánicas2165[[#Headers],[Herramientas_mecánicas]],
    COUNTIF(AK528:AK534, B528) &gt; 0, Herramientas_hidráulicas2266[[#Headers],[Herramientas_hidráulicas]],
    COUNTIF(EPP_2367[SPCC], B528) &gt; 0, EPP_2367[[#Headers],[SPCC]],
   COUNTIF(Herramientas_de_izaje2468[Herramientas_de_izaje], B528) &gt; 0, Herramientas_de_izaje2468[[#Headers],[Herramientas_de_izaje]],
COUNTIF(Tabla162670[Equipos], B528) &gt; 0, Tabla162670[[#Headers],[Equipos]],
    TRUE, "Sin clasificación"
)</f>
        <v>Sin clasificación</v>
      </c>
      <c r="G528" s="15"/>
      <c r="H528" s="47"/>
      <c r="I528" s="87"/>
      <c r="J528" s="78"/>
      <c r="K528" s="78"/>
      <c r="L528" s="78"/>
      <c r="M528" s="78"/>
      <c r="N528" s="76"/>
      <c r="O528" s="76"/>
      <c r="P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Q528" s="77"/>
      <c r="R528" s="32"/>
      <c r="S528" s="32"/>
      <c r="T528" s="32"/>
      <c r="U528" s="32"/>
    </row>
    <row r="529" spans="3:21" x14ac:dyDescent="0.3">
      <c r="C529" s="11"/>
      <c r="D529" s="32"/>
      <c r="E529" s="11" t="str" cm="1">
        <f t="array" ref="E529">_xlfn.IFS(
    COUNTIF(Herramientas_eléctricas1862[Herramientas_eléctricas], B529) &gt; 0, Herramientas_eléctricas1862[[#Headers],[Herramientas_eléctricas]],
    COUNTIF(Herramientas_neumáticas1963[Herramientas_neumáticas], B529) &gt; 0, Herramientas_neumáticas1963[[#Headers],[Herramientas_neumáticas]],
    COUNTIF(Herramientas_de_medición2064[Herramientas_de_medición], B529) &gt; 0, Herramientas_de_medición2064[[#Headers],[Herramientas_de_medición]],
    COUNTIF(Herrramientas_mecánicas2165[Herramientas_mecánicas], B529) &gt; 0, Herrramientas_mecánicas2165[[#Headers],[Herramientas_mecánicas]],
    COUNTIF(AK529:AK535, B529) &gt; 0, Herramientas_hidráulicas2266[[#Headers],[Herramientas_hidráulicas]],
    COUNTIF(EPP_2367[SPCC], B529) &gt; 0, EPP_2367[[#Headers],[SPCC]],
   COUNTIF(Herramientas_de_izaje2468[Herramientas_de_izaje], B529) &gt; 0, Herramientas_de_izaje2468[[#Headers],[Herramientas_de_izaje]],
COUNTIF(Tabla162670[Equipos], B529) &gt; 0, Tabla162670[[#Headers],[Equipos]],
    TRUE, "Sin clasificación"
)</f>
        <v>Sin clasificación</v>
      </c>
      <c r="G529" s="15"/>
      <c r="H529" s="47"/>
      <c r="I529" s="87"/>
      <c r="J529" s="78"/>
      <c r="K529" s="78"/>
      <c r="L529" s="78"/>
      <c r="M529" s="78"/>
      <c r="N529" s="76"/>
      <c r="O529" s="76"/>
      <c r="P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Q529" s="77"/>
      <c r="R529" s="32"/>
      <c r="S529" s="32"/>
      <c r="T529" s="32"/>
      <c r="U529" s="32"/>
    </row>
    <row r="530" spans="3:21" x14ac:dyDescent="0.3">
      <c r="C530" s="11"/>
      <c r="D530" s="32"/>
      <c r="E530" s="11" t="str" cm="1">
        <f t="array" ref="E530">_xlfn.IFS(
    COUNTIF(Herramientas_eléctricas1862[Herramientas_eléctricas], B530) &gt; 0, Herramientas_eléctricas1862[[#Headers],[Herramientas_eléctricas]],
    COUNTIF(Herramientas_neumáticas1963[Herramientas_neumáticas], B530) &gt; 0, Herramientas_neumáticas1963[[#Headers],[Herramientas_neumáticas]],
    COUNTIF(Herramientas_de_medición2064[Herramientas_de_medición], B530) &gt; 0, Herramientas_de_medición2064[[#Headers],[Herramientas_de_medición]],
    COUNTIF(Herrramientas_mecánicas2165[Herramientas_mecánicas], B530) &gt; 0, Herrramientas_mecánicas2165[[#Headers],[Herramientas_mecánicas]],
    COUNTIF(AK530:AK536, B530) &gt; 0, Herramientas_hidráulicas2266[[#Headers],[Herramientas_hidráulicas]],
    COUNTIF(EPP_2367[SPCC], B530) &gt; 0, EPP_2367[[#Headers],[SPCC]],
   COUNTIF(Herramientas_de_izaje2468[Herramientas_de_izaje], B530) &gt; 0, Herramientas_de_izaje2468[[#Headers],[Herramientas_de_izaje]],
COUNTIF(Tabla162670[Equipos], B530) &gt; 0, Tabla162670[[#Headers],[Equipos]],
    TRUE, "Sin clasificación"
)</f>
        <v>Sin clasificación</v>
      </c>
      <c r="G530" s="15"/>
      <c r="H530" s="47"/>
      <c r="I530" s="87"/>
      <c r="J530" s="78"/>
      <c r="K530" s="78"/>
      <c r="L530" s="78"/>
      <c r="M530" s="78"/>
      <c r="N530" s="76"/>
      <c r="O530" s="76"/>
      <c r="P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Q530" s="77"/>
      <c r="R530" s="32"/>
      <c r="S530" s="32"/>
      <c r="T530" s="32"/>
      <c r="U530" s="32"/>
    </row>
    <row r="531" spans="3:21" x14ac:dyDescent="0.3">
      <c r="C531" s="11"/>
      <c r="D531" s="32"/>
      <c r="E531" s="11" t="str" cm="1">
        <f t="array" ref="E531">_xlfn.IFS(
    COUNTIF(Herramientas_eléctricas1862[Herramientas_eléctricas], B531) &gt; 0, Herramientas_eléctricas1862[[#Headers],[Herramientas_eléctricas]],
    COUNTIF(Herramientas_neumáticas1963[Herramientas_neumáticas], B531) &gt; 0, Herramientas_neumáticas1963[[#Headers],[Herramientas_neumáticas]],
    COUNTIF(Herramientas_de_medición2064[Herramientas_de_medición], B531) &gt; 0, Herramientas_de_medición2064[[#Headers],[Herramientas_de_medición]],
    COUNTIF(Herrramientas_mecánicas2165[Herramientas_mecánicas], B531) &gt; 0, Herrramientas_mecánicas2165[[#Headers],[Herramientas_mecánicas]],
    COUNTIF(AK531:AK537, B531) &gt; 0, Herramientas_hidráulicas2266[[#Headers],[Herramientas_hidráulicas]],
    COUNTIF(EPP_2367[SPCC], B531) &gt; 0, EPP_2367[[#Headers],[SPCC]],
   COUNTIF(Herramientas_de_izaje2468[Herramientas_de_izaje], B531) &gt; 0, Herramientas_de_izaje2468[[#Headers],[Herramientas_de_izaje]],
COUNTIF(Tabla162670[Equipos], B531) &gt; 0, Tabla162670[[#Headers],[Equipos]],
    TRUE, "Sin clasificación"
)</f>
        <v>Sin clasificación</v>
      </c>
      <c r="G531" s="15"/>
      <c r="H531" s="47"/>
      <c r="I531" s="87"/>
      <c r="J531" s="78"/>
      <c r="K531" s="78"/>
      <c r="L531" s="78"/>
      <c r="M531" s="78"/>
      <c r="N531" s="76"/>
      <c r="O531" s="76"/>
      <c r="P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Q531" s="77"/>
      <c r="R531" s="32"/>
      <c r="S531" s="32"/>
      <c r="T531" s="32"/>
      <c r="U531" s="32"/>
    </row>
    <row r="532" spans="3:21" x14ac:dyDescent="0.3">
      <c r="C532" s="11"/>
      <c r="D532" s="32"/>
      <c r="E532" s="11" t="str" cm="1">
        <f t="array" ref="E532">_xlfn.IFS(
    COUNTIF(Herramientas_eléctricas1862[Herramientas_eléctricas], B532) &gt; 0, Herramientas_eléctricas1862[[#Headers],[Herramientas_eléctricas]],
    COUNTIF(Herramientas_neumáticas1963[Herramientas_neumáticas], B532) &gt; 0, Herramientas_neumáticas1963[[#Headers],[Herramientas_neumáticas]],
    COUNTIF(Herramientas_de_medición2064[Herramientas_de_medición], B532) &gt; 0, Herramientas_de_medición2064[[#Headers],[Herramientas_de_medición]],
    COUNTIF(Herrramientas_mecánicas2165[Herramientas_mecánicas], B532) &gt; 0, Herrramientas_mecánicas2165[[#Headers],[Herramientas_mecánicas]],
    COUNTIF(AK532:AK538, B532) &gt; 0, Herramientas_hidráulicas2266[[#Headers],[Herramientas_hidráulicas]],
    COUNTIF(EPP_2367[SPCC], B532) &gt; 0, EPP_2367[[#Headers],[SPCC]],
   COUNTIF(Herramientas_de_izaje2468[Herramientas_de_izaje], B532) &gt; 0, Herramientas_de_izaje2468[[#Headers],[Herramientas_de_izaje]],
COUNTIF(Tabla162670[Equipos], B532) &gt; 0, Tabla162670[[#Headers],[Equipos]],
    TRUE, "Sin clasificación"
)</f>
        <v>Sin clasificación</v>
      </c>
      <c r="G532" s="15"/>
      <c r="H532" s="47"/>
      <c r="I532" s="87"/>
      <c r="J532" s="78"/>
      <c r="K532" s="78"/>
      <c r="L532" s="78"/>
      <c r="M532" s="78"/>
      <c r="N532" s="76"/>
      <c r="O532" s="76"/>
      <c r="P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Q532" s="77"/>
      <c r="R532" s="32"/>
      <c r="S532" s="32"/>
      <c r="T532" s="32"/>
      <c r="U532" s="32"/>
    </row>
    <row r="533" spans="3:21" x14ac:dyDescent="0.3">
      <c r="C533" s="11"/>
      <c r="D533" s="32"/>
      <c r="E533" s="11" t="str" cm="1">
        <f t="array" ref="E533">_xlfn.IFS(
    COUNTIF(Herramientas_eléctricas1862[Herramientas_eléctricas], B533) &gt; 0, Herramientas_eléctricas1862[[#Headers],[Herramientas_eléctricas]],
    COUNTIF(Herramientas_neumáticas1963[Herramientas_neumáticas], B533) &gt; 0, Herramientas_neumáticas1963[[#Headers],[Herramientas_neumáticas]],
    COUNTIF(Herramientas_de_medición2064[Herramientas_de_medición], B533) &gt; 0, Herramientas_de_medición2064[[#Headers],[Herramientas_de_medición]],
    COUNTIF(Herrramientas_mecánicas2165[Herramientas_mecánicas], B533) &gt; 0, Herrramientas_mecánicas2165[[#Headers],[Herramientas_mecánicas]],
    COUNTIF(AK533:AK539, B533) &gt; 0, Herramientas_hidráulicas2266[[#Headers],[Herramientas_hidráulicas]],
    COUNTIF(EPP_2367[SPCC], B533) &gt; 0, EPP_2367[[#Headers],[SPCC]],
   COUNTIF(Herramientas_de_izaje2468[Herramientas_de_izaje], B533) &gt; 0, Herramientas_de_izaje2468[[#Headers],[Herramientas_de_izaje]],
COUNTIF(Tabla162670[Equipos], B533) &gt; 0, Tabla162670[[#Headers],[Equipos]],
    TRUE, "Sin clasificación"
)</f>
        <v>Sin clasificación</v>
      </c>
      <c r="G533" s="15"/>
      <c r="H533" s="47"/>
      <c r="I533" s="87"/>
      <c r="J533" s="78"/>
      <c r="K533" s="78"/>
      <c r="L533" s="78"/>
      <c r="M533" s="78"/>
      <c r="N533" s="76"/>
      <c r="O533" s="76"/>
      <c r="P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Q533" s="77"/>
      <c r="R533" s="32"/>
      <c r="S533" s="32"/>
      <c r="T533" s="32"/>
      <c r="U533" s="32"/>
    </row>
    <row r="534" spans="3:21" x14ac:dyDescent="0.3">
      <c r="C534" s="11"/>
      <c r="D534" s="32"/>
      <c r="E534" s="11" t="str" cm="1">
        <f t="array" ref="E534">_xlfn.IFS(
    COUNTIF(Herramientas_eléctricas1862[Herramientas_eléctricas], B534) &gt; 0, Herramientas_eléctricas1862[[#Headers],[Herramientas_eléctricas]],
    COUNTIF(Herramientas_neumáticas1963[Herramientas_neumáticas], B534) &gt; 0, Herramientas_neumáticas1963[[#Headers],[Herramientas_neumáticas]],
    COUNTIF(Herramientas_de_medición2064[Herramientas_de_medición], B534) &gt; 0, Herramientas_de_medición2064[[#Headers],[Herramientas_de_medición]],
    COUNTIF(Herrramientas_mecánicas2165[Herramientas_mecánicas], B534) &gt; 0, Herrramientas_mecánicas2165[[#Headers],[Herramientas_mecánicas]],
    COUNTIF(AK534:AK540, B534) &gt; 0, Herramientas_hidráulicas2266[[#Headers],[Herramientas_hidráulicas]],
    COUNTIF(EPP_2367[SPCC], B534) &gt; 0, EPP_2367[[#Headers],[SPCC]],
   COUNTIF(Herramientas_de_izaje2468[Herramientas_de_izaje], B534) &gt; 0, Herramientas_de_izaje2468[[#Headers],[Herramientas_de_izaje]],
COUNTIF(Tabla162670[Equipos], B534) &gt; 0, Tabla162670[[#Headers],[Equipos]],
    TRUE, "Sin clasificación"
)</f>
        <v>Sin clasificación</v>
      </c>
      <c r="G534" s="15"/>
      <c r="H534" s="78"/>
      <c r="I534" s="78"/>
      <c r="J534" s="78"/>
      <c r="K534" s="78"/>
      <c r="L534" s="78"/>
      <c r="M534" s="78"/>
      <c r="N534" s="76"/>
      <c r="O534" s="76"/>
      <c r="P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Q534" s="77"/>
      <c r="R534" s="32"/>
      <c r="S534" s="32"/>
      <c r="T534" s="32"/>
      <c r="U534" s="32"/>
    </row>
    <row r="535" spans="3:21" x14ac:dyDescent="0.3">
      <c r="C535" s="11"/>
      <c r="D535" s="32"/>
      <c r="E535" s="11" t="str" cm="1">
        <f t="array" ref="E535">_xlfn.IFS(
    COUNTIF(Herramientas_eléctricas1862[Herramientas_eléctricas], B535) &gt; 0, Herramientas_eléctricas1862[[#Headers],[Herramientas_eléctricas]],
    COUNTIF(Herramientas_neumáticas1963[Herramientas_neumáticas], B535) &gt; 0, Herramientas_neumáticas1963[[#Headers],[Herramientas_neumáticas]],
    COUNTIF(Herramientas_de_medición2064[Herramientas_de_medición], B535) &gt; 0, Herramientas_de_medición2064[[#Headers],[Herramientas_de_medición]],
    COUNTIF(Herrramientas_mecánicas2165[Herramientas_mecánicas], B535) &gt; 0, Herrramientas_mecánicas2165[[#Headers],[Herramientas_mecánicas]],
    COUNTIF(AK535:AK541, B535) &gt; 0, Herramientas_hidráulicas2266[[#Headers],[Herramientas_hidráulicas]],
    COUNTIF(EPP_2367[SPCC], B535) &gt; 0, EPP_2367[[#Headers],[SPCC]],
   COUNTIF(Herramientas_de_izaje2468[Herramientas_de_izaje], B535) &gt; 0, Herramientas_de_izaje2468[[#Headers],[Herramientas_de_izaje]],
COUNTIF(Tabla162670[Equipos], B535) &gt; 0, Tabla162670[[#Headers],[Equipos]],
    TRUE, "Sin clasificación"
)</f>
        <v>Sin clasificación</v>
      </c>
      <c r="G535" s="15"/>
      <c r="H535" s="47"/>
      <c r="I535" s="87"/>
      <c r="J535" s="78"/>
      <c r="K535" s="78"/>
      <c r="L535" s="78"/>
      <c r="M535" s="78"/>
      <c r="N535" s="76"/>
      <c r="O535" s="76"/>
      <c r="P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Q535" s="77"/>
      <c r="R535" s="32"/>
      <c r="S535" s="32"/>
      <c r="T535" s="32"/>
      <c r="U535" s="32"/>
    </row>
    <row r="536" spans="3:21" x14ac:dyDescent="0.3">
      <c r="C536" s="11"/>
      <c r="D536" s="32"/>
      <c r="E536" s="11" t="str" cm="1">
        <f t="array" ref="E536">_xlfn.IFS(
    COUNTIF(Herramientas_eléctricas1862[Herramientas_eléctricas], B536) &gt; 0, Herramientas_eléctricas1862[[#Headers],[Herramientas_eléctricas]],
    COUNTIF(Herramientas_neumáticas1963[Herramientas_neumáticas], B536) &gt; 0, Herramientas_neumáticas1963[[#Headers],[Herramientas_neumáticas]],
    COUNTIF(Herramientas_de_medición2064[Herramientas_de_medición], B536) &gt; 0, Herramientas_de_medición2064[[#Headers],[Herramientas_de_medición]],
    COUNTIF(Herrramientas_mecánicas2165[Herramientas_mecánicas], B536) &gt; 0, Herrramientas_mecánicas2165[[#Headers],[Herramientas_mecánicas]],
    COUNTIF(AK536:AK542, B536) &gt; 0, Herramientas_hidráulicas2266[[#Headers],[Herramientas_hidráulicas]],
    COUNTIF(EPP_2367[SPCC], B536) &gt; 0, EPP_2367[[#Headers],[SPCC]],
   COUNTIF(Herramientas_de_izaje2468[Herramientas_de_izaje], B536) &gt; 0, Herramientas_de_izaje2468[[#Headers],[Herramientas_de_izaje]],
COUNTIF(Tabla162670[Equipos], B536) &gt; 0, Tabla162670[[#Headers],[Equipos]],
    TRUE, "Sin clasificación"
)</f>
        <v>Sin clasificación</v>
      </c>
      <c r="G536" s="15"/>
      <c r="H536" s="47"/>
      <c r="I536" s="87"/>
      <c r="J536" s="78"/>
      <c r="K536" s="78"/>
      <c r="L536" s="78"/>
      <c r="M536" s="78"/>
      <c r="N536" s="76"/>
      <c r="O536" s="76"/>
      <c r="P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Q536" s="77"/>
      <c r="R536" s="32"/>
      <c r="S536" s="32"/>
      <c r="T536" s="32"/>
      <c r="U536" s="32"/>
    </row>
    <row r="537" spans="3:21" x14ac:dyDescent="0.3">
      <c r="C537" s="11"/>
      <c r="D537" s="32"/>
      <c r="E537" s="11" t="str" cm="1">
        <f t="array" ref="E537">_xlfn.IFS(
    COUNTIF(Herramientas_eléctricas1862[Herramientas_eléctricas], B537) &gt; 0, Herramientas_eléctricas1862[[#Headers],[Herramientas_eléctricas]],
    COUNTIF(Herramientas_neumáticas1963[Herramientas_neumáticas], B537) &gt; 0, Herramientas_neumáticas1963[[#Headers],[Herramientas_neumáticas]],
    COUNTIF(Herramientas_de_medición2064[Herramientas_de_medición], B537) &gt; 0, Herramientas_de_medición2064[[#Headers],[Herramientas_de_medición]],
    COUNTIF(Herrramientas_mecánicas2165[Herramientas_mecánicas], B537) &gt; 0, Herrramientas_mecánicas2165[[#Headers],[Herramientas_mecánicas]],
    COUNTIF(AK537:AK543, B537) &gt; 0, Herramientas_hidráulicas2266[[#Headers],[Herramientas_hidráulicas]],
    COUNTIF(EPP_2367[SPCC], B537) &gt; 0, EPP_2367[[#Headers],[SPCC]],
   COUNTIF(Herramientas_de_izaje2468[Herramientas_de_izaje], B537) &gt; 0, Herramientas_de_izaje2468[[#Headers],[Herramientas_de_izaje]],
COUNTIF(Tabla162670[Equipos], B537) &gt; 0, Tabla162670[[#Headers],[Equipos]],
    TRUE, "Sin clasificación"
)</f>
        <v>Sin clasificación</v>
      </c>
      <c r="G537" s="15"/>
      <c r="H537" s="47"/>
      <c r="I537" s="87"/>
      <c r="J537" s="78"/>
      <c r="K537" s="78"/>
      <c r="L537" s="78"/>
      <c r="M537" s="78"/>
      <c r="N537" s="76"/>
      <c r="O537" s="76"/>
      <c r="P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Q537" s="77"/>
      <c r="R537" s="32"/>
      <c r="S537" s="32"/>
      <c r="T537" s="32"/>
      <c r="U537" s="32"/>
    </row>
    <row r="538" spans="3:21" x14ac:dyDescent="0.3">
      <c r="C538" s="11"/>
      <c r="D538" s="32"/>
      <c r="E538" s="11" t="str" cm="1">
        <f t="array" ref="E538">_xlfn.IFS(
    COUNTIF(Herramientas_eléctricas1862[Herramientas_eléctricas], B538) &gt; 0, Herramientas_eléctricas1862[[#Headers],[Herramientas_eléctricas]],
    COUNTIF(Herramientas_neumáticas1963[Herramientas_neumáticas], B538) &gt; 0, Herramientas_neumáticas1963[[#Headers],[Herramientas_neumáticas]],
    COUNTIF(Herramientas_de_medición2064[Herramientas_de_medición], B538) &gt; 0, Herramientas_de_medición2064[[#Headers],[Herramientas_de_medición]],
    COUNTIF(Herrramientas_mecánicas2165[Herramientas_mecánicas], B538) &gt; 0, Herrramientas_mecánicas2165[[#Headers],[Herramientas_mecánicas]],
    COUNTIF(AK538:AK544, B538) &gt; 0, Herramientas_hidráulicas2266[[#Headers],[Herramientas_hidráulicas]],
    COUNTIF(EPP_2367[SPCC], B538) &gt; 0, EPP_2367[[#Headers],[SPCC]],
   COUNTIF(Herramientas_de_izaje2468[Herramientas_de_izaje], B538) &gt; 0, Herramientas_de_izaje2468[[#Headers],[Herramientas_de_izaje]],
COUNTIF(Tabla162670[Equipos], B538) &gt; 0, Tabla162670[[#Headers],[Equipos]],
    TRUE, "Sin clasificación"
)</f>
        <v>Sin clasificación</v>
      </c>
      <c r="G538" s="15"/>
      <c r="H538" s="47"/>
      <c r="I538" s="87"/>
      <c r="J538" s="78"/>
      <c r="K538" s="78"/>
      <c r="L538" s="78"/>
      <c r="M538" s="78"/>
      <c r="N538" s="76"/>
      <c r="O538" s="76"/>
      <c r="P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Q538" s="77"/>
      <c r="R538" s="32"/>
      <c r="S538" s="32"/>
      <c r="T538" s="32"/>
      <c r="U538" s="32"/>
    </row>
    <row r="539" spans="3:21" x14ac:dyDescent="0.3">
      <c r="C539" s="11"/>
      <c r="D539" s="32"/>
      <c r="E539" s="11" t="str" cm="1">
        <f t="array" ref="E539">_xlfn.IFS(
    COUNTIF(Herramientas_eléctricas1862[Herramientas_eléctricas], B539) &gt; 0, Herramientas_eléctricas1862[[#Headers],[Herramientas_eléctricas]],
    COUNTIF(Herramientas_neumáticas1963[Herramientas_neumáticas], B539) &gt; 0, Herramientas_neumáticas1963[[#Headers],[Herramientas_neumáticas]],
    COUNTIF(Herramientas_de_medición2064[Herramientas_de_medición], B539) &gt; 0, Herramientas_de_medición2064[[#Headers],[Herramientas_de_medición]],
    COUNTIF(Herrramientas_mecánicas2165[Herramientas_mecánicas], B539) &gt; 0, Herrramientas_mecánicas2165[[#Headers],[Herramientas_mecánicas]],
    COUNTIF(AK539:AK545, B539) &gt; 0, Herramientas_hidráulicas2266[[#Headers],[Herramientas_hidráulicas]],
    COUNTIF(EPP_2367[SPCC], B539) &gt; 0, EPP_2367[[#Headers],[SPCC]],
   COUNTIF(Herramientas_de_izaje2468[Herramientas_de_izaje], B539) &gt; 0, Herramientas_de_izaje2468[[#Headers],[Herramientas_de_izaje]],
COUNTIF(Tabla162670[Equipos], B539) &gt; 0, Tabla162670[[#Headers],[Equipos]],
    TRUE, "Sin clasificación"
)</f>
        <v>Sin clasificación</v>
      </c>
      <c r="G539" s="15"/>
      <c r="H539" s="47"/>
      <c r="I539" s="87"/>
      <c r="J539" s="78"/>
      <c r="K539" s="78"/>
      <c r="L539" s="78"/>
      <c r="M539" s="78"/>
      <c r="N539" s="76"/>
      <c r="O539" s="76"/>
      <c r="P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Q539" s="77"/>
      <c r="R539" s="32"/>
      <c r="S539" s="32"/>
      <c r="T539" s="32"/>
      <c r="U539" s="32"/>
    </row>
    <row r="540" spans="3:21" x14ac:dyDescent="0.3">
      <c r="C540" s="11"/>
      <c r="D540" s="32"/>
      <c r="E540" s="11" t="str" cm="1">
        <f t="array" ref="E540">_xlfn.IFS(
    COUNTIF(Herramientas_eléctricas1862[Herramientas_eléctricas], B540) &gt; 0, Herramientas_eléctricas1862[[#Headers],[Herramientas_eléctricas]],
    COUNTIF(Herramientas_neumáticas1963[Herramientas_neumáticas], B540) &gt; 0, Herramientas_neumáticas1963[[#Headers],[Herramientas_neumáticas]],
    COUNTIF(Herramientas_de_medición2064[Herramientas_de_medición], B540) &gt; 0, Herramientas_de_medición2064[[#Headers],[Herramientas_de_medición]],
    COUNTIF(Herrramientas_mecánicas2165[Herramientas_mecánicas], B540) &gt; 0, Herrramientas_mecánicas2165[[#Headers],[Herramientas_mecánicas]],
    COUNTIF(AK540:AK546, B540) &gt; 0, Herramientas_hidráulicas2266[[#Headers],[Herramientas_hidráulicas]],
    COUNTIF(EPP_2367[SPCC], B540) &gt; 0, EPP_2367[[#Headers],[SPCC]],
   COUNTIF(Herramientas_de_izaje2468[Herramientas_de_izaje], B540) &gt; 0, Herramientas_de_izaje2468[[#Headers],[Herramientas_de_izaje]],
COUNTIF(Tabla162670[Equipos], B540) &gt; 0, Tabla162670[[#Headers],[Equipos]],
    TRUE, "Sin clasificación"
)</f>
        <v>Sin clasificación</v>
      </c>
      <c r="G540" s="15"/>
      <c r="H540" s="47"/>
      <c r="I540" s="87"/>
      <c r="J540" s="78"/>
      <c r="K540" s="78"/>
      <c r="L540" s="78"/>
      <c r="M540" s="78"/>
      <c r="N540" s="76"/>
      <c r="O540" s="76"/>
      <c r="P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Q540" s="77"/>
      <c r="R540" s="32"/>
      <c r="S540" s="32"/>
      <c r="T540" s="32"/>
      <c r="U540" s="32"/>
    </row>
    <row r="541" spans="3:21" x14ac:dyDescent="0.3">
      <c r="C541" s="11"/>
      <c r="D541" s="32"/>
      <c r="E541" s="11" t="str" cm="1">
        <f t="array" ref="E541">_xlfn.IFS(
    COUNTIF(Herramientas_eléctricas1862[Herramientas_eléctricas], B541) &gt; 0, Herramientas_eléctricas1862[[#Headers],[Herramientas_eléctricas]],
    COUNTIF(Herramientas_neumáticas1963[Herramientas_neumáticas], B541) &gt; 0, Herramientas_neumáticas1963[[#Headers],[Herramientas_neumáticas]],
    COUNTIF(Herramientas_de_medición2064[Herramientas_de_medición], B541) &gt; 0, Herramientas_de_medición2064[[#Headers],[Herramientas_de_medición]],
    COUNTIF(Herrramientas_mecánicas2165[Herramientas_mecánicas], B541) &gt; 0, Herrramientas_mecánicas2165[[#Headers],[Herramientas_mecánicas]],
    COUNTIF(AK541:AK547, B541) &gt; 0, Herramientas_hidráulicas2266[[#Headers],[Herramientas_hidráulicas]],
    COUNTIF(EPP_2367[SPCC], B541) &gt; 0, EPP_2367[[#Headers],[SPCC]],
   COUNTIF(Herramientas_de_izaje2468[Herramientas_de_izaje], B541) &gt; 0, Herramientas_de_izaje2468[[#Headers],[Herramientas_de_izaje]],
COUNTIF(Tabla162670[Equipos], B541) &gt; 0, Tabla162670[[#Headers],[Equipos]],
    TRUE, "Sin clasificación"
)</f>
        <v>Sin clasificación</v>
      </c>
      <c r="G541" s="15"/>
      <c r="H541" s="47"/>
      <c r="I541" s="87"/>
      <c r="J541" s="78"/>
      <c r="K541" s="78"/>
      <c r="L541" s="78"/>
      <c r="M541" s="78"/>
      <c r="N541" s="76"/>
      <c r="O541" s="76"/>
      <c r="P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Q541" s="77"/>
      <c r="R541" s="32"/>
      <c r="S541" s="32"/>
      <c r="T541" s="32"/>
      <c r="U541" s="32"/>
    </row>
    <row r="542" spans="3:21" x14ac:dyDescent="0.3">
      <c r="C542" s="11"/>
      <c r="D542" s="32"/>
      <c r="E542" s="11" t="str" cm="1">
        <f t="array" ref="E542">_xlfn.IFS(
    COUNTIF(Herramientas_eléctricas1862[Herramientas_eléctricas], B542) &gt; 0, Herramientas_eléctricas1862[[#Headers],[Herramientas_eléctricas]],
    COUNTIF(Herramientas_neumáticas1963[Herramientas_neumáticas], B542) &gt; 0, Herramientas_neumáticas1963[[#Headers],[Herramientas_neumáticas]],
    COUNTIF(Herramientas_de_medición2064[Herramientas_de_medición], B542) &gt; 0, Herramientas_de_medición2064[[#Headers],[Herramientas_de_medición]],
    COUNTIF(Herrramientas_mecánicas2165[Herramientas_mecánicas], B542) &gt; 0, Herrramientas_mecánicas2165[[#Headers],[Herramientas_mecánicas]],
    COUNTIF(AK542:AK548, B542) &gt; 0, Herramientas_hidráulicas2266[[#Headers],[Herramientas_hidráulicas]],
    COUNTIF(EPP_2367[SPCC], B542) &gt; 0, EPP_2367[[#Headers],[SPCC]],
   COUNTIF(Herramientas_de_izaje2468[Herramientas_de_izaje], B542) &gt; 0, Herramientas_de_izaje2468[[#Headers],[Herramientas_de_izaje]],
COUNTIF(Tabla162670[Equipos], B542) &gt; 0, Tabla162670[[#Headers],[Equipos]],
    TRUE, "Sin clasificación"
)</f>
        <v>Sin clasificación</v>
      </c>
      <c r="G542" s="15"/>
      <c r="H542" s="47"/>
      <c r="I542" s="87"/>
      <c r="J542" s="78"/>
      <c r="K542" s="78"/>
      <c r="L542" s="78"/>
      <c r="M542" s="78"/>
      <c r="N542" s="76"/>
      <c r="O542" s="76"/>
      <c r="P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Q542" s="77"/>
      <c r="R542" s="32"/>
      <c r="S542" s="32"/>
      <c r="T542" s="32"/>
      <c r="U542" s="32"/>
    </row>
    <row r="543" spans="3:21" x14ac:dyDescent="0.3">
      <c r="C543" s="11"/>
      <c r="D543" s="32"/>
      <c r="E543" s="11" t="str" cm="1">
        <f t="array" ref="E543">_xlfn.IFS(
    COUNTIF(Herramientas_eléctricas1862[Herramientas_eléctricas], B543) &gt; 0, Herramientas_eléctricas1862[[#Headers],[Herramientas_eléctricas]],
    COUNTIF(Herramientas_neumáticas1963[Herramientas_neumáticas], B543) &gt; 0, Herramientas_neumáticas1963[[#Headers],[Herramientas_neumáticas]],
    COUNTIF(Herramientas_de_medición2064[Herramientas_de_medición], B543) &gt; 0, Herramientas_de_medición2064[[#Headers],[Herramientas_de_medición]],
    COUNTIF(Herrramientas_mecánicas2165[Herramientas_mecánicas], B543) &gt; 0, Herrramientas_mecánicas2165[[#Headers],[Herramientas_mecánicas]],
    COUNTIF(AK543:AK549, B543) &gt; 0, Herramientas_hidráulicas2266[[#Headers],[Herramientas_hidráulicas]],
    COUNTIF(EPP_2367[SPCC], B543) &gt; 0, EPP_2367[[#Headers],[SPCC]],
   COUNTIF(Herramientas_de_izaje2468[Herramientas_de_izaje], B543) &gt; 0, Herramientas_de_izaje2468[[#Headers],[Herramientas_de_izaje]],
COUNTIF(Tabla162670[Equipos], B543) &gt; 0, Tabla162670[[#Headers],[Equipos]],
    TRUE, "Sin clasificación"
)</f>
        <v>Sin clasificación</v>
      </c>
      <c r="G543" s="15"/>
      <c r="H543" s="47"/>
      <c r="I543" s="87"/>
      <c r="J543" s="78"/>
      <c r="K543" s="78"/>
      <c r="L543" s="78"/>
      <c r="M543" s="78"/>
      <c r="N543" s="76"/>
      <c r="O543" s="76"/>
      <c r="P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Q543" s="77"/>
      <c r="R543" s="32"/>
      <c r="S543" s="32"/>
      <c r="T543" s="32"/>
      <c r="U543" s="32"/>
    </row>
    <row r="544" spans="3:21" x14ac:dyDescent="0.3">
      <c r="C544" s="11"/>
      <c r="D544" s="32"/>
      <c r="E544" s="11" t="str" cm="1">
        <f t="array" ref="E544">_xlfn.IFS(
    COUNTIF(Herramientas_eléctricas1862[Herramientas_eléctricas], B544) &gt; 0, Herramientas_eléctricas1862[[#Headers],[Herramientas_eléctricas]],
    COUNTIF(Herramientas_neumáticas1963[Herramientas_neumáticas], B544) &gt; 0, Herramientas_neumáticas1963[[#Headers],[Herramientas_neumáticas]],
    COUNTIF(Herramientas_de_medición2064[Herramientas_de_medición], B544) &gt; 0, Herramientas_de_medición2064[[#Headers],[Herramientas_de_medición]],
    COUNTIF(Herrramientas_mecánicas2165[Herramientas_mecánicas], B544) &gt; 0, Herrramientas_mecánicas2165[[#Headers],[Herramientas_mecánicas]],
    COUNTIF(AK544:AK550, B544) &gt; 0, Herramientas_hidráulicas2266[[#Headers],[Herramientas_hidráulicas]],
    COUNTIF(EPP_2367[SPCC], B544) &gt; 0, EPP_2367[[#Headers],[SPCC]],
   COUNTIF(Herramientas_de_izaje2468[Herramientas_de_izaje], B544) &gt; 0, Herramientas_de_izaje2468[[#Headers],[Herramientas_de_izaje]],
COUNTIF(Tabla162670[Equipos], B544) &gt; 0, Tabla162670[[#Headers],[Equipos]],
    TRUE, "Sin clasificación"
)</f>
        <v>Sin clasificación</v>
      </c>
      <c r="G544" s="15"/>
      <c r="H544" s="47"/>
      <c r="I544" s="87"/>
      <c r="J544" s="78"/>
      <c r="K544" s="78"/>
      <c r="L544" s="78"/>
      <c r="M544" s="78"/>
      <c r="N544" s="76"/>
      <c r="O544" s="76"/>
      <c r="P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Q544" s="77"/>
      <c r="R544" s="32"/>
      <c r="S544" s="32"/>
      <c r="T544" s="32"/>
      <c r="U544" s="32"/>
    </row>
    <row r="545" spans="3:21" x14ac:dyDescent="0.3">
      <c r="C545" s="11"/>
      <c r="D545" s="32"/>
      <c r="E545" s="11" t="str" cm="1">
        <f t="array" ref="E545">_xlfn.IFS(
    COUNTIF(Herramientas_eléctricas1862[Herramientas_eléctricas], B545) &gt; 0, Herramientas_eléctricas1862[[#Headers],[Herramientas_eléctricas]],
    COUNTIF(Herramientas_neumáticas1963[Herramientas_neumáticas], B545) &gt; 0, Herramientas_neumáticas1963[[#Headers],[Herramientas_neumáticas]],
    COUNTIF(Herramientas_de_medición2064[Herramientas_de_medición], B545) &gt; 0, Herramientas_de_medición2064[[#Headers],[Herramientas_de_medición]],
    COUNTIF(Herrramientas_mecánicas2165[Herramientas_mecánicas], B545) &gt; 0, Herrramientas_mecánicas2165[[#Headers],[Herramientas_mecánicas]],
    COUNTIF(AK545:AK551, B545) &gt; 0, Herramientas_hidráulicas2266[[#Headers],[Herramientas_hidráulicas]],
    COUNTIF(EPP_2367[SPCC], B545) &gt; 0, EPP_2367[[#Headers],[SPCC]],
   COUNTIF(Herramientas_de_izaje2468[Herramientas_de_izaje], B545) &gt; 0, Herramientas_de_izaje2468[[#Headers],[Herramientas_de_izaje]],
COUNTIF(Tabla162670[Equipos], B545) &gt; 0, Tabla162670[[#Headers],[Equipos]],
    TRUE, "Sin clasificación"
)</f>
        <v>Sin clasificación</v>
      </c>
      <c r="G545" s="15"/>
      <c r="H545" s="47"/>
      <c r="I545" s="87"/>
      <c r="J545" s="78"/>
      <c r="K545" s="78"/>
      <c r="L545" s="78"/>
      <c r="M545" s="78"/>
      <c r="N545" s="76"/>
      <c r="O545" s="76"/>
      <c r="P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Q545" s="77"/>
      <c r="R545" s="32"/>
      <c r="S545" s="32"/>
      <c r="T545" s="32"/>
      <c r="U545" s="32"/>
    </row>
    <row r="546" spans="3:21" x14ac:dyDescent="0.3">
      <c r="C546" s="11"/>
      <c r="D546" s="32"/>
      <c r="E546" s="11" t="str" cm="1">
        <f t="array" ref="E546">_xlfn.IFS(
    COUNTIF(Herramientas_eléctricas1862[Herramientas_eléctricas], B546) &gt; 0, Herramientas_eléctricas1862[[#Headers],[Herramientas_eléctricas]],
    COUNTIF(Herramientas_neumáticas1963[Herramientas_neumáticas], B546) &gt; 0, Herramientas_neumáticas1963[[#Headers],[Herramientas_neumáticas]],
    COUNTIF(Herramientas_de_medición2064[Herramientas_de_medición], B546) &gt; 0, Herramientas_de_medición2064[[#Headers],[Herramientas_de_medición]],
    COUNTIF(Herrramientas_mecánicas2165[Herramientas_mecánicas], B546) &gt; 0, Herrramientas_mecánicas2165[[#Headers],[Herramientas_mecánicas]],
    COUNTIF(AK546:AK552, B546) &gt; 0, Herramientas_hidráulicas2266[[#Headers],[Herramientas_hidráulicas]],
    COUNTIF(EPP_2367[SPCC], B546) &gt; 0, EPP_2367[[#Headers],[SPCC]],
   COUNTIF(Herramientas_de_izaje2468[Herramientas_de_izaje], B546) &gt; 0, Herramientas_de_izaje2468[[#Headers],[Herramientas_de_izaje]],
COUNTIF(Tabla162670[Equipos], B546) &gt; 0, Tabla162670[[#Headers],[Equipos]],
    TRUE, "Sin clasificación"
)</f>
        <v>Sin clasificación</v>
      </c>
      <c r="G546" s="15"/>
      <c r="H546" s="47"/>
      <c r="I546" s="87"/>
      <c r="J546" s="78"/>
      <c r="K546" s="78"/>
      <c r="L546" s="78"/>
      <c r="M546" s="78"/>
      <c r="N546" s="76"/>
      <c r="O546" s="76"/>
      <c r="P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Q546" s="77"/>
      <c r="R546" s="32"/>
      <c r="S546" s="32"/>
      <c r="T546" s="32"/>
      <c r="U546" s="32"/>
    </row>
    <row r="547" spans="3:21" x14ac:dyDescent="0.3">
      <c r="C547" s="11"/>
      <c r="D547" s="32"/>
      <c r="E547" s="11" t="str" cm="1">
        <f t="array" ref="E547">_xlfn.IFS(
    COUNTIF(Herramientas_eléctricas1862[Herramientas_eléctricas], B547) &gt; 0, Herramientas_eléctricas1862[[#Headers],[Herramientas_eléctricas]],
    COUNTIF(Herramientas_neumáticas1963[Herramientas_neumáticas], B547) &gt; 0, Herramientas_neumáticas1963[[#Headers],[Herramientas_neumáticas]],
    COUNTIF(Herramientas_de_medición2064[Herramientas_de_medición], B547) &gt; 0, Herramientas_de_medición2064[[#Headers],[Herramientas_de_medición]],
    COUNTIF(Herrramientas_mecánicas2165[Herramientas_mecánicas], B547) &gt; 0, Herrramientas_mecánicas2165[[#Headers],[Herramientas_mecánicas]],
    COUNTIF(AK547:AK553, B547) &gt; 0, Herramientas_hidráulicas2266[[#Headers],[Herramientas_hidráulicas]],
    COUNTIF(EPP_2367[SPCC], B547) &gt; 0, EPP_2367[[#Headers],[SPCC]],
   COUNTIF(Herramientas_de_izaje2468[Herramientas_de_izaje], B547) &gt; 0, Herramientas_de_izaje2468[[#Headers],[Herramientas_de_izaje]],
COUNTIF(Tabla162670[Equipos], B547) &gt; 0, Tabla162670[[#Headers],[Equipos]],
    TRUE, "Sin clasificación"
)</f>
        <v>Sin clasificación</v>
      </c>
      <c r="G547" s="15"/>
      <c r="H547" s="47"/>
      <c r="I547" s="87"/>
      <c r="J547" s="78"/>
      <c r="K547" s="78"/>
      <c r="L547" s="78"/>
      <c r="M547" s="78"/>
      <c r="N547" s="76"/>
      <c r="O547" s="76"/>
      <c r="P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Q547" s="77"/>
      <c r="R547" s="32"/>
      <c r="S547" s="32"/>
      <c r="T547" s="32"/>
      <c r="U547" s="32"/>
    </row>
    <row r="548" spans="3:21" x14ac:dyDescent="0.3">
      <c r="C548" s="11"/>
      <c r="D548" s="32"/>
      <c r="E548" s="11" t="str" cm="1">
        <f t="array" ref="E548">_xlfn.IFS(
    COUNTIF(Herramientas_eléctricas1862[Herramientas_eléctricas], B548) &gt; 0, Herramientas_eléctricas1862[[#Headers],[Herramientas_eléctricas]],
    COUNTIF(Herramientas_neumáticas1963[Herramientas_neumáticas], B548) &gt; 0, Herramientas_neumáticas1963[[#Headers],[Herramientas_neumáticas]],
    COUNTIF(Herramientas_de_medición2064[Herramientas_de_medición], B548) &gt; 0, Herramientas_de_medición2064[[#Headers],[Herramientas_de_medición]],
    COUNTIF(Herrramientas_mecánicas2165[Herramientas_mecánicas], B548) &gt; 0, Herrramientas_mecánicas2165[[#Headers],[Herramientas_mecánicas]],
    COUNTIF(AK548:AK554, B548) &gt; 0, Herramientas_hidráulicas2266[[#Headers],[Herramientas_hidráulicas]],
    COUNTIF(EPP_2367[SPCC], B548) &gt; 0, EPP_2367[[#Headers],[SPCC]],
   COUNTIF(Herramientas_de_izaje2468[Herramientas_de_izaje], B548) &gt; 0, Herramientas_de_izaje2468[[#Headers],[Herramientas_de_izaje]],
COUNTIF(Tabla162670[Equipos], B548) &gt; 0, Tabla162670[[#Headers],[Equipos]],
    TRUE, "Sin clasificación"
)</f>
        <v>Sin clasificación</v>
      </c>
      <c r="G548" s="15"/>
      <c r="H548" s="47"/>
      <c r="I548" s="87"/>
      <c r="J548" s="78"/>
      <c r="K548" s="78"/>
      <c r="L548" s="78"/>
      <c r="M548" s="78"/>
      <c r="N548" s="76"/>
      <c r="O548" s="76"/>
      <c r="P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Q548" s="77"/>
      <c r="R548" s="32"/>
      <c r="S548" s="32"/>
      <c r="T548" s="32"/>
      <c r="U548" s="32"/>
    </row>
    <row r="549" spans="3:21" x14ac:dyDescent="0.3">
      <c r="C549" s="11"/>
      <c r="D549" s="32"/>
      <c r="E549" s="11" t="str" cm="1">
        <f t="array" ref="E549">_xlfn.IFS(
    COUNTIF(Herramientas_eléctricas1862[Herramientas_eléctricas], B549) &gt; 0, Herramientas_eléctricas1862[[#Headers],[Herramientas_eléctricas]],
    COUNTIF(Herramientas_neumáticas1963[Herramientas_neumáticas], B549) &gt; 0, Herramientas_neumáticas1963[[#Headers],[Herramientas_neumáticas]],
    COUNTIF(Herramientas_de_medición2064[Herramientas_de_medición], B549) &gt; 0, Herramientas_de_medición2064[[#Headers],[Herramientas_de_medición]],
    COUNTIF(Herrramientas_mecánicas2165[Herramientas_mecánicas], B549) &gt; 0, Herrramientas_mecánicas2165[[#Headers],[Herramientas_mecánicas]],
    COUNTIF(AK549:AK555, B549) &gt; 0, Herramientas_hidráulicas2266[[#Headers],[Herramientas_hidráulicas]],
    COUNTIF(EPP_2367[SPCC], B549) &gt; 0, EPP_2367[[#Headers],[SPCC]],
   COUNTIF(Herramientas_de_izaje2468[Herramientas_de_izaje], B549) &gt; 0, Herramientas_de_izaje2468[[#Headers],[Herramientas_de_izaje]],
COUNTIF(Tabla162670[Equipos], B549) &gt; 0, Tabla162670[[#Headers],[Equipos]],
    TRUE, "Sin clasificación"
)</f>
        <v>Sin clasificación</v>
      </c>
      <c r="G549" s="15"/>
      <c r="H549" s="47"/>
      <c r="I549" s="87"/>
      <c r="J549" s="78"/>
      <c r="K549" s="78"/>
      <c r="L549" s="78"/>
      <c r="M549" s="78"/>
      <c r="N549" s="76"/>
      <c r="O549" s="76"/>
      <c r="P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Q549" s="77"/>
      <c r="R549" s="32"/>
      <c r="S549" s="32"/>
      <c r="T549" s="32"/>
      <c r="U549" s="32"/>
    </row>
    <row r="550" spans="3:21" x14ac:dyDescent="0.3">
      <c r="C550" s="11"/>
      <c r="D550" s="32"/>
      <c r="E550" s="11" t="str" cm="1">
        <f t="array" ref="E550">_xlfn.IFS(
    COUNTIF(Herramientas_eléctricas1862[Herramientas_eléctricas], B550) &gt; 0, Herramientas_eléctricas1862[[#Headers],[Herramientas_eléctricas]],
    COUNTIF(Herramientas_neumáticas1963[Herramientas_neumáticas], B550) &gt; 0, Herramientas_neumáticas1963[[#Headers],[Herramientas_neumáticas]],
    COUNTIF(Herramientas_de_medición2064[Herramientas_de_medición], B550) &gt; 0, Herramientas_de_medición2064[[#Headers],[Herramientas_de_medición]],
    COUNTIF(Herrramientas_mecánicas2165[Herramientas_mecánicas], B550) &gt; 0, Herrramientas_mecánicas2165[[#Headers],[Herramientas_mecánicas]],
    COUNTIF(AK550:AK556, B550) &gt; 0, Herramientas_hidráulicas2266[[#Headers],[Herramientas_hidráulicas]],
    COUNTIF(EPP_2367[SPCC], B550) &gt; 0, EPP_2367[[#Headers],[SPCC]],
   COUNTIF(Herramientas_de_izaje2468[Herramientas_de_izaje], B550) &gt; 0, Herramientas_de_izaje2468[[#Headers],[Herramientas_de_izaje]],
COUNTIF(Tabla162670[Equipos], B550) &gt; 0, Tabla162670[[#Headers],[Equipos]],
    TRUE, "Sin clasificación"
)</f>
        <v>Sin clasificación</v>
      </c>
      <c r="G550" s="15"/>
      <c r="H550" s="47"/>
      <c r="I550" s="87"/>
      <c r="J550" s="78"/>
      <c r="K550" s="78"/>
      <c r="L550" s="78"/>
      <c r="M550" s="78"/>
      <c r="N550" s="76"/>
      <c r="O550" s="76"/>
      <c r="P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Q550" s="77"/>
      <c r="R550" s="32"/>
      <c r="S550" s="32"/>
      <c r="T550" s="32"/>
      <c r="U550" s="32"/>
    </row>
    <row r="551" spans="3:21" x14ac:dyDescent="0.3">
      <c r="C551" s="11"/>
      <c r="D551" s="32"/>
      <c r="E551" s="11" t="str" cm="1">
        <f t="array" ref="E551">_xlfn.IFS(
    COUNTIF(Herramientas_eléctricas1862[Herramientas_eléctricas], B551) &gt; 0, Herramientas_eléctricas1862[[#Headers],[Herramientas_eléctricas]],
    COUNTIF(Herramientas_neumáticas1963[Herramientas_neumáticas], B551) &gt; 0, Herramientas_neumáticas1963[[#Headers],[Herramientas_neumáticas]],
    COUNTIF(Herramientas_de_medición2064[Herramientas_de_medición], B551) &gt; 0, Herramientas_de_medición2064[[#Headers],[Herramientas_de_medición]],
    COUNTIF(Herrramientas_mecánicas2165[Herramientas_mecánicas], B551) &gt; 0, Herrramientas_mecánicas2165[[#Headers],[Herramientas_mecánicas]],
    COUNTIF(AK551:AK557, B551) &gt; 0, Herramientas_hidráulicas2266[[#Headers],[Herramientas_hidráulicas]],
    COUNTIF(EPP_2367[SPCC], B551) &gt; 0, EPP_2367[[#Headers],[SPCC]],
   COUNTIF(Herramientas_de_izaje2468[Herramientas_de_izaje], B551) &gt; 0, Herramientas_de_izaje2468[[#Headers],[Herramientas_de_izaje]],
COUNTIF(Tabla162670[Equipos], B551) &gt; 0, Tabla162670[[#Headers],[Equipos]],
    TRUE, "Sin clasificación"
)</f>
        <v>Sin clasificación</v>
      </c>
      <c r="G551" s="15"/>
      <c r="H551" s="47"/>
      <c r="I551" s="87"/>
      <c r="J551" s="78"/>
      <c r="K551" s="78"/>
      <c r="L551" s="78"/>
      <c r="M551" s="78"/>
      <c r="N551" s="76"/>
      <c r="O551" s="76"/>
      <c r="P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Q551" s="77"/>
      <c r="R551" s="32"/>
      <c r="S551" s="32"/>
      <c r="T551" s="32"/>
      <c r="U551" s="32"/>
    </row>
    <row r="552" spans="3:21" x14ac:dyDescent="0.3">
      <c r="C552" s="11"/>
      <c r="D552" s="32"/>
      <c r="E552" s="11" t="str" cm="1">
        <f t="array" ref="E552">_xlfn.IFS(
    COUNTIF(Herramientas_eléctricas1862[Herramientas_eléctricas], B552) &gt; 0, Herramientas_eléctricas1862[[#Headers],[Herramientas_eléctricas]],
    COUNTIF(Herramientas_neumáticas1963[Herramientas_neumáticas], B552) &gt; 0, Herramientas_neumáticas1963[[#Headers],[Herramientas_neumáticas]],
    COUNTIF(Herramientas_de_medición2064[Herramientas_de_medición], B552) &gt; 0, Herramientas_de_medición2064[[#Headers],[Herramientas_de_medición]],
    COUNTIF(Herrramientas_mecánicas2165[Herramientas_mecánicas], B552) &gt; 0, Herrramientas_mecánicas2165[[#Headers],[Herramientas_mecánicas]],
    COUNTIF(AK552:AK558, B552) &gt; 0, Herramientas_hidráulicas2266[[#Headers],[Herramientas_hidráulicas]],
    COUNTIF(EPP_2367[SPCC], B552) &gt; 0, EPP_2367[[#Headers],[SPCC]],
   COUNTIF(Herramientas_de_izaje2468[Herramientas_de_izaje], B552) &gt; 0, Herramientas_de_izaje2468[[#Headers],[Herramientas_de_izaje]],
COUNTIF(Tabla162670[Equipos], B552) &gt; 0, Tabla162670[[#Headers],[Equipos]],
    TRUE, "Sin clasificación"
)</f>
        <v>Sin clasificación</v>
      </c>
      <c r="G552" s="15"/>
      <c r="H552" s="47"/>
      <c r="I552" s="87"/>
      <c r="J552" s="78"/>
      <c r="K552" s="78"/>
      <c r="L552" s="78"/>
      <c r="M552" s="78"/>
      <c r="N552" s="76"/>
      <c r="O552" s="76"/>
      <c r="P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Q552" s="77"/>
      <c r="R552" s="32"/>
      <c r="S552" s="32"/>
      <c r="T552" s="32"/>
      <c r="U552" s="32"/>
    </row>
    <row r="553" spans="3:21" x14ac:dyDescent="0.3">
      <c r="C553" s="11"/>
      <c r="D553" s="32"/>
      <c r="E553" s="11" t="str" cm="1">
        <f t="array" ref="E553">_xlfn.IFS(
    COUNTIF(Herramientas_eléctricas1862[Herramientas_eléctricas], B553) &gt; 0, Herramientas_eléctricas1862[[#Headers],[Herramientas_eléctricas]],
    COUNTIF(Herramientas_neumáticas1963[Herramientas_neumáticas], B553) &gt; 0, Herramientas_neumáticas1963[[#Headers],[Herramientas_neumáticas]],
    COUNTIF(Herramientas_de_medición2064[Herramientas_de_medición], B553) &gt; 0, Herramientas_de_medición2064[[#Headers],[Herramientas_de_medición]],
    COUNTIF(Herrramientas_mecánicas2165[Herramientas_mecánicas], B553) &gt; 0, Herrramientas_mecánicas2165[[#Headers],[Herramientas_mecánicas]],
    COUNTIF(AK553:AK559, B553) &gt; 0, Herramientas_hidráulicas2266[[#Headers],[Herramientas_hidráulicas]],
    COUNTIF(EPP_2367[SPCC], B553) &gt; 0, EPP_2367[[#Headers],[SPCC]],
   COUNTIF(Herramientas_de_izaje2468[Herramientas_de_izaje], B553) &gt; 0, Herramientas_de_izaje2468[[#Headers],[Herramientas_de_izaje]],
COUNTIF(Tabla162670[Equipos], B553) &gt; 0, Tabla162670[[#Headers],[Equipos]],
    TRUE, "Sin clasificación"
)</f>
        <v>Sin clasificación</v>
      </c>
      <c r="G553" s="15"/>
      <c r="H553" s="47"/>
      <c r="I553" s="87"/>
      <c r="J553" s="78"/>
      <c r="K553" s="78"/>
      <c r="L553" s="78"/>
      <c r="M553" s="78"/>
      <c r="N553" s="76"/>
      <c r="O553" s="76"/>
      <c r="P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Q553" s="77"/>
      <c r="R553" s="32"/>
      <c r="S553" s="32"/>
      <c r="T553" s="32"/>
      <c r="U553" s="32"/>
    </row>
    <row r="554" spans="3:21" x14ac:dyDescent="0.3">
      <c r="C554" s="11"/>
      <c r="D554" s="32"/>
      <c r="E554" s="11" t="str" cm="1">
        <f t="array" ref="E554">_xlfn.IFS(
    COUNTIF(Herramientas_eléctricas1862[Herramientas_eléctricas], B554) &gt; 0, Herramientas_eléctricas1862[[#Headers],[Herramientas_eléctricas]],
    COUNTIF(Herramientas_neumáticas1963[Herramientas_neumáticas], B554) &gt; 0, Herramientas_neumáticas1963[[#Headers],[Herramientas_neumáticas]],
    COUNTIF(Herramientas_de_medición2064[Herramientas_de_medición], B554) &gt; 0, Herramientas_de_medición2064[[#Headers],[Herramientas_de_medición]],
    COUNTIF(Herrramientas_mecánicas2165[Herramientas_mecánicas], B554) &gt; 0, Herrramientas_mecánicas2165[[#Headers],[Herramientas_mecánicas]],
    COUNTIF(AK554:AK560, B554) &gt; 0, Herramientas_hidráulicas2266[[#Headers],[Herramientas_hidráulicas]],
    COUNTIF(EPP_2367[SPCC], B554) &gt; 0, EPP_2367[[#Headers],[SPCC]],
   COUNTIF(Herramientas_de_izaje2468[Herramientas_de_izaje], B554) &gt; 0, Herramientas_de_izaje2468[[#Headers],[Herramientas_de_izaje]],
COUNTIF(Tabla162670[Equipos], B554) &gt; 0, Tabla162670[[#Headers],[Equipos]],
    TRUE, "Sin clasificación"
)</f>
        <v>Sin clasificación</v>
      </c>
      <c r="G554" s="15"/>
      <c r="H554" s="47"/>
      <c r="I554" s="87"/>
      <c r="J554" s="78"/>
      <c r="K554" s="78"/>
      <c r="L554" s="78"/>
      <c r="M554" s="78"/>
      <c r="N554" s="76"/>
      <c r="O554" s="76"/>
      <c r="P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Q554" s="77"/>
      <c r="R554" s="32"/>
      <c r="S554" s="32"/>
      <c r="T554" s="32"/>
      <c r="U554" s="32"/>
    </row>
    <row r="555" spans="3:21" x14ac:dyDescent="0.3">
      <c r="C555" s="11"/>
      <c r="D555" s="32"/>
      <c r="E555" s="11" t="str" cm="1">
        <f t="array" ref="E555">_xlfn.IFS(
    COUNTIF(Herramientas_eléctricas1862[Herramientas_eléctricas], B555) &gt; 0, Herramientas_eléctricas1862[[#Headers],[Herramientas_eléctricas]],
    COUNTIF(Herramientas_neumáticas1963[Herramientas_neumáticas], B555) &gt; 0, Herramientas_neumáticas1963[[#Headers],[Herramientas_neumáticas]],
    COUNTIF(Herramientas_de_medición2064[Herramientas_de_medición], B555) &gt; 0, Herramientas_de_medición2064[[#Headers],[Herramientas_de_medición]],
    COUNTIF(Herrramientas_mecánicas2165[Herramientas_mecánicas], B555) &gt; 0, Herrramientas_mecánicas2165[[#Headers],[Herramientas_mecánicas]],
    COUNTIF(AK555:AK561, B555) &gt; 0, Herramientas_hidráulicas2266[[#Headers],[Herramientas_hidráulicas]],
    COUNTIF(EPP_2367[SPCC], B555) &gt; 0, EPP_2367[[#Headers],[SPCC]],
   COUNTIF(Herramientas_de_izaje2468[Herramientas_de_izaje], B555) &gt; 0, Herramientas_de_izaje2468[[#Headers],[Herramientas_de_izaje]],
COUNTIF(Tabla162670[Equipos], B555) &gt; 0, Tabla162670[[#Headers],[Equipos]],
    TRUE, "Sin clasificación"
)</f>
        <v>Sin clasificación</v>
      </c>
      <c r="G555" s="15"/>
      <c r="H555" s="47"/>
      <c r="I555" s="87"/>
      <c r="J555" s="78"/>
      <c r="K555" s="78"/>
      <c r="L555" s="78"/>
      <c r="M555" s="78"/>
      <c r="N555" s="76"/>
      <c r="O555" s="76"/>
      <c r="P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Q555" s="77"/>
      <c r="R555" s="32"/>
      <c r="S555" s="32"/>
      <c r="T555" s="32"/>
      <c r="U555" s="32"/>
    </row>
    <row r="556" spans="3:21" x14ac:dyDescent="0.3">
      <c r="C556" s="11"/>
      <c r="D556" s="32"/>
      <c r="E556" s="11" t="str" cm="1">
        <f t="array" ref="E556">_xlfn.IFS(
    COUNTIF(Herramientas_eléctricas1862[Herramientas_eléctricas], B556) &gt; 0, Herramientas_eléctricas1862[[#Headers],[Herramientas_eléctricas]],
    COUNTIF(Herramientas_neumáticas1963[Herramientas_neumáticas], B556) &gt; 0, Herramientas_neumáticas1963[[#Headers],[Herramientas_neumáticas]],
    COUNTIF(Herramientas_de_medición2064[Herramientas_de_medición], B556) &gt; 0, Herramientas_de_medición2064[[#Headers],[Herramientas_de_medición]],
    COUNTIF(Herrramientas_mecánicas2165[Herramientas_mecánicas], B556) &gt; 0, Herrramientas_mecánicas2165[[#Headers],[Herramientas_mecánicas]],
    COUNTIF(AK556:AK562, B556) &gt; 0, Herramientas_hidráulicas2266[[#Headers],[Herramientas_hidráulicas]],
    COUNTIF(EPP_2367[SPCC], B556) &gt; 0, EPP_2367[[#Headers],[SPCC]],
   COUNTIF(Herramientas_de_izaje2468[Herramientas_de_izaje], B556) &gt; 0, Herramientas_de_izaje2468[[#Headers],[Herramientas_de_izaje]],
COUNTIF(Tabla162670[Equipos], B556) &gt; 0, Tabla162670[[#Headers],[Equipos]],
    TRUE, "Sin clasificación"
)</f>
        <v>Sin clasificación</v>
      </c>
      <c r="G556" s="15"/>
      <c r="H556" s="47"/>
      <c r="I556" s="87"/>
      <c r="J556" s="78"/>
      <c r="K556" s="78"/>
      <c r="L556" s="78"/>
      <c r="M556" s="78"/>
      <c r="N556" s="76"/>
      <c r="O556" s="76"/>
      <c r="P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Q556" s="77"/>
      <c r="R556" s="32"/>
      <c r="S556" s="32"/>
      <c r="T556" s="32"/>
      <c r="U556" s="32"/>
    </row>
    <row r="557" spans="3:21" x14ac:dyDescent="0.3">
      <c r="C557" s="11"/>
      <c r="D557" s="32"/>
      <c r="E557" s="11" t="str" cm="1">
        <f t="array" ref="E557">_xlfn.IFS(
    COUNTIF(Herramientas_eléctricas1862[Herramientas_eléctricas], B557) &gt; 0, Herramientas_eléctricas1862[[#Headers],[Herramientas_eléctricas]],
    COUNTIF(Herramientas_neumáticas1963[Herramientas_neumáticas], B557) &gt; 0, Herramientas_neumáticas1963[[#Headers],[Herramientas_neumáticas]],
    COUNTIF(Herramientas_de_medición2064[Herramientas_de_medición], B557) &gt; 0, Herramientas_de_medición2064[[#Headers],[Herramientas_de_medición]],
    COUNTIF(Herrramientas_mecánicas2165[Herramientas_mecánicas], B557) &gt; 0, Herrramientas_mecánicas2165[[#Headers],[Herramientas_mecánicas]],
    COUNTIF(AK557:AK563, B557) &gt; 0, Herramientas_hidráulicas2266[[#Headers],[Herramientas_hidráulicas]],
    COUNTIF(EPP_2367[SPCC], B557) &gt; 0, EPP_2367[[#Headers],[SPCC]],
   COUNTIF(Herramientas_de_izaje2468[Herramientas_de_izaje], B557) &gt; 0, Herramientas_de_izaje2468[[#Headers],[Herramientas_de_izaje]],
COUNTIF(Tabla162670[Equipos], B557) &gt; 0, Tabla162670[[#Headers],[Equipos]],
    TRUE, "Sin clasificación"
)</f>
        <v>Sin clasificación</v>
      </c>
      <c r="G557" s="15"/>
      <c r="H557" s="47"/>
      <c r="I557" s="87"/>
      <c r="J557" s="78"/>
      <c r="K557" s="78"/>
      <c r="L557" s="78"/>
      <c r="M557" s="78"/>
      <c r="N557" s="76"/>
      <c r="O557" s="76"/>
      <c r="P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Q557" s="77"/>
      <c r="R557" s="32"/>
      <c r="S557" s="32"/>
      <c r="T557" s="32"/>
      <c r="U557" s="32"/>
    </row>
    <row r="558" spans="3:21" x14ac:dyDescent="0.3">
      <c r="C558" s="11"/>
      <c r="D558" s="32"/>
      <c r="E558" s="11" t="str" cm="1">
        <f t="array" ref="E558">_xlfn.IFS(
    COUNTIF(Herramientas_eléctricas1862[Herramientas_eléctricas], B558) &gt; 0, Herramientas_eléctricas1862[[#Headers],[Herramientas_eléctricas]],
    COUNTIF(Herramientas_neumáticas1963[Herramientas_neumáticas], B558) &gt; 0, Herramientas_neumáticas1963[[#Headers],[Herramientas_neumáticas]],
    COUNTIF(Herramientas_de_medición2064[Herramientas_de_medición], B558) &gt; 0, Herramientas_de_medición2064[[#Headers],[Herramientas_de_medición]],
    COUNTIF(Herrramientas_mecánicas2165[Herramientas_mecánicas], B558) &gt; 0, Herrramientas_mecánicas2165[[#Headers],[Herramientas_mecánicas]],
    COUNTIF(AK558:AK564, B558) &gt; 0, Herramientas_hidráulicas2266[[#Headers],[Herramientas_hidráulicas]],
    COUNTIF(EPP_2367[SPCC], B558) &gt; 0, EPP_2367[[#Headers],[SPCC]],
   COUNTIF(Herramientas_de_izaje2468[Herramientas_de_izaje], B558) &gt; 0, Herramientas_de_izaje2468[[#Headers],[Herramientas_de_izaje]],
COUNTIF(Tabla162670[Equipos], B558) &gt; 0, Tabla162670[[#Headers],[Equipos]],
    TRUE, "Sin clasificación"
)</f>
        <v>Sin clasificación</v>
      </c>
      <c r="G558" s="15"/>
      <c r="H558" s="47"/>
      <c r="I558" s="87"/>
      <c r="J558" s="78"/>
      <c r="K558" s="78"/>
      <c r="L558" s="78"/>
      <c r="M558" s="78"/>
      <c r="N558" s="76"/>
      <c r="O558" s="76"/>
      <c r="P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Q558" s="77"/>
      <c r="R558" s="32"/>
      <c r="S558" s="32"/>
      <c r="T558" s="32"/>
      <c r="U558" s="32"/>
    </row>
    <row r="559" spans="3:21" x14ac:dyDescent="0.3">
      <c r="C559" s="11"/>
      <c r="D559" s="32"/>
      <c r="E559" s="11" t="str" cm="1">
        <f t="array" ref="E559">_xlfn.IFS(
    COUNTIF(Herramientas_eléctricas1862[Herramientas_eléctricas], B559) &gt; 0, Herramientas_eléctricas1862[[#Headers],[Herramientas_eléctricas]],
    COUNTIF(Herramientas_neumáticas1963[Herramientas_neumáticas], B559) &gt; 0, Herramientas_neumáticas1963[[#Headers],[Herramientas_neumáticas]],
    COUNTIF(Herramientas_de_medición2064[Herramientas_de_medición], B559) &gt; 0, Herramientas_de_medición2064[[#Headers],[Herramientas_de_medición]],
    COUNTIF(Herrramientas_mecánicas2165[Herramientas_mecánicas], B559) &gt; 0, Herrramientas_mecánicas2165[[#Headers],[Herramientas_mecánicas]],
    COUNTIF(AK559:AK565, B559) &gt; 0, Herramientas_hidráulicas2266[[#Headers],[Herramientas_hidráulicas]],
    COUNTIF(EPP_2367[SPCC], B559) &gt; 0, EPP_2367[[#Headers],[SPCC]],
   COUNTIF(Herramientas_de_izaje2468[Herramientas_de_izaje], B559) &gt; 0, Herramientas_de_izaje2468[[#Headers],[Herramientas_de_izaje]],
COUNTIF(Tabla162670[Equipos], B559) &gt; 0, Tabla162670[[#Headers],[Equipos]],
    TRUE, "Sin clasificación"
)</f>
        <v>Sin clasificación</v>
      </c>
      <c r="G559" s="15"/>
      <c r="H559" s="47"/>
      <c r="I559" s="87"/>
      <c r="J559" s="78"/>
      <c r="K559" s="78"/>
      <c r="L559" s="78"/>
      <c r="M559" s="78"/>
      <c r="N559" s="76"/>
      <c r="O559" s="76"/>
      <c r="P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Q559" s="77"/>
      <c r="R559" s="32"/>
      <c r="S559" s="32"/>
      <c r="T559" s="32"/>
      <c r="U559" s="32"/>
    </row>
    <row r="560" spans="3:21" x14ac:dyDescent="0.3">
      <c r="C560" s="11"/>
      <c r="D560" s="32"/>
      <c r="E560" s="11" t="str" cm="1">
        <f t="array" ref="E560">_xlfn.IFS(
    COUNTIF(Herramientas_eléctricas1862[Herramientas_eléctricas], B560) &gt; 0, Herramientas_eléctricas1862[[#Headers],[Herramientas_eléctricas]],
    COUNTIF(Herramientas_neumáticas1963[Herramientas_neumáticas], B560) &gt; 0, Herramientas_neumáticas1963[[#Headers],[Herramientas_neumáticas]],
    COUNTIF(Herramientas_de_medición2064[Herramientas_de_medición], B560) &gt; 0, Herramientas_de_medición2064[[#Headers],[Herramientas_de_medición]],
    COUNTIF(Herrramientas_mecánicas2165[Herramientas_mecánicas], B560) &gt; 0, Herrramientas_mecánicas2165[[#Headers],[Herramientas_mecánicas]],
    COUNTIF(AK560:AK566, B560) &gt; 0, Herramientas_hidráulicas2266[[#Headers],[Herramientas_hidráulicas]],
    COUNTIF(EPP_2367[SPCC], B560) &gt; 0, EPP_2367[[#Headers],[SPCC]],
   COUNTIF(Herramientas_de_izaje2468[Herramientas_de_izaje], B560) &gt; 0, Herramientas_de_izaje2468[[#Headers],[Herramientas_de_izaje]],
COUNTIF(Tabla162670[Equipos], B560) &gt; 0, Tabla162670[[#Headers],[Equipos]],
    TRUE, "Sin clasificación"
)</f>
        <v>Sin clasificación</v>
      </c>
      <c r="G560" s="15"/>
      <c r="H560" s="47"/>
      <c r="I560" s="87"/>
      <c r="J560" s="78"/>
      <c r="K560" s="78"/>
      <c r="L560" s="78"/>
      <c r="M560" s="78"/>
      <c r="N560" s="76"/>
      <c r="O560" s="76"/>
      <c r="P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Q560" s="77"/>
      <c r="R560" s="32"/>
      <c r="S560" s="32"/>
      <c r="T560" s="32"/>
      <c r="U560" s="32"/>
    </row>
    <row r="561" spans="3:21" x14ac:dyDescent="0.3">
      <c r="C561" s="11"/>
      <c r="D561" s="32"/>
      <c r="E561" s="11" t="str" cm="1">
        <f t="array" ref="E561">_xlfn.IFS(
    COUNTIF(Herramientas_eléctricas1862[Herramientas_eléctricas], B561) &gt; 0, Herramientas_eléctricas1862[[#Headers],[Herramientas_eléctricas]],
    COUNTIF(Herramientas_neumáticas1963[Herramientas_neumáticas], B561) &gt; 0, Herramientas_neumáticas1963[[#Headers],[Herramientas_neumáticas]],
    COUNTIF(Herramientas_de_medición2064[Herramientas_de_medición], B561) &gt; 0, Herramientas_de_medición2064[[#Headers],[Herramientas_de_medición]],
    COUNTIF(Herrramientas_mecánicas2165[Herramientas_mecánicas], B561) &gt; 0, Herrramientas_mecánicas2165[[#Headers],[Herramientas_mecánicas]],
    COUNTIF(AK561:AK567, B561) &gt; 0, Herramientas_hidráulicas2266[[#Headers],[Herramientas_hidráulicas]],
    COUNTIF(EPP_2367[SPCC], B561) &gt; 0, EPP_2367[[#Headers],[SPCC]],
   COUNTIF(Herramientas_de_izaje2468[Herramientas_de_izaje], B561) &gt; 0, Herramientas_de_izaje2468[[#Headers],[Herramientas_de_izaje]],
COUNTIF(Tabla162670[Equipos], B561) &gt; 0, Tabla162670[[#Headers],[Equipos]],
    TRUE, "Sin clasificación"
)</f>
        <v>Sin clasificación</v>
      </c>
      <c r="G561" s="15"/>
      <c r="H561" s="47"/>
      <c r="I561" s="87"/>
      <c r="J561" s="78"/>
      <c r="K561" s="78"/>
      <c r="L561" s="78"/>
      <c r="M561" s="78"/>
      <c r="N561" s="76"/>
      <c r="O561" s="76"/>
      <c r="P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Q561" s="77"/>
      <c r="R561" s="32"/>
      <c r="S561" s="32"/>
      <c r="T561" s="32"/>
      <c r="U561" s="32"/>
    </row>
    <row r="562" spans="3:21" x14ac:dyDescent="0.3">
      <c r="C562" s="11"/>
      <c r="D562" s="32"/>
      <c r="E562" s="11" t="str" cm="1">
        <f t="array" ref="E562">_xlfn.IFS(
    COUNTIF(Herramientas_eléctricas1862[Herramientas_eléctricas], B562) &gt; 0, Herramientas_eléctricas1862[[#Headers],[Herramientas_eléctricas]],
    COUNTIF(Herramientas_neumáticas1963[Herramientas_neumáticas], B562) &gt; 0, Herramientas_neumáticas1963[[#Headers],[Herramientas_neumáticas]],
    COUNTIF(Herramientas_de_medición2064[Herramientas_de_medición], B562) &gt; 0, Herramientas_de_medición2064[[#Headers],[Herramientas_de_medición]],
    COUNTIF(Herrramientas_mecánicas2165[Herramientas_mecánicas], B562) &gt; 0, Herrramientas_mecánicas2165[[#Headers],[Herramientas_mecánicas]],
    COUNTIF(AK562:AK568, B562) &gt; 0, Herramientas_hidráulicas2266[[#Headers],[Herramientas_hidráulicas]],
    COUNTIF(EPP_2367[SPCC], B562) &gt; 0, EPP_2367[[#Headers],[SPCC]],
   COUNTIF(Herramientas_de_izaje2468[Herramientas_de_izaje], B562) &gt; 0, Herramientas_de_izaje2468[[#Headers],[Herramientas_de_izaje]],
COUNTIF(Tabla162670[Equipos], B562) &gt; 0, Tabla162670[[#Headers],[Equipos]],
    TRUE, "Sin clasificación"
)</f>
        <v>Sin clasificación</v>
      </c>
      <c r="G562" s="15"/>
      <c r="H562" s="47"/>
      <c r="I562" s="87"/>
      <c r="J562" s="78"/>
      <c r="K562" s="78"/>
      <c r="L562" s="78"/>
      <c r="M562" s="78"/>
      <c r="N562" s="76"/>
      <c r="O562" s="76"/>
      <c r="P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Q562" s="77"/>
      <c r="R562" s="32"/>
      <c r="S562" s="32"/>
      <c r="T562" s="32"/>
      <c r="U562" s="32"/>
    </row>
    <row r="563" spans="3:21" x14ac:dyDescent="0.3">
      <c r="C563" s="11"/>
      <c r="D563" s="32"/>
      <c r="E563" s="11" t="str" cm="1">
        <f t="array" ref="E563">_xlfn.IFS(
    COUNTIF(Herramientas_eléctricas1862[Herramientas_eléctricas], B563) &gt; 0, Herramientas_eléctricas1862[[#Headers],[Herramientas_eléctricas]],
    COUNTIF(Herramientas_neumáticas1963[Herramientas_neumáticas], B563) &gt; 0, Herramientas_neumáticas1963[[#Headers],[Herramientas_neumáticas]],
    COUNTIF(Herramientas_de_medición2064[Herramientas_de_medición], B563) &gt; 0, Herramientas_de_medición2064[[#Headers],[Herramientas_de_medición]],
    COUNTIF(Herrramientas_mecánicas2165[Herramientas_mecánicas], B563) &gt; 0, Herrramientas_mecánicas2165[[#Headers],[Herramientas_mecánicas]],
    COUNTIF(AK563:AK569, B563) &gt; 0, Herramientas_hidráulicas2266[[#Headers],[Herramientas_hidráulicas]],
    COUNTIF(EPP_2367[SPCC], B563) &gt; 0, EPP_2367[[#Headers],[SPCC]],
   COUNTIF(Herramientas_de_izaje2468[Herramientas_de_izaje], B563) &gt; 0, Herramientas_de_izaje2468[[#Headers],[Herramientas_de_izaje]],
COUNTIF(Tabla162670[Equipos], B563) &gt; 0, Tabla162670[[#Headers],[Equipos]],
    TRUE, "Sin clasificación"
)</f>
        <v>Sin clasificación</v>
      </c>
      <c r="G563" s="15"/>
      <c r="H563" s="47"/>
      <c r="I563" s="87"/>
      <c r="J563" s="78"/>
      <c r="K563" s="78"/>
      <c r="L563" s="78"/>
      <c r="M563" s="78"/>
      <c r="N563" s="76"/>
      <c r="O563" s="76"/>
      <c r="P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Q563" s="77"/>
      <c r="R563" s="32"/>
      <c r="S563" s="32"/>
      <c r="T563" s="32"/>
      <c r="U563" s="32"/>
    </row>
    <row r="564" spans="3:21" x14ac:dyDescent="0.3">
      <c r="C564" s="11"/>
      <c r="D564" s="32"/>
      <c r="E564" s="11" t="str" cm="1">
        <f t="array" ref="E564">_xlfn.IFS(
    COUNTIF(Herramientas_eléctricas1862[Herramientas_eléctricas], B564) &gt; 0, Herramientas_eléctricas1862[[#Headers],[Herramientas_eléctricas]],
    COUNTIF(Herramientas_neumáticas1963[Herramientas_neumáticas], B564) &gt; 0, Herramientas_neumáticas1963[[#Headers],[Herramientas_neumáticas]],
    COUNTIF(Herramientas_de_medición2064[Herramientas_de_medición], B564) &gt; 0, Herramientas_de_medición2064[[#Headers],[Herramientas_de_medición]],
    COUNTIF(Herrramientas_mecánicas2165[Herramientas_mecánicas], B564) &gt; 0, Herrramientas_mecánicas2165[[#Headers],[Herramientas_mecánicas]],
    COUNTIF(AK564:AK570, B564) &gt; 0, Herramientas_hidráulicas2266[[#Headers],[Herramientas_hidráulicas]],
    COUNTIF(EPP_2367[SPCC], B564) &gt; 0, EPP_2367[[#Headers],[SPCC]],
   COUNTIF(Herramientas_de_izaje2468[Herramientas_de_izaje], B564) &gt; 0, Herramientas_de_izaje2468[[#Headers],[Herramientas_de_izaje]],
COUNTIF(Tabla162670[Equipos], B564) &gt; 0, Tabla162670[[#Headers],[Equipos]],
    TRUE, "Sin clasificación"
)</f>
        <v>Sin clasificación</v>
      </c>
      <c r="G564" s="15"/>
      <c r="H564" s="47"/>
      <c r="I564" s="87"/>
      <c r="J564" s="78"/>
      <c r="K564" s="78"/>
      <c r="L564" s="78"/>
      <c r="M564" s="78"/>
      <c r="N564" s="76"/>
      <c r="O564" s="76"/>
      <c r="P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Q564" s="77"/>
      <c r="R564" s="32"/>
      <c r="S564" s="32"/>
      <c r="T564" s="32"/>
      <c r="U564" s="32"/>
    </row>
    <row r="565" spans="3:21" x14ac:dyDescent="0.3">
      <c r="C565" s="11"/>
      <c r="D565" s="32"/>
      <c r="E565" s="11" t="str" cm="1">
        <f t="array" ref="E565">_xlfn.IFS(
    COUNTIF(Herramientas_eléctricas1862[Herramientas_eléctricas], B565) &gt; 0, Herramientas_eléctricas1862[[#Headers],[Herramientas_eléctricas]],
    COUNTIF(Herramientas_neumáticas1963[Herramientas_neumáticas], B565) &gt; 0, Herramientas_neumáticas1963[[#Headers],[Herramientas_neumáticas]],
    COUNTIF(Herramientas_de_medición2064[Herramientas_de_medición], B565) &gt; 0, Herramientas_de_medición2064[[#Headers],[Herramientas_de_medición]],
    COUNTIF(Herrramientas_mecánicas2165[Herramientas_mecánicas], B565) &gt; 0, Herrramientas_mecánicas2165[[#Headers],[Herramientas_mecánicas]],
    COUNTIF(AK565:AK571, B565) &gt; 0, Herramientas_hidráulicas2266[[#Headers],[Herramientas_hidráulicas]],
    COUNTIF(EPP_2367[SPCC], B565) &gt; 0, EPP_2367[[#Headers],[SPCC]],
   COUNTIF(Herramientas_de_izaje2468[Herramientas_de_izaje], B565) &gt; 0, Herramientas_de_izaje2468[[#Headers],[Herramientas_de_izaje]],
COUNTIF(Tabla162670[Equipos], B565) &gt; 0, Tabla162670[[#Headers],[Equipos]],
    TRUE, "Sin clasificación"
)</f>
        <v>Sin clasificación</v>
      </c>
      <c r="G565" s="15"/>
      <c r="H565" s="47"/>
      <c r="I565" s="87"/>
      <c r="J565" s="78"/>
      <c r="K565" s="78"/>
      <c r="L565" s="78"/>
      <c r="M565" s="78"/>
      <c r="N565" s="76"/>
      <c r="O565" s="76"/>
      <c r="P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Q565" s="77"/>
      <c r="R565" s="32"/>
      <c r="S565" s="32"/>
      <c r="T565" s="32"/>
      <c r="U565" s="32"/>
    </row>
    <row r="566" spans="3:21" x14ac:dyDescent="0.3">
      <c r="C566" s="11"/>
      <c r="D566" s="32"/>
      <c r="E566" s="11" t="str" cm="1">
        <f t="array" ref="E566">_xlfn.IFS(
    COUNTIF(Herramientas_eléctricas1862[Herramientas_eléctricas], B566) &gt; 0, Herramientas_eléctricas1862[[#Headers],[Herramientas_eléctricas]],
    COUNTIF(Herramientas_neumáticas1963[Herramientas_neumáticas], B566) &gt; 0, Herramientas_neumáticas1963[[#Headers],[Herramientas_neumáticas]],
    COUNTIF(Herramientas_de_medición2064[Herramientas_de_medición], B566) &gt; 0, Herramientas_de_medición2064[[#Headers],[Herramientas_de_medición]],
    COUNTIF(Herrramientas_mecánicas2165[Herramientas_mecánicas], B566) &gt; 0, Herrramientas_mecánicas2165[[#Headers],[Herramientas_mecánicas]],
    COUNTIF(AK566:AK572, B566) &gt; 0, Herramientas_hidráulicas2266[[#Headers],[Herramientas_hidráulicas]],
    COUNTIF(EPP_2367[SPCC], B566) &gt; 0, EPP_2367[[#Headers],[SPCC]],
   COUNTIF(Herramientas_de_izaje2468[Herramientas_de_izaje], B566) &gt; 0, Herramientas_de_izaje2468[[#Headers],[Herramientas_de_izaje]],
COUNTIF(Tabla162670[Equipos], B566) &gt; 0, Tabla162670[[#Headers],[Equipos]],
    TRUE, "Sin clasificación"
)</f>
        <v>Sin clasificación</v>
      </c>
      <c r="G566" s="15"/>
      <c r="H566" s="47"/>
      <c r="I566" s="87"/>
      <c r="J566" s="78"/>
      <c r="K566" s="78"/>
      <c r="L566" s="78"/>
      <c r="M566" s="78"/>
      <c r="N566" s="76"/>
      <c r="O566" s="76"/>
      <c r="P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Q566" s="77"/>
      <c r="R566" s="32"/>
      <c r="S566" s="32"/>
      <c r="T566" s="32"/>
      <c r="U566" s="32"/>
    </row>
    <row r="567" spans="3:21" x14ac:dyDescent="0.3">
      <c r="C567" s="11"/>
      <c r="D567" s="32"/>
      <c r="E567" s="11" t="str" cm="1">
        <f t="array" ref="E567">_xlfn.IFS(
    COUNTIF(Herramientas_eléctricas1862[Herramientas_eléctricas], B567) &gt; 0, Herramientas_eléctricas1862[[#Headers],[Herramientas_eléctricas]],
    COUNTIF(Herramientas_neumáticas1963[Herramientas_neumáticas], B567) &gt; 0, Herramientas_neumáticas1963[[#Headers],[Herramientas_neumáticas]],
    COUNTIF(Herramientas_de_medición2064[Herramientas_de_medición], B567) &gt; 0, Herramientas_de_medición2064[[#Headers],[Herramientas_de_medición]],
    COUNTIF(Herrramientas_mecánicas2165[Herramientas_mecánicas], B567) &gt; 0, Herrramientas_mecánicas2165[[#Headers],[Herramientas_mecánicas]],
    COUNTIF(AK567:AK573, B567) &gt; 0, Herramientas_hidráulicas2266[[#Headers],[Herramientas_hidráulicas]],
    COUNTIF(EPP_2367[SPCC], B567) &gt; 0, EPP_2367[[#Headers],[SPCC]],
   COUNTIF(Herramientas_de_izaje2468[Herramientas_de_izaje], B567) &gt; 0, Herramientas_de_izaje2468[[#Headers],[Herramientas_de_izaje]],
COUNTIF(Tabla162670[Equipos], B567) &gt; 0, Tabla162670[[#Headers],[Equipos]],
    TRUE, "Sin clasificación"
)</f>
        <v>Sin clasificación</v>
      </c>
      <c r="G567" s="15"/>
      <c r="H567" s="47"/>
      <c r="I567" s="87"/>
      <c r="J567" s="78"/>
      <c r="K567" s="78"/>
      <c r="L567" s="78"/>
      <c r="M567" s="78"/>
      <c r="N567" s="76"/>
      <c r="O567" s="76"/>
      <c r="P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Q567" s="77"/>
      <c r="R567" s="32"/>
      <c r="S567" s="32"/>
      <c r="T567" s="32"/>
      <c r="U567" s="32"/>
    </row>
    <row r="568" spans="3:21" x14ac:dyDescent="0.3">
      <c r="C568" s="11"/>
      <c r="D568" s="32"/>
      <c r="E568" s="11" t="str" cm="1">
        <f t="array" ref="E568">_xlfn.IFS(
    COUNTIF(Herramientas_eléctricas1862[Herramientas_eléctricas], B568) &gt; 0, Herramientas_eléctricas1862[[#Headers],[Herramientas_eléctricas]],
    COUNTIF(Herramientas_neumáticas1963[Herramientas_neumáticas], B568) &gt; 0, Herramientas_neumáticas1963[[#Headers],[Herramientas_neumáticas]],
    COUNTIF(Herramientas_de_medición2064[Herramientas_de_medición], B568) &gt; 0, Herramientas_de_medición2064[[#Headers],[Herramientas_de_medición]],
    COUNTIF(Herrramientas_mecánicas2165[Herramientas_mecánicas], B568) &gt; 0, Herrramientas_mecánicas2165[[#Headers],[Herramientas_mecánicas]],
    COUNTIF(AK568:AK574, B568) &gt; 0, Herramientas_hidráulicas2266[[#Headers],[Herramientas_hidráulicas]],
    COUNTIF(EPP_2367[SPCC], B568) &gt; 0, EPP_2367[[#Headers],[SPCC]],
   COUNTIF(Herramientas_de_izaje2468[Herramientas_de_izaje], B568) &gt; 0, Herramientas_de_izaje2468[[#Headers],[Herramientas_de_izaje]],
COUNTIF(Tabla162670[Equipos], B568) &gt; 0, Tabla162670[[#Headers],[Equipos]],
    TRUE, "Sin clasificación"
)</f>
        <v>Sin clasificación</v>
      </c>
      <c r="G568" s="15"/>
      <c r="H568" s="47"/>
      <c r="I568" s="87"/>
      <c r="J568" s="78"/>
      <c r="K568" s="78"/>
      <c r="L568" s="78"/>
      <c r="M568" s="78"/>
      <c r="N568" s="76"/>
      <c r="O568" s="76"/>
      <c r="P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Q568" s="77"/>
      <c r="R568" s="32"/>
      <c r="S568" s="32"/>
      <c r="T568" s="32"/>
      <c r="U568" s="32"/>
    </row>
    <row r="569" spans="3:21" x14ac:dyDescent="0.3">
      <c r="C569" s="11"/>
      <c r="D569" s="32"/>
      <c r="E569" s="11" t="str" cm="1">
        <f t="array" ref="E569">_xlfn.IFS(
    COUNTIF(Herramientas_eléctricas1862[Herramientas_eléctricas], B569) &gt; 0, Herramientas_eléctricas1862[[#Headers],[Herramientas_eléctricas]],
    COUNTIF(Herramientas_neumáticas1963[Herramientas_neumáticas], B569) &gt; 0, Herramientas_neumáticas1963[[#Headers],[Herramientas_neumáticas]],
    COUNTIF(Herramientas_de_medición2064[Herramientas_de_medición], B569) &gt; 0, Herramientas_de_medición2064[[#Headers],[Herramientas_de_medición]],
    COUNTIF(Herrramientas_mecánicas2165[Herramientas_mecánicas], B569) &gt; 0, Herrramientas_mecánicas2165[[#Headers],[Herramientas_mecánicas]],
    COUNTIF(AK569:AK575, B569) &gt; 0, Herramientas_hidráulicas2266[[#Headers],[Herramientas_hidráulicas]],
    COUNTIF(EPP_2367[SPCC], B569) &gt; 0, EPP_2367[[#Headers],[SPCC]],
   COUNTIF(Herramientas_de_izaje2468[Herramientas_de_izaje], B569) &gt; 0, Herramientas_de_izaje2468[[#Headers],[Herramientas_de_izaje]],
COUNTIF(Tabla162670[Equipos], B569) &gt; 0, Tabla162670[[#Headers],[Equipos]],
    TRUE, "Sin clasificación"
)</f>
        <v>Sin clasificación</v>
      </c>
      <c r="G569" s="15"/>
      <c r="H569" s="47"/>
      <c r="I569" s="87"/>
      <c r="J569" s="78"/>
      <c r="K569" s="78"/>
      <c r="L569" s="78"/>
      <c r="M569" s="78"/>
      <c r="N569" s="76"/>
      <c r="O569" s="76"/>
      <c r="P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Q569" s="77"/>
      <c r="R569" s="32"/>
      <c r="S569" s="32"/>
      <c r="T569" s="32"/>
      <c r="U569" s="32"/>
    </row>
    <row r="570" spans="3:21" x14ac:dyDescent="0.3">
      <c r="C570" s="11"/>
      <c r="D570" s="32"/>
      <c r="E570" s="11" t="str" cm="1">
        <f t="array" ref="E570">_xlfn.IFS(
    COUNTIF(Herramientas_eléctricas1862[Herramientas_eléctricas], B570) &gt; 0, Herramientas_eléctricas1862[[#Headers],[Herramientas_eléctricas]],
    COUNTIF(Herramientas_neumáticas1963[Herramientas_neumáticas], B570) &gt; 0, Herramientas_neumáticas1963[[#Headers],[Herramientas_neumáticas]],
    COUNTIF(Herramientas_de_medición2064[Herramientas_de_medición], B570) &gt; 0, Herramientas_de_medición2064[[#Headers],[Herramientas_de_medición]],
    COUNTIF(Herrramientas_mecánicas2165[Herramientas_mecánicas], B570) &gt; 0, Herrramientas_mecánicas2165[[#Headers],[Herramientas_mecánicas]],
    COUNTIF(AK570:AK576, B570) &gt; 0, Herramientas_hidráulicas2266[[#Headers],[Herramientas_hidráulicas]],
    COUNTIF(EPP_2367[SPCC], B570) &gt; 0, EPP_2367[[#Headers],[SPCC]],
   COUNTIF(Herramientas_de_izaje2468[Herramientas_de_izaje], B570) &gt; 0, Herramientas_de_izaje2468[[#Headers],[Herramientas_de_izaje]],
COUNTIF(Tabla162670[Equipos], B570) &gt; 0, Tabla162670[[#Headers],[Equipos]],
    TRUE, "Sin clasificación"
)</f>
        <v>Sin clasificación</v>
      </c>
      <c r="G570" s="15"/>
      <c r="H570" s="47"/>
      <c r="I570" s="87"/>
      <c r="J570" s="78"/>
      <c r="K570" s="78"/>
      <c r="L570" s="78"/>
      <c r="M570" s="78"/>
      <c r="N570" s="76"/>
      <c r="O570" s="76"/>
      <c r="P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Q570" s="77"/>
      <c r="R570" s="32"/>
      <c r="S570" s="32"/>
      <c r="T570" s="32"/>
      <c r="U570" s="32"/>
    </row>
    <row r="571" spans="3:21" x14ac:dyDescent="0.3">
      <c r="C571" s="11"/>
      <c r="D571" s="32"/>
      <c r="E571" s="11" t="str" cm="1">
        <f t="array" ref="E571">_xlfn.IFS(
    COUNTIF(Herramientas_eléctricas1862[Herramientas_eléctricas], B571) &gt; 0, Herramientas_eléctricas1862[[#Headers],[Herramientas_eléctricas]],
    COUNTIF(Herramientas_neumáticas1963[Herramientas_neumáticas], B571) &gt; 0, Herramientas_neumáticas1963[[#Headers],[Herramientas_neumáticas]],
    COUNTIF(Herramientas_de_medición2064[Herramientas_de_medición], B571) &gt; 0, Herramientas_de_medición2064[[#Headers],[Herramientas_de_medición]],
    COUNTIF(Herrramientas_mecánicas2165[Herramientas_mecánicas], B571) &gt; 0, Herrramientas_mecánicas2165[[#Headers],[Herramientas_mecánicas]],
    COUNTIF(AK571:AK577, B571) &gt; 0, Herramientas_hidráulicas2266[[#Headers],[Herramientas_hidráulicas]],
    COUNTIF(EPP_2367[SPCC], B571) &gt; 0, EPP_2367[[#Headers],[SPCC]],
   COUNTIF(Herramientas_de_izaje2468[Herramientas_de_izaje], B571) &gt; 0, Herramientas_de_izaje2468[[#Headers],[Herramientas_de_izaje]],
COUNTIF(Tabla162670[Equipos], B571) &gt; 0, Tabla162670[[#Headers],[Equipos]],
    TRUE, "Sin clasificación"
)</f>
        <v>Sin clasificación</v>
      </c>
      <c r="G571" s="15"/>
      <c r="H571" s="47"/>
      <c r="I571" s="87"/>
      <c r="J571" s="78"/>
      <c r="K571" s="78"/>
      <c r="L571" s="78"/>
      <c r="M571" s="78"/>
      <c r="N571" s="76"/>
      <c r="O571" s="76"/>
      <c r="P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Q571" s="77"/>
      <c r="R571" s="32"/>
      <c r="S571" s="32"/>
      <c r="T571" s="32"/>
      <c r="U571" s="32"/>
    </row>
    <row r="572" spans="3:21" x14ac:dyDescent="0.3">
      <c r="C572" s="11"/>
      <c r="D572" s="32"/>
      <c r="E572" s="11" t="str" cm="1">
        <f t="array" ref="E572">_xlfn.IFS(
    COUNTIF(Herramientas_eléctricas1862[Herramientas_eléctricas], B572) &gt; 0, Herramientas_eléctricas1862[[#Headers],[Herramientas_eléctricas]],
    COUNTIF(Herramientas_neumáticas1963[Herramientas_neumáticas], B572) &gt; 0, Herramientas_neumáticas1963[[#Headers],[Herramientas_neumáticas]],
    COUNTIF(Herramientas_de_medición2064[Herramientas_de_medición], B572) &gt; 0, Herramientas_de_medición2064[[#Headers],[Herramientas_de_medición]],
    COUNTIF(Herrramientas_mecánicas2165[Herramientas_mecánicas], B572) &gt; 0, Herrramientas_mecánicas2165[[#Headers],[Herramientas_mecánicas]],
    COUNTIF(AK572:AK578, B572) &gt; 0, Herramientas_hidráulicas2266[[#Headers],[Herramientas_hidráulicas]],
    COUNTIF(EPP_2367[SPCC], B572) &gt; 0, EPP_2367[[#Headers],[SPCC]],
   COUNTIF(Herramientas_de_izaje2468[Herramientas_de_izaje], B572) &gt; 0, Herramientas_de_izaje2468[[#Headers],[Herramientas_de_izaje]],
COUNTIF(Tabla162670[Equipos], B572) &gt; 0, Tabla162670[[#Headers],[Equipos]],
    TRUE, "Sin clasificación"
)</f>
        <v>Sin clasificación</v>
      </c>
      <c r="G572" s="15"/>
      <c r="H572" s="47"/>
      <c r="I572" s="87"/>
      <c r="J572" s="78"/>
      <c r="K572" s="78"/>
      <c r="L572" s="78"/>
      <c r="M572" s="78"/>
      <c r="N572" s="76"/>
      <c r="O572" s="76"/>
      <c r="P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Q572" s="77"/>
      <c r="R572" s="32"/>
      <c r="S572" s="32"/>
      <c r="T572" s="32"/>
      <c r="U572" s="32"/>
    </row>
    <row r="573" spans="3:21" x14ac:dyDescent="0.3">
      <c r="C573" s="11"/>
      <c r="D573" s="32"/>
      <c r="E573" s="11" t="str" cm="1">
        <f t="array" ref="E573">_xlfn.IFS(
    COUNTIF(Herramientas_eléctricas1862[Herramientas_eléctricas], B573) &gt; 0, Herramientas_eléctricas1862[[#Headers],[Herramientas_eléctricas]],
    COUNTIF(Herramientas_neumáticas1963[Herramientas_neumáticas], B573) &gt; 0, Herramientas_neumáticas1963[[#Headers],[Herramientas_neumáticas]],
    COUNTIF(Herramientas_de_medición2064[Herramientas_de_medición], B573) &gt; 0, Herramientas_de_medición2064[[#Headers],[Herramientas_de_medición]],
    COUNTIF(Herrramientas_mecánicas2165[Herramientas_mecánicas], B573) &gt; 0, Herrramientas_mecánicas2165[[#Headers],[Herramientas_mecánicas]],
    COUNTIF(AK573:AK579, B573) &gt; 0, Herramientas_hidráulicas2266[[#Headers],[Herramientas_hidráulicas]],
    COUNTIF(EPP_2367[SPCC], B573) &gt; 0, EPP_2367[[#Headers],[SPCC]],
   COUNTIF(Herramientas_de_izaje2468[Herramientas_de_izaje], B573) &gt; 0, Herramientas_de_izaje2468[[#Headers],[Herramientas_de_izaje]],
COUNTIF(Tabla162670[Equipos], B573) &gt; 0, Tabla162670[[#Headers],[Equipos]],
    TRUE, "Sin clasificación"
)</f>
        <v>Sin clasificación</v>
      </c>
      <c r="G573" s="15"/>
      <c r="H573" s="47"/>
      <c r="I573" s="87"/>
      <c r="J573" s="78"/>
      <c r="K573" s="78"/>
      <c r="L573" s="78"/>
      <c r="M573" s="78"/>
      <c r="N573" s="76"/>
      <c r="O573" s="76"/>
      <c r="P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Q573" s="77"/>
      <c r="R573" s="32"/>
      <c r="S573" s="32"/>
      <c r="T573" s="32"/>
      <c r="U573" s="32"/>
    </row>
    <row r="574" spans="3:21" x14ac:dyDescent="0.3">
      <c r="C574" s="11"/>
      <c r="D574" s="32"/>
      <c r="E574" s="11" t="str" cm="1">
        <f t="array" ref="E574">_xlfn.IFS(
    COUNTIF(Herramientas_eléctricas1862[Herramientas_eléctricas], B574) &gt; 0, Herramientas_eléctricas1862[[#Headers],[Herramientas_eléctricas]],
    COUNTIF(Herramientas_neumáticas1963[Herramientas_neumáticas], B574) &gt; 0, Herramientas_neumáticas1963[[#Headers],[Herramientas_neumáticas]],
    COUNTIF(Herramientas_de_medición2064[Herramientas_de_medición], B574) &gt; 0, Herramientas_de_medición2064[[#Headers],[Herramientas_de_medición]],
    COUNTIF(Herrramientas_mecánicas2165[Herramientas_mecánicas], B574) &gt; 0, Herrramientas_mecánicas2165[[#Headers],[Herramientas_mecánicas]],
    COUNTIF(AK574:AK580, B574) &gt; 0, Herramientas_hidráulicas2266[[#Headers],[Herramientas_hidráulicas]],
    COUNTIF(EPP_2367[SPCC], B574) &gt; 0, EPP_2367[[#Headers],[SPCC]],
   COUNTIF(Herramientas_de_izaje2468[Herramientas_de_izaje], B574) &gt; 0, Herramientas_de_izaje2468[[#Headers],[Herramientas_de_izaje]],
COUNTIF(Tabla162670[Equipos], B574) &gt; 0, Tabla162670[[#Headers],[Equipos]],
    TRUE, "Sin clasificación"
)</f>
        <v>Sin clasificación</v>
      </c>
      <c r="G574" s="15"/>
      <c r="H574" s="47"/>
      <c r="I574" s="87"/>
      <c r="J574" s="78"/>
      <c r="K574" s="78"/>
      <c r="L574" s="78"/>
      <c r="M574" s="78"/>
      <c r="N574" s="76"/>
      <c r="O574" s="76"/>
      <c r="P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Q574" s="77"/>
      <c r="R574" s="32"/>
      <c r="S574" s="32"/>
      <c r="T574" s="32"/>
      <c r="U574" s="32"/>
    </row>
    <row r="575" spans="3:21" x14ac:dyDescent="0.3">
      <c r="C575" s="11"/>
      <c r="D575" s="32"/>
      <c r="E575" s="11" t="str" cm="1">
        <f t="array" ref="E575">_xlfn.IFS(
    COUNTIF(Herramientas_eléctricas1862[Herramientas_eléctricas], B575) &gt; 0, Herramientas_eléctricas1862[[#Headers],[Herramientas_eléctricas]],
    COUNTIF(Herramientas_neumáticas1963[Herramientas_neumáticas], B575) &gt; 0, Herramientas_neumáticas1963[[#Headers],[Herramientas_neumáticas]],
    COUNTIF(Herramientas_de_medición2064[Herramientas_de_medición], B575) &gt; 0, Herramientas_de_medición2064[[#Headers],[Herramientas_de_medición]],
    COUNTIF(Herrramientas_mecánicas2165[Herramientas_mecánicas], B575) &gt; 0, Herrramientas_mecánicas2165[[#Headers],[Herramientas_mecánicas]],
    COUNTIF(AK575:AK581, B575) &gt; 0, Herramientas_hidráulicas2266[[#Headers],[Herramientas_hidráulicas]],
    COUNTIF(EPP_2367[SPCC], B575) &gt; 0, EPP_2367[[#Headers],[SPCC]],
   COUNTIF(Herramientas_de_izaje2468[Herramientas_de_izaje], B575) &gt; 0, Herramientas_de_izaje2468[[#Headers],[Herramientas_de_izaje]],
COUNTIF(Tabla162670[Equipos], B575) &gt; 0, Tabla162670[[#Headers],[Equipos]],
    TRUE, "Sin clasificación"
)</f>
        <v>Sin clasificación</v>
      </c>
      <c r="G575" s="15"/>
      <c r="H575" s="47"/>
      <c r="I575" s="87"/>
      <c r="J575" s="78"/>
      <c r="K575" s="78"/>
      <c r="L575" s="78"/>
      <c r="M575" s="78"/>
      <c r="N575" s="76"/>
      <c r="O575" s="76"/>
      <c r="P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Q575" s="77"/>
      <c r="R575" s="32"/>
      <c r="S575" s="32"/>
      <c r="T575" s="32"/>
      <c r="U575" s="32"/>
    </row>
    <row r="576" spans="3:21" x14ac:dyDescent="0.3">
      <c r="C576" s="11"/>
      <c r="D576" s="32"/>
      <c r="E576" s="11" t="str" cm="1">
        <f t="array" ref="E576">_xlfn.IFS(
    COUNTIF(Herramientas_eléctricas1862[Herramientas_eléctricas], B576) &gt; 0, Herramientas_eléctricas1862[[#Headers],[Herramientas_eléctricas]],
    COUNTIF(Herramientas_neumáticas1963[Herramientas_neumáticas], B576) &gt; 0, Herramientas_neumáticas1963[[#Headers],[Herramientas_neumáticas]],
    COUNTIF(Herramientas_de_medición2064[Herramientas_de_medición], B576) &gt; 0, Herramientas_de_medición2064[[#Headers],[Herramientas_de_medición]],
    COUNTIF(Herrramientas_mecánicas2165[Herramientas_mecánicas], B576) &gt; 0, Herrramientas_mecánicas2165[[#Headers],[Herramientas_mecánicas]],
    COUNTIF(AK576:AK582, B576) &gt; 0, Herramientas_hidráulicas2266[[#Headers],[Herramientas_hidráulicas]],
    COUNTIF(EPP_2367[SPCC], B576) &gt; 0, EPP_2367[[#Headers],[SPCC]],
   COUNTIF(Herramientas_de_izaje2468[Herramientas_de_izaje], B576) &gt; 0, Herramientas_de_izaje2468[[#Headers],[Herramientas_de_izaje]],
COUNTIF(Tabla162670[Equipos], B576) &gt; 0, Tabla162670[[#Headers],[Equipos]],
    TRUE, "Sin clasificación"
)</f>
        <v>Sin clasificación</v>
      </c>
      <c r="G576" s="15"/>
      <c r="H576" s="47"/>
      <c r="I576" s="87"/>
      <c r="J576" s="78"/>
      <c r="K576" s="78"/>
      <c r="L576" s="78"/>
      <c r="M576" s="78"/>
      <c r="N576" s="76"/>
      <c r="O576" s="76"/>
      <c r="P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Q576" s="77"/>
      <c r="R576" s="32"/>
      <c r="S576" s="32"/>
      <c r="T576" s="32"/>
      <c r="U576" s="32"/>
    </row>
    <row r="577" spans="3:21" x14ac:dyDescent="0.3">
      <c r="C577" s="11"/>
      <c r="D577" s="32"/>
      <c r="E577" s="11" t="str" cm="1">
        <f t="array" ref="E577">_xlfn.IFS(
    COUNTIF(Herramientas_eléctricas1862[Herramientas_eléctricas], B577) &gt; 0, Herramientas_eléctricas1862[[#Headers],[Herramientas_eléctricas]],
    COUNTIF(Herramientas_neumáticas1963[Herramientas_neumáticas], B577) &gt; 0, Herramientas_neumáticas1963[[#Headers],[Herramientas_neumáticas]],
    COUNTIF(Herramientas_de_medición2064[Herramientas_de_medición], B577) &gt; 0, Herramientas_de_medición2064[[#Headers],[Herramientas_de_medición]],
    COUNTIF(Herrramientas_mecánicas2165[Herramientas_mecánicas], B577) &gt; 0, Herrramientas_mecánicas2165[[#Headers],[Herramientas_mecánicas]],
    COUNTIF(AK577:AK583, B577) &gt; 0, Herramientas_hidráulicas2266[[#Headers],[Herramientas_hidráulicas]],
    COUNTIF(EPP_2367[SPCC], B577) &gt; 0, EPP_2367[[#Headers],[SPCC]],
   COUNTIF(Herramientas_de_izaje2468[Herramientas_de_izaje], B577) &gt; 0, Herramientas_de_izaje2468[[#Headers],[Herramientas_de_izaje]],
COUNTIF(Tabla162670[Equipos], B577) &gt; 0, Tabla162670[[#Headers],[Equipos]],
    TRUE, "Sin clasificación"
)</f>
        <v>Sin clasificación</v>
      </c>
      <c r="G577" s="15"/>
      <c r="H577" s="47"/>
      <c r="I577" s="87"/>
      <c r="J577" s="78"/>
      <c r="K577" s="78"/>
      <c r="L577" s="78"/>
      <c r="M577" s="78"/>
      <c r="N577" s="76"/>
      <c r="O577" s="76"/>
      <c r="P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Q577" s="77"/>
      <c r="R577" s="32"/>
      <c r="S577" s="32"/>
      <c r="T577" s="32"/>
      <c r="U577" s="32"/>
    </row>
    <row r="578" spans="3:21" x14ac:dyDescent="0.3">
      <c r="C578" s="11"/>
      <c r="D578" s="32"/>
      <c r="E578" s="11" t="str" cm="1">
        <f t="array" ref="E578">_xlfn.IFS(
    COUNTIF(Herramientas_eléctricas1862[Herramientas_eléctricas], B578) &gt; 0, Herramientas_eléctricas1862[[#Headers],[Herramientas_eléctricas]],
    COUNTIF(Herramientas_neumáticas1963[Herramientas_neumáticas], B578) &gt; 0, Herramientas_neumáticas1963[[#Headers],[Herramientas_neumáticas]],
    COUNTIF(Herramientas_de_medición2064[Herramientas_de_medición], B578) &gt; 0, Herramientas_de_medición2064[[#Headers],[Herramientas_de_medición]],
    COUNTIF(Herrramientas_mecánicas2165[Herramientas_mecánicas], B578) &gt; 0, Herrramientas_mecánicas2165[[#Headers],[Herramientas_mecánicas]],
    COUNTIF(AK578:AK584, B578) &gt; 0, Herramientas_hidráulicas2266[[#Headers],[Herramientas_hidráulicas]],
    COUNTIF(EPP_2367[SPCC], B578) &gt; 0, EPP_2367[[#Headers],[SPCC]],
   COUNTIF(Herramientas_de_izaje2468[Herramientas_de_izaje], B578) &gt; 0, Herramientas_de_izaje2468[[#Headers],[Herramientas_de_izaje]],
COUNTIF(Tabla162670[Equipos], B578) &gt; 0, Tabla162670[[#Headers],[Equipos]],
    TRUE, "Sin clasificación"
)</f>
        <v>Sin clasificación</v>
      </c>
      <c r="G578" s="15"/>
      <c r="H578" s="47"/>
      <c r="I578" s="87"/>
      <c r="J578" s="78"/>
      <c r="K578" s="78"/>
      <c r="L578" s="78"/>
      <c r="M578" s="78"/>
      <c r="N578" s="76"/>
      <c r="O578" s="76"/>
      <c r="P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Q578" s="77"/>
      <c r="R578" s="32"/>
      <c r="S578" s="32"/>
      <c r="T578" s="32"/>
      <c r="U578" s="32"/>
    </row>
    <row r="579" spans="3:21" x14ac:dyDescent="0.3">
      <c r="C579" s="11"/>
      <c r="D579" s="32"/>
      <c r="E579" s="11" t="str" cm="1">
        <f t="array" ref="E579">_xlfn.IFS(
    COUNTIF(Herramientas_eléctricas1862[Herramientas_eléctricas], B579) &gt; 0, Herramientas_eléctricas1862[[#Headers],[Herramientas_eléctricas]],
    COUNTIF(Herramientas_neumáticas1963[Herramientas_neumáticas], B579) &gt; 0, Herramientas_neumáticas1963[[#Headers],[Herramientas_neumáticas]],
    COUNTIF(Herramientas_de_medición2064[Herramientas_de_medición], B579) &gt; 0, Herramientas_de_medición2064[[#Headers],[Herramientas_de_medición]],
    COUNTIF(Herrramientas_mecánicas2165[Herramientas_mecánicas], B579) &gt; 0, Herrramientas_mecánicas2165[[#Headers],[Herramientas_mecánicas]],
    COUNTIF(AK579:AK585, B579) &gt; 0, Herramientas_hidráulicas2266[[#Headers],[Herramientas_hidráulicas]],
    COUNTIF(EPP_2367[SPCC], B579) &gt; 0, EPP_2367[[#Headers],[SPCC]],
   COUNTIF(Herramientas_de_izaje2468[Herramientas_de_izaje], B579) &gt; 0, Herramientas_de_izaje2468[[#Headers],[Herramientas_de_izaje]],
COUNTIF(Tabla162670[Equipos], B579) &gt; 0, Tabla162670[[#Headers],[Equipos]],
    TRUE, "Sin clasificación"
)</f>
        <v>Sin clasificación</v>
      </c>
      <c r="G579" s="15"/>
      <c r="H579" s="47"/>
      <c r="I579" s="87"/>
      <c r="J579" s="78"/>
      <c r="K579" s="78"/>
      <c r="L579" s="78"/>
      <c r="M579" s="78"/>
      <c r="N579" s="76"/>
      <c r="O579" s="76"/>
      <c r="P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Q579" s="77"/>
      <c r="R579" s="32"/>
      <c r="S579" s="32"/>
      <c r="T579" s="32"/>
      <c r="U579" s="32"/>
    </row>
    <row r="580" spans="3:21" x14ac:dyDescent="0.3">
      <c r="C580" s="11"/>
      <c r="D580" s="32"/>
      <c r="E580" s="11" t="str" cm="1">
        <f t="array" ref="E580">_xlfn.IFS(
    COUNTIF(Herramientas_eléctricas1862[Herramientas_eléctricas], B580) &gt; 0, Herramientas_eléctricas1862[[#Headers],[Herramientas_eléctricas]],
    COUNTIF(Herramientas_neumáticas1963[Herramientas_neumáticas], B580) &gt; 0, Herramientas_neumáticas1963[[#Headers],[Herramientas_neumáticas]],
    COUNTIF(Herramientas_de_medición2064[Herramientas_de_medición], B580) &gt; 0, Herramientas_de_medición2064[[#Headers],[Herramientas_de_medición]],
    COUNTIF(Herrramientas_mecánicas2165[Herramientas_mecánicas], B580) &gt; 0, Herrramientas_mecánicas2165[[#Headers],[Herramientas_mecánicas]],
    COUNTIF(AK580:AK586, B580) &gt; 0, Herramientas_hidráulicas2266[[#Headers],[Herramientas_hidráulicas]],
    COUNTIF(EPP_2367[SPCC], B580) &gt; 0, EPP_2367[[#Headers],[SPCC]],
   COUNTIF(Herramientas_de_izaje2468[Herramientas_de_izaje], B580) &gt; 0, Herramientas_de_izaje2468[[#Headers],[Herramientas_de_izaje]],
COUNTIF(Tabla162670[Equipos], B580) &gt; 0, Tabla162670[[#Headers],[Equipos]],
    TRUE, "Sin clasificación"
)</f>
        <v>Sin clasificación</v>
      </c>
      <c r="G580" s="15"/>
      <c r="H580" s="47"/>
      <c r="I580" s="87"/>
      <c r="J580" s="78"/>
      <c r="K580" s="78"/>
      <c r="L580" s="78"/>
      <c r="M580" s="78"/>
      <c r="N580" s="76"/>
      <c r="O580" s="76"/>
      <c r="P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Q580" s="77"/>
      <c r="R580" s="32"/>
      <c r="S580" s="32"/>
      <c r="T580" s="32"/>
      <c r="U580" s="32"/>
    </row>
    <row r="581" spans="3:21" x14ac:dyDescent="0.3">
      <c r="C581" s="11"/>
      <c r="D581" s="32"/>
      <c r="E581" s="11" t="str" cm="1">
        <f t="array" ref="E581">_xlfn.IFS(
    COUNTIF(Herramientas_eléctricas1862[Herramientas_eléctricas], B581) &gt; 0, Herramientas_eléctricas1862[[#Headers],[Herramientas_eléctricas]],
    COUNTIF(Herramientas_neumáticas1963[Herramientas_neumáticas], B581) &gt; 0, Herramientas_neumáticas1963[[#Headers],[Herramientas_neumáticas]],
    COUNTIF(Herramientas_de_medición2064[Herramientas_de_medición], B581) &gt; 0, Herramientas_de_medición2064[[#Headers],[Herramientas_de_medición]],
    COUNTIF(Herrramientas_mecánicas2165[Herramientas_mecánicas], B581) &gt; 0, Herrramientas_mecánicas2165[[#Headers],[Herramientas_mecánicas]],
    COUNTIF(AK581:AK587, B581) &gt; 0, Herramientas_hidráulicas2266[[#Headers],[Herramientas_hidráulicas]],
    COUNTIF(EPP_2367[SPCC], B581) &gt; 0, EPP_2367[[#Headers],[SPCC]],
   COUNTIF(Herramientas_de_izaje2468[Herramientas_de_izaje], B581) &gt; 0, Herramientas_de_izaje2468[[#Headers],[Herramientas_de_izaje]],
COUNTIF(Tabla162670[Equipos], B581) &gt; 0, Tabla162670[[#Headers],[Equipos]],
    TRUE, "Sin clasificación"
)</f>
        <v>Sin clasificación</v>
      </c>
      <c r="G581" s="15"/>
      <c r="H581" s="47"/>
      <c r="I581" s="87"/>
      <c r="J581" s="78"/>
      <c r="K581" s="78"/>
      <c r="L581" s="78"/>
      <c r="M581" s="78"/>
      <c r="N581" s="76"/>
      <c r="O581" s="76"/>
      <c r="P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Q581" s="77"/>
      <c r="R581" s="32"/>
      <c r="S581" s="32"/>
      <c r="T581" s="32"/>
      <c r="U581" s="32"/>
    </row>
    <row r="582" spans="3:21" x14ac:dyDescent="0.3">
      <c r="C582" s="11"/>
      <c r="D582" s="32"/>
      <c r="E582" s="11" t="str" cm="1">
        <f t="array" ref="E582">_xlfn.IFS(
    COUNTIF(Herramientas_eléctricas1862[Herramientas_eléctricas], B582) &gt; 0, Herramientas_eléctricas1862[[#Headers],[Herramientas_eléctricas]],
    COUNTIF(Herramientas_neumáticas1963[Herramientas_neumáticas], B582) &gt; 0, Herramientas_neumáticas1963[[#Headers],[Herramientas_neumáticas]],
    COUNTIF(Herramientas_de_medición2064[Herramientas_de_medición], B582) &gt; 0, Herramientas_de_medición2064[[#Headers],[Herramientas_de_medición]],
    COUNTIF(Herrramientas_mecánicas2165[Herramientas_mecánicas], B582) &gt; 0, Herrramientas_mecánicas2165[[#Headers],[Herramientas_mecánicas]],
    COUNTIF(AK582:AK588, B582) &gt; 0, Herramientas_hidráulicas2266[[#Headers],[Herramientas_hidráulicas]],
    COUNTIF(EPP_2367[SPCC], B582) &gt; 0, EPP_2367[[#Headers],[SPCC]],
   COUNTIF(Herramientas_de_izaje2468[Herramientas_de_izaje], B582) &gt; 0, Herramientas_de_izaje2468[[#Headers],[Herramientas_de_izaje]],
COUNTIF(Tabla162670[Equipos], B582) &gt; 0, Tabla162670[[#Headers],[Equipos]],
    TRUE, "Sin clasificación"
)</f>
        <v>Sin clasificación</v>
      </c>
      <c r="G582" s="15"/>
      <c r="H582" s="47"/>
      <c r="I582" s="87"/>
      <c r="J582" s="78"/>
      <c r="K582" s="78"/>
      <c r="L582" s="78"/>
      <c r="M582" s="78"/>
      <c r="N582" s="76"/>
      <c r="O582" s="76"/>
      <c r="P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Q582" s="77"/>
      <c r="R582" s="32"/>
      <c r="S582" s="32"/>
      <c r="T582" s="32"/>
      <c r="U582" s="32"/>
    </row>
    <row r="583" spans="3:21" x14ac:dyDescent="0.3">
      <c r="C583" s="11"/>
      <c r="D583" s="32"/>
      <c r="E583" s="11" t="str" cm="1">
        <f t="array" ref="E583">_xlfn.IFS(
    COUNTIF(Herramientas_eléctricas1862[Herramientas_eléctricas], B583) &gt; 0, Herramientas_eléctricas1862[[#Headers],[Herramientas_eléctricas]],
    COUNTIF(Herramientas_neumáticas1963[Herramientas_neumáticas], B583) &gt; 0, Herramientas_neumáticas1963[[#Headers],[Herramientas_neumáticas]],
    COUNTIF(Herramientas_de_medición2064[Herramientas_de_medición], B583) &gt; 0, Herramientas_de_medición2064[[#Headers],[Herramientas_de_medición]],
    COUNTIF(Herrramientas_mecánicas2165[Herramientas_mecánicas], B583) &gt; 0, Herrramientas_mecánicas2165[[#Headers],[Herramientas_mecánicas]],
    COUNTIF(AK583:AK589, B583) &gt; 0, Herramientas_hidráulicas2266[[#Headers],[Herramientas_hidráulicas]],
    COUNTIF(EPP_2367[SPCC], B583) &gt; 0, EPP_2367[[#Headers],[SPCC]],
   COUNTIF(Herramientas_de_izaje2468[Herramientas_de_izaje], B583) &gt; 0, Herramientas_de_izaje2468[[#Headers],[Herramientas_de_izaje]],
COUNTIF(Tabla162670[Equipos], B583) &gt; 0, Tabla162670[[#Headers],[Equipos]],
    TRUE, "Sin clasificación"
)</f>
        <v>Sin clasificación</v>
      </c>
      <c r="G583" s="15"/>
      <c r="H583" s="47"/>
      <c r="I583" s="87"/>
      <c r="J583" s="78"/>
      <c r="K583" s="78"/>
      <c r="L583" s="78"/>
      <c r="M583" s="78"/>
      <c r="N583" s="76"/>
      <c r="O583" s="76"/>
      <c r="P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Q583" s="77"/>
      <c r="R583" s="32"/>
      <c r="S583" s="32"/>
      <c r="T583" s="32"/>
      <c r="U583" s="32"/>
    </row>
    <row r="584" spans="3:21" x14ac:dyDescent="0.3">
      <c r="C584" s="11"/>
      <c r="D584" s="32"/>
      <c r="E584" s="11" t="str" cm="1">
        <f t="array" ref="E584">_xlfn.IFS(
    COUNTIF(Herramientas_eléctricas1862[Herramientas_eléctricas], B584) &gt; 0, Herramientas_eléctricas1862[[#Headers],[Herramientas_eléctricas]],
    COUNTIF(Herramientas_neumáticas1963[Herramientas_neumáticas], B584) &gt; 0, Herramientas_neumáticas1963[[#Headers],[Herramientas_neumáticas]],
    COUNTIF(Herramientas_de_medición2064[Herramientas_de_medición], B584) &gt; 0, Herramientas_de_medición2064[[#Headers],[Herramientas_de_medición]],
    COUNTIF(Herrramientas_mecánicas2165[Herramientas_mecánicas], B584) &gt; 0, Herrramientas_mecánicas2165[[#Headers],[Herramientas_mecánicas]],
    COUNTIF(AK584:AK590, B584) &gt; 0, Herramientas_hidráulicas2266[[#Headers],[Herramientas_hidráulicas]],
    COUNTIF(EPP_2367[SPCC], B584) &gt; 0, EPP_2367[[#Headers],[SPCC]],
   COUNTIF(Herramientas_de_izaje2468[Herramientas_de_izaje], B584) &gt; 0, Herramientas_de_izaje2468[[#Headers],[Herramientas_de_izaje]],
COUNTIF(Tabla162670[Equipos], B584) &gt; 0, Tabla162670[[#Headers],[Equipos]],
    TRUE, "Sin clasificación"
)</f>
        <v>Sin clasificación</v>
      </c>
      <c r="G584" s="15"/>
      <c r="H584" s="47"/>
      <c r="I584" s="87"/>
      <c r="J584" s="78"/>
      <c r="K584" s="78"/>
      <c r="L584" s="78"/>
      <c r="M584" s="78"/>
      <c r="N584" s="76"/>
      <c r="O584" s="76"/>
      <c r="P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Q584" s="77"/>
      <c r="R584" s="32"/>
      <c r="S584" s="32"/>
      <c r="T584" s="32"/>
      <c r="U584" s="32"/>
    </row>
    <row r="585" spans="3:21" x14ac:dyDescent="0.3">
      <c r="C585" s="11"/>
      <c r="D585" s="32"/>
      <c r="E585" s="11" t="str" cm="1">
        <f t="array" ref="E585">_xlfn.IFS(
    COUNTIF(Herramientas_eléctricas1862[Herramientas_eléctricas], B585) &gt; 0, Herramientas_eléctricas1862[[#Headers],[Herramientas_eléctricas]],
    COUNTIF(Herramientas_neumáticas1963[Herramientas_neumáticas], B585) &gt; 0, Herramientas_neumáticas1963[[#Headers],[Herramientas_neumáticas]],
    COUNTIF(Herramientas_de_medición2064[Herramientas_de_medición], B585) &gt; 0, Herramientas_de_medición2064[[#Headers],[Herramientas_de_medición]],
    COUNTIF(Herrramientas_mecánicas2165[Herramientas_mecánicas], B585) &gt; 0, Herrramientas_mecánicas2165[[#Headers],[Herramientas_mecánicas]],
    COUNTIF(AK585:AK591, B585) &gt; 0, Herramientas_hidráulicas2266[[#Headers],[Herramientas_hidráulicas]],
    COUNTIF(EPP_2367[SPCC], B585) &gt; 0, EPP_2367[[#Headers],[SPCC]],
   COUNTIF(Herramientas_de_izaje2468[Herramientas_de_izaje], B585) &gt; 0, Herramientas_de_izaje2468[[#Headers],[Herramientas_de_izaje]],
COUNTIF(Tabla162670[Equipos], B585) &gt; 0, Tabla162670[[#Headers],[Equipos]],
    TRUE, "Sin clasificación"
)</f>
        <v>Sin clasificación</v>
      </c>
      <c r="G585" s="15"/>
      <c r="H585" s="47"/>
      <c r="I585" s="87"/>
      <c r="J585" s="78"/>
      <c r="K585" s="78"/>
      <c r="L585" s="78"/>
      <c r="M585" s="78"/>
      <c r="N585" s="76"/>
      <c r="O585" s="76"/>
      <c r="P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Q585" s="77"/>
      <c r="R585" s="32"/>
      <c r="S585" s="32"/>
      <c r="T585" s="32"/>
      <c r="U585" s="32"/>
    </row>
    <row r="586" spans="3:21" x14ac:dyDescent="0.3">
      <c r="C586" s="11"/>
      <c r="D586" s="32"/>
      <c r="E586" s="11" t="str" cm="1">
        <f t="array" ref="E586">_xlfn.IFS(
    COUNTIF(Herramientas_eléctricas1862[Herramientas_eléctricas], B586) &gt; 0, Herramientas_eléctricas1862[[#Headers],[Herramientas_eléctricas]],
    COUNTIF(Herramientas_neumáticas1963[Herramientas_neumáticas], B586) &gt; 0, Herramientas_neumáticas1963[[#Headers],[Herramientas_neumáticas]],
    COUNTIF(Herramientas_de_medición2064[Herramientas_de_medición], B586) &gt; 0, Herramientas_de_medición2064[[#Headers],[Herramientas_de_medición]],
    COUNTIF(Herrramientas_mecánicas2165[Herramientas_mecánicas], B586) &gt; 0, Herrramientas_mecánicas2165[[#Headers],[Herramientas_mecánicas]],
    COUNTIF(AK586:AK592, B586) &gt; 0, Herramientas_hidráulicas2266[[#Headers],[Herramientas_hidráulicas]],
    COUNTIF(EPP_2367[SPCC], B586) &gt; 0, EPP_2367[[#Headers],[SPCC]],
   COUNTIF(Herramientas_de_izaje2468[Herramientas_de_izaje], B586) &gt; 0, Herramientas_de_izaje2468[[#Headers],[Herramientas_de_izaje]],
COUNTIF(Tabla162670[Equipos], B586) &gt; 0, Tabla162670[[#Headers],[Equipos]],
    TRUE, "Sin clasificación"
)</f>
        <v>Sin clasificación</v>
      </c>
      <c r="G586" s="15"/>
      <c r="H586" s="47"/>
      <c r="I586" s="87"/>
      <c r="J586" s="78"/>
      <c r="K586" s="78"/>
      <c r="L586" s="78"/>
      <c r="M586" s="78"/>
      <c r="N586" s="76"/>
      <c r="O586" s="76"/>
      <c r="P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Q586" s="77"/>
      <c r="R586" s="32"/>
      <c r="S586" s="32"/>
      <c r="T586" s="32"/>
      <c r="U586" s="32"/>
    </row>
    <row r="587" spans="3:21" x14ac:dyDescent="0.3">
      <c r="C587" s="11"/>
      <c r="D587" s="32"/>
      <c r="E587" s="11" t="str" cm="1">
        <f t="array" ref="E587">_xlfn.IFS(
    COUNTIF(Herramientas_eléctricas1862[Herramientas_eléctricas], B587) &gt; 0, Herramientas_eléctricas1862[[#Headers],[Herramientas_eléctricas]],
    COUNTIF(Herramientas_neumáticas1963[Herramientas_neumáticas], B587) &gt; 0, Herramientas_neumáticas1963[[#Headers],[Herramientas_neumáticas]],
    COUNTIF(Herramientas_de_medición2064[Herramientas_de_medición], B587) &gt; 0, Herramientas_de_medición2064[[#Headers],[Herramientas_de_medición]],
    COUNTIF(Herrramientas_mecánicas2165[Herramientas_mecánicas], B587) &gt; 0, Herrramientas_mecánicas2165[[#Headers],[Herramientas_mecánicas]],
    COUNTIF(AK587:AK593, B587) &gt; 0, Herramientas_hidráulicas2266[[#Headers],[Herramientas_hidráulicas]],
    COUNTIF(EPP_2367[SPCC], B587) &gt; 0, EPP_2367[[#Headers],[SPCC]],
   COUNTIF(Herramientas_de_izaje2468[Herramientas_de_izaje], B587) &gt; 0, Herramientas_de_izaje2468[[#Headers],[Herramientas_de_izaje]],
COUNTIF(Tabla162670[Equipos], B587) &gt; 0, Tabla162670[[#Headers],[Equipos]],
    TRUE, "Sin clasificación"
)</f>
        <v>Sin clasificación</v>
      </c>
      <c r="G587" s="15"/>
      <c r="H587" s="47"/>
      <c r="I587" s="87"/>
      <c r="J587" s="78"/>
      <c r="K587" s="78"/>
      <c r="L587" s="78"/>
      <c r="M587" s="78"/>
      <c r="N587" s="76"/>
      <c r="O587" s="76"/>
      <c r="P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Q587" s="77"/>
      <c r="R587" s="32"/>
      <c r="S587" s="32"/>
      <c r="T587" s="32"/>
      <c r="U587" s="32"/>
    </row>
    <row r="588" spans="3:21" x14ac:dyDescent="0.3">
      <c r="C588" s="11"/>
      <c r="D588" s="32"/>
      <c r="E588" s="11" t="str" cm="1">
        <f t="array" ref="E588">_xlfn.IFS(
    COUNTIF(Herramientas_eléctricas1862[Herramientas_eléctricas], B588) &gt; 0, Herramientas_eléctricas1862[[#Headers],[Herramientas_eléctricas]],
    COUNTIF(Herramientas_neumáticas1963[Herramientas_neumáticas], B588) &gt; 0, Herramientas_neumáticas1963[[#Headers],[Herramientas_neumáticas]],
    COUNTIF(Herramientas_de_medición2064[Herramientas_de_medición], B588) &gt; 0, Herramientas_de_medición2064[[#Headers],[Herramientas_de_medición]],
    COUNTIF(Herrramientas_mecánicas2165[Herramientas_mecánicas], B588) &gt; 0, Herrramientas_mecánicas2165[[#Headers],[Herramientas_mecánicas]],
    COUNTIF(AK588:AK594, B588) &gt; 0, Herramientas_hidráulicas2266[[#Headers],[Herramientas_hidráulicas]],
    COUNTIF(EPP_2367[SPCC], B588) &gt; 0, EPP_2367[[#Headers],[SPCC]],
   COUNTIF(Herramientas_de_izaje2468[Herramientas_de_izaje], B588) &gt; 0, Herramientas_de_izaje2468[[#Headers],[Herramientas_de_izaje]],
COUNTIF(Tabla162670[Equipos], B588) &gt; 0, Tabla162670[[#Headers],[Equipos]],
    TRUE, "Sin clasificación"
)</f>
        <v>Sin clasificación</v>
      </c>
      <c r="G588" s="15"/>
      <c r="H588" s="47"/>
      <c r="I588" s="87"/>
      <c r="J588" s="78"/>
      <c r="K588" s="78"/>
      <c r="L588" s="78"/>
      <c r="M588" s="78"/>
      <c r="N588" s="76"/>
      <c r="O588" s="76"/>
      <c r="P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Q588" s="77"/>
      <c r="R588" s="32"/>
      <c r="S588" s="32"/>
      <c r="T588" s="32"/>
      <c r="U588" s="32"/>
    </row>
    <row r="589" spans="3:21" x14ac:dyDescent="0.3">
      <c r="C589" s="11"/>
      <c r="D589" s="32"/>
      <c r="E589" s="11" t="str" cm="1">
        <f t="array" ref="E589">_xlfn.IFS(
    COUNTIF(Herramientas_eléctricas1862[Herramientas_eléctricas], B589) &gt; 0, Herramientas_eléctricas1862[[#Headers],[Herramientas_eléctricas]],
    COUNTIF(Herramientas_neumáticas1963[Herramientas_neumáticas], B589) &gt; 0, Herramientas_neumáticas1963[[#Headers],[Herramientas_neumáticas]],
    COUNTIF(Herramientas_de_medición2064[Herramientas_de_medición], B589) &gt; 0, Herramientas_de_medición2064[[#Headers],[Herramientas_de_medición]],
    COUNTIF(Herrramientas_mecánicas2165[Herramientas_mecánicas], B589) &gt; 0, Herrramientas_mecánicas2165[[#Headers],[Herramientas_mecánicas]],
    COUNTIF(AK589:AK595, B589) &gt; 0, Herramientas_hidráulicas2266[[#Headers],[Herramientas_hidráulicas]],
    COUNTIF(EPP_2367[SPCC], B589) &gt; 0, EPP_2367[[#Headers],[SPCC]],
   COUNTIF(Herramientas_de_izaje2468[Herramientas_de_izaje], B589) &gt; 0, Herramientas_de_izaje2468[[#Headers],[Herramientas_de_izaje]],
COUNTIF(Tabla162670[Equipos], B589) &gt; 0, Tabla162670[[#Headers],[Equipos]],
    TRUE, "Sin clasificación"
)</f>
        <v>Sin clasificación</v>
      </c>
      <c r="G589" s="15"/>
      <c r="H589" s="47"/>
      <c r="I589" s="87"/>
      <c r="J589" s="78"/>
      <c r="K589" s="78"/>
      <c r="L589" s="78"/>
      <c r="M589" s="78"/>
      <c r="N589" s="76"/>
      <c r="O589" s="76"/>
      <c r="P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Q589" s="77"/>
      <c r="R589" s="32"/>
      <c r="S589" s="32"/>
      <c r="T589" s="32"/>
      <c r="U589" s="32"/>
    </row>
    <row r="590" spans="3:21" x14ac:dyDescent="0.3">
      <c r="C590" s="11"/>
      <c r="D590" s="32"/>
      <c r="E590" s="11" t="str" cm="1">
        <f t="array" ref="E590">_xlfn.IFS(
    COUNTIF(Herramientas_eléctricas1862[Herramientas_eléctricas], B590) &gt; 0, Herramientas_eléctricas1862[[#Headers],[Herramientas_eléctricas]],
    COUNTIF(Herramientas_neumáticas1963[Herramientas_neumáticas], B590) &gt; 0, Herramientas_neumáticas1963[[#Headers],[Herramientas_neumáticas]],
    COUNTIF(Herramientas_de_medición2064[Herramientas_de_medición], B590) &gt; 0, Herramientas_de_medición2064[[#Headers],[Herramientas_de_medición]],
    COUNTIF(Herrramientas_mecánicas2165[Herramientas_mecánicas], B590) &gt; 0, Herrramientas_mecánicas2165[[#Headers],[Herramientas_mecánicas]],
    COUNTIF(AK590:AK596, B590) &gt; 0, Herramientas_hidráulicas2266[[#Headers],[Herramientas_hidráulicas]],
    COUNTIF(EPP_2367[SPCC], B590) &gt; 0, EPP_2367[[#Headers],[SPCC]],
   COUNTIF(Herramientas_de_izaje2468[Herramientas_de_izaje], B590) &gt; 0, Herramientas_de_izaje2468[[#Headers],[Herramientas_de_izaje]],
COUNTIF(Tabla162670[Equipos], B590) &gt; 0, Tabla162670[[#Headers],[Equipos]],
    TRUE, "Sin clasificación"
)</f>
        <v>Sin clasificación</v>
      </c>
      <c r="G590" s="15"/>
      <c r="H590" s="47"/>
      <c r="I590" s="87"/>
      <c r="J590" s="78"/>
      <c r="K590" s="78"/>
      <c r="L590" s="78"/>
      <c r="M590" s="78"/>
      <c r="N590" s="76"/>
      <c r="O590" s="76"/>
      <c r="P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Q590" s="77"/>
      <c r="R590" s="32"/>
      <c r="S590" s="32"/>
      <c r="T590" s="32"/>
      <c r="U590" s="32"/>
    </row>
    <row r="591" spans="3:21" x14ac:dyDescent="0.3">
      <c r="C591" s="11"/>
      <c r="D591" s="32"/>
      <c r="E591" s="11" t="str" cm="1">
        <f t="array" ref="E591">_xlfn.IFS(
    COUNTIF(Herramientas_eléctricas1862[Herramientas_eléctricas], B591) &gt; 0, Herramientas_eléctricas1862[[#Headers],[Herramientas_eléctricas]],
    COUNTIF(Herramientas_neumáticas1963[Herramientas_neumáticas], B591) &gt; 0, Herramientas_neumáticas1963[[#Headers],[Herramientas_neumáticas]],
    COUNTIF(Herramientas_de_medición2064[Herramientas_de_medición], B591) &gt; 0, Herramientas_de_medición2064[[#Headers],[Herramientas_de_medición]],
    COUNTIF(Herrramientas_mecánicas2165[Herramientas_mecánicas], B591) &gt; 0, Herrramientas_mecánicas2165[[#Headers],[Herramientas_mecánicas]],
    COUNTIF(AK591:AK597, B591) &gt; 0, Herramientas_hidráulicas2266[[#Headers],[Herramientas_hidráulicas]],
    COUNTIF(EPP_2367[SPCC], B591) &gt; 0, EPP_2367[[#Headers],[SPCC]],
   COUNTIF(Herramientas_de_izaje2468[Herramientas_de_izaje], B591) &gt; 0, Herramientas_de_izaje2468[[#Headers],[Herramientas_de_izaje]],
COUNTIF(Tabla162670[Equipos], B591) &gt; 0, Tabla162670[[#Headers],[Equipos]],
    TRUE, "Sin clasificación"
)</f>
        <v>Sin clasificación</v>
      </c>
      <c r="G591" s="15"/>
      <c r="H591" s="47"/>
      <c r="I591" s="87"/>
      <c r="J591" s="78"/>
      <c r="K591" s="78"/>
      <c r="L591" s="78"/>
      <c r="M591" s="78"/>
      <c r="N591" s="76"/>
      <c r="O591" s="76"/>
      <c r="P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Q591" s="77"/>
      <c r="R591" s="32"/>
      <c r="S591" s="32"/>
      <c r="T591" s="32"/>
      <c r="U591" s="32"/>
    </row>
    <row r="592" spans="3:21" x14ac:dyDescent="0.3">
      <c r="C592" s="11"/>
      <c r="D592" s="32"/>
      <c r="E592" s="11" t="str" cm="1">
        <f t="array" ref="E592">_xlfn.IFS(
    COUNTIF(Herramientas_eléctricas1862[Herramientas_eléctricas], B592) &gt; 0, Herramientas_eléctricas1862[[#Headers],[Herramientas_eléctricas]],
    COUNTIF(Herramientas_neumáticas1963[Herramientas_neumáticas], B592) &gt; 0, Herramientas_neumáticas1963[[#Headers],[Herramientas_neumáticas]],
    COUNTIF(Herramientas_de_medición2064[Herramientas_de_medición], B592) &gt; 0, Herramientas_de_medición2064[[#Headers],[Herramientas_de_medición]],
    COUNTIF(Herrramientas_mecánicas2165[Herramientas_mecánicas], B592) &gt; 0, Herrramientas_mecánicas2165[[#Headers],[Herramientas_mecánicas]],
    COUNTIF(AK592:AK598, B592) &gt; 0, Herramientas_hidráulicas2266[[#Headers],[Herramientas_hidráulicas]],
    COUNTIF(EPP_2367[SPCC], B592) &gt; 0, EPP_2367[[#Headers],[SPCC]],
   COUNTIF(Herramientas_de_izaje2468[Herramientas_de_izaje], B592) &gt; 0, Herramientas_de_izaje2468[[#Headers],[Herramientas_de_izaje]],
COUNTIF(Tabla162670[Equipos], B592) &gt; 0, Tabla162670[[#Headers],[Equipos]],
    TRUE, "Sin clasificación"
)</f>
        <v>Sin clasificación</v>
      </c>
      <c r="G592" s="15"/>
      <c r="H592" s="47"/>
      <c r="I592" s="87"/>
      <c r="J592" s="78"/>
      <c r="K592" s="78"/>
      <c r="L592" s="78"/>
      <c r="M592" s="78"/>
      <c r="N592" s="76"/>
      <c r="O592" s="76"/>
      <c r="P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Q592" s="77"/>
      <c r="R592" s="32"/>
      <c r="S592" s="32"/>
      <c r="T592" s="32"/>
      <c r="U592" s="32"/>
    </row>
    <row r="593" spans="3:21" x14ac:dyDescent="0.3">
      <c r="C593" s="11"/>
      <c r="D593" s="32"/>
      <c r="E593" s="11" t="str" cm="1">
        <f t="array" ref="E593">_xlfn.IFS(
    COUNTIF(Herramientas_eléctricas1862[Herramientas_eléctricas], B593) &gt; 0, Herramientas_eléctricas1862[[#Headers],[Herramientas_eléctricas]],
    COUNTIF(Herramientas_neumáticas1963[Herramientas_neumáticas], B593) &gt; 0, Herramientas_neumáticas1963[[#Headers],[Herramientas_neumáticas]],
    COUNTIF(Herramientas_de_medición2064[Herramientas_de_medición], B593) &gt; 0, Herramientas_de_medición2064[[#Headers],[Herramientas_de_medición]],
    COUNTIF(Herrramientas_mecánicas2165[Herramientas_mecánicas], B593) &gt; 0, Herrramientas_mecánicas2165[[#Headers],[Herramientas_mecánicas]],
    COUNTIF(AK593:AK599, B593) &gt; 0, Herramientas_hidráulicas2266[[#Headers],[Herramientas_hidráulicas]],
    COUNTIF(EPP_2367[SPCC], B593) &gt; 0, EPP_2367[[#Headers],[SPCC]],
   COUNTIF(Herramientas_de_izaje2468[Herramientas_de_izaje], B593) &gt; 0, Herramientas_de_izaje2468[[#Headers],[Herramientas_de_izaje]],
COUNTIF(Tabla162670[Equipos], B593) &gt; 0, Tabla162670[[#Headers],[Equipos]],
    TRUE, "Sin clasificación"
)</f>
        <v>Sin clasificación</v>
      </c>
      <c r="G593" s="15"/>
      <c r="H593" s="47"/>
      <c r="I593" s="87"/>
      <c r="J593" s="78"/>
      <c r="K593" s="78"/>
      <c r="L593" s="78"/>
      <c r="M593" s="78"/>
      <c r="N593" s="76"/>
      <c r="O593" s="76"/>
      <c r="P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Q593" s="77"/>
      <c r="R593" s="32"/>
      <c r="S593" s="32"/>
      <c r="T593" s="32"/>
      <c r="U593" s="32"/>
    </row>
    <row r="594" spans="3:21" x14ac:dyDescent="0.3">
      <c r="C594" s="11"/>
      <c r="D594" s="32"/>
      <c r="E594" s="11" t="str" cm="1">
        <f t="array" ref="E594">_xlfn.IFS(
    COUNTIF(Herramientas_eléctricas1862[Herramientas_eléctricas], B594) &gt; 0, Herramientas_eléctricas1862[[#Headers],[Herramientas_eléctricas]],
    COUNTIF(Herramientas_neumáticas1963[Herramientas_neumáticas], B594) &gt; 0, Herramientas_neumáticas1963[[#Headers],[Herramientas_neumáticas]],
    COUNTIF(Herramientas_de_medición2064[Herramientas_de_medición], B594) &gt; 0, Herramientas_de_medición2064[[#Headers],[Herramientas_de_medición]],
    COUNTIF(Herrramientas_mecánicas2165[Herramientas_mecánicas], B594) &gt; 0, Herrramientas_mecánicas2165[[#Headers],[Herramientas_mecánicas]],
    COUNTIF(AK594:AK600, B594) &gt; 0, Herramientas_hidráulicas2266[[#Headers],[Herramientas_hidráulicas]],
    COUNTIF(EPP_2367[SPCC], B594) &gt; 0, EPP_2367[[#Headers],[SPCC]],
   COUNTIF(Herramientas_de_izaje2468[Herramientas_de_izaje], B594) &gt; 0, Herramientas_de_izaje2468[[#Headers],[Herramientas_de_izaje]],
COUNTIF(Tabla162670[Equipos], B594) &gt; 0, Tabla162670[[#Headers],[Equipos]],
    TRUE, "Sin clasificación"
)</f>
        <v>Sin clasificación</v>
      </c>
      <c r="G594" s="15"/>
      <c r="H594" s="47"/>
      <c r="I594" s="87"/>
      <c r="J594" s="78"/>
      <c r="K594" s="78"/>
      <c r="L594" s="78"/>
      <c r="M594" s="78"/>
      <c r="N594" s="76"/>
      <c r="O594" s="76"/>
      <c r="P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Q594" s="77"/>
      <c r="R594" s="32"/>
      <c r="S594" s="32"/>
      <c r="T594" s="32"/>
      <c r="U594" s="32"/>
    </row>
    <row r="595" spans="3:21" x14ac:dyDescent="0.3">
      <c r="C595" s="11"/>
      <c r="D595" s="32"/>
      <c r="E595" s="11" t="str" cm="1">
        <f t="array" ref="E595">_xlfn.IFS(
    COUNTIF(Herramientas_eléctricas1862[Herramientas_eléctricas], B595) &gt; 0, Herramientas_eléctricas1862[[#Headers],[Herramientas_eléctricas]],
    COUNTIF(Herramientas_neumáticas1963[Herramientas_neumáticas], B595) &gt; 0, Herramientas_neumáticas1963[[#Headers],[Herramientas_neumáticas]],
    COUNTIF(Herramientas_de_medición2064[Herramientas_de_medición], B595) &gt; 0, Herramientas_de_medición2064[[#Headers],[Herramientas_de_medición]],
    COUNTIF(Herrramientas_mecánicas2165[Herramientas_mecánicas], B595) &gt; 0, Herrramientas_mecánicas2165[[#Headers],[Herramientas_mecánicas]],
    COUNTIF(AK595:AK601, B595) &gt; 0, Herramientas_hidráulicas2266[[#Headers],[Herramientas_hidráulicas]],
    COUNTIF(EPP_2367[SPCC], B595) &gt; 0, EPP_2367[[#Headers],[SPCC]],
   COUNTIF(Herramientas_de_izaje2468[Herramientas_de_izaje], B595) &gt; 0, Herramientas_de_izaje2468[[#Headers],[Herramientas_de_izaje]],
COUNTIF(Tabla162670[Equipos], B595) &gt; 0, Tabla162670[[#Headers],[Equipos]],
    TRUE, "Sin clasificación"
)</f>
        <v>Sin clasificación</v>
      </c>
      <c r="G595" s="15"/>
      <c r="H595" s="47"/>
      <c r="I595" s="87"/>
      <c r="J595" s="78"/>
      <c r="K595" s="78"/>
      <c r="L595" s="78"/>
      <c r="M595" s="78"/>
      <c r="N595" s="76"/>
      <c r="O595" s="76"/>
      <c r="P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Q595" s="77"/>
      <c r="R595" s="32"/>
      <c r="S595" s="32"/>
      <c r="T595" s="32"/>
      <c r="U595" s="32"/>
    </row>
    <row r="596" spans="3:21" x14ac:dyDescent="0.3">
      <c r="C596" s="11"/>
      <c r="D596" s="32"/>
      <c r="E596" s="11" t="str" cm="1">
        <f t="array" ref="E596">_xlfn.IFS(
    COUNTIF(Herramientas_eléctricas1862[Herramientas_eléctricas], B596) &gt; 0, Herramientas_eléctricas1862[[#Headers],[Herramientas_eléctricas]],
    COUNTIF(Herramientas_neumáticas1963[Herramientas_neumáticas], B596) &gt; 0, Herramientas_neumáticas1963[[#Headers],[Herramientas_neumáticas]],
    COUNTIF(Herramientas_de_medición2064[Herramientas_de_medición], B596) &gt; 0, Herramientas_de_medición2064[[#Headers],[Herramientas_de_medición]],
    COUNTIF(Herrramientas_mecánicas2165[Herramientas_mecánicas], B596) &gt; 0, Herrramientas_mecánicas2165[[#Headers],[Herramientas_mecánicas]],
    COUNTIF(AK596:AK602, B596) &gt; 0, Herramientas_hidráulicas2266[[#Headers],[Herramientas_hidráulicas]],
    COUNTIF(EPP_2367[SPCC], B596) &gt; 0, EPP_2367[[#Headers],[SPCC]],
   COUNTIF(Herramientas_de_izaje2468[Herramientas_de_izaje], B596) &gt; 0, Herramientas_de_izaje2468[[#Headers],[Herramientas_de_izaje]],
COUNTIF(Tabla162670[Equipos], B596) &gt; 0, Tabla162670[[#Headers],[Equipos]],
    TRUE, "Sin clasificación"
)</f>
        <v>Sin clasificación</v>
      </c>
      <c r="G596" s="15"/>
      <c r="H596" s="47"/>
      <c r="I596" s="87"/>
      <c r="J596" s="78"/>
      <c r="K596" s="78"/>
      <c r="L596" s="78"/>
      <c r="M596" s="78"/>
      <c r="N596" s="76"/>
      <c r="O596" s="76"/>
      <c r="P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Q596" s="77"/>
      <c r="R596" s="32"/>
      <c r="S596" s="32"/>
      <c r="T596" s="32"/>
      <c r="U596" s="32"/>
    </row>
    <row r="597" spans="3:21" x14ac:dyDescent="0.3">
      <c r="C597" s="11"/>
      <c r="D597" s="32"/>
      <c r="E597" s="11" t="str" cm="1">
        <f t="array" ref="E597">_xlfn.IFS(
    COUNTIF(Herramientas_eléctricas1862[Herramientas_eléctricas], B597) &gt; 0, Herramientas_eléctricas1862[[#Headers],[Herramientas_eléctricas]],
    COUNTIF(Herramientas_neumáticas1963[Herramientas_neumáticas], B597) &gt; 0, Herramientas_neumáticas1963[[#Headers],[Herramientas_neumáticas]],
    COUNTIF(Herramientas_de_medición2064[Herramientas_de_medición], B597) &gt; 0, Herramientas_de_medición2064[[#Headers],[Herramientas_de_medición]],
    COUNTIF(Herrramientas_mecánicas2165[Herramientas_mecánicas], B597) &gt; 0, Herrramientas_mecánicas2165[[#Headers],[Herramientas_mecánicas]],
    COUNTIF(AK597:AK603, B597) &gt; 0, Herramientas_hidráulicas2266[[#Headers],[Herramientas_hidráulicas]],
    COUNTIF(EPP_2367[SPCC], B597) &gt; 0, EPP_2367[[#Headers],[SPCC]],
   COUNTIF(Herramientas_de_izaje2468[Herramientas_de_izaje], B597) &gt; 0, Herramientas_de_izaje2468[[#Headers],[Herramientas_de_izaje]],
COUNTIF(Tabla162670[Equipos], B597) &gt; 0, Tabla162670[[#Headers],[Equipos]],
    TRUE, "Sin clasificación"
)</f>
        <v>Sin clasificación</v>
      </c>
      <c r="G597" s="15"/>
      <c r="H597" s="47"/>
      <c r="I597" s="87"/>
      <c r="J597" s="78"/>
      <c r="K597" s="78"/>
      <c r="L597" s="78"/>
      <c r="M597" s="78"/>
      <c r="N597" s="76"/>
      <c r="O597" s="76"/>
      <c r="P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Q597" s="77"/>
      <c r="R597" s="32"/>
      <c r="S597" s="32"/>
      <c r="T597" s="32"/>
      <c r="U597" s="32"/>
    </row>
    <row r="598" spans="3:21" x14ac:dyDescent="0.3">
      <c r="C598" s="11"/>
      <c r="D598" s="32"/>
      <c r="E598" s="11" t="str" cm="1">
        <f t="array" ref="E598">_xlfn.IFS(
    COUNTIF(Herramientas_eléctricas1862[Herramientas_eléctricas], B598) &gt; 0, Herramientas_eléctricas1862[[#Headers],[Herramientas_eléctricas]],
    COUNTIF(Herramientas_neumáticas1963[Herramientas_neumáticas], B598) &gt; 0, Herramientas_neumáticas1963[[#Headers],[Herramientas_neumáticas]],
    COUNTIF(Herramientas_de_medición2064[Herramientas_de_medición], B598) &gt; 0, Herramientas_de_medición2064[[#Headers],[Herramientas_de_medición]],
    COUNTIF(Herrramientas_mecánicas2165[Herramientas_mecánicas], B598) &gt; 0, Herrramientas_mecánicas2165[[#Headers],[Herramientas_mecánicas]],
    COUNTIF(AK598:AK604, B598) &gt; 0, Herramientas_hidráulicas2266[[#Headers],[Herramientas_hidráulicas]],
    COUNTIF(EPP_2367[SPCC], B598) &gt; 0, EPP_2367[[#Headers],[SPCC]],
   COUNTIF(Herramientas_de_izaje2468[Herramientas_de_izaje], B598) &gt; 0, Herramientas_de_izaje2468[[#Headers],[Herramientas_de_izaje]],
COUNTIF(Tabla162670[Equipos], B598) &gt; 0, Tabla162670[[#Headers],[Equipos]],
    TRUE, "Sin clasificación"
)</f>
        <v>Sin clasificación</v>
      </c>
      <c r="G598" s="15"/>
      <c r="H598" s="47"/>
      <c r="I598" s="87"/>
      <c r="J598" s="78"/>
      <c r="K598" s="78"/>
      <c r="L598" s="78"/>
      <c r="M598" s="78"/>
      <c r="N598" s="76"/>
      <c r="O598" s="76"/>
      <c r="P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Q598" s="77"/>
      <c r="R598" s="32"/>
      <c r="S598" s="32"/>
      <c r="T598" s="32"/>
      <c r="U598" s="32"/>
    </row>
    <row r="599" spans="3:21" x14ac:dyDescent="0.3">
      <c r="C599" s="11"/>
      <c r="D599" s="32"/>
      <c r="E599" s="11" t="str" cm="1">
        <f t="array" ref="E599">_xlfn.IFS(
    COUNTIF(Herramientas_eléctricas1862[Herramientas_eléctricas], B599) &gt; 0, Herramientas_eléctricas1862[[#Headers],[Herramientas_eléctricas]],
    COUNTIF(Herramientas_neumáticas1963[Herramientas_neumáticas], B599) &gt; 0, Herramientas_neumáticas1963[[#Headers],[Herramientas_neumáticas]],
    COUNTIF(Herramientas_de_medición2064[Herramientas_de_medición], B599) &gt; 0, Herramientas_de_medición2064[[#Headers],[Herramientas_de_medición]],
    COUNTIF(Herrramientas_mecánicas2165[Herramientas_mecánicas], B599) &gt; 0, Herrramientas_mecánicas2165[[#Headers],[Herramientas_mecánicas]],
    COUNTIF(AK599:AK605, B599) &gt; 0, Herramientas_hidráulicas2266[[#Headers],[Herramientas_hidráulicas]],
    COUNTIF(EPP_2367[SPCC], B599) &gt; 0, EPP_2367[[#Headers],[SPCC]],
   COUNTIF(Herramientas_de_izaje2468[Herramientas_de_izaje], B599) &gt; 0, Herramientas_de_izaje2468[[#Headers],[Herramientas_de_izaje]],
COUNTIF(Tabla162670[Equipos], B599) &gt; 0, Tabla162670[[#Headers],[Equipos]],
    TRUE, "Sin clasificación"
)</f>
        <v>Sin clasificación</v>
      </c>
      <c r="G599" s="15"/>
      <c r="H599" s="47"/>
      <c r="I599" s="87"/>
      <c r="J599" s="78"/>
      <c r="K599" s="78"/>
      <c r="L599" s="78"/>
      <c r="M599" s="78"/>
      <c r="N599" s="76"/>
      <c r="O599" s="76"/>
      <c r="P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Q599" s="77"/>
      <c r="R599" s="32"/>
      <c r="S599" s="32"/>
      <c r="T599" s="32"/>
      <c r="U599" s="32"/>
    </row>
    <row r="600" spans="3:21" x14ac:dyDescent="0.3">
      <c r="C600" s="11"/>
      <c r="D600" s="32"/>
      <c r="E600" s="11" t="str" cm="1">
        <f t="array" ref="E600">_xlfn.IFS(
    COUNTIF(Herramientas_eléctricas1862[Herramientas_eléctricas], B600) &gt; 0, Herramientas_eléctricas1862[[#Headers],[Herramientas_eléctricas]],
    COUNTIF(Herramientas_neumáticas1963[Herramientas_neumáticas], B600) &gt; 0, Herramientas_neumáticas1963[[#Headers],[Herramientas_neumáticas]],
    COUNTIF(Herramientas_de_medición2064[Herramientas_de_medición], B600) &gt; 0, Herramientas_de_medición2064[[#Headers],[Herramientas_de_medición]],
    COUNTIF(Herrramientas_mecánicas2165[Herramientas_mecánicas], B600) &gt; 0, Herrramientas_mecánicas2165[[#Headers],[Herramientas_mecánicas]],
    COUNTIF(AK600:AK606, B600) &gt; 0, Herramientas_hidráulicas2266[[#Headers],[Herramientas_hidráulicas]],
    COUNTIF(EPP_2367[SPCC], B600) &gt; 0, EPP_2367[[#Headers],[SPCC]],
   COUNTIF(Herramientas_de_izaje2468[Herramientas_de_izaje], B600) &gt; 0, Herramientas_de_izaje2468[[#Headers],[Herramientas_de_izaje]],
COUNTIF(Tabla162670[Equipos], B600) &gt; 0, Tabla162670[[#Headers],[Equipos]],
    TRUE, "Sin clasificación"
)</f>
        <v>Sin clasificación</v>
      </c>
      <c r="G600" s="15"/>
      <c r="H600" s="47"/>
      <c r="I600" s="87"/>
      <c r="J600" s="78"/>
      <c r="K600" s="78"/>
      <c r="L600" s="78"/>
      <c r="M600" s="78"/>
      <c r="N600" s="76"/>
      <c r="O600" s="76"/>
      <c r="P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Q600" s="77"/>
      <c r="R600" s="32"/>
      <c r="S600" s="32"/>
      <c r="T600" s="32"/>
      <c r="U600" s="32"/>
    </row>
    <row r="601" spans="3:21" x14ac:dyDescent="0.3">
      <c r="C601" s="11"/>
      <c r="D601" s="32"/>
      <c r="E601" s="11" t="str" cm="1">
        <f t="array" ref="E601">_xlfn.IFS(
    COUNTIF(Herramientas_eléctricas1862[Herramientas_eléctricas], B601) &gt; 0, Herramientas_eléctricas1862[[#Headers],[Herramientas_eléctricas]],
    COUNTIF(Herramientas_neumáticas1963[Herramientas_neumáticas], B601) &gt; 0, Herramientas_neumáticas1963[[#Headers],[Herramientas_neumáticas]],
    COUNTIF(Herramientas_de_medición2064[Herramientas_de_medición], B601) &gt; 0, Herramientas_de_medición2064[[#Headers],[Herramientas_de_medición]],
    COUNTIF(Herrramientas_mecánicas2165[Herramientas_mecánicas], B601) &gt; 0, Herrramientas_mecánicas2165[[#Headers],[Herramientas_mecánicas]],
    COUNTIF(AK601:AK607, B601) &gt; 0, Herramientas_hidráulicas2266[[#Headers],[Herramientas_hidráulicas]],
    COUNTIF(EPP_2367[SPCC], B601) &gt; 0, EPP_2367[[#Headers],[SPCC]],
   COUNTIF(Herramientas_de_izaje2468[Herramientas_de_izaje], B601) &gt; 0, Herramientas_de_izaje2468[[#Headers],[Herramientas_de_izaje]],
COUNTIF(Tabla162670[Equipos], B601) &gt; 0, Tabla162670[[#Headers],[Equipos]],
    TRUE, "Sin clasificación"
)</f>
        <v>Sin clasificación</v>
      </c>
      <c r="G601" s="15"/>
      <c r="H601" s="47"/>
      <c r="I601" s="87"/>
      <c r="J601" s="78"/>
      <c r="K601" s="78"/>
      <c r="L601" s="78"/>
      <c r="M601" s="78"/>
      <c r="N601" s="76"/>
      <c r="O601" s="76"/>
      <c r="P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Q601" s="77"/>
      <c r="R601" s="32"/>
      <c r="S601" s="32"/>
      <c r="T601" s="32"/>
      <c r="U601" s="32"/>
    </row>
    <row r="602" spans="3:21" x14ac:dyDescent="0.3">
      <c r="C602" s="11"/>
      <c r="D602" s="32"/>
      <c r="E602" s="11" t="str" cm="1">
        <f t="array" ref="E602">_xlfn.IFS(
    COUNTIF(Herramientas_eléctricas1862[Herramientas_eléctricas], B602) &gt; 0, Herramientas_eléctricas1862[[#Headers],[Herramientas_eléctricas]],
    COUNTIF(Herramientas_neumáticas1963[Herramientas_neumáticas], B602) &gt; 0, Herramientas_neumáticas1963[[#Headers],[Herramientas_neumáticas]],
    COUNTIF(Herramientas_de_medición2064[Herramientas_de_medición], B602) &gt; 0, Herramientas_de_medición2064[[#Headers],[Herramientas_de_medición]],
    COUNTIF(Herrramientas_mecánicas2165[Herramientas_mecánicas], B602) &gt; 0, Herrramientas_mecánicas2165[[#Headers],[Herramientas_mecánicas]],
    COUNTIF(AK602:AK608, B602) &gt; 0, Herramientas_hidráulicas2266[[#Headers],[Herramientas_hidráulicas]],
    COUNTIF(EPP_2367[SPCC], B602) &gt; 0, EPP_2367[[#Headers],[SPCC]],
   COUNTIF(Herramientas_de_izaje2468[Herramientas_de_izaje], B602) &gt; 0, Herramientas_de_izaje2468[[#Headers],[Herramientas_de_izaje]],
COUNTIF(Tabla162670[Equipos], B602) &gt; 0, Tabla162670[[#Headers],[Equipos]],
    TRUE, "Sin clasificación"
)</f>
        <v>Sin clasificación</v>
      </c>
      <c r="G602" s="15"/>
      <c r="H602" s="47"/>
      <c r="I602" s="87"/>
      <c r="J602" s="78"/>
      <c r="K602" s="78"/>
      <c r="L602" s="78"/>
      <c r="M602" s="78"/>
      <c r="N602" s="76"/>
      <c r="O602" s="76"/>
      <c r="P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Q602" s="77"/>
      <c r="R602" s="32"/>
      <c r="S602" s="32"/>
      <c r="T602" s="32"/>
      <c r="U602" s="32"/>
    </row>
    <row r="603" spans="3:21" x14ac:dyDescent="0.3">
      <c r="C603" s="11"/>
      <c r="D603" s="32"/>
      <c r="E603" s="11" t="str" cm="1">
        <f t="array" ref="E603">_xlfn.IFS(
    COUNTIF(Herramientas_eléctricas1862[Herramientas_eléctricas], B603) &gt; 0, Herramientas_eléctricas1862[[#Headers],[Herramientas_eléctricas]],
    COUNTIF(Herramientas_neumáticas1963[Herramientas_neumáticas], B603) &gt; 0, Herramientas_neumáticas1963[[#Headers],[Herramientas_neumáticas]],
    COUNTIF(Herramientas_de_medición2064[Herramientas_de_medición], B603) &gt; 0, Herramientas_de_medición2064[[#Headers],[Herramientas_de_medición]],
    COUNTIF(Herrramientas_mecánicas2165[Herramientas_mecánicas], B603) &gt; 0, Herrramientas_mecánicas2165[[#Headers],[Herramientas_mecánicas]],
    COUNTIF(AK603:AK609, B603) &gt; 0, Herramientas_hidráulicas2266[[#Headers],[Herramientas_hidráulicas]],
    COUNTIF(EPP_2367[SPCC], B603) &gt; 0, EPP_2367[[#Headers],[SPCC]],
   COUNTIF(Herramientas_de_izaje2468[Herramientas_de_izaje], B603) &gt; 0, Herramientas_de_izaje2468[[#Headers],[Herramientas_de_izaje]],
COUNTIF(Tabla162670[Equipos], B603) &gt; 0, Tabla162670[[#Headers],[Equipos]],
    TRUE, "Sin clasificación"
)</f>
        <v>Sin clasificación</v>
      </c>
      <c r="G603" s="15"/>
      <c r="H603" s="47"/>
      <c r="I603" s="87"/>
      <c r="J603" s="78"/>
      <c r="K603" s="78"/>
      <c r="L603" s="78"/>
      <c r="M603" s="78"/>
      <c r="N603" s="76"/>
      <c r="O603" s="76"/>
      <c r="P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Q603" s="77"/>
      <c r="R603" s="32"/>
      <c r="S603" s="32"/>
      <c r="T603" s="32"/>
      <c r="U603" s="32"/>
    </row>
    <row r="604" spans="3:21" x14ac:dyDescent="0.3">
      <c r="C604" s="11"/>
      <c r="D604" s="32"/>
      <c r="E604" s="11" t="str" cm="1">
        <f t="array" ref="E604">_xlfn.IFS(
    COUNTIF(Herramientas_eléctricas1862[Herramientas_eléctricas], B604) &gt; 0, Herramientas_eléctricas1862[[#Headers],[Herramientas_eléctricas]],
    COUNTIF(Herramientas_neumáticas1963[Herramientas_neumáticas], B604) &gt; 0, Herramientas_neumáticas1963[[#Headers],[Herramientas_neumáticas]],
    COUNTIF(Herramientas_de_medición2064[Herramientas_de_medición], B604) &gt; 0, Herramientas_de_medición2064[[#Headers],[Herramientas_de_medición]],
    COUNTIF(Herrramientas_mecánicas2165[Herramientas_mecánicas], B604) &gt; 0, Herrramientas_mecánicas2165[[#Headers],[Herramientas_mecánicas]],
    COUNTIF(AK604:AK610, B604) &gt; 0, Herramientas_hidráulicas2266[[#Headers],[Herramientas_hidráulicas]],
    COUNTIF(EPP_2367[SPCC], B604) &gt; 0, EPP_2367[[#Headers],[SPCC]],
   COUNTIF(Herramientas_de_izaje2468[Herramientas_de_izaje], B604) &gt; 0, Herramientas_de_izaje2468[[#Headers],[Herramientas_de_izaje]],
COUNTIF(Tabla162670[Equipos], B604) &gt; 0, Tabla162670[[#Headers],[Equipos]],
    TRUE, "Sin clasificación"
)</f>
        <v>Sin clasificación</v>
      </c>
      <c r="G604" s="15"/>
      <c r="H604" s="47"/>
      <c r="I604" s="87"/>
      <c r="J604" s="78"/>
      <c r="K604" s="78"/>
      <c r="L604" s="78"/>
      <c r="M604" s="78"/>
      <c r="N604" s="76"/>
      <c r="O604" s="76"/>
      <c r="P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Q604" s="77"/>
      <c r="R604" s="32"/>
      <c r="S604" s="32"/>
      <c r="T604" s="32"/>
      <c r="U604" s="32"/>
    </row>
    <row r="605" spans="3:21" x14ac:dyDescent="0.3">
      <c r="C605" s="11"/>
      <c r="D605" s="32"/>
      <c r="E605" s="11" t="str" cm="1">
        <f t="array" ref="E605">_xlfn.IFS(
    COUNTIF(Herramientas_eléctricas1862[Herramientas_eléctricas], B605) &gt; 0, Herramientas_eléctricas1862[[#Headers],[Herramientas_eléctricas]],
    COUNTIF(Herramientas_neumáticas1963[Herramientas_neumáticas], B605) &gt; 0, Herramientas_neumáticas1963[[#Headers],[Herramientas_neumáticas]],
    COUNTIF(Herramientas_de_medición2064[Herramientas_de_medición], B605) &gt; 0, Herramientas_de_medición2064[[#Headers],[Herramientas_de_medición]],
    COUNTIF(Herrramientas_mecánicas2165[Herramientas_mecánicas], B605) &gt; 0, Herrramientas_mecánicas2165[[#Headers],[Herramientas_mecánicas]],
    COUNTIF(AK605:AK611, B605) &gt; 0, Herramientas_hidráulicas2266[[#Headers],[Herramientas_hidráulicas]],
    COUNTIF(EPP_2367[SPCC], B605) &gt; 0, EPP_2367[[#Headers],[SPCC]],
   COUNTIF(Herramientas_de_izaje2468[Herramientas_de_izaje], B605) &gt; 0, Herramientas_de_izaje2468[[#Headers],[Herramientas_de_izaje]],
COUNTIF(Tabla162670[Equipos], B605) &gt; 0, Tabla162670[[#Headers],[Equipos]],
    TRUE, "Sin clasificación"
)</f>
        <v>Sin clasificación</v>
      </c>
      <c r="G605" s="15"/>
      <c r="H605" s="47"/>
      <c r="I605" s="87"/>
      <c r="J605" s="78"/>
      <c r="K605" s="78"/>
      <c r="L605" s="78"/>
      <c r="M605" s="78"/>
      <c r="N605" s="76"/>
      <c r="O605" s="76"/>
      <c r="P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Q605" s="77"/>
      <c r="R605" s="32"/>
      <c r="S605" s="32"/>
      <c r="T605" s="32"/>
      <c r="U605" s="32"/>
    </row>
    <row r="606" spans="3:21" x14ac:dyDescent="0.3">
      <c r="C606" s="11"/>
      <c r="D606" s="32"/>
      <c r="E606" s="11" t="str" cm="1">
        <f t="array" ref="E606">_xlfn.IFS(
    COUNTIF(Herramientas_eléctricas1862[Herramientas_eléctricas], B606) &gt; 0, Herramientas_eléctricas1862[[#Headers],[Herramientas_eléctricas]],
    COUNTIF(Herramientas_neumáticas1963[Herramientas_neumáticas], B606) &gt; 0, Herramientas_neumáticas1963[[#Headers],[Herramientas_neumáticas]],
    COUNTIF(Herramientas_de_medición2064[Herramientas_de_medición], B606) &gt; 0, Herramientas_de_medición2064[[#Headers],[Herramientas_de_medición]],
    COUNTIF(Herrramientas_mecánicas2165[Herramientas_mecánicas], B606) &gt; 0, Herrramientas_mecánicas2165[[#Headers],[Herramientas_mecánicas]],
    COUNTIF(AK606:AK612, B606) &gt; 0, Herramientas_hidráulicas2266[[#Headers],[Herramientas_hidráulicas]],
    COUNTIF(EPP_2367[SPCC], B606) &gt; 0, EPP_2367[[#Headers],[SPCC]],
   COUNTIF(Herramientas_de_izaje2468[Herramientas_de_izaje], B606) &gt; 0, Herramientas_de_izaje2468[[#Headers],[Herramientas_de_izaje]],
COUNTIF(Tabla162670[Equipos], B606) &gt; 0, Tabla162670[[#Headers],[Equipos]],
    TRUE, "Sin clasificación"
)</f>
        <v>Sin clasificación</v>
      </c>
      <c r="G606" s="15"/>
      <c r="H606" s="47"/>
      <c r="I606" s="87"/>
      <c r="J606" s="78"/>
      <c r="K606" s="78"/>
      <c r="L606" s="78"/>
      <c r="M606" s="78"/>
      <c r="N606" s="76"/>
      <c r="O606" s="76"/>
      <c r="P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Q606" s="77"/>
      <c r="R606" s="32"/>
      <c r="S606" s="32"/>
      <c r="T606" s="32"/>
      <c r="U606" s="32"/>
    </row>
    <row r="607" spans="3:21" x14ac:dyDescent="0.3">
      <c r="C607" s="11"/>
      <c r="D607" s="32"/>
      <c r="E607" s="11" t="str" cm="1">
        <f t="array" ref="E607">_xlfn.IFS(
    COUNTIF(Herramientas_eléctricas1862[Herramientas_eléctricas], B607) &gt; 0, Herramientas_eléctricas1862[[#Headers],[Herramientas_eléctricas]],
    COUNTIF(Herramientas_neumáticas1963[Herramientas_neumáticas], B607) &gt; 0, Herramientas_neumáticas1963[[#Headers],[Herramientas_neumáticas]],
    COUNTIF(Herramientas_de_medición2064[Herramientas_de_medición], B607) &gt; 0, Herramientas_de_medición2064[[#Headers],[Herramientas_de_medición]],
    COUNTIF(Herrramientas_mecánicas2165[Herramientas_mecánicas], B607) &gt; 0, Herrramientas_mecánicas2165[[#Headers],[Herramientas_mecánicas]],
    COUNTIF(AK607:AK613, B607) &gt; 0, Herramientas_hidráulicas2266[[#Headers],[Herramientas_hidráulicas]],
    COUNTIF(EPP_2367[SPCC], B607) &gt; 0, EPP_2367[[#Headers],[SPCC]],
   COUNTIF(Herramientas_de_izaje2468[Herramientas_de_izaje], B607) &gt; 0, Herramientas_de_izaje2468[[#Headers],[Herramientas_de_izaje]],
COUNTIF(Tabla162670[Equipos], B607) &gt; 0, Tabla162670[[#Headers],[Equipos]],
    TRUE, "Sin clasificación"
)</f>
        <v>Sin clasificación</v>
      </c>
      <c r="G607" s="15"/>
      <c r="H607" s="47"/>
      <c r="I607" s="87"/>
      <c r="J607" s="78"/>
      <c r="K607" s="78"/>
      <c r="L607" s="78"/>
      <c r="M607" s="78"/>
      <c r="N607" s="76"/>
      <c r="O607" s="76"/>
      <c r="P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Q607" s="77"/>
      <c r="R607" s="32"/>
      <c r="S607" s="32"/>
      <c r="T607" s="32"/>
      <c r="U607" s="32"/>
    </row>
    <row r="608" spans="3:21" x14ac:dyDescent="0.3">
      <c r="C608" s="11"/>
      <c r="D608" s="32"/>
      <c r="E608" s="11" t="str" cm="1">
        <f t="array" ref="E608">_xlfn.IFS(
    COUNTIF(Herramientas_eléctricas1862[Herramientas_eléctricas], B608) &gt; 0, Herramientas_eléctricas1862[[#Headers],[Herramientas_eléctricas]],
    COUNTIF(Herramientas_neumáticas1963[Herramientas_neumáticas], B608) &gt; 0, Herramientas_neumáticas1963[[#Headers],[Herramientas_neumáticas]],
    COUNTIF(Herramientas_de_medición2064[Herramientas_de_medición], B608) &gt; 0, Herramientas_de_medición2064[[#Headers],[Herramientas_de_medición]],
    COUNTIF(Herrramientas_mecánicas2165[Herramientas_mecánicas], B608) &gt; 0, Herrramientas_mecánicas2165[[#Headers],[Herramientas_mecánicas]],
    COUNTIF(AK608:AK614, B608) &gt; 0, Herramientas_hidráulicas2266[[#Headers],[Herramientas_hidráulicas]],
    COUNTIF(EPP_2367[SPCC], B608) &gt; 0, EPP_2367[[#Headers],[SPCC]],
   COUNTIF(Herramientas_de_izaje2468[Herramientas_de_izaje], B608) &gt; 0, Herramientas_de_izaje2468[[#Headers],[Herramientas_de_izaje]],
COUNTIF(Tabla162670[Equipos], B608) &gt; 0, Tabla162670[[#Headers],[Equipos]],
    TRUE, "Sin clasificación"
)</f>
        <v>Sin clasificación</v>
      </c>
      <c r="G608" s="15"/>
      <c r="H608" s="47"/>
      <c r="I608" s="87"/>
      <c r="J608" s="78"/>
      <c r="K608" s="78"/>
      <c r="L608" s="78"/>
      <c r="M608" s="78"/>
      <c r="N608" s="76"/>
      <c r="O608" s="76"/>
      <c r="P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Q608" s="77"/>
      <c r="R608" s="32"/>
      <c r="S608" s="32"/>
      <c r="T608" s="32"/>
      <c r="U608" s="32"/>
    </row>
    <row r="609" spans="3:21" x14ac:dyDescent="0.3">
      <c r="C609" s="11"/>
      <c r="D609" s="32"/>
      <c r="E609" s="11" t="str" cm="1">
        <f t="array" ref="E609">_xlfn.IFS(
    COUNTIF(Herramientas_eléctricas1862[Herramientas_eléctricas], B609) &gt; 0, Herramientas_eléctricas1862[[#Headers],[Herramientas_eléctricas]],
    COUNTIF(Herramientas_neumáticas1963[Herramientas_neumáticas], B609) &gt; 0, Herramientas_neumáticas1963[[#Headers],[Herramientas_neumáticas]],
    COUNTIF(Herramientas_de_medición2064[Herramientas_de_medición], B609) &gt; 0, Herramientas_de_medición2064[[#Headers],[Herramientas_de_medición]],
    COUNTIF(Herrramientas_mecánicas2165[Herramientas_mecánicas], B609) &gt; 0, Herrramientas_mecánicas2165[[#Headers],[Herramientas_mecánicas]],
    COUNTIF(AK609:AK615, B609) &gt; 0, Herramientas_hidráulicas2266[[#Headers],[Herramientas_hidráulicas]],
    COUNTIF(EPP_2367[SPCC], B609) &gt; 0, EPP_2367[[#Headers],[SPCC]],
   COUNTIF(Herramientas_de_izaje2468[Herramientas_de_izaje], B609) &gt; 0, Herramientas_de_izaje2468[[#Headers],[Herramientas_de_izaje]],
COUNTIF(Tabla162670[Equipos], B609) &gt; 0, Tabla162670[[#Headers],[Equipos]],
    TRUE, "Sin clasificación"
)</f>
        <v>Sin clasificación</v>
      </c>
      <c r="G609" s="15"/>
      <c r="H609" s="47"/>
      <c r="I609" s="87"/>
      <c r="J609" s="78"/>
      <c r="K609" s="78"/>
      <c r="L609" s="78"/>
      <c r="M609" s="78"/>
      <c r="N609" s="76"/>
      <c r="O609" s="76"/>
      <c r="P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Q609" s="77"/>
      <c r="R609" s="32"/>
      <c r="S609" s="32"/>
      <c r="T609" s="32"/>
      <c r="U609" s="32"/>
    </row>
    <row r="610" spans="3:21" x14ac:dyDescent="0.3">
      <c r="C610" s="11"/>
      <c r="D610" s="32"/>
      <c r="E610" s="11" t="str" cm="1">
        <f t="array" ref="E610">_xlfn.IFS(
    COUNTIF(Herramientas_eléctricas1862[Herramientas_eléctricas], B610) &gt; 0, Herramientas_eléctricas1862[[#Headers],[Herramientas_eléctricas]],
    COUNTIF(Herramientas_neumáticas1963[Herramientas_neumáticas], B610) &gt; 0, Herramientas_neumáticas1963[[#Headers],[Herramientas_neumáticas]],
    COUNTIF(Herramientas_de_medición2064[Herramientas_de_medición], B610) &gt; 0, Herramientas_de_medición2064[[#Headers],[Herramientas_de_medición]],
    COUNTIF(Herrramientas_mecánicas2165[Herramientas_mecánicas], B610) &gt; 0, Herrramientas_mecánicas2165[[#Headers],[Herramientas_mecánicas]],
    COUNTIF(AK610:AK616, B610) &gt; 0, Herramientas_hidráulicas2266[[#Headers],[Herramientas_hidráulicas]],
    COUNTIF(EPP_2367[SPCC], B610) &gt; 0, EPP_2367[[#Headers],[SPCC]],
   COUNTIF(Herramientas_de_izaje2468[Herramientas_de_izaje], B610) &gt; 0, Herramientas_de_izaje2468[[#Headers],[Herramientas_de_izaje]],
COUNTIF(Tabla162670[Equipos], B610) &gt; 0, Tabla162670[[#Headers],[Equipos]],
    TRUE, "Sin clasificación"
)</f>
        <v>Sin clasificación</v>
      </c>
      <c r="G610" s="15"/>
      <c r="H610" s="47"/>
      <c r="I610" s="87"/>
      <c r="J610" s="78"/>
      <c r="K610" s="78"/>
      <c r="L610" s="78"/>
      <c r="M610" s="78"/>
      <c r="N610" s="76"/>
      <c r="O610" s="76"/>
      <c r="P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Q610" s="77"/>
      <c r="R610" s="32"/>
      <c r="S610" s="32"/>
      <c r="T610" s="32"/>
      <c r="U610" s="32"/>
    </row>
    <row r="611" spans="3:21" x14ac:dyDescent="0.3">
      <c r="C611" s="11"/>
      <c r="D611" s="32"/>
      <c r="E611" s="11" t="str" cm="1">
        <f t="array" ref="E611">_xlfn.IFS(
    COUNTIF(Herramientas_eléctricas1862[Herramientas_eléctricas], B611) &gt; 0, Herramientas_eléctricas1862[[#Headers],[Herramientas_eléctricas]],
    COUNTIF(Herramientas_neumáticas1963[Herramientas_neumáticas], B611) &gt; 0, Herramientas_neumáticas1963[[#Headers],[Herramientas_neumáticas]],
    COUNTIF(Herramientas_de_medición2064[Herramientas_de_medición], B611) &gt; 0, Herramientas_de_medición2064[[#Headers],[Herramientas_de_medición]],
    COUNTIF(Herrramientas_mecánicas2165[Herramientas_mecánicas], B611) &gt; 0, Herrramientas_mecánicas2165[[#Headers],[Herramientas_mecánicas]],
    COUNTIF(AK611:AK617, B611) &gt; 0, Herramientas_hidráulicas2266[[#Headers],[Herramientas_hidráulicas]],
    COUNTIF(EPP_2367[SPCC], B611) &gt; 0, EPP_2367[[#Headers],[SPCC]],
   COUNTIF(Herramientas_de_izaje2468[Herramientas_de_izaje], B611) &gt; 0, Herramientas_de_izaje2468[[#Headers],[Herramientas_de_izaje]],
COUNTIF(Tabla162670[Equipos], B611) &gt; 0, Tabla162670[[#Headers],[Equipos]],
    TRUE, "Sin clasificación"
)</f>
        <v>Sin clasificación</v>
      </c>
      <c r="G611" s="15"/>
      <c r="H611" s="47"/>
      <c r="I611" s="87"/>
      <c r="J611" s="78"/>
      <c r="K611" s="78"/>
      <c r="L611" s="78"/>
      <c r="M611" s="78"/>
      <c r="N611" s="76"/>
      <c r="O611" s="76"/>
      <c r="P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Q611" s="77"/>
      <c r="R611" s="32"/>
      <c r="S611" s="32"/>
      <c r="T611" s="32"/>
      <c r="U611" s="32"/>
    </row>
    <row r="612" spans="3:21" x14ac:dyDescent="0.3">
      <c r="C612" s="11"/>
    </row>
    <row r="613" spans="3:21" x14ac:dyDescent="0.3">
      <c r="C613" s="11"/>
    </row>
    <row r="614" spans="3:21" x14ac:dyDescent="0.3">
      <c r="C614" s="11"/>
    </row>
    <row r="615" spans="3:21" x14ac:dyDescent="0.3">
      <c r="C615" s="11"/>
    </row>
    <row r="616" spans="3:21" x14ac:dyDescent="0.3">
      <c r="C616" s="11"/>
    </row>
    <row r="617" spans="3:21" x14ac:dyDescent="0.3">
      <c r="C617" s="11"/>
    </row>
    <row r="618" spans="3:21" x14ac:dyDescent="0.3">
      <c r="C618" s="11"/>
    </row>
  </sheetData>
  <dataValidations count="9">
    <dataValidation type="list" allowBlank="1" showInputMessage="1" showErrorMessage="1" sqref="E2:E611" xr:uid="{892BAD15-60FA-49DB-A3A7-DC634E797C38}">
      <formula1>$AG$1:$AN$1</formula1>
    </dataValidation>
    <dataValidation type="list" allowBlank="1" showInputMessage="1" showErrorMessage="1" sqref="T2:T611" xr:uid="{04753D9C-4797-44B7-AC93-4B7548ECC52C}">
      <formula1>$AA$2:$AA$4</formula1>
    </dataValidation>
    <dataValidation type="whole" allowBlank="1" showInputMessage="1" showErrorMessage="1" sqref="D2:D139" xr:uid="{6CE0B4A8-7843-46D1-A913-77DCBC4B27CC}">
      <formula1>1</formula1>
      <formula2>100</formula2>
    </dataValidation>
    <dataValidation type="list" allowBlank="1" showInputMessage="1" promptTitle="Guia" prompt="Si tiene dudas sobre que dato colocar consulte las siguientes tablas y no olvide revisar los comentarios_x000a__x000a_" sqref="F2:F139" xr:uid="{AE158622-D5BE-4A9C-93D3-E8A920A3FDCB}">
      <formula1>INDIRECT($E$2:$E$611)</formula1>
    </dataValidation>
    <dataValidation type="list" allowBlank="1" showInputMessage="1" showErrorMessage="1" sqref="S2:S611" xr:uid="{770A9682-98B0-4928-A608-B789030B6199}">
      <formula1>$AC$10:$AC$12</formula1>
    </dataValidation>
    <dataValidation allowBlank="1" showInputMessage="1" showErrorMessage="1" sqref="D140:D618" xr:uid="{E4D743DA-48DA-445F-9630-93D323EAB0F9}"/>
    <dataValidation type="list" allowBlank="1" showInputMessage="1" promptTitle="Guia" prompt="puede realizar Las siguientes opciones_x000a_si eligio electricos tiene las siguientes opciones de una posible sublista_x000a_" sqref="F140:F613" xr:uid="{FCD0A77B-1C45-4C32-90EB-9C603B7AC664}">
      <formula1>INDIRECT($E$2:$E$611)</formula1>
    </dataValidation>
    <dataValidation type="list" allowBlank="1" showInputMessage="1" showErrorMessage="1" sqref="C2:C618" xr:uid="{EA8295E6-4F24-4850-99F4-8C706F14CB4C}">
      <formula1>$X$2:$X$13</formula1>
    </dataValidation>
    <dataValidation type="list" allowBlank="1" showInputMessage="1" showErrorMessage="1" sqref="E612:E615" xr:uid="{BCFA5CDA-DC0A-4263-985B-E69B4E31306C}">
      <formula1>$AD$2:$AD$7</formula1>
    </dataValidation>
  </dataValidations>
  <pageMargins left="0.7" right="0.7" top="0.75" bottom="0.75" header="0.3" footer="0.3"/>
  <legacyDrawing r:id="rId1"/>
  <tableParts count="4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7244FBE-108E-4563-8F83-307B7CBCE287}">
          <x14:formula1>
            <xm:f>Hoja2!$B$3:$B$79</xm:f>
          </x14:formula1>
          <xm:sqref>B2:B34</xm:sqref>
        </x14:dataValidation>
        <x14:dataValidation type="list" allowBlank="1" showInputMessage="1" showErrorMessage="1" xr:uid="{BEE7679A-22CC-4E46-BFBD-B0F11CEDC0ED}">
          <x14:formula1>
            <xm:f>Hoja2!$B$3:$B$78</xm:f>
          </x14:formula1>
          <xm:sqref>B35:B611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D79B1-AF20-4A7C-B985-3EB01EA28322}">
  <dimension ref="B1:BP618"/>
  <sheetViews>
    <sheetView topLeftCell="A2" zoomScale="120" zoomScaleNormal="120" workbookViewId="0">
      <pane xSplit="3" topLeftCell="N1" activePane="topRight" state="frozen"/>
      <selection pane="topRight" activeCell="L5" sqref="L5:R6"/>
    </sheetView>
  </sheetViews>
  <sheetFormatPr baseColWidth="10" defaultColWidth="8.88671875" defaultRowHeight="14.4" x14ac:dyDescent="0.3"/>
  <cols>
    <col min="2" max="2" width="10.5546875" customWidth="1"/>
    <col min="3" max="3" width="14.6640625" customWidth="1"/>
    <col min="4" max="4" width="17.33203125" customWidth="1"/>
    <col min="5" max="5" width="25.44140625" customWidth="1"/>
    <col min="6" max="9" width="36.33203125" customWidth="1"/>
    <col min="10" max="10" width="18.88671875" customWidth="1"/>
    <col min="11" max="11" width="13.88671875" customWidth="1"/>
    <col min="12" max="12" width="15.109375" customWidth="1"/>
    <col min="13" max="13" width="22.6640625" customWidth="1"/>
    <col min="14" max="14" width="21.33203125" customWidth="1"/>
    <col min="15" max="15" width="23.109375" customWidth="1"/>
    <col min="16" max="16" width="17.44140625" customWidth="1"/>
    <col min="17" max="17" width="24.109375" customWidth="1"/>
    <col min="18" max="18" width="18.6640625" customWidth="1"/>
    <col min="19" max="19" width="43.6640625" customWidth="1"/>
    <col min="20" max="20" width="15.6640625" customWidth="1"/>
    <col min="21" max="21" width="11.6640625" customWidth="1"/>
    <col min="22" max="22" width="36.88671875" customWidth="1"/>
    <col min="25" max="25" width="11.33203125" customWidth="1"/>
    <col min="27" max="27" width="19.5546875" customWidth="1"/>
    <col min="28" max="28" width="23.44140625" bestFit="1" customWidth="1"/>
    <col min="29" max="29" width="21.33203125" customWidth="1"/>
    <col min="30" max="30" width="22.33203125" customWidth="1"/>
    <col min="31" max="31" width="24" customWidth="1"/>
    <col min="32" max="32" width="24.44140625" customWidth="1"/>
    <col min="33" max="33" width="26.109375" customWidth="1"/>
    <col min="34" max="34" width="23.6640625" customWidth="1"/>
    <col min="35" max="35" width="24" customWidth="1"/>
    <col min="36" max="36" width="21.33203125" customWidth="1"/>
    <col min="37" max="37" width="21.109375" customWidth="1"/>
    <col min="38" max="38" width="19.44140625" bestFit="1" customWidth="1"/>
    <col min="39" max="39" width="22.5546875" customWidth="1"/>
    <col min="40" max="40" width="29.6640625" customWidth="1"/>
    <col min="41" max="41" width="25" customWidth="1"/>
    <col min="42" max="42" width="26.6640625" customWidth="1"/>
    <col min="43" max="43" width="28.33203125" customWidth="1"/>
    <col min="44" max="44" width="27.109375" customWidth="1"/>
    <col min="45" max="47" width="33.6640625" customWidth="1"/>
    <col min="48" max="48" width="22.5546875" customWidth="1"/>
    <col min="49" max="49" width="26.109375" customWidth="1"/>
    <col min="50" max="50" width="25.33203125" customWidth="1"/>
    <col min="51" max="51" width="21.109375" customWidth="1"/>
    <col min="52" max="52" width="19" customWidth="1"/>
    <col min="53" max="53" width="15.5546875" customWidth="1"/>
    <col min="54" max="54" width="18.33203125" customWidth="1"/>
    <col min="55" max="55" width="18.109375" customWidth="1"/>
  </cols>
  <sheetData>
    <row r="1" spans="2:68" ht="21.6" customHeight="1" x14ac:dyDescent="0.3">
      <c r="B1" s="36" t="s">
        <v>200</v>
      </c>
      <c r="C1" s="36" t="s">
        <v>201</v>
      </c>
      <c r="D1" s="36" t="s">
        <v>202</v>
      </c>
      <c r="E1" s="36" t="s">
        <v>203</v>
      </c>
      <c r="F1" s="37" t="s">
        <v>204</v>
      </c>
      <c r="G1" s="37" t="s">
        <v>381</v>
      </c>
      <c r="H1" s="37" t="s">
        <v>388</v>
      </c>
      <c r="I1" s="37" t="s">
        <v>387</v>
      </c>
      <c r="J1" s="36" t="s">
        <v>205</v>
      </c>
      <c r="K1" s="36" t="s">
        <v>206</v>
      </c>
      <c r="L1" s="36" t="s">
        <v>342</v>
      </c>
      <c r="M1" s="37" t="s">
        <v>207</v>
      </c>
      <c r="N1" s="37" t="s">
        <v>343</v>
      </c>
      <c r="O1" s="37" t="s">
        <v>208</v>
      </c>
      <c r="P1" s="37" t="s">
        <v>209</v>
      </c>
      <c r="Q1" s="37" t="s">
        <v>210</v>
      </c>
      <c r="R1" s="38" t="s">
        <v>211</v>
      </c>
      <c r="S1" s="37" t="s">
        <v>212</v>
      </c>
      <c r="T1" s="39"/>
      <c r="U1" s="40" t="s">
        <v>213</v>
      </c>
      <c r="V1" s="41" t="s">
        <v>201</v>
      </c>
      <c r="X1" s="42" t="s">
        <v>213</v>
      </c>
      <c r="Y1" s="43" t="s">
        <v>211</v>
      </c>
      <c r="AA1" s="44" t="s">
        <v>213</v>
      </c>
      <c r="AB1" s="45" t="s">
        <v>214</v>
      </c>
      <c r="AD1" s="46"/>
      <c r="AE1" s="1" t="s">
        <v>4</v>
      </c>
      <c r="AF1" s="2" t="s">
        <v>5</v>
      </c>
      <c r="AG1" s="3" t="s">
        <v>6</v>
      </c>
      <c r="AH1" s="2" t="s">
        <v>7</v>
      </c>
      <c r="AI1" s="3" t="s">
        <v>8</v>
      </c>
      <c r="AJ1" s="3" t="s">
        <v>160</v>
      </c>
      <c r="AK1" s="2" t="s">
        <v>9</v>
      </c>
      <c r="AL1" s="4" t="s">
        <v>10</v>
      </c>
      <c r="AM1" t="s">
        <v>11</v>
      </c>
      <c r="AN1" t="s">
        <v>12</v>
      </c>
      <c r="AQ1" t="s">
        <v>215</v>
      </c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</row>
    <row r="2" spans="2:68" ht="26.4" customHeight="1" x14ac:dyDescent="0.3">
      <c r="B2" t="s">
        <v>20</v>
      </c>
      <c r="C2" s="11" t="s">
        <v>177</v>
      </c>
      <c r="D2">
        <v>1</v>
      </c>
      <c r="E2" s="11" t="str" cm="1">
        <f t="array" ref="E2">_xlfn.IFS(
    COUNTIF(Herramientas_eléctricas18[Herramientas_eléctricas], B2) &gt; 0, Herramientas_eléctricas18[[#Headers],[Herramientas_eléctricas]],
    COUNTIF(Herramientas_neumáticas19[Herramientas_neumáticas], B2) &gt; 0, Herramientas_neumáticas19[[#Headers],[Herramientas_neumáticas]],
    COUNTIF(Herramientas_de_medición20[Herramientas_de_medición], B2) &gt; 0, Herramientas_de_medición20[[#Headers],[Herramientas_de_medición]],
    COUNTIF(Herrramientas_mecánicas21[Herramientas_mecánicas], B2) &gt; 0, Herrramientas_mecánicas21[[#Headers],[Herramientas_mecánicas]],
    COUNTIF(AI2:AI8, B2) &gt; 0, Herramientas_hidráulicas22[[#Headers],[Herramientas_hidráulicas]],
    COUNTIF(EPP_23[SPCC], B2) &gt; 0, EPP_23[[#Headers],[SPCC]],
   COUNTIF(Herramientas_de_izaje24[Herramientas_de_izaje], B2) &gt; 0, Herramientas_de_izaje24[[#Headers],[Herramientas_de_izaje]],
COUNTIF(Tabla1626[Equipos], B2) &gt; 0, Tabla1626[[#Headers],[Equipos]],
    TRUE, "Sin clasificación"
)</f>
        <v>Herramientas_mecánicas</v>
      </c>
      <c r="F2" s="15" t="str">
        <f>_xlfn.TEXTJOIN(", ",TRUE, Tabla38[[#This Row],[Tipo de escalera]],Tabla38[[#This Row],[Longitud]],Tabla38[[#This Row],[Carga Maxima]])</f>
        <v>ESCALERA DOBLE O DE TIJERA</v>
      </c>
      <c r="G2" s="15" t="s">
        <v>384</v>
      </c>
      <c r="H2" s="15"/>
      <c r="I2" s="15"/>
      <c r="J2" s="15" t="s">
        <v>318</v>
      </c>
      <c r="K2" s="47" t="s">
        <v>322</v>
      </c>
      <c r="L2" t="s">
        <v>320</v>
      </c>
      <c r="M2" s="47" t="s">
        <v>319</v>
      </c>
      <c r="N2" s="47" t="str">
        <f>_xlfn.LET(
    _xlpm.itemBuscado, B2,
    _xlpm.areaBuscada, C2,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TEXT(COUNTIF($C$2:C2, _xlpm.areaBuscada), "0000"),
    _xlpm.codItem &amp; "-" &amp; _xlpm.codArea &amp; "-" &amp; _xlpm.secuencia
)</f>
        <v>ZM-ES-INS-0001</v>
      </c>
      <c r="P2" s="15" t="s">
        <v>321</v>
      </c>
      <c r="R2" s="48"/>
      <c r="U2" s="49">
        <v>1</v>
      </c>
      <c r="V2" s="50" t="s">
        <v>171</v>
      </c>
      <c r="X2" s="51">
        <v>1</v>
      </c>
      <c r="Y2" s="52" t="s">
        <v>216</v>
      </c>
      <c r="AA2" s="51">
        <v>1</v>
      </c>
      <c r="AB2" s="52" t="s">
        <v>4</v>
      </c>
      <c r="AE2" s="5" t="s">
        <v>13</v>
      </c>
      <c r="AF2" t="s">
        <v>14</v>
      </c>
      <c r="AG2" t="s">
        <v>15</v>
      </c>
      <c r="AH2" t="s">
        <v>16</v>
      </c>
      <c r="AI2" s="6" t="s">
        <v>17</v>
      </c>
      <c r="AJ2" t="s">
        <v>18</v>
      </c>
      <c r="AK2" t="s">
        <v>19</v>
      </c>
      <c r="AL2" s="6" t="s">
        <v>20</v>
      </c>
      <c r="AM2" t="s">
        <v>21</v>
      </c>
      <c r="AN2" s="7" t="s">
        <v>22</v>
      </c>
      <c r="AQ2" s="25" t="s">
        <v>217</v>
      </c>
      <c r="AR2" t="s">
        <v>218</v>
      </c>
      <c r="AS2" t="s">
        <v>219</v>
      </c>
      <c r="AT2" s="25" t="s">
        <v>220</v>
      </c>
      <c r="AU2" t="s">
        <v>221</v>
      </c>
      <c r="BA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2:68" ht="29.25" customHeight="1" x14ac:dyDescent="0.3">
      <c r="B3" t="s">
        <v>20</v>
      </c>
      <c r="C3" s="11" t="s">
        <v>177</v>
      </c>
      <c r="D3">
        <v>1</v>
      </c>
      <c r="E3" s="11" t="str" cm="1">
        <f t="array" ref="E3">_xlfn.IFS(
    COUNTIF(Herramientas_eléctricas18[Herramientas_eléctricas], B3) &gt; 0, Herramientas_eléctricas18[[#Headers],[Herramientas_eléctricas]],
    COUNTIF(Herramientas_neumáticas19[Herramientas_neumáticas], B3) &gt; 0, Herramientas_neumáticas19[[#Headers],[Herramientas_neumáticas]],
    COUNTIF(Herramientas_de_medición20[Herramientas_de_medición], B3) &gt; 0, Herramientas_de_medición20[[#Headers],[Herramientas_de_medición]],
    COUNTIF(Herrramientas_mecánicas21[Herramientas_mecánicas], B3) &gt; 0, Herrramientas_mecánicas21[[#Headers],[Herramientas_mecánicas]],
    COUNTIF(AI3:AI9, B3) &gt; 0, Herramientas_hidráulicas22[[#Headers],[Herramientas_hidráulicas]],
    COUNTIF(EPP_23[SPCC], B3) &gt; 0, EPP_23[[#Headers],[SPCC]],
   COUNTIF(Herramientas_de_izaje24[Herramientas_de_izaje], B3) &gt; 0, Herramientas_de_izaje24[[#Headers],[Herramientas_de_izaje]],
COUNTIF(Tabla1626[Equipos], B3) &gt; 0, Tabla1626[[#Headers],[Equipos]],
    TRUE, "Sin clasificación"
)</f>
        <v>Herramientas_mecánicas</v>
      </c>
      <c r="F3" s="15" t="str">
        <f>_xlfn.TEXTJOIN(", ",TRUE, Tabla38[[#This Row],[Tipo de escalera]],Tabla38[[#This Row],[Longitud]],Tabla38[[#This Row],[Carga Maxima]])</f>
        <v>ESCALERA DOBLE O DE TIJERA</v>
      </c>
      <c r="G3" s="15" t="s">
        <v>384</v>
      </c>
      <c r="H3" s="15"/>
      <c r="I3" s="15"/>
      <c r="J3" s="15" t="s">
        <v>318</v>
      </c>
      <c r="K3" s="47" t="s">
        <v>323</v>
      </c>
      <c r="L3" t="s">
        <v>324</v>
      </c>
      <c r="M3" s="47">
        <v>2886502584</v>
      </c>
      <c r="N3" s="47" t="str">
        <f>_xlfn.LET(
    _xlpm.itemBuscado, B3,
    _xlpm.areaBuscada, C3,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TEXT(COUNTIF($C$2:C3, _xlpm.areaBuscada), "0000"),
    _xlpm.codItem &amp; "-" &amp; _xlpm.codArea &amp; "-" &amp; _xlpm.secuencia
)</f>
        <v>ZM-ES-INS-0002</v>
      </c>
      <c r="P3" s="15" t="s">
        <v>321</v>
      </c>
      <c r="R3" s="48"/>
      <c r="U3" s="49">
        <v>2</v>
      </c>
      <c r="V3" s="50" t="s">
        <v>172</v>
      </c>
      <c r="X3" s="51">
        <v>2</v>
      </c>
      <c r="Y3" s="52" t="s">
        <v>222</v>
      </c>
      <c r="AA3" s="51">
        <v>2</v>
      </c>
      <c r="AB3" s="53" t="s">
        <v>5</v>
      </c>
      <c r="AE3" s="6" t="s">
        <v>23</v>
      </c>
      <c r="AF3" t="s">
        <v>24</v>
      </c>
      <c r="AG3" t="s">
        <v>25</v>
      </c>
      <c r="AH3" t="s">
        <v>26</v>
      </c>
      <c r="AI3" s="6" t="s">
        <v>27</v>
      </c>
      <c r="AJ3" t="s">
        <v>28</v>
      </c>
      <c r="AK3" t="s">
        <v>29</v>
      </c>
      <c r="AM3" s="8" t="s">
        <v>30</v>
      </c>
      <c r="AN3" s="9" t="s">
        <v>31</v>
      </c>
      <c r="AQ3" s="25" t="s">
        <v>223</v>
      </c>
      <c r="AR3" t="s">
        <v>70</v>
      </c>
      <c r="BA3" s="11"/>
      <c r="BB3" s="11"/>
      <c r="BC3" s="11"/>
      <c r="BD3" s="11"/>
      <c r="BE3" s="11"/>
      <c r="BF3" s="11"/>
      <c r="BG3" s="11"/>
      <c r="BH3" s="11"/>
      <c r="BI3" s="54"/>
      <c r="BJ3" s="54"/>
      <c r="BK3" s="11"/>
      <c r="BL3" s="11"/>
      <c r="BM3" s="11"/>
      <c r="BN3" s="11"/>
      <c r="BO3" s="11"/>
      <c r="BP3" s="11"/>
    </row>
    <row r="4" spans="2:68" ht="33" customHeight="1" x14ac:dyDescent="0.3">
      <c r="B4" t="s">
        <v>20</v>
      </c>
      <c r="C4" s="11" t="s">
        <v>177</v>
      </c>
      <c r="D4">
        <v>1</v>
      </c>
      <c r="E4" s="11" t="str" cm="1">
        <f t="array" ref="E4">_xlfn.IFS(
    COUNTIF(Herramientas_eléctricas18[Herramientas_eléctricas], B4) &gt; 0, Herramientas_eléctricas18[[#Headers],[Herramientas_eléctricas]],
    COUNTIF(Herramientas_neumáticas19[Herramientas_neumáticas], B4) &gt; 0, Herramientas_neumáticas19[[#Headers],[Herramientas_neumáticas]],
    COUNTIF(Herramientas_de_medición20[Herramientas_de_medición], B4) &gt; 0, Herramientas_de_medición20[[#Headers],[Herramientas_de_medición]],
    COUNTIF(Herrramientas_mecánicas21[Herramientas_mecánicas], B4) &gt; 0, Herrramientas_mecánicas21[[#Headers],[Herramientas_mecánicas]],
    COUNTIF(AI4:AI10, B4) &gt; 0, Herramientas_hidráulicas22[[#Headers],[Herramientas_hidráulicas]],
    COUNTIF(EPP_23[SPCC], B4) &gt; 0, EPP_23[[#Headers],[SPCC]],
   COUNTIF(Herramientas_de_izaje24[Herramientas_de_izaje], B4) &gt; 0, Herramientas_de_izaje24[[#Headers],[Herramientas_de_izaje]],
COUNTIF(Tabla1626[Equipos], B4) &gt; 0, Tabla1626[[#Headers],[Equipos]],
    TRUE, "Sin clasificación"
)</f>
        <v>Herramientas_mecánicas</v>
      </c>
      <c r="F4" s="15" t="str">
        <f>_xlfn.TEXTJOIN(", ",TRUE, Tabla38[[#This Row],[Tipo de escalera]],Tabla38[[#This Row],[Longitud]],Tabla38[[#This Row],[Carga Maxima]])</f>
        <v>ESCALERA DOBLE O DE TIJERA</v>
      </c>
      <c r="G4" s="15" t="s">
        <v>384</v>
      </c>
      <c r="H4" s="15"/>
      <c r="I4" s="15"/>
      <c r="J4" s="15" t="s">
        <v>318</v>
      </c>
      <c r="K4" s="47" t="s">
        <v>325</v>
      </c>
      <c r="L4" t="s">
        <v>326</v>
      </c>
      <c r="M4" s="47">
        <v>2686509121</v>
      </c>
      <c r="N4" s="47" t="str">
        <f>_xlfn.LET(
    _xlpm.itemBuscado, B4,
    _xlpm.areaBuscada, C4,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TEXT(COUNTIF($C$2:C4, _xlpm.areaBuscada), "0000"),
    _xlpm.codItem &amp; "-" &amp; _xlpm.codArea &amp; "-" &amp; _xlpm.secuencia
)</f>
        <v>ZM-ES-INS-0003</v>
      </c>
      <c r="O4" t="e" cm="1">
        <f t="array" ref="O4">bus</f>
        <v>#NAME?</v>
      </c>
      <c r="P4" s="15" t="s">
        <v>329</v>
      </c>
      <c r="R4" s="48"/>
      <c r="U4" s="49">
        <v>3</v>
      </c>
      <c r="V4" s="50" t="s">
        <v>173</v>
      </c>
      <c r="X4" s="55">
        <v>3</v>
      </c>
      <c r="Y4" s="56" t="s">
        <v>224</v>
      </c>
      <c r="AA4" s="51">
        <v>3</v>
      </c>
      <c r="AB4" s="53" t="s">
        <v>6</v>
      </c>
      <c r="AE4" s="10" t="s">
        <v>32</v>
      </c>
      <c r="AF4" t="s">
        <v>33</v>
      </c>
      <c r="AG4" t="s">
        <v>34</v>
      </c>
      <c r="AH4" t="s">
        <v>35</v>
      </c>
      <c r="AI4" s="5" t="s">
        <v>36</v>
      </c>
      <c r="AJ4" s="11" t="s">
        <v>37</v>
      </c>
      <c r="AK4" t="s">
        <v>38</v>
      </c>
      <c r="AM4" s="11" t="s">
        <v>39</v>
      </c>
      <c r="AN4" s="7" t="s">
        <v>40</v>
      </c>
      <c r="AQ4" s="25" t="s">
        <v>225</v>
      </c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2:68" ht="28.8" x14ac:dyDescent="0.3">
      <c r="B5" t="s">
        <v>20</v>
      </c>
      <c r="C5" s="11" t="s">
        <v>177</v>
      </c>
      <c r="D5">
        <v>1</v>
      </c>
      <c r="E5" s="11" t="str" cm="1">
        <f t="array" ref="E5">_xlfn.IFS(
    COUNTIF(Herramientas_eléctricas18[Herramientas_eléctricas], B5) &gt; 0, Herramientas_eléctricas18[[#Headers],[Herramientas_eléctricas]],
    COUNTIF(Herramientas_neumáticas19[Herramientas_neumáticas], B5) &gt; 0, Herramientas_neumáticas19[[#Headers],[Herramientas_neumáticas]],
    COUNTIF(Herramientas_de_medición20[Herramientas_de_medición], B5) &gt; 0, Herramientas_de_medición20[[#Headers],[Herramientas_de_medición]],
    COUNTIF(Herrramientas_mecánicas21[Herramientas_mecánicas], B5) &gt; 0, Herrramientas_mecánicas21[[#Headers],[Herramientas_mecánicas]],
    COUNTIF(AI5:AI11, B5) &gt; 0, Herramientas_hidráulicas22[[#Headers],[Herramientas_hidráulicas]],
    COUNTIF(EPP_23[SPCC], B5) &gt; 0, EPP_23[[#Headers],[SPCC]],
   COUNTIF(Herramientas_de_izaje24[Herramientas_de_izaje], B5) &gt; 0, Herramientas_de_izaje24[[#Headers],[Herramientas_de_izaje]],
COUNTIF(Tabla1626[Equipos], B5) &gt; 0, Tabla1626[[#Headers],[Equipos]],
    TRUE, "Sin clasificación"
)</f>
        <v>Herramientas_mecánicas</v>
      </c>
      <c r="F5" s="15" t="str">
        <f>_xlfn.TEXTJOIN(", ",TRUE, Tabla38[[#This Row],[Tipo de escalera]],Tabla38[[#This Row],[Longitud]],Tabla38[[#This Row],[Carga Maxima]])</f>
        <v>ESCALERA DOBLE O DE TIJERA</v>
      </c>
      <c r="G5" s="15" t="s">
        <v>384</v>
      </c>
      <c r="H5" s="15"/>
      <c r="I5" s="15"/>
      <c r="J5" s="15" t="s">
        <v>318</v>
      </c>
      <c r="K5" s="47" t="s">
        <v>327</v>
      </c>
      <c r="L5" t="s">
        <v>328</v>
      </c>
      <c r="M5" s="47">
        <v>2836508941</v>
      </c>
      <c r="N5" s="47" t="str">
        <f>_xlfn.LET(
    _xlpm.itemBuscado, B5,
    _xlpm.areaBuscada, C5,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TEXT(COUNTIF($C$2:C5, _xlpm.areaBuscada), "0000"),
    _xlpm.codItem &amp; "-" &amp; _xlpm.codArea &amp; "-" &amp; _xlpm.secuencia
)</f>
        <v>ZM-ES-INS-0004</v>
      </c>
      <c r="P5" s="15" t="s">
        <v>329</v>
      </c>
      <c r="R5" s="48"/>
      <c r="U5" s="49">
        <v>4</v>
      </c>
      <c r="V5" s="50" t="s">
        <v>174</v>
      </c>
      <c r="AA5" s="51">
        <v>4</v>
      </c>
      <c r="AB5" s="53" t="s">
        <v>7</v>
      </c>
      <c r="AE5" t="s">
        <v>41</v>
      </c>
      <c r="AF5" t="s">
        <v>42</v>
      </c>
      <c r="AG5" t="s">
        <v>43</v>
      </c>
      <c r="AH5" t="s">
        <v>44</v>
      </c>
      <c r="AI5" s="5" t="s">
        <v>45</v>
      </c>
      <c r="AK5" t="s">
        <v>46</v>
      </c>
      <c r="AM5" s="12" t="s">
        <v>47</v>
      </c>
      <c r="AN5" s="9" t="s">
        <v>48</v>
      </c>
      <c r="AQ5" s="25" t="s">
        <v>226</v>
      </c>
      <c r="AR5" t="s">
        <v>80</v>
      </c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2:68" ht="30" customHeight="1" x14ac:dyDescent="0.3">
      <c r="B6" t="s">
        <v>20</v>
      </c>
      <c r="C6" s="11" t="s">
        <v>177</v>
      </c>
      <c r="D6">
        <v>1</v>
      </c>
      <c r="E6" s="11" t="str" cm="1">
        <f t="array" ref="E6">_xlfn.IFS(
    COUNTIF(Herramientas_eléctricas18[Herramientas_eléctricas], B6) &gt; 0, Herramientas_eléctricas18[[#Headers],[Herramientas_eléctricas]],
    COUNTIF(Herramientas_neumáticas19[Herramientas_neumáticas], B6) &gt; 0, Herramientas_neumáticas19[[#Headers],[Herramientas_neumáticas]],
    COUNTIF(Herramientas_de_medición20[Herramientas_de_medición], B6) &gt; 0, Herramientas_de_medición20[[#Headers],[Herramientas_de_medición]],
    COUNTIF(Herrramientas_mecánicas21[Herramientas_mecánicas], B6) &gt; 0, Herrramientas_mecánicas21[[#Headers],[Herramientas_mecánicas]],
    COUNTIF(AI6:AI12, B6) &gt; 0, Herramientas_hidráulicas22[[#Headers],[Herramientas_hidráulicas]],
    COUNTIF(EPP_23[SPCC], B6) &gt; 0, EPP_23[[#Headers],[SPCC]],
   COUNTIF(Herramientas_de_izaje24[Herramientas_de_izaje], B6) &gt; 0, Herramientas_de_izaje24[[#Headers],[Herramientas_de_izaje]],
COUNTIF(Tabla1626[Equipos], B6) &gt; 0, Tabla1626[[#Headers],[Equipos]],
    TRUE, "Sin clasificación"
)</f>
        <v>Herramientas_mecánicas</v>
      </c>
      <c r="F6" s="15" t="str">
        <f>_xlfn.TEXTJOIN(", ",TRUE, Tabla38[[#This Row],[Tipo de escalera]],Tabla38[[#This Row],[Longitud]],Tabla38[[#This Row],[Carga Maxima]])</f>
        <v>ESCALERA DOBLE O DE TIJERA</v>
      </c>
      <c r="G6" s="15" t="s">
        <v>384</v>
      </c>
      <c r="H6" s="15"/>
      <c r="I6" s="15"/>
      <c r="J6" s="15" t="s">
        <v>318</v>
      </c>
      <c r="K6" s="47" t="s">
        <v>330</v>
      </c>
      <c r="L6" t="s">
        <v>331</v>
      </c>
      <c r="M6" s="47">
        <v>2886508851</v>
      </c>
      <c r="N6" s="47" t="str">
        <f>_xlfn.LET(
    _xlpm.itemBuscado, B6,
    _xlpm.areaBuscada, C6,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TEXT(COUNTIF($C$2:C6, _xlpm.areaBuscada), "0000"),
    _xlpm.codItem &amp; "-" &amp; _xlpm.codArea &amp; "-" &amp; _xlpm.secuencia
)</f>
        <v>ZM-ES-INS-0005</v>
      </c>
      <c r="P6" s="15" t="s">
        <v>329</v>
      </c>
      <c r="R6" s="48"/>
      <c r="U6" s="49">
        <v>5</v>
      </c>
      <c r="V6" s="50" t="s">
        <v>175</v>
      </c>
      <c r="AA6" s="51">
        <v>5</v>
      </c>
      <c r="AB6" s="53" t="s">
        <v>8</v>
      </c>
      <c r="AE6" t="s">
        <v>49</v>
      </c>
      <c r="AF6" t="s">
        <v>36</v>
      </c>
      <c r="AG6" t="s">
        <v>50</v>
      </c>
      <c r="AH6" t="s">
        <v>51</v>
      </c>
      <c r="AI6" s="5" t="s">
        <v>52</v>
      </c>
      <c r="AM6" t="s">
        <v>53</v>
      </c>
      <c r="AN6" s="7" t="s">
        <v>54</v>
      </c>
      <c r="AQ6" s="25" t="s">
        <v>227</v>
      </c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2:68" ht="30" customHeight="1" x14ac:dyDescent="0.3">
      <c r="B7" t="s">
        <v>20</v>
      </c>
      <c r="C7" s="11" t="s">
        <v>177</v>
      </c>
      <c r="D7">
        <v>1</v>
      </c>
      <c r="E7" s="11" t="str" cm="1">
        <f t="array" ref="E7">_xlfn.IFS(
    COUNTIF(Herramientas_eléctricas18[Herramientas_eléctricas], B7) &gt; 0, Herramientas_eléctricas18[[#Headers],[Herramientas_eléctricas]],
    COUNTIF(Herramientas_neumáticas19[Herramientas_neumáticas], B7) &gt; 0, Herramientas_neumáticas19[[#Headers],[Herramientas_neumáticas]],
    COUNTIF(Herramientas_de_medición20[Herramientas_de_medición], B7) &gt; 0, Herramientas_de_medición20[[#Headers],[Herramientas_de_medición]],
    COUNTIF(Herrramientas_mecánicas21[Herramientas_mecánicas], B7) &gt; 0, Herrramientas_mecánicas21[[#Headers],[Herramientas_mecánicas]],
    COUNTIF(AI7:AI13, B7) &gt; 0, Herramientas_hidráulicas22[[#Headers],[Herramientas_hidráulicas]],
    COUNTIF(EPP_23[SPCC], B7) &gt; 0, EPP_23[[#Headers],[SPCC]],
   COUNTIF(Herramientas_de_izaje24[Herramientas_de_izaje], B7) &gt; 0, Herramientas_de_izaje24[[#Headers],[Herramientas_de_izaje]],
COUNTIF(Tabla1626[Equipos], B7) &gt; 0, Tabla1626[[#Headers],[Equipos]],
    TRUE, "Sin clasificación"
)</f>
        <v>Herramientas_mecánicas</v>
      </c>
      <c r="F7" s="15" t="str">
        <f>_xlfn.TEXTJOIN(", ",TRUE, Tabla38[[#This Row],[Tipo de escalera]],Tabla38[[#This Row],[Longitud]],Tabla38[[#This Row],[Carga Maxima]])</f>
        <v>ESCALERA DOBLE O DE TIJERA</v>
      </c>
      <c r="G7" s="15" t="s">
        <v>384</v>
      </c>
      <c r="H7" s="15"/>
      <c r="I7" s="15"/>
      <c r="J7" s="15" t="s">
        <v>318</v>
      </c>
      <c r="K7" s="47" t="s">
        <v>332</v>
      </c>
      <c r="L7" t="s">
        <v>333</v>
      </c>
      <c r="M7" s="47">
        <v>2885108781</v>
      </c>
      <c r="N7" s="47" t="str">
        <f>_xlfn.LET(
    _xlpm.itemBuscado, B7,
    _xlpm.areaBuscada, C7,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TEXT(COUNTIF($C$2:C7, _xlpm.areaBuscada), "0000"),
    _xlpm.codItem &amp; "-" &amp; _xlpm.codArea &amp; "-" &amp; _xlpm.secuencia
)</f>
        <v>ZM-ES-INS-0006</v>
      </c>
      <c r="P7" s="15" t="s">
        <v>329</v>
      </c>
      <c r="R7" s="48"/>
      <c r="U7" s="49">
        <v>6</v>
      </c>
      <c r="V7" s="50" t="s">
        <v>176</v>
      </c>
      <c r="AA7" s="55">
        <v>6</v>
      </c>
      <c r="AB7" s="56" t="s">
        <v>10</v>
      </c>
      <c r="AE7" t="s">
        <v>55</v>
      </c>
      <c r="AG7" s="11" t="s">
        <v>56</v>
      </c>
      <c r="AH7" s="5" t="s">
        <v>57</v>
      </c>
      <c r="AI7" t="s">
        <v>58</v>
      </c>
      <c r="AN7" s="13" t="s">
        <v>59</v>
      </c>
      <c r="AQ7" s="15" t="s">
        <v>228</v>
      </c>
      <c r="AR7" s="15" t="s">
        <v>229</v>
      </c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2:68" ht="33.6" customHeight="1" x14ac:dyDescent="0.3">
      <c r="B8" t="s">
        <v>20</v>
      </c>
      <c r="C8" s="11" t="s">
        <v>175</v>
      </c>
      <c r="D8">
        <v>1</v>
      </c>
      <c r="E8" s="11" t="str" cm="1">
        <f t="array" ref="E8">_xlfn.IFS(
    COUNTIF(Herramientas_eléctricas18[Herramientas_eléctricas], B8) &gt; 0, Herramientas_eléctricas18[[#Headers],[Herramientas_eléctricas]],
    COUNTIF(Herramientas_neumáticas19[Herramientas_neumáticas], B8) &gt; 0, Herramientas_neumáticas19[[#Headers],[Herramientas_neumáticas]],
    COUNTIF(Herramientas_de_medición20[Herramientas_de_medición], B8) &gt; 0, Herramientas_de_medición20[[#Headers],[Herramientas_de_medición]],
    COUNTIF(Herrramientas_mecánicas21[Herramientas_mecánicas], B8) &gt; 0, Herrramientas_mecánicas21[[#Headers],[Herramientas_mecánicas]],
    COUNTIF(AI8:AI14, B8) &gt; 0, Herramientas_hidráulicas22[[#Headers],[Herramientas_hidráulicas]],
    COUNTIF(EPP_23[SPCC], B8) &gt; 0, EPP_23[[#Headers],[SPCC]],
   COUNTIF(Herramientas_de_izaje24[Herramientas_de_izaje], B8) &gt; 0, Herramientas_de_izaje24[[#Headers],[Herramientas_de_izaje]],
COUNTIF(Tabla1626[Equipos], B8) &gt; 0, Tabla1626[[#Headers],[Equipos]],
    TRUE, "Sin clasificación"
)</f>
        <v>Herramientas_mecánicas</v>
      </c>
      <c r="F8" s="15" t="str">
        <f>_xlfn.TEXTJOIN(", ",TRUE, Tabla38[[#This Row],[Tipo de escalera]],Tabla38[[#This Row],[Longitud]],Tabla38[[#This Row],[Carga Maxima]])</f>
        <v>ESCALERA DOBLE O DE TIJERA</v>
      </c>
      <c r="G8" s="15" t="s">
        <v>384</v>
      </c>
      <c r="H8" s="15"/>
      <c r="I8" s="15"/>
      <c r="J8" s="15" t="s">
        <v>318</v>
      </c>
      <c r="K8" s="47" t="s">
        <v>335</v>
      </c>
      <c r="L8" t="s">
        <v>334</v>
      </c>
      <c r="M8" s="47" t="s">
        <v>336</v>
      </c>
      <c r="N8" s="47" t="str">
        <f>_xlfn.LET(
    _xlpm.itemBuscado, B8,
    _xlpm.areaBuscada, C8,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TEXT(COUNTIF($C$2:C8, _xlpm.areaBuscada), "0000"),
    _xlpm.codItem &amp; "-" &amp; _xlpm.codArea &amp; "-" &amp; _xlpm.secuencia
)</f>
        <v>ZM-ES-LU-0001</v>
      </c>
      <c r="P8" s="15" t="s">
        <v>344</v>
      </c>
      <c r="R8" s="48"/>
      <c r="U8" s="49">
        <v>7</v>
      </c>
      <c r="V8" s="50" t="s">
        <v>177</v>
      </c>
      <c r="AE8" t="s">
        <v>60</v>
      </c>
      <c r="AG8" s="11" t="s">
        <v>61</v>
      </c>
      <c r="AH8" t="s">
        <v>62</v>
      </c>
      <c r="AI8" t="s">
        <v>35</v>
      </c>
      <c r="AN8" s="14" t="s">
        <v>63</v>
      </c>
      <c r="AQ8" s="25" t="s">
        <v>230</v>
      </c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2:68" ht="30" customHeight="1" x14ac:dyDescent="0.3">
      <c r="B9" t="s">
        <v>20</v>
      </c>
      <c r="C9" s="11" t="s">
        <v>175</v>
      </c>
      <c r="D9">
        <v>1</v>
      </c>
      <c r="E9" s="11" t="str" cm="1">
        <f t="array" ref="E9">_xlfn.IFS(
    COUNTIF(Herramientas_eléctricas18[Herramientas_eléctricas], B9) &gt; 0, Herramientas_eléctricas18[[#Headers],[Herramientas_eléctricas]],
    COUNTIF(Herramientas_neumáticas19[Herramientas_neumáticas], B9) &gt; 0, Herramientas_neumáticas19[[#Headers],[Herramientas_neumáticas]],
    COUNTIF(Herramientas_de_medición20[Herramientas_de_medición], B9) &gt; 0, Herramientas_de_medición20[[#Headers],[Herramientas_de_medición]],
    COUNTIF(Herrramientas_mecánicas21[Herramientas_mecánicas], B9) &gt; 0, Herrramientas_mecánicas21[[#Headers],[Herramientas_mecánicas]],
    COUNTIF(AI9:AI15, B9) &gt; 0, Herramientas_hidráulicas22[[#Headers],[Herramientas_hidráulicas]],
    COUNTIF(EPP_23[SPCC], B9) &gt; 0, EPP_23[[#Headers],[SPCC]],
   COUNTIF(Herramientas_de_izaje24[Herramientas_de_izaje], B9) &gt; 0, Herramientas_de_izaje24[[#Headers],[Herramientas_de_izaje]],
COUNTIF(Tabla1626[Equipos], B9) &gt; 0, Tabla1626[[#Headers],[Equipos]],
    TRUE, "Sin clasificación"
)</f>
        <v>Herramientas_mecánicas</v>
      </c>
      <c r="F9" s="15" t="str">
        <f>_xlfn.TEXTJOIN(", ",TRUE, Tabla38[[#This Row],[Tipo de escalera]],Tabla38[[#This Row],[Longitud]],Tabla38[[#This Row],[Carga Maxima]])</f>
        <v>ESCALERA DOBLE O DE TIJERA</v>
      </c>
      <c r="G9" s="15" t="s">
        <v>384</v>
      </c>
      <c r="H9" s="15"/>
      <c r="I9" s="15"/>
      <c r="J9" s="15" t="s">
        <v>337</v>
      </c>
      <c r="K9" s="47" t="s">
        <v>338</v>
      </c>
      <c r="L9" t="s">
        <v>339</v>
      </c>
      <c r="M9" s="47">
        <v>9564100828</v>
      </c>
      <c r="N9" s="47" t="str">
        <f>_xlfn.LET(
    _xlpm.itemBuscado, B9,
    _xlpm.areaBuscada, C9,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TEXT(COUNTIF($C$2:C9, _xlpm.areaBuscada), "0000"),
    _xlpm.codItem &amp; "-" &amp; _xlpm.codArea &amp; "-" &amp; _xlpm.secuencia
)</f>
        <v>ZM-ES-LU-0002</v>
      </c>
      <c r="P9" s="15" t="s">
        <v>344</v>
      </c>
      <c r="R9" s="48"/>
      <c r="U9" s="49">
        <v>8</v>
      </c>
      <c r="V9" s="57" t="s">
        <v>178</v>
      </c>
      <c r="AA9" s="58" t="s">
        <v>210</v>
      </c>
      <c r="AE9" t="s">
        <v>64</v>
      </c>
      <c r="AG9" s="15" t="s">
        <v>65</v>
      </c>
      <c r="AH9" t="s">
        <v>66</v>
      </c>
      <c r="AI9" s="16"/>
      <c r="AN9" s="9" t="s">
        <v>67</v>
      </c>
      <c r="AQ9" s="25" t="s">
        <v>231</v>
      </c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2:68" ht="26.4" customHeight="1" x14ac:dyDescent="0.3">
      <c r="B10" t="s">
        <v>20</v>
      </c>
      <c r="C10" s="11" t="s">
        <v>175</v>
      </c>
      <c r="D10">
        <v>1</v>
      </c>
      <c r="E10" s="11" t="str" cm="1">
        <f t="array" ref="E10">_xlfn.IFS(
    COUNTIF(Herramientas_eléctricas18[Herramientas_eléctricas], B10) &gt; 0, Herramientas_eléctricas18[[#Headers],[Herramientas_eléctricas]],
    COUNTIF(Herramientas_neumáticas19[Herramientas_neumáticas], B10) &gt; 0, Herramientas_neumáticas19[[#Headers],[Herramientas_neumáticas]],
    COUNTIF(Herramientas_de_medición20[Herramientas_de_medición], B10) &gt; 0, Herramientas_de_medición20[[#Headers],[Herramientas_de_medición]],
    COUNTIF(Herrramientas_mecánicas21[Herramientas_mecánicas], B10) &gt; 0, Herrramientas_mecánicas21[[#Headers],[Herramientas_mecánicas]],
    COUNTIF(AI10:AI16, B10) &gt; 0, Herramientas_hidráulicas22[[#Headers],[Herramientas_hidráulicas]],
    COUNTIF(EPP_23[SPCC], B10) &gt; 0, EPP_23[[#Headers],[SPCC]],
   COUNTIF(Herramientas_de_izaje24[Herramientas_de_izaje], B10) &gt; 0, Herramientas_de_izaje24[[#Headers],[Herramientas_de_izaje]],
COUNTIF(Tabla1626[Equipos], B10) &gt; 0, Tabla1626[[#Headers],[Equipos]],
    TRUE, "Sin clasificación"
)</f>
        <v>Herramientas_mecánicas</v>
      </c>
      <c r="F10" s="15" t="str">
        <f>_xlfn.TEXTJOIN(", ",TRUE, Tabla38[[#This Row],[Tipo de escalera]],Tabla38[[#This Row],[Longitud]],Tabla38[[#This Row],[Carga Maxima]])</f>
        <v>ESCALERA DOBLE O DE TIJERA</v>
      </c>
      <c r="G10" s="15" t="s">
        <v>384</v>
      </c>
      <c r="H10" s="15"/>
      <c r="I10" s="15"/>
      <c r="J10" s="15" t="s">
        <v>318</v>
      </c>
      <c r="K10" s="47" t="s">
        <v>340</v>
      </c>
      <c r="L10" t="s">
        <v>341</v>
      </c>
      <c r="M10" s="47">
        <v>2886509079</v>
      </c>
      <c r="N10" s="47" t="str">
        <f>_xlfn.LET(
    _xlpm.itemBuscado, B10,
    _xlpm.areaBuscada, C10,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TEXT(COUNTIF($C$2:C10, _xlpm.areaBuscada), "0000"),
    _xlpm.codItem &amp; "-" &amp; _xlpm.codArea &amp; "-" &amp; _xlpm.secuencia
)</f>
        <v>ZM-ES-LU-0003</v>
      </c>
      <c r="P10" s="15" t="s">
        <v>344</v>
      </c>
      <c r="R10" s="48"/>
      <c r="U10" s="49">
        <v>9</v>
      </c>
      <c r="V10" s="57" t="s">
        <v>179</v>
      </c>
      <c r="AA10" s="59" t="s">
        <v>232</v>
      </c>
      <c r="AE10" s="17" t="s">
        <v>68</v>
      </c>
      <c r="AG10" s="15" t="s">
        <v>69</v>
      </c>
      <c r="AH10" t="s">
        <v>70</v>
      </c>
      <c r="AN10" s="18" t="s">
        <v>71</v>
      </c>
      <c r="AQ10" s="15" t="s">
        <v>95</v>
      </c>
    </row>
    <row r="11" spans="2:68" ht="33.6" customHeight="1" x14ac:dyDescent="0.3">
      <c r="B11" t="s">
        <v>20</v>
      </c>
      <c r="C11" s="11" t="s">
        <v>176</v>
      </c>
      <c r="E11" s="11" t="str" cm="1">
        <f t="array" ref="E11">_xlfn.IFS(
    COUNTIF(Herramientas_eléctricas18[Herramientas_eléctricas], B11) &gt; 0, Herramientas_eléctricas18[[#Headers],[Herramientas_eléctricas]],
    COUNTIF(Herramientas_neumáticas19[Herramientas_neumáticas], B11) &gt; 0, Herramientas_neumáticas19[[#Headers],[Herramientas_neumáticas]],
    COUNTIF(Herramientas_de_medición20[Herramientas_de_medición], B11) &gt; 0, Herramientas_de_medición20[[#Headers],[Herramientas_de_medición]],
    COUNTIF(Herrramientas_mecánicas21[Herramientas_mecánicas], B11) &gt; 0, Herrramientas_mecánicas21[[#Headers],[Herramientas_mecánicas]],
    COUNTIF(AI11:AI17, B11) &gt; 0, Herramientas_hidráulicas22[[#Headers],[Herramientas_hidráulicas]],
    COUNTIF(EPP_23[SPCC], B11) &gt; 0, EPP_23[[#Headers],[SPCC]],
   COUNTIF(Herramientas_de_izaje24[Herramientas_de_izaje], B11) &gt; 0, Herramientas_de_izaje24[[#Headers],[Herramientas_de_izaje]],
COUNTIF(Tabla1626[Equipos], B11) &gt; 0, Tabla1626[[#Headers],[Equipos]],
    TRUE, "Sin clasificación"
)</f>
        <v>Herramientas_mecánicas</v>
      </c>
      <c r="F11" s="15" t="str">
        <f>_xlfn.TEXTJOIN(", ",TRUE, Tabla38[[#This Row],[Tipo de escalera]],Tabla38[[#This Row],[Longitud]],Tabla38[[#This Row],[Carga Maxima]])</f>
        <v>ESCALERA DOBLE O DE TIJERA</v>
      </c>
      <c r="G11" s="15" t="s">
        <v>384</v>
      </c>
      <c r="H11" s="15"/>
      <c r="I11" s="15"/>
      <c r="J11" s="15" t="s">
        <v>318</v>
      </c>
      <c r="K11" s="85" t="s">
        <v>345</v>
      </c>
      <c r="L11" t="s">
        <v>346</v>
      </c>
      <c r="M11" s="47">
        <v>28865</v>
      </c>
      <c r="N11" s="47" t="str">
        <f>_xlfn.LET(
    _xlpm.itemBuscado, B11,
    _xlpm.areaBuscada, C11,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TEXT(COUNTIF($C$2:C11, _xlpm.areaBuscada), "0000"),
    _xlpm.codItem &amp; "-" &amp; _xlpm.codArea &amp; "-" &amp; _xlpm.secuencia
)</f>
        <v>ZM-ES-ELT-0001</v>
      </c>
      <c r="P11" s="15"/>
      <c r="R11" s="48"/>
      <c r="U11" s="60">
        <v>10</v>
      </c>
      <c r="V11" s="61" t="s">
        <v>180</v>
      </c>
      <c r="AA11" s="59" t="s">
        <v>233</v>
      </c>
      <c r="AE11" s="8" t="s">
        <v>72</v>
      </c>
      <c r="AG11" s="15" t="s">
        <v>73</v>
      </c>
      <c r="AH11" t="s">
        <v>74</v>
      </c>
      <c r="AN11" s="18" t="s">
        <v>75</v>
      </c>
      <c r="BB11" s="62"/>
    </row>
    <row r="12" spans="2:68" x14ac:dyDescent="0.3">
      <c r="B12" t="s">
        <v>20</v>
      </c>
      <c r="C12" s="11" t="s">
        <v>176</v>
      </c>
      <c r="E12" s="11" t="str" cm="1">
        <f t="array" ref="E12">_xlfn.IFS(
    COUNTIF(Herramientas_eléctricas18[Herramientas_eléctricas], B12) &gt; 0, Herramientas_eléctricas18[[#Headers],[Herramientas_eléctricas]],
    COUNTIF(Herramientas_neumáticas19[Herramientas_neumáticas], B12) &gt; 0, Herramientas_neumáticas19[[#Headers],[Herramientas_neumáticas]],
    COUNTIF(Herramientas_de_medición20[Herramientas_de_medición], B12) &gt; 0, Herramientas_de_medición20[[#Headers],[Herramientas_de_medición]],
    COUNTIF(Herrramientas_mecánicas21[Herramientas_mecánicas], B12) &gt; 0, Herrramientas_mecánicas21[[#Headers],[Herramientas_mecánicas]],
    COUNTIF(AI12:AI18, B12) &gt; 0, Herramientas_hidráulicas22[[#Headers],[Herramientas_hidráulicas]],
    COUNTIF(EPP_23[SPCC], B12) &gt; 0, EPP_23[[#Headers],[SPCC]],
   COUNTIF(Herramientas_de_izaje24[Herramientas_de_izaje], B12) &gt; 0, Herramientas_de_izaje24[[#Headers],[Herramientas_de_izaje]],
COUNTIF(Tabla1626[Equipos], B12) &gt; 0, Tabla1626[[#Headers],[Equipos]],
    TRUE, "Sin clasificación"
)</f>
        <v>Herramientas_mecánicas</v>
      </c>
      <c r="F12" s="15" t="str">
        <f>_xlfn.TEXTJOIN(", ",TRUE, Tabla38[[#This Row],[Tipo de escalera]],Tabla38[[#This Row],[Longitud]],Tabla38[[#This Row],[Carga Maxima]])</f>
        <v>ESCALERA DOBLE O DE TIJERA</v>
      </c>
      <c r="G12" s="15" t="s">
        <v>384</v>
      </c>
      <c r="H12" s="15"/>
      <c r="I12" s="15"/>
      <c r="J12" s="15" t="s">
        <v>318</v>
      </c>
      <c r="K12" s="47" t="s">
        <v>347</v>
      </c>
      <c r="L12" t="s">
        <v>348</v>
      </c>
      <c r="M12" s="47">
        <v>2886501816</v>
      </c>
      <c r="N12" s="47" t="str">
        <f>_xlfn.LET(
    _xlpm.itemBuscado, B12,
    _xlpm.areaBuscada, C12,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TEXT(COUNTIF($C$2:C12, _xlpm.areaBuscada), "0000"),
    _xlpm.codItem &amp; "-" &amp; _xlpm.codArea &amp; "-" &amp; _xlpm.secuencia
)</f>
        <v>ZM-ES-ELT-0002</v>
      </c>
      <c r="P12" s="15"/>
      <c r="R12" s="48"/>
      <c r="U12" s="60">
        <v>11</v>
      </c>
      <c r="V12" s="61" t="s">
        <v>181</v>
      </c>
      <c r="AA12" s="33" t="s">
        <v>234</v>
      </c>
      <c r="AE12" t="s">
        <v>19</v>
      </c>
      <c r="AF12" t="s">
        <v>76</v>
      </c>
      <c r="AG12" s="15" t="s">
        <v>77</v>
      </c>
      <c r="AH12" t="s">
        <v>78</v>
      </c>
      <c r="AN12" s="19" t="s">
        <v>79</v>
      </c>
      <c r="AQ12" s="11"/>
    </row>
    <row r="13" spans="2:68" x14ac:dyDescent="0.3">
      <c r="B13" t="s">
        <v>20</v>
      </c>
      <c r="C13" s="11" t="s">
        <v>176</v>
      </c>
      <c r="E13" s="11" t="str" cm="1">
        <f t="array" ref="E13">_xlfn.IFS(
    COUNTIF(Herramientas_eléctricas18[Herramientas_eléctricas], B13) &gt; 0, Herramientas_eléctricas18[[#Headers],[Herramientas_eléctricas]],
    COUNTIF(Herramientas_neumáticas19[Herramientas_neumáticas], B13) &gt; 0, Herramientas_neumáticas19[[#Headers],[Herramientas_neumáticas]],
    COUNTIF(Herramientas_de_medición20[Herramientas_de_medición], B13) &gt; 0, Herramientas_de_medición20[[#Headers],[Herramientas_de_medición]],
    COUNTIF(Herrramientas_mecánicas21[Herramientas_mecánicas], B13) &gt; 0, Herrramientas_mecánicas21[[#Headers],[Herramientas_mecánicas]],
    COUNTIF(AI13:AI19, B13) &gt; 0, Herramientas_hidráulicas22[[#Headers],[Herramientas_hidráulicas]],
    COUNTIF(EPP_23[SPCC], B13) &gt; 0, EPP_23[[#Headers],[SPCC]],
   COUNTIF(Herramientas_de_izaje24[Herramientas_de_izaje], B13) &gt; 0, Herramientas_de_izaje24[[#Headers],[Herramientas_de_izaje]],
COUNTIF(Tabla1626[Equipos], B13) &gt; 0, Tabla1626[[#Headers],[Equipos]],
    TRUE, "Sin clasificación"
)</f>
        <v>Herramientas_mecánicas</v>
      </c>
      <c r="F13" s="15" t="str">
        <f>_xlfn.TEXTJOIN(", ",TRUE, Tabla38[[#This Row],[Tipo de escalera]],Tabla38[[#This Row],[Longitud]],Tabla38[[#This Row],[Carga Maxima]])</f>
        <v>ESCALERA DOBLE O DE TIJERA</v>
      </c>
      <c r="G13" s="15" t="s">
        <v>384</v>
      </c>
      <c r="H13" s="15"/>
      <c r="I13" s="15"/>
      <c r="J13" s="15" t="s">
        <v>318</v>
      </c>
      <c r="K13" s="47" t="s">
        <v>323</v>
      </c>
      <c r="L13" t="s">
        <v>349</v>
      </c>
      <c r="M13" s="47">
        <v>2886502584</v>
      </c>
      <c r="N13" s="47" t="str">
        <f>_xlfn.LET(
    _xlpm.itemBuscado, B13,
    _xlpm.areaBuscada, C13,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TEXT(COUNTIF($C$2:C13, _xlpm.areaBuscada), "0000"),
    _xlpm.codItem &amp; "-" &amp; _xlpm.codArea &amp; "-" &amp; _xlpm.secuencia
)</f>
        <v>ZM-ES-ELT-0003</v>
      </c>
      <c r="P13" s="15"/>
      <c r="R13" s="48"/>
      <c r="U13" s="60">
        <v>12</v>
      </c>
      <c r="V13" s="61" t="s">
        <v>892</v>
      </c>
      <c r="AE13" t="s">
        <v>80</v>
      </c>
      <c r="AG13" s="15" t="s">
        <v>81</v>
      </c>
      <c r="AH13" t="s">
        <v>82</v>
      </c>
      <c r="AN13" s="20" t="s">
        <v>83</v>
      </c>
      <c r="AQ13" s="11"/>
      <c r="AV13" s="11"/>
    </row>
    <row r="14" spans="2:68" x14ac:dyDescent="0.3">
      <c r="B14" t="s">
        <v>20</v>
      </c>
      <c r="C14" s="11" t="s">
        <v>176</v>
      </c>
      <c r="E14" s="11" t="str" cm="1">
        <f t="array" ref="E14">_xlfn.IFS(
    COUNTIF(Herramientas_eléctricas18[Herramientas_eléctricas], B14) &gt; 0, Herramientas_eléctricas18[[#Headers],[Herramientas_eléctricas]],
    COUNTIF(Herramientas_neumáticas19[Herramientas_neumáticas], B14) &gt; 0, Herramientas_neumáticas19[[#Headers],[Herramientas_neumáticas]],
    COUNTIF(Herramientas_de_medición20[Herramientas_de_medición], B14) &gt; 0, Herramientas_de_medición20[[#Headers],[Herramientas_de_medición]],
    COUNTIF(Herrramientas_mecánicas21[Herramientas_mecánicas], B14) &gt; 0, Herrramientas_mecánicas21[[#Headers],[Herramientas_mecánicas]],
    COUNTIF(AI14:AI20, B14) &gt; 0, Herramientas_hidráulicas22[[#Headers],[Herramientas_hidráulicas]],
    COUNTIF(EPP_23[SPCC], B14) &gt; 0, EPP_23[[#Headers],[SPCC]],
   COUNTIF(Herramientas_de_izaje24[Herramientas_de_izaje], B14) &gt; 0, Herramientas_de_izaje24[[#Headers],[Herramientas_de_izaje]],
COUNTIF(Tabla1626[Equipos], B14) &gt; 0, Tabla1626[[#Headers],[Equipos]],
    TRUE, "Sin clasificación"
)</f>
        <v>Herramientas_mecánicas</v>
      </c>
      <c r="F14" s="15" t="str">
        <f>_xlfn.TEXTJOIN(", ",TRUE, Tabla38[[#This Row],[Tipo de escalera]],Tabla38[[#This Row],[Longitud]],Tabla38[[#This Row],[Carga Maxima]])</f>
        <v>ESCALERA DOBLE O DE TIJERA</v>
      </c>
      <c r="G14" s="15" t="s">
        <v>384</v>
      </c>
      <c r="H14" s="15"/>
      <c r="I14" s="15"/>
      <c r="J14" s="15" t="s">
        <v>337</v>
      </c>
      <c r="K14" s="47" t="s">
        <v>350</v>
      </c>
      <c r="L14" t="s">
        <v>352</v>
      </c>
      <c r="M14" s="47" t="s">
        <v>351</v>
      </c>
      <c r="N14" s="47" t="str">
        <f>_xlfn.LET(
    _xlpm.itemBuscado, B14,
    _xlpm.areaBuscada, C14,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TEXT(COUNTIF($C$2:C14, _xlpm.areaBuscada), "0000"),
    _xlpm.codItem &amp; "-" &amp; _xlpm.codArea &amp; "-" &amp; _xlpm.secuencia
)</f>
        <v>ZM-ES-ELT-0004</v>
      </c>
      <c r="P14" s="15"/>
      <c r="R14" s="48"/>
      <c r="AE14" t="s">
        <v>84</v>
      </c>
      <c r="AG14" s="15" t="s">
        <v>85</v>
      </c>
      <c r="AH14" t="s">
        <v>86</v>
      </c>
      <c r="AN14" s="18" t="s">
        <v>87</v>
      </c>
    </row>
    <row r="15" spans="2:68" ht="43.95" customHeight="1" x14ac:dyDescent="0.3">
      <c r="B15" t="s">
        <v>20</v>
      </c>
      <c r="C15" s="11" t="s">
        <v>176</v>
      </c>
      <c r="E15" s="11" t="str" cm="1">
        <f t="array" ref="E15">_xlfn.IFS(
    COUNTIF(Herramientas_eléctricas18[Herramientas_eléctricas], B15) &gt; 0, Herramientas_eléctricas18[[#Headers],[Herramientas_eléctricas]],
    COUNTIF(Herramientas_neumáticas19[Herramientas_neumáticas], B15) &gt; 0, Herramientas_neumáticas19[[#Headers],[Herramientas_neumáticas]],
    COUNTIF(Herramientas_de_medición20[Herramientas_de_medición], B15) &gt; 0, Herramientas_de_medición20[[#Headers],[Herramientas_de_medición]],
    COUNTIF(Herrramientas_mecánicas21[Herramientas_mecánicas], B15) &gt; 0, Herrramientas_mecánicas21[[#Headers],[Herramientas_mecánicas]],
    COUNTIF(AI15:AI21, B15) &gt; 0, Herramientas_hidráulicas22[[#Headers],[Herramientas_hidráulicas]],
    COUNTIF(EPP_23[SPCC], B15) &gt; 0, EPP_23[[#Headers],[SPCC]],
   COUNTIF(Herramientas_de_izaje24[Herramientas_de_izaje], B15) &gt; 0, Herramientas_de_izaje24[[#Headers],[Herramientas_de_izaje]],
COUNTIF(Tabla1626[Equipos], B15) &gt; 0, Tabla1626[[#Headers],[Equipos]],
    TRUE, "Sin clasificación"
)</f>
        <v>Herramientas_mecánicas</v>
      </c>
      <c r="F15" s="15" t="str">
        <f>_xlfn.TEXTJOIN(", ",TRUE, Tabla38[[#This Row],[Tipo de escalera]],Tabla38[[#This Row],[Longitud]],Tabla38[[#This Row],[Carga Maxima]])</f>
        <v>ESCALERA DOBLE O DE TIJERA</v>
      </c>
      <c r="G15" s="15" t="s">
        <v>384</v>
      </c>
      <c r="H15" s="15"/>
      <c r="I15" s="15"/>
      <c r="J15" s="15" t="s">
        <v>318</v>
      </c>
      <c r="K15" s="47" t="s">
        <v>353</v>
      </c>
      <c r="L15" t="s">
        <v>354</v>
      </c>
      <c r="M15" s="47">
        <v>2886502584</v>
      </c>
      <c r="N15" s="47" t="str">
        <f>_xlfn.LET(
    _xlpm.itemBuscado, B15,
    _xlpm.areaBuscada, C15,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TEXT(COUNTIF($C$2:C15, _xlpm.areaBuscada), "0000"),
    _xlpm.codItem &amp; "-" &amp; _xlpm.codArea &amp; "-" &amp; _xlpm.secuencia
)</f>
        <v>ZM-ES-ELT-0005</v>
      </c>
      <c r="P15" s="15"/>
      <c r="R15" s="48"/>
      <c r="V15" t="s">
        <v>382</v>
      </c>
      <c r="AE15" t="s">
        <v>88</v>
      </c>
      <c r="AG15" t="s">
        <v>89</v>
      </c>
      <c r="AH15" t="s">
        <v>90</v>
      </c>
      <c r="AN15" s="21" t="s">
        <v>91</v>
      </c>
      <c r="AQ15" s="11"/>
    </row>
    <row r="16" spans="2:68" x14ac:dyDescent="0.3">
      <c r="B16" t="s">
        <v>20</v>
      </c>
      <c r="C16" s="11" t="s">
        <v>176</v>
      </c>
      <c r="E16" s="11" t="str" cm="1">
        <f t="array" ref="E16">_xlfn.IFS(
    COUNTIF(Herramientas_eléctricas18[Herramientas_eléctricas], B16) &gt; 0, Herramientas_eléctricas18[[#Headers],[Herramientas_eléctricas]],
    COUNTIF(Herramientas_neumáticas19[Herramientas_neumáticas], B16) &gt; 0, Herramientas_neumáticas19[[#Headers],[Herramientas_neumáticas]],
    COUNTIF(Herramientas_de_medición20[Herramientas_de_medición], B16) &gt; 0, Herramientas_de_medición20[[#Headers],[Herramientas_de_medición]],
    COUNTIF(Herrramientas_mecánicas21[Herramientas_mecánicas], B16) &gt; 0, Herrramientas_mecánicas21[[#Headers],[Herramientas_mecánicas]],
    COUNTIF(AI16:AI22, B16) &gt; 0, Herramientas_hidráulicas22[[#Headers],[Herramientas_hidráulicas]],
    COUNTIF(EPP_23[SPCC], B16) &gt; 0, EPP_23[[#Headers],[SPCC]],
   COUNTIF(Herramientas_de_izaje24[Herramientas_de_izaje], B16) &gt; 0, Herramientas_de_izaje24[[#Headers],[Herramientas_de_izaje]],
COUNTIF(Tabla1626[Equipos], B16) &gt; 0, Tabla1626[[#Headers],[Equipos]],
    TRUE, "Sin clasificación"
)</f>
        <v>Herramientas_mecánicas</v>
      </c>
      <c r="F16" s="15" t="str">
        <f>_xlfn.TEXTJOIN(", ",TRUE, Tabla38[[#This Row],[Tipo de escalera]],Tabla38[[#This Row],[Longitud]],Tabla38[[#This Row],[Carga Maxima]])</f>
        <v>ESCALERA DOBLE O DE TIJERA</v>
      </c>
      <c r="G16" s="15" t="s">
        <v>384</v>
      </c>
      <c r="H16" s="15"/>
      <c r="I16" s="15"/>
      <c r="J16" s="15" t="s">
        <v>318</v>
      </c>
      <c r="K16" s="47" t="s">
        <v>355</v>
      </c>
      <c r="L16" t="s">
        <v>356</v>
      </c>
      <c r="M16" s="47" t="s">
        <v>355</v>
      </c>
      <c r="N16" s="47" t="str">
        <f>_xlfn.LET(
    _xlpm.itemBuscado, B16,
    _xlpm.areaBuscada, C16,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TEXT(COUNTIF($C$2:C16, _xlpm.areaBuscada), "0000"),
    _xlpm.codItem &amp; "-" &amp; _xlpm.codArea &amp; "-" &amp; _xlpm.secuencia
)</f>
        <v>ZM-ES-ELT-0006</v>
      </c>
      <c r="P16" s="15"/>
      <c r="R16" s="48"/>
      <c r="V16" t="s">
        <v>383</v>
      </c>
      <c r="AE16" t="s">
        <v>41</v>
      </c>
      <c r="AG16" t="s">
        <v>62</v>
      </c>
      <c r="AH16" s="11" t="s">
        <v>92</v>
      </c>
      <c r="AI16" s="22"/>
      <c r="AN16" s="23" t="s">
        <v>93</v>
      </c>
    </row>
    <row r="17" spans="2:43" x14ac:dyDescent="0.3">
      <c r="B17" t="s">
        <v>20</v>
      </c>
      <c r="C17" s="11" t="s">
        <v>176</v>
      </c>
      <c r="E17" s="11" t="str" cm="1">
        <f t="array" ref="E17">_xlfn.IFS(
    COUNTIF(Herramientas_eléctricas18[Herramientas_eléctricas], B17) &gt; 0, Herramientas_eléctricas18[[#Headers],[Herramientas_eléctricas]],
    COUNTIF(Herramientas_neumáticas19[Herramientas_neumáticas], B17) &gt; 0, Herramientas_neumáticas19[[#Headers],[Herramientas_neumáticas]],
    COUNTIF(Herramientas_de_medición20[Herramientas_de_medición], B17) &gt; 0, Herramientas_de_medición20[[#Headers],[Herramientas_de_medición]],
    COUNTIF(Herrramientas_mecánicas21[Herramientas_mecánicas], B17) &gt; 0, Herrramientas_mecánicas21[[#Headers],[Herramientas_mecánicas]],
    COUNTIF(AI17:AI23, B17) &gt; 0, Herramientas_hidráulicas22[[#Headers],[Herramientas_hidráulicas]],
    COUNTIF(EPP_23[SPCC], B17) &gt; 0, EPP_23[[#Headers],[SPCC]],
   COUNTIF(Herramientas_de_izaje24[Herramientas_de_izaje], B17) &gt; 0, Herramientas_de_izaje24[[#Headers],[Herramientas_de_izaje]],
COUNTIF(Tabla1626[Equipos], B17) &gt; 0, Tabla1626[[#Headers],[Equipos]],
    TRUE, "Sin clasificación"
)</f>
        <v>Herramientas_mecánicas</v>
      </c>
      <c r="F17" s="15" t="str">
        <f>_xlfn.TEXTJOIN(", ",TRUE, Tabla38[[#This Row],[Tipo de escalera]],Tabla38[[#This Row],[Longitud]],Tabla38[[#This Row],[Carga Maxima]])</f>
        <v>ESCALERA DOBLE O DE TIJERA</v>
      </c>
      <c r="G17" s="15" t="s">
        <v>384</v>
      </c>
      <c r="H17" s="15"/>
      <c r="I17" s="15"/>
      <c r="J17" s="15" t="s">
        <v>337</v>
      </c>
      <c r="K17" s="47" t="s">
        <v>355</v>
      </c>
      <c r="L17" t="s">
        <v>357</v>
      </c>
      <c r="M17" s="47" t="s">
        <v>355</v>
      </c>
      <c r="N17" s="47" t="str">
        <f>_xlfn.LET(
    _xlpm.itemBuscado, B17,
    _xlpm.areaBuscada, C17,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TEXT(COUNTIF($C$2:C17, _xlpm.areaBuscada), "0000"),
    _xlpm.codItem &amp; "-" &amp; _xlpm.codArea &amp; "-" &amp; _xlpm.secuencia
)</f>
        <v>ZM-ES-ELT-0007</v>
      </c>
      <c r="P17" s="15"/>
      <c r="R17" s="48"/>
      <c r="V17" t="s">
        <v>384</v>
      </c>
      <c r="AE17" s="24" t="s">
        <v>94</v>
      </c>
      <c r="AH17" s="15" t="s">
        <v>95</v>
      </c>
      <c r="AI17" s="14"/>
      <c r="AN17" s="25" t="s">
        <v>96</v>
      </c>
      <c r="AQ17" s="11"/>
    </row>
    <row r="18" spans="2:43" x14ac:dyDescent="0.3">
      <c r="B18" t="s">
        <v>20</v>
      </c>
      <c r="C18" s="11" t="s">
        <v>176</v>
      </c>
      <c r="E18" s="11" t="str" cm="1">
        <f t="array" ref="E18">_xlfn.IFS(
    COUNTIF(Herramientas_eléctricas18[Herramientas_eléctricas], B18) &gt; 0, Herramientas_eléctricas18[[#Headers],[Herramientas_eléctricas]],
    COUNTIF(Herramientas_neumáticas19[Herramientas_neumáticas], B18) &gt; 0, Herramientas_neumáticas19[[#Headers],[Herramientas_neumáticas]],
    COUNTIF(Herramientas_de_medición20[Herramientas_de_medición], B18) &gt; 0, Herramientas_de_medición20[[#Headers],[Herramientas_de_medición]],
    COUNTIF(Herrramientas_mecánicas21[Herramientas_mecánicas], B18) &gt; 0, Herrramientas_mecánicas21[[#Headers],[Herramientas_mecánicas]],
    COUNTIF(AI18:AI24, B18) &gt; 0, Herramientas_hidráulicas22[[#Headers],[Herramientas_hidráulicas]],
    COUNTIF(EPP_23[SPCC], B18) &gt; 0, EPP_23[[#Headers],[SPCC]],
   COUNTIF(Herramientas_de_izaje24[Herramientas_de_izaje], B18) &gt; 0, Herramientas_de_izaje24[[#Headers],[Herramientas_de_izaje]],
COUNTIF(Tabla1626[Equipos], B18) &gt; 0, Tabla1626[[#Headers],[Equipos]],
    TRUE, "Sin clasificación"
)</f>
        <v>Herramientas_mecánicas</v>
      </c>
      <c r="F18" s="15" t="str">
        <f>_xlfn.TEXTJOIN(", ",TRUE, Tabla38[[#This Row],[Tipo de escalera]],Tabla38[[#This Row],[Longitud]],Tabla38[[#This Row],[Carga Maxima]])</f>
        <v>ESCALERA DOBLE O DE TIJERA</v>
      </c>
      <c r="G18" s="15" t="s">
        <v>384</v>
      </c>
      <c r="H18" s="15"/>
      <c r="I18" s="15"/>
      <c r="J18" s="15" t="s">
        <v>318</v>
      </c>
      <c r="K18" s="47" t="s">
        <v>330</v>
      </c>
      <c r="L18" t="s">
        <v>358</v>
      </c>
      <c r="M18" s="47">
        <v>2886508851</v>
      </c>
      <c r="N18" s="47" t="str">
        <f>_xlfn.LET(
    _xlpm.itemBuscado, B18,
    _xlpm.areaBuscada, C18,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TEXT(COUNTIF($C$2:C18, _xlpm.areaBuscada), "0000"),
    _xlpm.codItem &amp; "-" &amp; _xlpm.codArea &amp; "-" &amp; _xlpm.secuencia
)</f>
        <v>ZM-ES-ELT-0008</v>
      </c>
      <c r="P18" s="15"/>
      <c r="R18" s="48"/>
      <c r="V18" t="s">
        <v>385</v>
      </c>
      <c r="AE18" t="s">
        <v>97</v>
      </c>
      <c r="AH18" t="s">
        <v>98</v>
      </c>
      <c r="AN18" s="25" t="s">
        <v>99</v>
      </c>
    </row>
    <row r="19" spans="2:43" x14ac:dyDescent="0.3">
      <c r="B19" t="s">
        <v>20</v>
      </c>
      <c r="C19" s="11" t="s">
        <v>176</v>
      </c>
      <c r="E19" s="11" t="str" cm="1">
        <f t="array" ref="E19">_xlfn.IFS(
    COUNTIF(Herramientas_eléctricas18[Herramientas_eléctricas], B19) &gt; 0, Herramientas_eléctricas18[[#Headers],[Herramientas_eléctricas]],
    COUNTIF(Herramientas_neumáticas19[Herramientas_neumáticas], B19) &gt; 0, Herramientas_neumáticas19[[#Headers],[Herramientas_neumáticas]],
    COUNTIF(Herramientas_de_medición20[Herramientas_de_medición], B19) &gt; 0, Herramientas_de_medición20[[#Headers],[Herramientas_de_medición]],
    COUNTIF(Herrramientas_mecánicas21[Herramientas_mecánicas], B19) &gt; 0, Herrramientas_mecánicas21[[#Headers],[Herramientas_mecánicas]],
    COUNTIF(AI19:AI25, B19) &gt; 0, Herramientas_hidráulicas22[[#Headers],[Herramientas_hidráulicas]],
    COUNTIF(EPP_23[SPCC], B19) &gt; 0, EPP_23[[#Headers],[SPCC]],
   COUNTIF(Herramientas_de_izaje24[Herramientas_de_izaje], B19) &gt; 0, Herramientas_de_izaje24[[#Headers],[Herramientas_de_izaje]],
COUNTIF(Tabla1626[Equipos], B19) &gt; 0, Tabla1626[[#Headers],[Equipos]],
    TRUE, "Sin clasificación"
)</f>
        <v>Herramientas_mecánicas</v>
      </c>
      <c r="F19" s="15" t="str">
        <f>_xlfn.TEXTJOIN(", ",TRUE, Tabla38[[#This Row],[Tipo de escalera]],Tabla38[[#This Row],[Longitud]],Tabla38[[#This Row],[Carga Maxima]])</f>
        <v>ESCALERA EXTENSIBLE O TELESCÓPICA</v>
      </c>
      <c r="G19" s="15" t="s">
        <v>385</v>
      </c>
      <c r="H19" s="15"/>
      <c r="I19" s="15"/>
      <c r="J19" s="15" t="s">
        <v>318</v>
      </c>
      <c r="K19" s="47" t="s">
        <v>359</v>
      </c>
      <c r="L19" t="s">
        <v>360</v>
      </c>
      <c r="M19" s="47">
        <v>886508618</v>
      </c>
      <c r="N19" s="47" t="str">
        <f>_xlfn.LET(
    _xlpm.itemBuscado, B19,
    _xlpm.areaBuscada, C19,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TEXT(COUNTIF($C$2:C19, _xlpm.areaBuscada), "0000"),
    _xlpm.codItem &amp; "-" &amp; _xlpm.codArea &amp; "-" &amp; _xlpm.secuencia
)</f>
        <v>ZM-ES-ELT-0009</v>
      </c>
      <c r="P19" s="15"/>
      <c r="R19" s="48"/>
      <c r="V19" t="s">
        <v>386</v>
      </c>
      <c r="AE19" t="s">
        <v>42</v>
      </c>
      <c r="AH19" s="11" t="s">
        <v>41</v>
      </c>
      <c r="AN19" t="s">
        <v>100</v>
      </c>
    </row>
    <row r="20" spans="2:43" x14ac:dyDescent="0.3">
      <c r="B20" t="s">
        <v>20</v>
      </c>
      <c r="C20" s="11" t="s">
        <v>176</v>
      </c>
      <c r="E20" s="11" t="str" cm="1">
        <f t="array" ref="E20">_xlfn.IFS(
    COUNTIF(Herramientas_eléctricas18[Herramientas_eléctricas], B20) &gt; 0, Herramientas_eléctricas18[[#Headers],[Herramientas_eléctricas]],
    COUNTIF(Herramientas_neumáticas19[Herramientas_neumáticas], B20) &gt; 0, Herramientas_neumáticas19[[#Headers],[Herramientas_neumáticas]],
    COUNTIF(Herramientas_de_medición20[Herramientas_de_medición], B20) &gt; 0, Herramientas_de_medición20[[#Headers],[Herramientas_de_medición]],
    COUNTIF(Herrramientas_mecánicas21[Herramientas_mecánicas], B20) &gt; 0, Herrramientas_mecánicas21[[#Headers],[Herramientas_mecánicas]],
    COUNTIF(AI20:AI26, B20) &gt; 0, Herramientas_hidráulicas22[[#Headers],[Herramientas_hidráulicas]],
    COUNTIF(EPP_23[SPCC], B20) &gt; 0, EPP_23[[#Headers],[SPCC]],
   COUNTIF(Herramientas_de_izaje24[Herramientas_de_izaje], B20) &gt; 0, Herramientas_de_izaje24[[#Headers],[Herramientas_de_izaje]],
COUNTIF(Tabla1626[Equipos], B20) &gt; 0, Tabla1626[[#Headers],[Equipos]],
    TRUE, "Sin clasificación"
)</f>
        <v>Herramientas_mecánicas</v>
      </c>
      <c r="F20" s="15" t="str">
        <f>_xlfn.TEXTJOIN(", ",TRUE, Tabla38[[#This Row],[Tipo de escalera]],Tabla38[[#This Row],[Longitud]],Tabla38[[#This Row],[Carga Maxima]])</f>
        <v>ESCALERA EXTENSIBLE O TELESCÓPICA</v>
      </c>
      <c r="G20" s="15" t="s">
        <v>385</v>
      </c>
      <c r="H20" s="15"/>
      <c r="I20" s="15"/>
      <c r="J20" s="15" t="s">
        <v>318</v>
      </c>
      <c r="K20" s="47" t="s">
        <v>355</v>
      </c>
      <c r="L20" t="s">
        <v>361</v>
      </c>
      <c r="M20" s="47">
        <v>2886608618</v>
      </c>
      <c r="N20" s="47" t="str">
        <f>_xlfn.LET(
    _xlpm.itemBuscado, B20,
    _xlpm.areaBuscada, C20,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TEXT(COUNTIF($C$2:C20, _xlpm.areaBuscada), "0000"),
    _xlpm.codItem &amp; "-" &amp; _xlpm.codArea &amp; "-" &amp; _xlpm.secuencia
)</f>
        <v>ZM-ES-ELT-0010</v>
      </c>
      <c r="P20" s="15"/>
      <c r="R20" s="48" t="s">
        <v>224</v>
      </c>
      <c r="AE20" t="s">
        <v>101</v>
      </c>
      <c r="AH20" t="s">
        <v>102</v>
      </c>
      <c r="AN20" s="26" t="s">
        <v>103</v>
      </c>
    </row>
    <row r="21" spans="2:43" x14ac:dyDescent="0.3">
      <c r="B21" t="s">
        <v>20</v>
      </c>
      <c r="C21" s="11" t="s">
        <v>176</v>
      </c>
      <c r="E21" s="11" t="str" cm="1">
        <f t="array" ref="E21">_xlfn.IFS(
    COUNTIF(Herramientas_eléctricas18[Herramientas_eléctricas], B21) &gt; 0, Herramientas_eléctricas18[[#Headers],[Herramientas_eléctricas]],
    COUNTIF(Herramientas_neumáticas19[Herramientas_neumáticas], B21) &gt; 0, Herramientas_neumáticas19[[#Headers],[Herramientas_neumáticas]],
    COUNTIF(Herramientas_de_medición20[Herramientas_de_medición], B21) &gt; 0, Herramientas_de_medición20[[#Headers],[Herramientas_de_medición]],
    COUNTIF(Herrramientas_mecánicas21[Herramientas_mecánicas], B21) &gt; 0, Herrramientas_mecánicas21[[#Headers],[Herramientas_mecánicas]],
    COUNTIF(AI21:AI27, B21) &gt; 0, Herramientas_hidráulicas22[[#Headers],[Herramientas_hidráulicas]],
    COUNTIF(EPP_23[SPCC], B21) &gt; 0, EPP_23[[#Headers],[SPCC]],
   COUNTIF(Herramientas_de_izaje24[Herramientas_de_izaje], B21) &gt; 0, Herramientas_de_izaje24[[#Headers],[Herramientas_de_izaje]],
COUNTIF(Tabla1626[Equipos], B21) &gt; 0, Tabla1626[[#Headers],[Equipos]],
    TRUE, "Sin clasificación"
)</f>
        <v>Herramientas_mecánicas</v>
      </c>
      <c r="F21" s="15" t="str">
        <f>_xlfn.TEXTJOIN(", ",TRUE, Tabla38[[#This Row],[Tipo de escalera]],Tabla38[[#This Row],[Longitud]],Tabla38[[#This Row],[Carga Maxima]])</f>
        <v>ESCALERA SIMPLE DE UN TRAMO</v>
      </c>
      <c r="G21" s="15" t="s">
        <v>383</v>
      </c>
      <c r="H21" s="15"/>
      <c r="I21" s="15"/>
      <c r="J21" s="15" t="s">
        <v>337</v>
      </c>
      <c r="K21" s="47" t="s">
        <v>362</v>
      </c>
      <c r="L21" t="s">
        <v>358</v>
      </c>
      <c r="M21" s="47">
        <v>9564100988</v>
      </c>
      <c r="N21" s="47" t="str">
        <f>_xlfn.LET(
    _xlpm.itemBuscado, B21,
    _xlpm.areaBuscada, C21,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TEXT(COUNTIF($C$2:C21, _xlpm.areaBuscada), "0000"),
    _xlpm.codItem &amp; "-" &amp; _xlpm.codArea &amp; "-" &amp; _xlpm.secuencia
)</f>
        <v>ZM-ES-ELT-0011</v>
      </c>
      <c r="P21" s="15"/>
      <c r="R21" s="48"/>
      <c r="AE21" s="6"/>
      <c r="AH21" s="6" t="s">
        <v>20</v>
      </c>
    </row>
    <row r="22" spans="2:43" x14ac:dyDescent="0.3">
      <c r="B22" t="s">
        <v>20</v>
      </c>
      <c r="C22" s="11" t="s">
        <v>176</v>
      </c>
      <c r="E22" s="11" t="str" cm="1">
        <f t="array" ref="E22">_xlfn.IFS(
    COUNTIF(Herramientas_eléctricas18[Herramientas_eléctricas], B22) &gt; 0, Herramientas_eléctricas18[[#Headers],[Herramientas_eléctricas]],
    COUNTIF(Herramientas_neumáticas19[Herramientas_neumáticas], B22) &gt; 0, Herramientas_neumáticas19[[#Headers],[Herramientas_neumáticas]],
    COUNTIF(Herramientas_de_medición20[Herramientas_de_medición], B22) &gt; 0, Herramientas_de_medición20[[#Headers],[Herramientas_de_medición]],
    COUNTIF(Herrramientas_mecánicas21[Herramientas_mecánicas], B22) &gt; 0, Herrramientas_mecánicas21[[#Headers],[Herramientas_mecánicas]],
    COUNTIF(AI22:AI28, B22) &gt; 0, Herramientas_hidráulicas22[[#Headers],[Herramientas_hidráulicas]],
    COUNTIF(EPP_23[SPCC], B22) &gt; 0, EPP_23[[#Headers],[SPCC]],
   COUNTIF(Herramientas_de_izaje24[Herramientas_de_izaje], B22) &gt; 0, Herramientas_de_izaje24[[#Headers],[Herramientas_de_izaje]],
COUNTIF(Tabla1626[Equipos], B22) &gt; 0, Tabla1626[[#Headers],[Equipos]],
    TRUE, "Sin clasificación"
)</f>
        <v>Herramientas_mecánicas</v>
      </c>
      <c r="F22" s="15" t="str">
        <f>_xlfn.TEXTJOIN(", ",TRUE, Tabla38[[#This Row],[Tipo de escalera]],Tabla38[[#This Row],[Longitud]],Tabla38[[#This Row],[Carga Maxima]])</f>
        <v>ESCALERA DOBLE O DE TIJERA</v>
      </c>
      <c r="G22" s="15" t="s">
        <v>384</v>
      </c>
      <c r="H22" s="15"/>
      <c r="I22" s="15"/>
      <c r="J22" s="15" t="s">
        <v>318</v>
      </c>
      <c r="K22" s="47" t="s">
        <v>330</v>
      </c>
      <c r="L22" t="s">
        <v>363</v>
      </c>
      <c r="M22" s="47">
        <v>288650885</v>
      </c>
      <c r="N22" s="47" t="str">
        <f>_xlfn.LET(
    _xlpm.itemBuscado, B22,
    _xlpm.areaBuscada, C22,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TEXT(COUNTIF($C$2:C22, _xlpm.areaBuscada), "0000"),
    _xlpm.codItem &amp; "-" &amp; _xlpm.codArea &amp; "-" &amp; _xlpm.secuencia
)</f>
        <v>ZM-ES-ELT-0012</v>
      </c>
      <c r="P22" s="15"/>
      <c r="R22" s="48"/>
    </row>
    <row r="23" spans="2:43" x14ac:dyDescent="0.3">
      <c r="B23" t="s">
        <v>20</v>
      </c>
      <c r="C23" s="11" t="s">
        <v>176</v>
      </c>
      <c r="E23" s="11" t="str" cm="1">
        <f t="array" ref="E23">_xlfn.IFS(
    COUNTIF(Herramientas_eléctricas18[Herramientas_eléctricas], B23) &gt; 0, Herramientas_eléctricas18[[#Headers],[Herramientas_eléctricas]],
    COUNTIF(Herramientas_neumáticas19[Herramientas_neumáticas], B23) &gt; 0, Herramientas_neumáticas19[[#Headers],[Herramientas_neumáticas]],
    COUNTIF(Herramientas_de_medición20[Herramientas_de_medición], B23) &gt; 0, Herramientas_de_medición20[[#Headers],[Herramientas_de_medición]],
    COUNTIF(Herrramientas_mecánicas21[Herramientas_mecánicas], B23) &gt; 0, Herrramientas_mecánicas21[[#Headers],[Herramientas_mecánicas]],
    COUNTIF(AI23:AI29, B23) &gt; 0, Herramientas_hidráulicas22[[#Headers],[Herramientas_hidráulicas]],
    COUNTIF(EPP_23[SPCC], B23) &gt; 0, EPP_23[[#Headers],[SPCC]],
   COUNTIF(Herramientas_de_izaje24[Herramientas_de_izaje], B23) &gt; 0, Herramientas_de_izaje24[[#Headers],[Herramientas_de_izaje]],
COUNTIF(Tabla1626[Equipos], B23) &gt; 0, Tabla1626[[#Headers],[Equipos]],
    TRUE, "Sin clasificación"
)</f>
        <v>Herramientas_mecánicas</v>
      </c>
      <c r="F23" s="15" t="str">
        <f>_xlfn.TEXTJOIN(", ",TRUE, Tabla38[[#This Row],[Tipo de escalera]],Tabla38[[#This Row],[Longitud]],Tabla38[[#This Row],[Carga Maxima]])</f>
        <v>ESCALERA EXTENSIBLE O TELESCÓPICA</v>
      </c>
      <c r="G23" s="15" t="s">
        <v>385</v>
      </c>
      <c r="H23" s="15"/>
      <c r="I23" s="15"/>
      <c r="J23" s="15" t="s">
        <v>318</v>
      </c>
      <c r="K23" s="47" t="s">
        <v>355</v>
      </c>
      <c r="L23" t="s">
        <v>334</v>
      </c>
      <c r="M23" s="47" t="s">
        <v>355</v>
      </c>
      <c r="N23" s="47" t="str">
        <f>_xlfn.LET(
    _xlpm.itemBuscado, B23,
    _xlpm.areaBuscada, C23,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TEXT(COUNTIF($C$2:C23, _xlpm.areaBuscada), "0000"),
    _xlpm.codItem &amp; "-" &amp; _xlpm.codArea &amp; "-" &amp; _xlpm.secuencia
)</f>
        <v>ZM-ES-ELT-0013</v>
      </c>
      <c r="P23" s="15"/>
      <c r="R23" s="48"/>
    </row>
    <row r="24" spans="2:43" x14ac:dyDescent="0.3">
      <c r="B24" t="s">
        <v>20</v>
      </c>
      <c r="C24" s="11" t="s">
        <v>176</v>
      </c>
      <c r="E24" s="11" t="str" cm="1">
        <f t="array" ref="E24">_xlfn.IFS(
    COUNTIF(Herramientas_eléctricas18[Herramientas_eléctricas], B24) &gt; 0, Herramientas_eléctricas18[[#Headers],[Herramientas_eléctricas]],
    COUNTIF(Herramientas_neumáticas19[Herramientas_neumáticas], B24) &gt; 0, Herramientas_neumáticas19[[#Headers],[Herramientas_neumáticas]],
    COUNTIF(Herramientas_de_medición20[Herramientas_de_medición], B24) &gt; 0, Herramientas_de_medición20[[#Headers],[Herramientas_de_medición]],
    COUNTIF(Herrramientas_mecánicas21[Herramientas_mecánicas], B24) &gt; 0, Herrramientas_mecánicas21[[#Headers],[Herramientas_mecánicas]],
    COUNTIF(AI24:AI30, B24) &gt; 0, Herramientas_hidráulicas22[[#Headers],[Herramientas_hidráulicas]],
    COUNTIF(EPP_23[SPCC], B24) &gt; 0, EPP_23[[#Headers],[SPCC]],
   COUNTIF(Herramientas_de_izaje24[Herramientas_de_izaje], B24) &gt; 0, Herramientas_de_izaje24[[#Headers],[Herramientas_de_izaje]],
COUNTIF(Tabla1626[Equipos], B24) &gt; 0, Tabla1626[[#Headers],[Equipos]],
    TRUE, "Sin clasificación"
)</f>
        <v>Herramientas_mecánicas</v>
      </c>
      <c r="F24" s="15" t="str">
        <f>_xlfn.TEXTJOIN(", ",TRUE, Tabla38[[#This Row],[Tipo de escalera]],Tabla38[[#This Row],[Longitud]],Tabla38[[#This Row],[Carga Maxima]])</f>
        <v>ESCALERA EXTENSIBLE O TELESCÓPICA</v>
      </c>
      <c r="G24" s="15" t="s">
        <v>385</v>
      </c>
      <c r="H24" s="15"/>
      <c r="I24" s="15"/>
      <c r="J24" s="15" t="s">
        <v>355</v>
      </c>
      <c r="K24" s="47" t="s">
        <v>355</v>
      </c>
      <c r="L24" t="s">
        <v>364</v>
      </c>
      <c r="M24" s="47" t="s">
        <v>355</v>
      </c>
      <c r="N24" s="47" t="str">
        <f>_xlfn.LET(
    _xlpm.itemBuscado, B24,
    _xlpm.areaBuscada, C24,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TEXT(COUNTIF($C$2:C24, _xlpm.areaBuscada), "0000"),
    _xlpm.codItem &amp; "-" &amp; _xlpm.codArea &amp; "-" &amp; _xlpm.secuencia
)</f>
        <v>ZM-ES-ELT-0014</v>
      </c>
      <c r="P24" s="15"/>
      <c r="R24" s="48" t="s">
        <v>224</v>
      </c>
      <c r="AO24" s="18"/>
    </row>
    <row r="25" spans="2:43" x14ac:dyDescent="0.3">
      <c r="B25" t="s">
        <v>20</v>
      </c>
      <c r="C25" s="11" t="s">
        <v>176</v>
      </c>
      <c r="E25" s="11" t="str" cm="1">
        <f t="array" ref="E25">_xlfn.IFS(
    COUNTIF(Herramientas_eléctricas18[Herramientas_eléctricas], B25) &gt; 0, Herramientas_eléctricas18[[#Headers],[Herramientas_eléctricas]],
    COUNTIF(Herramientas_neumáticas19[Herramientas_neumáticas], B25) &gt; 0, Herramientas_neumáticas19[[#Headers],[Herramientas_neumáticas]],
    COUNTIF(Herramientas_de_medición20[Herramientas_de_medición], B25) &gt; 0, Herramientas_de_medición20[[#Headers],[Herramientas_de_medición]],
    COUNTIF(Herrramientas_mecánicas21[Herramientas_mecánicas], B25) &gt; 0, Herrramientas_mecánicas21[[#Headers],[Herramientas_mecánicas]],
    COUNTIF(AI25:AI31, B25) &gt; 0, Herramientas_hidráulicas22[[#Headers],[Herramientas_hidráulicas]],
    COUNTIF(EPP_23[SPCC], B25) &gt; 0, EPP_23[[#Headers],[SPCC]],
   COUNTIF(Herramientas_de_izaje24[Herramientas_de_izaje], B25) &gt; 0, Herramientas_de_izaje24[[#Headers],[Herramientas_de_izaje]],
COUNTIF(Tabla1626[Equipos], B25) &gt; 0, Tabla1626[[#Headers],[Equipos]],
    TRUE, "Sin clasificación"
)</f>
        <v>Herramientas_mecánicas</v>
      </c>
      <c r="F25" s="15" t="str">
        <f>_xlfn.TEXTJOIN(", ",TRUE, Tabla38[[#This Row],[Tipo de escalera]],Tabla38[[#This Row],[Longitud]],Tabla38[[#This Row],[Carga Maxima]])</f>
        <v>ESCALERA EXTENSIBLE O TELESCÓPICA</v>
      </c>
      <c r="G25" s="15" t="s">
        <v>385</v>
      </c>
      <c r="H25" s="15"/>
      <c r="I25" s="15"/>
      <c r="J25" s="15" t="s">
        <v>337</v>
      </c>
      <c r="K25" s="47" t="s">
        <v>365</v>
      </c>
      <c r="L25" t="s">
        <v>366</v>
      </c>
      <c r="M25" s="47">
        <v>9564100916</v>
      </c>
      <c r="N25" s="47" t="str">
        <f>_xlfn.LET(
    _xlpm.itemBuscado, B25,
    _xlpm.areaBuscada, C25,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TEXT(COUNTIF($C$2:C25, _xlpm.areaBuscada), "0000"),
    _xlpm.codItem &amp; "-" &amp; _xlpm.codArea &amp; "-" &amp; _xlpm.secuencia
)</f>
        <v>ZM-ES-ELT-0015</v>
      </c>
      <c r="P25" s="15"/>
      <c r="R25" s="48"/>
      <c r="AO25" s="22"/>
    </row>
    <row r="26" spans="2:43" x14ac:dyDescent="0.3">
      <c r="B26" t="s">
        <v>20</v>
      </c>
      <c r="C26" s="11" t="s">
        <v>176</v>
      </c>
      <c r="E26" s="11" t="str" cm="1">
        <f t="array" ref="E26">_xlfn.IFS(
    COUNTIF(Herramientas_eléctricas18[Herramientas_eléctricas], B26) &gt; 0, Herramientas_eléctricas18[[#Headers],[Herramientas_eléctricas]],
    COUNTIF(Herramientas_neumáticas19[Herramientas_neumáticas], B26) &gt; 0, Herramientas_neumáticas19[[#Headers],[Herramientas_neumáticas]],
    COUNTIF(Herramientas_de_medición20[Herramientas_de_medición], B26) &gt; 0, Herramientas_de_medición20[[#Headers],[Herramientas_de_medición]],
    COUNTIF(Herrramientas_mecánicas21[Herramientas_mecánicas], B26) &gt; 0, Herrramientas_mecánicas21[[#Headers],[Herramientas_mecánicas]],
    COUNTIF(AI26:AI32, B26) &gt; 0, Herramientas_hidráulicas22[[#Headers],[Herramientas_hidráulicas]],
    COUNTIF(EPP_23[SPCC], B26) &gt; 0, EPP_23[[#Headers],[SPCC]],
   COUNTIF(Herramientas_de_izaje24[Herramientas_de_izaje], B26) &gt; 0, Herramientas_de_izaje24[[#Headers],[Herramientas_de_izaje]],
COUNTIF(Tabla1626[Equipos], B26) &gt; 0, Tabla1626[[#Headers],[Equipos]],
    TRUE, "Sin clasificación"
)</f>
        <v>Herramientas_mecánicas</v>
      </c>
      <c r="F26" s="15" t="str">
        <f>_xlfn.TEXTJOIN(", ",TRUE, Tabla38[[#This Row],[Tipo de escalera]],Tabla38[[#This Row],[Longitud]],Tabla38[[#This Row],[Carga Maxima]])</f>
        <v>ESCALERA EXTENSIBLE O TELESCÓPICA</v>
      </c>
      <c r="G26" s="15" t="s">
        <v>385</v>
      </c>
      <c r="H26" s="15"/>
      <c r="I26" s="15"/>
      <c r="J26" s="15" t="s">
        <v>318</v>
      </c>
      <c r="K26" s="47" t="s">
        <v>355</v>
      </c>
      <c r="L26" t="s">
        <v>367</v>
      </c>
      <c r="M26" s="47" t="s">
        <v>355</v>
      </c>
      <c r="N26" s="47" t="str">
        <f>_xlfn.LET(
    _xlpm.itemBuscado, B26,
    _xlpm.areaBuscada, C26,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TEXT(COUNTIF($C$2:C26, _xlpm.areaBuscada), "0000"),
    _xlpm.codItem &amp; "-" &amp; _xlpm.codArea &amp; "-" &amp; _xlpm.secuencia
)</f>
        <v>ZM-ES-ELT-0016</v>
      </c>
      <c r="P26" s="15"/>
      <c r="R26" s="48" t="s">
        <v>224</v>
      </c>
      <c r="AF26" s="18"/>
      <c r="AP26" t="s">
        <v>235</v>
      </c>
    </row>
    <row r="27" spans="2:43" ht="28.8" x14ac:dyDescent="0.3">
      <c r="B27" t="s">
        <v>20</v>
      </c>
      <c r="C27" s="11" t="s">
        <v>176</v>
      </c>
      <c r="E27" s="11" t="str" cm="1">
        <f t="array" ref="E27">_xlfn.IFS(
    COUNTIF(Herramientas_eléctricas18[Herramientas_eléctricas], B27) &gt; 0, Herramientas_eléctricas18[[#Headers],[Herramientas_eléctricas]],
    COUNTIF(Herramientas_neumáticas19[Herramientas_neumáticas], B27) &gt; 0, Herramientas_neumáticas19[[#Headers],[Herramientas_neumáticas]],
    COUNTIF(Herramientas_de_medición20[Herramientas_de_medición], B27) &gt; 0, Herramientas_de_medición20[[#Headers],[Herramientas_de_medición]],
    COUNTIF(Herrramientas_mecánicas21[Herramientas_mecánicas], B27) &gt; 0, Herrramientas_mecánicas21[[#Headers],[Herramientas_mecánicas]],
    COUNTIF(AI27:AI33, B27) &gt; 0, Herramientas_hidráulicas22[[#Headers],[Herramientas_hidráulicas]],
    COUNTIF(EPP_23[SPCC], B27) &gt; 0, EPP_23[[#Headers],[SPCC]],
   COUNTIF(Herramientas_de_izaje24[Herramientas_de_izaje], B27) &gt; 0, Herramientas_de_izaje24[[#Headers],[Herramientas_de_izaje]],
COUNTIF(Tabla1626[Equipos], B27) &gt; 0, Tabla1626[[#Headers],[Equipos]],
    TRUE, "Sin clasificación"
)</f>
        <v>Herramientas_mecánicas</v>
      </c>
      <c r="F27" s="15" t="str">
        <f>_xlfn.TEXTJOIN(", ",TRUE, Tabla38[[#This Row],[Tipo de escalera]],Tabla38[[#This Row],[Longitud]],Tabla38[[#This Row],[Carga Maxima]])</f>
        <v>ESCALERA EXTENSIBLE O TELESCÓPICA</v>
      </c>
      <c r="G27" s="15" t="s">
        <v>385</v>
      </c>
      <c r="H27" s="15"/>
      <c r="I27" s="15"/>
      <c r="J27" s="15" t="s">
        <v>318</v>
      </c>
      <c r="K27" s="47" t="s">
        <v>368</v>
      </c>
      <c r="L27" t="s">
        <v>361</v>
      </c>
      <c r="M27" s="47">
        <v>2868005516</v>
      </c>
      <c r="N27" s="47" t="str">
        <f>_xlfn.LET(
    _xlpm.itemBuscado, B27,
    _xlpm.areaBuscada, C27,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TEXT(COUNTIF($C$2:C27, _xlpm.areaBuscada), "0000"),
    _xlpm.codItem &amp; "-" &amp; _xlpm.codArea &amp; "-" &amp; _xlpm.secuencia
)</f>
        <v>ZM-ES-ELT-0017</v>
      </c>
      <c r="P27" s="15"/>
      <c r="R27" s="48"/>
      <c r="AE27" s="11" t="s">
        <v>236</v>
      </c>
      <c r="AF27" s="11" t="s">
        <v>237</v>
      </c>
      <c r="AG27" s="11" t="s">
        <v>238</v>
      </c>
      <c r="AH27" s="11" t="s">
        <v>239</v>
      </c>
      <c r="AI27" s="11" t="s">
        <v>240</v>
      </c>
      <c r="AJ27" s="11" t="s">
        <v>241</v>
      </c>
      <c r="AK27" s="11" t="s">
        <v>242</v>
      </c>
      <c r="AL27" s="11" t="s">
        <v>243</v>
      </c>
      <c r="AM27" s="11" t="s">
        <v>244</v>
      </c>
      <c r="AN27" s="11" t="s">
        <v>245</v>
      </c>
    </row>
    <row r="28" spans="2:43" x14ac:dyDescent="0.3">
      <c r="B28" t="s">
        <v>20</v>
      </c>
      <c r="C28" s="11" t="s">
        <v>176</v>
      </c>
      <c r="E28" s="11" t="str" cm="1">
        <f t="array" ref="E28">_xlfn.IFS(
    COUNTIF(Herramientas_eléctricas18[Herramientas_eléctricas], B28) &gt; 0, Herramientas_eléctricas18[[#Headers],[Herramientas_eléctricas]],
    COUNTIF(Herramientas_neumáticas19[Herramientas_neumáticas], B28) &gt; 0, Herramientas_neumáticas19[[#Headers],[Herramientas_neumáticas]],
    COUNTIF(Herramientas_de_medición20[Herramientas_de_medición], B28) &gt; 0, Herramientas_de_medición20[[#Headers],[Herramientas_de_medición]],
    COUNTIF(Herrramientas_mecánicas21[Herramientas_mecánicas], B28) &gt; 0, Herrramientas_mecánicas21[[#Headers],[Herramientas_mecánicas]],
    COUNTIF(AI28:AI34, B28) &gt; 0, Herramientas_hidráulicas22[[#Headers],[Herramientas_hidráulicas]],
    COUNTIF(EPP_23[SPCC], B28) &gt; 0, EPP_23[[#Headers],[SPCC]],
   COUNTIF(Herramientas_de_izaje24[Herramientas_de_izaje], B28) &gt; 0, Herramientas_de_izaje24[[#Headers],[Herramientas_de_izaje]],
COUNTIF(Tabla1626[Equipos], B28) &gt; 0, Tabla1626[[#Headers],[Equipos]],
    TRUE, "Sin clasificación"
)</f>
        <v>Herramientas_mecánicas</v>
      </c>
      <c r="F28" s="15" t="str">
        <f>_xlfn.TEXTJOIN(", ",TRUE, Tabla38[[#This Row],[Tipo de escalera]],Tabla38[[#This Row],[Longitud]],Tabla38[[#This Row],[Carga Maxima]])</f>
        <v>ESCALERA EXTENSIBLE O TELESCÓPICA</v>
      </c>
      <c r="G28" s="15" t="s">
        <v>385</v>
      </c>
      <c r="H28" s="15"/>
      <c r="I28" s="15"/>
      <c r="J28" s="15" t="s">
        <v>318</v>
      </c>
      <c r="K28" s="47" t="s">
        <v>369</v>
      </c>
      <c r="L28" t="s">
        <v>370</v>
      </c>
      <c r="M28" s="47">
        <v>2886501525</v>
      </c>
      <c r="N28" s="47" t="str">
        <f>_xlfn.LET(
    _xlpm.itemBuscado, B28,
    _xlpm.areaBuscada, C28,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TEXT(COUNTIF($C$2:C28, _xlpm.areaBuscada), "0000"),
    _xlpm.codItem &amp; "-" &amp; _xlpm.codArea &amp; "-" &amp; _xlpm.secuencia
)</f>
        <v>ZM-ES-ELT-0018</v>
      </c>
      <c r="P28" s="15"/>
      <c r="R28" s="48"/>
    </row>
    <row r="29" spans="2:43" x14ac:dyDescent="0.3">
      <c r="B29" t="s">
        <v>20</v>
      </c>
      <c r="C29" s="11" t="s">
        <v>176</v>
      </c>
      <c r="E29" s="11" t="str" cm="1">
        <f t="array" ref="E29">_xlfn.IFS(
    COUNTIF(Herramientas_eléctricas18[Herramientas_eléctricas], B29) &gt; 0, Herramientas_eléctricas18[[#Headers],[Herramientas_eléctricas]],
    COUNTIF(Herramientas_neumáticas19[Herramientas_neumáticas], B29) &gt; 0, Herramientas_neumáticas19[[#Headers],[Herramientas_neumáticas]],
    COUNTIF(Herramientas_de_medición20[Herramientas_de_medición], B29) &gt; 0, Herramientas_de_medición20[[#Headers],[Herramientas_de_medición]],
    COUNTIF(Herrramientas_mecánicas21[Herramientas_mecánicas], B29) &gt; 0, Herrramientas_mecánicas21[[#Headers],[Herramientas_mecánicas]],
    COUNTIF(AI29:AI35, B29) &gt; 0, Herramientas_hidráulicas22[[#Headers],[Herramientas_hidráulicas]],
    COUNTIF(EPP_23[SPCC], B29) &gt; 0, EPP_23[[#Headers],[SPCC]],
   COUNTIF(Herramientas_de_izaje24[Herramientas_de_izaje], B29) &gt; 0, Herramientas_de_izaje24[[#Headers],[Herramientas_de_izaje]],
COUNTIF(Tabla1626[Equipos], B29) &gt; 0, Tabla1626[[#Headers],[Equipos]],
    TRUE, "Sin clasificación"
)</f>
        <v>Herramientas_mecánicas</v>
      </c>
      <c r="F29" s="15" t="str">
        <f>_xlfn.TEXTJOIN(", ",TRUE, Tabla38[[#This Row],[Tipo de escalera]],Tabla38[[#This Row],[Longitud]],Tabla38[[#This Row],[Carga Maxima]])</f>
        <v>ESCALERA EXTENSIBLE O TELESCÓPICA</v>
      </c>
      <c r="G29" s="15" t="s">
        <v>385</v>
      </c>
      <c r="H29" s="15"/>
      <c r="I29" s="15"/>
      <c r="J29" s="15" t="s">
        <v>318</v>
      </c>
      <c r="K29" s="47" t="s">
        <v>355</v>
      </c>
      <c r="L29" t="s">
        <v>371</v>
      </c>
      <c r="M29" s="47">
        <v>2886501595</v>
      </c>
      <c r="N29" s="47" t="str">
        <f>_xlfn.LET(
    _xlpm.itemBuscado, B29,
    _xlpm.areaBuscada, C29,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TEXT(COUNTIF($C$2:C29, _xlpm.areaBuscada), "0000"),
    _xlpm.codItem &amp; "-" &amp; _xlpm.codArea &amp; "-" &amp; _xlpm.secuencia
)</f>
        <v>ZM-ES-ELT-0019</v>
      </c>
      <c r="P29" s="15"/>
      <c r="R29" s="48"/>
      <c r="AE29" t="s">
        <v>246</v>
      </c>
      <c r="AF29" t="s">
        <v>97</v>
      </c>
      <c r="AG29" t="s">
        <v>34</v>
      </c>
      <c r="AH29" t="s">
        <v>66</v>
      </c>
      <c r="AI29" s="63" t="s">
        <v>247</v>
      </c>
      <c r="AK29" t="s">
        <v>19</v>
      </c>
      <c r="AN29" t="s">
        <v>75</v>
      </c>
    </row>
    <row r="30" spans="2:43" ht="28.8" x14ac:dyDescent="0.3">
      <c r="B30" t="s">
        <v>20</v>
      </c>
      <c r="C30" s="11" t="s">
        <v>176</v>
      </c>
      <c r="E30" s="11" t="str" cm="1">
        <f t="array" ref="E30">_xlfn.IFS(
    COUNTIF(Herramientas_eléctricas18[Herramientas_eléctricas], B30) &gt; 0, Herramientas_eléctricas18[[#Headers],[Herramientas_eléctricas]],
    COUNTIF(Herramientas_neumáticas19[Herramientas_neumáticas], B30) &gt; 0, Herramientas_neumáticas19[[#Headers],[Herramientas_neumáticas]],
    COUNTIF(Herramientas_de_medición20[Herramientas_de_medición], B30) &gt; 0, Herramientas_de_medición20[[#Headers],[Herramientas_de_medición]],
    COUNTIF(Herrramientas_mecánicas21[Herramientas_mecánicas], B30) &gt; 0, Herrramientas_mecánicas21[[#Headers],[Herramientas_mecánicas]],
    COUNTIF(AI30:AI36, B30) &gt; 0, Herramientas_hidráulicas22[[#Headers],[Herramientas_hidráulicas]],
    COUNTIF(EPP_23[SPCC], B30) &gt; 0, EPP_23[[#Headers],[SPCC]],
   COUNTIF(Herramientas_de_izaje24[Herramientas_de_izaje], B30) &gt; 0, Herramientas_de_izaje24[[#Headers],[Herramientas_de_izaje]],
COUNTIF(Tabla1626[Equipos], B30) &gt; 0, Tabla1626[[#Headers],[Equipos]],
    TRUE, "Sin clasificación"
)</f>
        <v>Herramientas_mecánicas</v>
      </c>
      <c r="F30" s="15" t="str">
        <f>_xlfn.TEXTJOIN(", ",TRUE, Tabla38[[#This Row],[Tipo de escalera]],Tabla38[[#This Row],[Longitud]],Tabla38[[#This Row],[Carga Maxima]])</f>
        <v>ESCALERA DOBLE O DE TIJERA</v>
      </c>
      <c r="G30" s="15" t="s">
        <v>384</v>
      </c>
      <c r="H30" s="15"/>
      <c r="I30" s="15"/>
      <c r="J30" s="15" t="s">
        <v>318</v>
      </c>
      <c r="K30" s="47" t="s">
        <v>372</v>
      </c>
      <c r="L30" t="s">
        <v>373</v>
      </c>
      <c r="M30" s="47">
        <v>2886505719</v>
      </c>
      <c r="N30" s="47" t="str">
        <f>_xlfn.LET(
    _xlpm.itemBuscado, B30,
    _xlpm.areaBuscada, C30,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TEXT(COUNTIF($C$2:C30, _xlpm.areaBuscada), "0000"),
    _xlpm.codItem &amp; "-" &amp; _xlpm.codArea &amp; "-" &amp; _xlpm.secuencia
)</f>
        <v>ZM-ES-ELT-0020</v>
      </c>
      <c r="P30" s="15"/>
      <c r="R30" s="48" t="s">
        <v>224</v>
      </c>
      <c r="AE30" s="22" t="s">
        <v>248</v>
      </c>
      <c r="AF30" t="s">
        <v>17</v>
      </c>
      <c r="AG30" s="18" t="s">
        <v>249</v>
      </c>
      <c r="AH30" t="s">
        <v>250</v>
      </c>
      <c r="AI30" s="64" t="s">
        <v>251</v>
      </c>
      <c r="AK30" t="s">
        <v>252</v>
      </c>
      <c r="AN30" s="18" t="s">
        <v>253</v>
      </c>
    </row>
    <row r="31" spans="2:43" x14ac:dyDescent="0.3">
      <c r="B31" t="s">
        <v>20</v>
      </c>
      <c r="C31" s="11" t="s">
        <v>176</v>
      </c>
      <c r="E31" s="11" t="str" cm="1">
        <f t="array" ref="E31">_xlfn.IFS(
    COUNTIF(Herramientas_eléctricas18[Herramientas_eléctricas], B31) &gt; 0, Herramientas_eléctricas18[[#Headers],[Herramientas_eléctricas]],
    COUNTIF(Herramientas_neumáticas19[Herramientas_neumáticas], B31) &gt; 0, Herramientas_neumáticas19[[#Headers],[Herramientas_neumáticas]],
    COUNTIF(Herramientas_de_medición20[Herramientas_de_medición], B31) &gt; 0, Herramientas_de_medición20[[#Headers],[Herramientas_de_medición]],
    COUNTIF(Herrramientas_mecánicas21[Herramientas_mecánicas], B31) &gt; 0, Herrramientas_mecánicas21[[#Headers],[Herramientas_mecánicas]],
    COUNTIF(AI31:AI37, B31) &gt; 0, Herramientas_hidráulicas22[[#Headers],[Herramientas_hidráulicas]],
    COUNTIF(EPP_23[SPCC], B31) &gt; 0, EPP_23[[#Headers],[SPCC]],
   COUNTIF(Herramientas_de_izaje24[Herramientas_de_izaje], B31) &gt; 0, Herramientas_de_izaje24[[#Headers],[Herramientas_de_izaje]],
COUNTIF(Tabla1626[Equipos], B31) &gt; 0, Tabla1626[[#Headers],[Equipos]],
    TRUE, "Sin clasificación"
)</f>
        <v>Herramientas_mecánicas</v>
      </c>
      <c r="F31" s="15" t="str">
        <f>_xlfn.TEXTJOIN(", ",TRUE, Tabla38[[#This Row],[Tipo de escalera]],Tabla38[[#This Row],[Longitud]],Tabla38[[#This Row],[Carga Maxima]])</f>
        <v>ESCALERA DOBLE O DE TIJERA</v>
      </c>
      <c r="G31" s="15" t="s">
        <v>384</v>
      </c>
      <c r="H31" s="15"/>
      <c r="I31" s="15"/>
      <c r="J31" s="15" t="s">
        <v>318</v>
      </c>
      <c r="K31" s="47" t="s">
        <v>355</v>
      </c>
      <c r="L31" t="s">
        <v>374</v>
      </c>
      <c r="M31" s="47" t="s">
        <v>355</v>
      </c>
      <c r="N31" s="47" t="str">
        <f>_xlfn.LET(
    _xlpm.itemBuscado, B31,
    _xlpm.areaBuscada, C31,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TEXT(COUNTIF($C$2:C31, _xlpm.areaBuscada), "0000"),
    _xlpm.codItem &amp; "-" &amp; _xlpm.codArea &amp; "-" &amp; _xlpm.secuencia
)</f>
        <v>ZM-ES-ELT-0021</v>
      </c>
      <c r="P31" s="15"/>
      <c r="R31" s="48"/>
      <c r="AE31" s="65" t="s">
        <v>254</v>
      </c>
      <c r="AG31" t="s">
        <v>255</v>
      </c>
      <c r="AN31" s="26" t="s">
        <v>256</v>
      </c>
    </row>
    <row r="32" spans="2:43" ht="28.5" customHeight="1" x14ac:dyDescent="0.3">
      <c r="B32" t="s">
        <v>20</v>
      </c>
      <c r="C32" s="11" t="s">
        <v>180</v>
      </c>
      <c r="E32" s="11" t="str" cm="1">
        <f t="array" ref="E32">_xlfn.IFS(
    COUNTIF(Herramientas_eléctricas18[Herramientas_eléctricas], B32) &gt; 0, Herramientas_eléctricas18[[#Headers],[Herramientas_eléctricas]],
    COUNTIF(Herramientas_neumáticas19[Herramientas_neumáticas], B32) &gt; 0, Herramientas_neumáticas19[[#Headers],[Herramientas_neumáticas]],
    COUNTIF(Herramientas_de_medición20[Herramientas_de_medición], B32) &gt; 0, Herramientas_de_medición20[[#Headers],[Herramientas_de_medición]],
    COUNTIF(Herrramientas_mecánicas21[Herramientas_mecánicas], B32) &gt; 0, Herrramientas_mecánicas21[[#Headers],[Herramientas_mecánicas]],
    COUNTIF(AI32:AI38, B32) &gt; 0, Herramientas_hidráulicas22[[#Headers],[Herramientas_hidráulicas]],
    COUNTIF(EPP_23[SPCC], B32) &gt; 0, EPP_23[[#Headers],[SPCC]],
   COUNTIF(Herramientas_de_izaje24[Herramientas_de_izaje], B32) &gt; 0, Herramientas_de_izaje24[[#Headers],[Herramientas_de_izaje]],
COUNTIF(Tabla1626[Equipos], B32) &gt; 0, Tabla1626[[#Headers],[Equipos]],
    TRUE, "Sin clasificación"
)</f>
        <v>Herramientas_mecánicas</v>
      </c>
      <c r="F32" s="15" t="str">
        <f>_xlfn.TEXTJOIN(", ",TRUE, Tabla38[[#This Row],[Tipo de escalera]],Tabla38[[#This Row],[Longitud]],Tabla38[[#This Row],[Carga Maxima]])</f>
        <v>ESCALERA SIMPLE DE UN TRAMO</v>
      </c>
      <c r="G32" s="15" t="s">
        <v>383</v>
      </c>
      <c r="H32" s="15"/>
      <c r="I32" s="15"/>
      <c r="J32" s="15" t="s">
        <v>337</v>
      </c>
      <c r="K32" s="47" t="s">
        <v>375</v>
      </c>
      <c r="L32" t="s">
        <v>376</v>
      </c>
      <c r="M32" s="47">
        <v>9564100988</v>
      </c>
      <c r="N32" s="47" t="str">
        <f>_xlfn.LET(
    _xlpm.itemBuscado, B32,
    _xlpm.areaBuscada, C32,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TEXT(COUNTIF($C$2:C32, _xlpm.areaBuscada), "0000"),
    _xlpm.codItem &amp; "-" &amp; _xlpm.codArea &amp; "-" &amp; _xlpm.secuencia
)</f>
        <v>ZM-ES-CO-0001</v>
      </c>
      <c r="P32" s="15"/>
      <c r="R32" s="48"/>
    </row>
    <row r="33" spans="2:43" x14ac:dyDescent="0.3">
      <c r="B33" t="s">
        <v>20</v>
      </c>
      <c r="C33" s="11" t="s">
        <v>180</v>
      </c>
      <c r="E33" s="11" t="str" cm="1">
        <f t="array" ref="E33">_xlfn.IFS(
    COUNTIF(Herramientas_eléctricas18[Herramientas_eléctricas], B33) &gt; 0, Herramientas_eléctricas18[[#Headers],[Herramientas_eléctricas]],
    COUNTIF(Herramientas_neumáticas19[Herramientas_neumáticas], B33) &gt; 0, Herramientas_neumáticas19[[#Headers],[Herramientas_neumáticas]],
    COUNTIF(Herramientas_de_medición20[Herramientas_de_medición], B33) &gt; 0, Herramientas_de_medición20[[#Headers],[Herramientas_de_medición]],
    COUNTIF(Herrramientas_mecánicas21[Herramientas_mecánicas], B33) &gt; 0, Herrramientas_mecánicas21[[#Headers],[Herramientas_mecánicas]],
    COUNTIF(AI33:AI39, B33) &gt; 0, Herramientas_hidráulicas22[[#Headers],[Herramientas_hidráulicas]],
    COUNTIF(EPP_23[SPCC], B33) &gt; 0, EPP_23[[#Headers],[SPCC]],
   COUNTIF(Herramientas_de_izaje24[Herramientas_de_izaje], B33) &gt; 0, Herramientas_de_izaje24[[#Headers],[Herramientas_de_izaje]],
COUNTIF(Tabla1626[Equipos], B33) &gt; 0, Tabla1626[[#Headers],[Equipos]],
    TRUE, "Sin clasificación"
)</f>
        <v>Herramientas_mecánicas</v>
      </c>
      <c r="F33" s="15" t="str">
        <f>_xlfn.TEXTJOIN(", ",TRUE, Tabla38[[#This Row],[Tipo de escalera]],Tabla38[[#This Row],[Longitud]],Tabla38[[#This Row],[Carga Maxima]])</f>
        <v>ESCALERA DOBLE O DE TIJERA</v>
      </c>
      <c r="G33" s="15" t="s">
        <v>384</v>
      </c>
      <c r="H33" s="15"/>
      <c r="I33" s="15"/>
      <c r="J33" s="15" t="s">
        <v>318</v>
      </c>
      <c r="K33" s="47" t="s">
        <v>377</v>
      </c>
      <c r="L33" t="s">
        <v>378</v>
      </c>
      <c r="M33" s="47">
        <v>2886500866</v>
      </c>
      <c r="N33" s="47" t="str">
        <f>_xlfn.LET(
    _xlpm.itemBuscado, B33,
    _xlpm.areaBuscada, C33,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TEXT(COUNTIF($C$2:C33, _xlpm.areaBuscada), "0000"),
    _xlpm.codItem &amp; "-" &amp; _xlpm.codArea &amp; "-" &amp; _xlpm.secuencia
)</f>
        <v>ZM-ES-CO-0002</v>
      </c>
      <c r="P33" s="15"/>
      <c r="R33" s="48"/>
      <c r="AE33" t="s">
        <v>68</v>
      </c>
      <c r="AF33" t="s">
        <v>36</v>
      </c>
      <c r="AG33" t="s">
        <v>257</v>
      </c>
      <c r="AH33" t="s">
        <v>258</v>
      </c>
    </row>
    <row r="34" spans="2:43" x14ac:dyDescent="0.3">
      <c r="B34" t="s">
        <v>20</v>
      </c>
      <c r="C34" s="11" t="s">
        <v>180</v>
      </c>
      <c r="E34" s="11" t="str" cm="1">
        <f t="array" ref="E34">_xlfn.IFS(
    COUNTIF(Herramientas_eléctricas18[Herramientas_eléctricas], B34) &gt; 0, Herramientas_eléctricas18[[#Headers],[Herramientas_eléctricas]],
    COUNTIF(Herramientas_neumáticas19[Herramientas_neumáticas], B34) &gt; 0, Herramientas_neumáticas19[[#Headers],[Herramientas_neumáticas]],
    COUNTIF(Herramientas_de_medición20[Herramientas_de_medición], B34) &gt; 0, Herramientas_de_medición20[[#Headers],[Herramientas_de_medición]],
    COUNTIF(Herrramientas_mecánicas21[Herramientas_mecánicas], B34) &gt; 0, Herrramientas_mecánicas21[[#Headers],[Herramientas_mecánicas]],
    COUNTIF(AI34:AI40, B34) &gt; 0, Herramientas_hidráulicas22[[#Headers],[Herramientas_hidráulicas]],
    COUNTIF(EPP_23[SPCC], B34) &gt; 0, EPP_23[[#Headers],[SPCC]],
   COUNTIF(Herramientas_de_izaje24[Herramientas_de_izaje], B34) &gt; 0, Herramientas_de_izaje24[[#Headers],[Herramientas_de_izaje]],
COUNTIF(Tabla1626[Equipos], B34) &gt; 0, Tabla1626[[#Headers],[Equipos]],
    TRUE, "Sin clasificación"
)</f>
        <v>Herramientas_mecánicas</v>
      </c>
      <c r="F34" s="15" t="str">
        <f>_xlfn.TEXTJOIN(", ",TRUE, Tabla38[[#This Row],[Tipo de escalera]],Tabla38[[#This Row],[Longitud]],Tabla38[[#This Row],[Carga Maxima]])</f>
        <v>ESCALERA DOBLE O DE TIJERA</v>
      </c>
      <c r="G34" s="15" t="s">
        <v>384</v>
      </c>
      <c r="H34" s="15"/>
      <c r="I34" s="15"/>
      <c r="J34" s="15" t="s">
        <v>337</v>
      </c>
      <c r="K34" s="47" t="s">
        <v>379</v>
      </c>
      <c r="L34" t="s">
        <v>380</v>
      </c>
      <c r="M34" s="47">
        <v>9564120744</v>
      </c>
      <c r="N34" s="47" t="str">
        <f>_xlfn.LET(
    _xlpm.itemBuscado, B34,
    _xlpm.areaBuscada, C34,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TEXT(COUNTIF($C$2:C34, _xlpm.areaBuscada), "0000"),
    _xlpm.codItem &amp; "-" &amp; _xlpm.codArea &amp; "-" &amp; _xlpm.secuencia
)</f>
        <v>ZM-ES-CO-0003</v>
      </c>
      <c r="P34" s="15"/>
      <c r="R34" s="48"/>
      <c r="AE34" s="20" t="s">
        <v>259</v>
      </c>
      <c r="AF34" t="s">
        <v>260</v>
      </c>
      <c r="AG34" s="19" t="s">
        <v>261</v>
      </c>
      <c r="AH34" s="22" t="s">
        <v>262</v>
      </c>
    </row>
    <row r="35" spans="2:43" ht="28.8" x14ac:dyDescent="0.3">
      <c r="B35" t="s">
        <v>20</v>
      </c>
      <c r="C35" s="11" t="s">
        <v>178</v>
      </c>
      <c r="E35" s="11" t="str" cm="1">
        <f t="array" ref="E35">_xlfn.IFS(
    COUNTIF(Herramientas_eléctricas18[Herramientas_eléctricas], B35) &gt; 0, Herramientas_eléctricas18[[#Headers],[Herramientas_eléctricas]],
    COUNTIF(Herramientas_neumáticas19[Herramientas_neumáticas], B35) &gt; 0, Herramientas_neumáticas19[[#Headers],[Herramientas_neumáticas]],
    COUNTIF(Herramientas_de_medición20[Herramientas_de_medición], B35) &gt; 0, Herramientas_de_medición20[[#Headers],[Herramientas_de_medición]],
    COUNTIF(Herrramientas_mecánicas21[Herramientas_mecánicas], B35) &gt; 0, Herrramientas_mecánicas21[[#Headers],[Herramientas_mecánicas]],
    COUNTIF(AI35:AI41, B35) &gt; 0, Herramientas_hidráulicas22[[#Headers],[Herramientas_hidráulicas]],
    COUNTIF(EPP_23[SPCC], B35) &gt; 0, EPP_23[[#Headers],[SPCC]],
   COUNTIF(Herramientas_de_izaje24[Herramientas_de_izaje], B35) &gt; 0, Herramientas_de_izaje24[[#Headers],[Herramientas_de_izaje]],
COUNTIF(Tabla1626[Equipos], B35) &gt; 0, Tabla1626[[#Headers],[Equipos]],
    TRUE, "Sin clasificación"
)</f>
        <v>Herramientas_mecánicas</v>
      </c>
      <c r="F35" s="15" t="str">
        <f>_xlfn.TEXTJOIN(", ",TRUE, Tabla38[[#This Row],[Tipo de escalera]],Tabla38[[#This Row],[Longitud]],Tabla38[[#This Row],[Carga Maxima]])</f>
        <v>ESCALERA SIMPLE DE UN TRAMO, 3m, 300 lb</v>
      </c>
      <c r="G35" s="15" t="s">
        <v>383</v>
      </c>
      <c r="H35" s="15" t="s">
        <v>392</v>
      </c>
      <c r="I35" s="15" t="s">
        <v>393</v>
      </c>
      <c r="J35" s="15" t="s">
        <v>318</v>
      </c>
      <c r="K35" s="47" t="s">
        <v>394</v>
      </c>
      <c r="L35" t="s">
        <v>395</v>
      </c>
      <c r="M35" s="47" t="s">
        <v>355</v>
      </c>
      <c r="N35" s="47" t="str">
        <f>_xlfn.LET(
    _xlpm.itemBuscado, B35,
    _xlpm.areaBuscada, C35,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TEXT(COUNTIF($C$2:C35, _xlpm.areaBuscada), "0000"),
    _xlpm.codItem &amp; "-" &amp; _xlpm.codArea &amp; "-" &amp; _xlpm.secuencia
)</f>
        <v>ZM-ES-TG-0001</v>
      </c>
      <c r="P35" s="15"/>
      <c r="R35" s="48"/>
      <c r="AE35" s="66" t="s">
        <v>263</v>
      </c>
      <c r="AG35" s="13" t="s">
        <v>264</v>
      </c>
      <c r="AH35" s="67" t="s">
        <v>265</v>
      </c>
    </row>
    <row r="36" spans="2:43" ht="28.8" x14ac:dyDescent="0.3">
      <c r="B36" t="s">
        <v>20</v>
      </c>
      <c r="C36" s="11" t="s">
        <v>178</v>
      </c>
      <c r="E36" s="11" t="str" cm="1">
        <f t="array" ref="E36">_xlfn.IFS(
    COUNTIF(Herramientas_eléctricas18[Herramientas_eléctricas], B36) &gt; 0, Herramientas_eléctricas18[[#Headers],[Herramientas_eléctricas]],
    COUNTIF(Herramientas_neumáticas19[Herramientas_neumáticas], B36) &gt; 0, Herramientas_neumáticas19[[#Headers],[Herramientas_neumáticas]],
    COUNTIF(Herramientas_de_medición20[Herramientas_de_medición], B36) &gt; 0, Herramientas_de_medición20[[#Headers],[Herramientas_de_medición]],
    COUNTIF(Herrramientas_mecánicas21[Herramientas_mecánicas], B36) &gt; 0, Herrramientas_mecánicas21[[#Headers],[Herramientas_mecánicas]],
    COUNTIF(AI36:AI42, B36) &gt; 0, Herramientas_hidráulicas22[[#Headers],[Herramientas_hidráulicas]],
    COUNTIF(EPP_23[SPCC], B36) &gt; 0, EPP_23[[#Headers],[SPCC]],
   COUNTIF(Herramientas_de_izaje24[Herramientas_de_izaje], B36) &gt; 0, Herramientas_de_izaje24[[#Headers],[Herramientas_de_izaje]],
COUNTIF(Tabla1626[Equipos], B36) &gt; 0, Tabla1626[[#Headers],[Equipos]],
    TRUE, "Sin clasificación"
)</f>
        <v>Herramientas_mecánicas</v>
      </c>
      <c r="F36" s="15" t="str">
        <f>_xlfn.TEXTJOIN(", ",TRUE, Tabla38[[#This Row],[Tipo de escalera]],Tabla38[[#This Row],[Longitud]],Tabla38[[#This Row],[Carga Maxima]])</f>
        <v>ESCALERA SIMPLE DE UN TRAMO, 2.4 M, 300 LB</v>
      </c>
      <c r="G36" s="15" t="s">
        <v>383</v>
      </c>
      <c r="H36" s="15" t="s">
        <v>397</v>
      </c>
      <c r="I36" s="15" t="s">
        <v>396</v>
      </c>
      <c r="J36" s="15" t="s">
        <v>318</v>
      </c>
      <c r="K36" s="47" t="s">
        <v>355</v>
      </c>
      <c r="L36" t="s">
        <v>355</v>
      </c>
      <c r="M36" s="47" t="s">
        <v>355</v>
      </c>
      <c r="N36" s="47" t="str">
        <f>_xlfn.LET(
    _xlpm.itemBuscado, B36,
    _xlpm.areaBuscada, C36,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TEXT(COUNTIF($C$2:C36, _xlpm.areaBuscada), "0000"),
    _xlpm.codItem &amp; "-" &amp; _xlpm.codArea &amp; "-" &amp; _xlpm.secuencia
)</f>
        <v>ZM-ES-TG-0002</v>
      </c>
      <c r="P36" s="15"/>
      <c r="R36" s="48"/>
      <c r="AG36" s="68" t="s">
        <v>266</v>
      </c>
      <c r="AH36" s="22" t="s">
        <v>267</v>
      </c>
    </row>
    <row r="37" spans="2:43" ht="28.8" x14ac:dyDescent="0.3">
      <c r="B37" t="s">
        <v>20</v>
      </c>
      <c r="C37" s="11" t="s">
        <v>178</v>
      </c>
      <c r="E37" s="11" t="str" cm="1">
        <f t="array" ref="E37">_xlfn.IFS(
    COUNTIF(Herramientas_eléctricas18[Herramientas_eléctricas], B37) &gt; 0, Herramientas_eléctricas18[[#Headers],[Herramientas_eléctricas]],
    COUNTIF(Herramientas_neumáticas19[Herramientas_neumáticas], B37) &gt; 0, Herramientas_neumáticas19[[#Headers],[Herramientas_neumáticas]],
    COUNTIF(Herramientas_de_medición20[Herramientas_de_medición], B37) &gt; 0, Herramientas_de_medición20[[#Headers],[Herramientas_de_medición]],
    COUNTIF(Herrramientas_mecánicas21[Herramientas_mecánicas], B37) &gt; 0, Herrramientas_mecánicas21[[#Headers],[Herramientas_mecánicas]],
    COUNTIF(AI37:AI43, B37) &gt; 0, Herramientas_hidráulicas22[[#Headers],[Herramientas_hidráulicas]],
    COUNTIF(EPP_23[SPCC], B37) &gt; 0, EPP_23[[#Headers],[SPCC]],
   COUNTIF(Herramientas_de_izaje24[Herramientas_de_izaje], B37) &gt; 0, Herramientas_de_izaje24[[#Headers],[Herramientas_de_izaje]],
COUNTIF(Tabla1626[Equipos], B37) &gt; 0, Tabla1626[[#Headers],[Equipos]],
    TRUE, "Sin clasificación"
)</f>
        <v>Herramientas_mecánicas</v>
      </c>
      <c r="F37" s="15" t="str">
        <f>_xlfn.TEXTJOIN(", ",TRUE, Tabla38[[#This Row],[Tipo de escalera]],Tabla38[[#This Row],[Longitud]],Tabla38[[#This Row],[Carga Maxima]])</f>
        <v>ESCALERA SIMPLE DE UN TRAMO, 2.2 M, 300 LB</v>
      </c>
      <c r="G37" s="15" t="s">
        <v>383</v>
      </c>
      <c r="H37" s="15" t="s">
        <v>398</v>
      </c>
      <c r="I37" s="15" t="s">
        <v>396</v>
      </c>
      <c r="J37" s="15" t="s">
        <v>318</v>
      </c>
      <c r="K37" s="47" t="s">
        <v>355</v>
      </c>
      <c r="L37" t="s">
        <v>399</v>
      </c>
      <c r="M37" s="47" t="s">
        <v>355</v>
      </c>
      <c r="N37" s="47" t="str">
        <f>_xlfn.LET(
    _xlpm.itemBuscado, B37,
    _xlpm.areaBuscada, C37,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TEXT(COUNTIF($C$2:C37, _xlpm.areaBuscada), "0000"),
    _xlpm.codItem &amp; "-" &amp; _xlpm.codArea &amp; "-" &amp; _xlpm.secuencia
)</f>
        <v>ZM-ES-TG-0003</v>
      </c>
      <c r="P37" s="15"/>
      <c r="R37" s="48"/>
      <c r="AH37" s="18" t="s">
        <v>268</v>
      </c>
    </row>
    <row r="38" spans="2:43" ht="28.8" x14ac:dyDescent="0.3">
      <c r="B38" t="s">
        <v>20</v>
      </c>
      <c r="C38" s="11" t="s">
        <v>178</v>
      </c>
      <c r="E38" s="11" t="str" cm="1">
        <f t="array" ref="E38">_xlfn.IFS(
    COUNTIF(Herramientas_eléctricas18[Herramientas_eléctricas], B38) &gt; 0, Herramientas_eléctricas18[[#Headers],[Herramientas_eléctricas]],
    COUNTIF(Herramientas_neumáticas19[Herramientas_neumáticas], B38) &gt; 0, Herramientas_neumáticas19[[#Headers],[Herramientas_neumáticas]],
    COUNTIF(Herramientas_de_medición20[Herramientas_de_medición], B38) &gt; 0, Herramientas_de_medición20[[#Headers],[Herramientas_de_medición]],
    COUNTIF(Herrramientas_mecánicas21[Herramientas_mecánicas], B38) &gt; 0, Herrramientas_mecánicas21[[#Headers],[Herramientas_mecánicas]],
    COUNTIF(AI38:AI44, B38) &gt; 0, Herramientas_hidráulicas22[[#Headers],[Herramientas_hidráulicas]],
    COUNTIF(EPP_23[SPCC], B38) &gt; 0, EPP_23[[#Headers],[SPCC]],
   COUNTIF(Herramientas_de_izaje24[Herramientas_de_izaje], B38) &gt; 0, Herramientas_de_izaje24[[#Headers],[Herramientas_de_izaje]],
COUNTIF(Tabla1626[Equipos], B38) &gt; 0, Tabla1626[[#Headers],[Equipos]],
    TRUE, "Sin clasificación"
)</f>
        <v>Herramientas_mecánicas</v>
      </c>
      <c r="F38" s="15" t="str">
        <f>_xlfn.TEXTJOIN(", ",TRUE, Tabla38[[#This Row],[Tipo de escalera]],Tabla38[[#This Row],[Longitud]],Tabla38[[#This Row],[Carga Maxima]])</f>
        <v>ESCALERA SIMPLE DE UN TRAMO, 2.4 M, 225 KG</v>
      </c>
      <c r="G38" s="15" t="s">
        <v>383</v>
      </c>
      <c r="H38" s="15" t="s">
        <v>397</v>
      </c>
      <c r="I38" s="15" t="s">
        <v>401</v>
      </c>
      <c r="J38" s="15" t="s">
        <v>337</v>
      </c>
      <c r="K38" s="47" t="s">
        <v>403</v>
      </c>
      <c r="L38" t="s">
        <v>402</v>
      </c>
      <c r="M38" s="47" t="s">
        <v>355</v>
      </c>
      <c r="N38" s="47" t="str">
        <f>_xlfn.LET(
    _xlpm.itemBuscado, B38,
    _xlpm.areaBuscada, C38,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TEXT(COUNTIF($C$2:C38, _xlpm.areaBuscada), "0000"),
    _xlpm.codItem &amp; "-" &amp; _xlpm.codArea &amp; "-" &amp; _xlpm.secuencia
)</f>
        <v>ZM-ES-TG-0004</v>
      </c>
      <c r="P38" s="15"/>
      <c r="R38" s="48"/>
      <c r="AE38" s="69" t="s">
        <v>24</v>
      </c>
      <c r="AG38" t="s">
        <v>269</v>
      </c>
      <c r="AH38" s="18" t="s">
        <v>270</v>
      </c>
    </row>
    <row r="39" spans="2:43" ht="28.8" x14ac:dyDescent="0.3">
      <c r="B39" t="s">
        <v>20</v>
      </c>
      <c r="C39" s="11" t="s">
        <v>178</v>
      </c>
      <c r="E39" s="11" t="str" cm="1">
        <f t="array" ref="E39">_xlfn.IFS(
    COUNTIF(Herramientas_eléctricas18[Herramientas_eléctricas], B39) &gt; 0, Herramientas_eléctricas18[[#Headers],[Herramientas_eléctricas]],
    COUNTIF(Herramientas_neumáticas19[Herramientas_neumáticas], B39) &gt; 0, Herramientas_neumáticas19[[#Headers],[Herramientas_neumáticas]],
    COUNTIF(Herramientas_de_medición20[Herramientas_de_medición], B39) &gt; 0, Herramientas_de_medición20[[#Headers],[Herramientas_de_medición]],
    COUNTIF(Herrramientas_mecánicas21[Herramientas_mecánicas], B39) &gt; 0, Herrramientas_mecánicas21[[#Headers],[Herramientas_mecánicas]],
    COUNTIF(AI39:AI45, B39) &gt; 0, Herramientas_hidráulicas22[[#Headers],[Herramientas_hidráulicas]],
    COUNTIF(EPP_23[SPCC], B39) &gt; 0, EPP_23[[#Headers],[SPCC]],
   COUNTIF(Herramientas_de_izaje24[Herramientas_de_izaje], B39) &gt; 0, Herramientas_de_izaje24[[#Headers],[Herramientas_de_izaje]],
COUNTIF(Tabla1626[Equipos], B39) &gt; 0, Tabla1626[[#Headers],[Equipos]],
    TRUE, "Sin clasificación"
)</f>
        <v>Herramientas_mecánicas</v>
      </c>
      <c r="F39" s="15" t="str">
        <f>_xlfn.TEXTJOIN(", ",TRUE, Tabla38[[#This Row],[Tipo de escalera]],Tabla38[[#This Row],[Longitud]],Tabla38[[#This Row],[Carga Maxima]])</f>
        <v>ESCALERA SIMPLE DE UN TRAMO, 2.4 M, 300 LB</v>
      </c>
      <c r="G39" s="15" t="s">
        <v>383</v>
      </c>
      <c r="H39" s="15" t="s">
        <v>397</v>
      </c>
      <c r="I39" s="15" t="s">
        <v>396</v>
      </c>
      <c r="J39" s="15" t="s">
        <v>318</v>
      </c>
      <c r="K39" s="47" t="s">
        <v>355</v>
      </c>
      <c r="L39" t="s">
        <v>400</v>
      </c>
      <c r="M39" s="47" t="s">
        <v>355</v>
      </c>
      <c r="N39" s="47" t="str">
        <f>_xlfn.LET(
    _xlpm.itemBuscado, B39,
    _xlpm.areaBuscada, C39,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TEXT(COUNTIF($C$2:C39, _xlpm.areaBuscada), "0000"),
    _xlpm.codItem &amp; "-" &amp; _xlpm.codArea &amp; "-" &amp; _xlpm.secuencia
)</f>
        <v>ZM-ES-TG-0005</v>
      </c>
      <c r="P39" s="15"/>
      <c r="R39" s="48"/>
      <c r="AE39" s="62" t="s">
        <v>271</v>
      </c>
      <c r="AG39" s="68" t="s">
        <v>272</v>
      </c>
      <c r="AH39" s="22" t="s">
        <v>273</v>
      </c>
    </row>
    <row r="40" spans="2:43" ht="28.8" x14ac:dyDescent="0.3">
      <c r="B40" t="s">
        <v>20</v>
      </c>
      <c r="C40" s="11" t="s">
        <v>178</v>
      </c>
      <c r="E40" s="11" t="str" cm="1">
        <f t="array" ref="E40">_xlfn.IFS(
    COUNTIF(Herramientas_eléctricas18[Herramientas_eléctricas], B40) &gt; 0, Herramientas_eléctricas18[[#Headers],[Herramientas_eléctricas]],
    COUNTIF(Herramientas_neumáticas19[Herramientas_neumáticas], B40) &gt; 0, Herramientas_neumáticas19[[#Headers],[Herramientas_neumáticas]],
    COUNTIF(Herramientas_de_medición20[Herramientas_de_medición], B40) &gt; 0, Herramientas_de_medición20[[#Headers],[Herramientas_de_medición]],
    COUNTIF(Herrramientas_mecánicas21[Herramientas_mecánicas], B40) &gt; 0, Herrramientas_mecánicas21[[#Headers],[Herramientas_mecánicas]],
    COUNTIF(AI40:AI46, B40) &gt; 0, Herramientas_hidráulicas22[[#Headers],[Herramientas_hidráulicas]],
    COUNTIF(EPP_23[SPCC], B40) &gt; 0, EPP_23[[#Headers],[SPCC]],
   COUNTIF(Herramientas_de_izaje24[Herramientas_de_izaje], B40) &gt; 0, Herramientas_de_izaje24[[#Headers],[Herramientas_de_izaje]],
COUNTIF(Tabla1626[Equipos], B40) &gt; 0, Tabla1626[[#Headers],[Equipos]],
    TRUE, "Sin clasificación"
)</f>
        <v>Herramientas_mecánicas</v>
      </c>
      <c r="F40" s="15" t="str">
        <f>_xlfn.TEXTJOIN(", ",TRUE, Tabla38[[#This Row],[Tipo de escalera]],Tabla38[[#This Row],[Longitud]],Tabla38[[#This Row],[Carga Maxima]])</f>
        <v>ESCALERA SIMPLE DE UN TRAMO, 2,4, 225 KG</v>
      </c>
      <c r="G40" s="15" t="s">
        <v>383</v>
      </c>
      <c r="H40" s="15">
        <v>2.4</v>
      </c>
      <c r="I40" s="15" t="s">
        <v>401</v>
      </c>
      <c r="J40" s="15" t="s">
        <v>337</v>
      </c>
      <c r="K40" s="47" t="s">
        <v>404</v>
      </c>
      <c r="L40" t="s">
        <v>355</v>
      </c>
      <c r="M40" s="47">
        <v>9564100988</v>
      </c>
      <c r="N40" s="47" t="str">
        <f>_xlfn.LET(
    _xlpm.itemBuscado, B40,
    _xlpm.areaBuscada, C40,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TEXT(COUNTIF($C$2:C40, _xlpm.areaBuscada), "0000"),
    _xlpm.codItem &amp; "-" &amp; _xlpm.codArea &amp; "-" &amp; _xlpm.secuencia
)</f>
        <v>ZM-ES-TG-0006</v>
      </c>
      <c r="P40" s="15"/>
      <c r="R40" s="48"/>
      <c r="AE40" s="70" t="s">
        <v>17</v>
      </c>
      <c r="AH40" t="s">
        <v>274</v>
      </c>
    </row>
    <row r="41" spans="2:43" ht="28.8" x14ac:dyDescent="0.3">
      <c r="B41" t="s">
        <v>20</v>
      </c>
      <c r="C41" s="11" t="s">
        <v>178</v>
      </c>
      <c r="E41" s="11" t="str" cm="1">
        <f t="array" ref="E41">_xlfn.IFS(
    COUNTIF(Herramientas_eléctricas18[Herramientas_eléctricas], B41) &gt; 0, Herramientas_eléctricas18[[#Headers],[Herramientas_eléctricas]],
    COUNTIF(Herramientas_neumáticas19[Herramientas_neumáticas], B41) &gt; 0, Herramientas_neumáticas19[[#Headers],[Herramientas_neumáticas]],
    COUNTIF(Herramientas_de_medición20[Herramientas_de_medición], B41) &gt; 0, Herramientas_de_medición20[[#Headers],[Herramientas_de_medición]],
    COUNTIF(Herrramientas_mecánicas21[Herramientas_mecánicas], B41) &gt; 0, Herrramientas_mecánicas21[[#Headers],[Herramientas_mecánicas]],
    COUNTIF(AI41:AI47, B41) &gt; 0, Herramientas_hidráulicas22[[#Headers],[Herramientas_hidráulicas]],
    COUNTIF(EPP_23[SPCC], B41) &gt; 0, EPP_23[[#Headers],[SPCC]],
   COUNTIF(Herramientas_de_izaje24[Herramientas_de_izaje], B41) &gt; 0, Herramientas_de_izaje24[[#Headers],[Herramientas_de_izaje]],
COUNTIF(Tabla1626[Equipos], B41) &gt; 0, Tabla1626[[#Headers],[Equipos]],
    TRUE, "Sin clasificación"
)</f>
        <v>Herramientas_mecánicas</v>
      </c>
      <c r="F41" s="15" t="str">
        <f>_xlfn.TEXTJOIN(", ",TRUE, Tabla38[[#This Row],[Tipo de escalera]],Tabla38[[#This Row],[Longitud]],Tabla38[[#This Row],[Carga Maxima]])</f>
        <v>ESCALERA SIMPLE DE UN TRAMO, NO TIENE, NO TIENE</v>
      </c>
      <c r="G41" s="15" t="s">
        <v>383</v>
      </c>
      <c r="H41" s="15" t="s">
        <v>355</v>
      </c>
      <c r="I41" s="15" t="s">
        <v>355</v>
      </c>
      <c r="J41" s="15" t="s">
        <v>355</v>
      </c>
      <c r="K41" s="47" t="s">
        <v>355</v>
      </c>
      <c r="L41" t="s">
        <v>405</v>
      </c>
      <c r="M41" s="47" t="s">
        <v>355</v>
      </c>
      <c r="N41" s="47" t="str">
        <f>_xlfn.LET(
    _xlpm.itemBuscado, B41,
    _xlpm.areaBuscada, C41,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TEXT(COUNTIF($C$2:C41, _xlpm.areaBuscada), "0000"),
    _xlpm.codItem &amp; "-" &amp; _xlpm.codArea &amp; "-" &amp; _xlpm.secuencia
)</f>
        <v>ZM-ES-TG-0007</v>
      </c>
      <c r="P41" s="15"/>
      <c r="R41" s="48"/>
      <c r="AG41" t="s">
        <v>61</v>
      </c>
    </row>
    <row r="42" spans="2:43" ht="28.8" x14ac:dyDescent="0.3">
      <c r="B42" t="s">
        <v>20</v>
      </c>
      <c r="C42" s="11" t="s">
        <v>178</v>
      </c>
      <c r="E42" s="11" t="str" cm="1">
        <f t="array" ref="E42">_xlfn.IFS(
    COUNTIF(Herramientas_eléctricas18[Herramientas_eléctricas], B42) &gt; 0, Herramientas_eléctricas18[[#Headers],[Herramientas_eléctricas]],
    COUNTIF(Herramientas_neumáticas19[Herramientas_neumáticas], B42) &gt; 0, Herramientas_neumáticas19[[#Headers],[Herramientas_neumáticas]],
    COUNTIF(Herramientas_de_medición20[Herramientas_de_medición], B42) &gt; 0, Herramientas_de_medición20[[#Headers],[Herramientas_de_medición]],
    COUNTIF(Herrramientas_mecánicas21[Herramientas_mecánicas], B42) &gt; 0, Herrramientas_mecánicas21[[#Headers],[Herramientas_mecánicas]],
    COUNTIF(AI42:AI48, B42) &gt; 0, Herramientas_hidráulicas22[[#Headers],[Herramientas_hidráulicas]],
    COUNTIF(EPP_23[SPCC], B42) &gt; 0, EPP_23[[#Headers],[SPCC]],
   COUNTIF(Herramientas_de_izaje24[Herramientas_de_izaje], B42) &gt; 0, Herramientas_de_izaje24[[#Headers],[Herramientas_de_izaje]],
COUNTIF(Tabla1626[Equipos], B42) &gt; 0, Tabla1626[[#Headers],[Equipos]],
    TRUE, "Sin clasificación"
)</f>
        <v>Herramientas_mecánicas</v>
      </c>
      <c r="F42" s="15" t="str">
        <f>_xlfn.TEXTJOIN(", ",TRUE, Tabla38[[#This Row],[Tipo de escalera]],Tabla38[[#This Row],[Longitud]],Tabla38[[#This Row],[Carga Maxima]])</f>
        <v>ESCALERA SIMPLE DE UN TRAMO, 2.4 m, 300 lb</v>
      </c>
      <c r="G42" s="15" t="s">
        <v>383</v>
      </c>
      <c r="H42" s="15" t="s">
        <v>406</v>
      </c>
      <c r="I42" s="15" t="s">
        <v>393</v>
      </c>
      <c r="J42" s="15" t="s">
        <v>355</v>
      </c>
      <c r="K42" s="47" t="s">
        <v>355</v>
      </c>
      <c r="L42" t="s">
        <v>407</v>
      </c>
      <c r="M42" s="47" t="s">
        <v>355</v>
      </c>
      <c r="N42" s="47" t="str">
        <f>_xlfn.LET(
    _xlpm.itemBuscado, B42,
    _xlpm.areaBuscada, C42,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TEXT(COUNTIF($C$2:C42, _xlpm.areaBuscada), "0000"),
    _xlpm.codItem &amp; "-" &amp; _xlpm.codArea &amp; "-" &amp; _xlpm.secuencia
)</f>
        <v>ZM-ES-TG-0008</v>
      </c>
      <c r="P42" s="15"/>
      <c r="R42" s="48"/>
      <c r="AE42" s="71" t="s">
        <v>94</v>
      </c>
      <c r="AG42" t="s">
        <v>275</v>
      </c>
    </row>
    <row r="43" spans="2:43" ht="28.8" x14ac:dyDescent="0.3">
      <c r="B43" t="s">
        <v>20</v>
      </c>
      <c r="C43" s="11" t="s">
        <v>178</v>
      </c>
      <c r="E43" s="11" t="str" cm="1">
        <f t="array" ref="E43">_xlfn.IFS(
    COUNTIF(Herramientas_eléctricas18[Herramientas_eléctricas], B43) &gt; 0, Herramientas_eléctricas18[[#Headers],[Herramientas_eléctricas]],
    COUNTIF(Herramientas_neumáticas19[Herramientas_neumáticas], B43) &gt; 0, Herramientas_neumáticas19[[#Headers],[Herramientas_neumáticas]],
    COUNTIF(Herramientas_de_medición20[Herramientas_de_medición], B43) &gt; 0, Herramientas_de_medición20[[#Headers],[Herramientas_de_medición]],
    COUNTIF(Herrramientas_mecánicas21[Herramientas_mecánicas], B43) &gt; 0, Herrramientas_mecánicas21[[#Headers],[Herramientas_mecánicas]],
    COUNTIF(AI43:AI49, B43) &gt; 0, Herramientas_hidráulicas22[[#Headers],[Herramientas_hidráulicas]],
    COUNTIF(EPP_23[SPCC], B43) &gt; 0, EPP_23[[#Headers],[SPCC]],
   COUNTIF(Herramientas_de_izaje24[Herramientas_de_izaje], B43) &gt; 0, Herramientas_de_izaje24[[#Headers],[Herramientas_de_izaje]],
COUNTIF(Tabla1626[Equipos], B43) &gt; 0, Tabla1626[[#Headers],[Equipos]],
    TRUE, "Sin clasificación"
)</f>
        <v>Herramientas_mecánicas</v>
      </c>
      <c r="F43" s="15" t="str">
        <f>_xlfn.TEXTJOIN(", ",TRUE, Tabla38[[#This Row],[Tipo de escalera]],Tabla38[[#This Row],[Longitud]],Tabla38[[#This Row],[Carga Maxima]])</f>
        <v>ESCALERA SIMPLE DE UN TRAMO, 2,4 M, 300 LB</v>
      </c>
      <c r="G43" s="15" t="s">
        <v>383</v>
      </c>
      <c r="H43" s="15" t="s">
        <v>409</v>
      </c>
      <c r="I43" s="15" t="s">
        <v>396</v>
      </c>
      <c r="J43" s="15" t="s">
        <v>318</v>
      </c>
      <c r="K43" s="47" t="s">
        <v>355</v>
      </c>
      <c r="L43" t="s">
        <v>408</v>
      </c>
      <c r="M43" s="47" t="s">
        <v>355</v>
      </c>
      <c r="N43" s="47" t="str">
        <f>_xlfn.LET(
    _xlpm.itemBuscado, B43,
    _xlpm.areaBuscada, C43,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TEXT(COUNTIF($C$2:C43, _xlpm.areaBuscada), "0000"),
    _xlpm.codItem &amp; "-" &amp; _xlpm.codArea &amp; "-" &amp; _xlpm.secuencia
)</f>
        <v>ZM-ES-TG-0009</v>
      </c>
      <c r="P43" s="15"/>
      <c r="R43" s="48"/>
      <c r="AE43" s="72" t="s">
        <v>276</v>
      </c>
      <c r="AG43" s="20" t="s">
        <v>277</v>
      </c>
      <c r="AH43" t="s">
        <v>98</v>
      </c>
    </row>
    <row r="44" spans="2:43" ht="28.8" x14ac:dyDescent="0.3">
      <c r="B44" t="s">
        <v>20</v>
      </c>
      <c r="C44" s="11" t="s">
        <v>178</v>
      </c>
      <c r="E44" s="11" t="str" cm="1">
        <f t="array" ref="E44">_xlfn.IFS(
    COUNTIF(Herramientas_eléctricas18[Herramientas_eléctricas], B44) &gt; 0, Herramientas_eléctricas18[[#Headers],[Herramientas_eléctricas]],
    COUNTIF(Herramientas_neumáticas19[Herramientas_neumáticas], B44) &gt; 0, Herramientas_neumáticas19[[#Headers],[Herramientas_neumáticas]],
    COUNTIF(Herramientas_de_medición20[Herramientas_de_medición], B44) &gt; 0, Herramientas_de_medición20[[#Headers],[Herramientas_de_medición]],
    COUNTIF(Herrramientas_mecánicas21[Herramientas_mecánicas], B44) &gt; 0, Herrramientas_mecánicas21[[#Headers],[Herramientas_mecánicas]],
    COUNTIF(AI44:AI50, B44) &gt; 0, Herramientas_hidráulicas22[[#Headers],[Herramientas_hidráulicas]],
    COUNTIF(EPP_23[SPCC], B44) &gt; 0, EPP_23[[#Headers],[SPCC]],
   COUNTIF(Herramientas_de_izaje24[Herramientas_de_izaje], B44) &gt; 0, Herramientas_de_izaje24[[#Headers],[Herramientas_de_izaje]],
COUNTIF(Tabla1626[Equipos], B44) &gt; 0, Tabla1626[[#Headers],[Equipos]],
    TRUE, "Sin clasificación"
)</f>
        <v>Herramientas_mecánicas</v>
      </c>
      <c r="F44" s="15" t="str">
        <f>_xlfn.TEXTJOIN(", ",TRUE, Tabla38[[#This Row],[Tipo de escalera]],Tabla38[[#This Row],[Longitud]],Tabla38[[#This Row],[Carga Maxima]])</f>
        <v>ESCALERA SIMPLE DE UN TRAMO, 2,4 M, 225 KG</v>
      </c>
      <c r="G44" s="15" t="s">
        <v>383</v>
      </c>
      <c r="H44" s="15" t="s">
        <v>409</v>
      </c>
      <c r="I44" s="15" t="s">
        <v>401</v>
      </c>
      <c r="J44" s="15" t="s">
        <v>337</v>
      </c>
      <c r="K44" s="47" t="s">
        <v>375</v>
      </c>
      <c r="L44" t="s">
        <v>410</v>
      </c>
      <c r="M44" s="47">
        <v>9564100988</v>
      </c>
      <c r="N44" s="47" t="str">
        <f>_xlfn.LET(
    _xlpm.itemBuscado, B44,
    _xlpm.areaBuscada, C44,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TEXT(COUNTIF($C$2:C44, _xlpm.areaBuscada), "0000"),
    _xlpm.codItem &amp; "-" &amp; _xlpm.codArea &amp; "-" &amp; _xlpm.secuencia
)</f>
        <v>ZM-ES-TG-0010</v>
      </c>
      <c r="P44" s="15"/>
      <c r="R44" s="48"/>
      <c r="AE44" s="73" t="s">
        <v>278</v>
      </c>
      <c r="AG44" s="18" t="s">
        <v>279</v>
      </c>
      <c r="AH44" s="26" t="s">
        <v>280</v>
      </c>
    </row>
    <row r="45" spans="2:43" ht="28.8" x14ac:dyDescent="0.3">
      <c r="B45" t="s">
        <v>20</v>
      </c>
      <c r="C45" s="11" t="s">
        <v>178</v>
      </c>
      <c r="E45" s="11" t="str" cm="1">
        <f t="array" ref="E45">_xlfn.IFS(
    COUNTIF(Herramientas_eléctricas18[Herramientas_eléctricas], B45) &gt; 0, Herramientas_eléctricas18[[#Headers],[Herramientas_eléctricas]],
    COUNTIF(Herramientas_neumáticas19[Herramientas_neumáticas], B45) &gt; 0, Herramientas_neumáticas19[[#Headers],[Herramientas_neumáticas]],
    COUNTIF(Herramientas_de_medición20[Herramientas_de_medición], B45) &gt; 0, Herramientas_de_medición20[[#Headers],[Herramientas_de_medición]],
    COUNTIF(Herrramientas_mecánicas21[Herramientas_mecánicas], B45) &gt; 0, Herrramientas_mecánicas21[[#Headers],[Herramientas_mecánicas]],
    COUNTIF(AI45:AI51, B45) &gt; 0, Herramientas_hidráulicas22[[#Headers],[Herramientas_hidráulicas]],
    COUNTIF(EPP_23[SPCC], B45) &gt; 0, EPP_23[[#Headers],[SPCC]],
   COUNTIF(Herramientas_de_izaje24[Herramientas_de_izaje], B45) &gt; 0, Herramientas_de_izaje24[[#Headers],[Herramientas_de_izaje]],
COUNTIF(Tabla1626[Equipos], B45) &gt; 0, Tabla1626[[#Headers],[Equipos]],
    TRUE, "Sin clasificación"
)</f>
        <v>Herramientas_mecánicas</v>
      </c>
      <c r="F45" s="15" t="str">
        <f>_xlfn.TEXTJOIN(", ",TRUE, Tabla38[[#This Row],[Tipo de escalera]],Tabla38[[#This Row],[Longitud]],Tabla38[[#This Row],[Carga Maxima]])</f>
        <v>ESCALERA DOBLE O DE TIJERA, 3,6 M, 300 LB</v>
      </c>
      <c r="G45" s="15" t="s">
        <v>384</v>
      </c>
      <c r="H45" s="15" t="s">
        <v>412</v>
      </c>
      <c r="I45" s="15" t="s">
        <v>396</v>
      </c>
      <c r="J45" s="15" t="s">
        <v>318</v>
      </c>
      <c r="K45" s="47" t="s">
        <v>355</v>
      </c>
      <c r="L45" t="s">
        <v>411</v>
      </c>
      <c r="M45" s="47" t="s">
        <v>355</v>
      </c>
      <c r="N45" s="47" t="str">
        <f>_xlfn.LET(
    _xlpm.itemBuscado, B45,
    _xlpm.areaBuscada, C45,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TEXT(COUNTIF($C$2:C45, _xlpm.areaBuscada), "0000"),
    _xlpm.codItem &amp; "-" &amp; _xlpm.codArea &amp; "-" &amp; _xlpm.secuencia
)</f>
        <v>ZM-ES-TG-0011</v>
      </c>
      <c r="P45" s="15"/>
      <c r="R45" s="48"/>
      <c r="AE45" t="s">
        <v>42</v>
      </c>
      <c r="AG45" s="26" t="s">
        <v>281</v>
      </c>
    </row>
    <row r="46" spans="2:43" ht="28.8" x14ac:dyDescent="0.3">
      <c r="B46" t="s">
        <v>20</v>
      </c>
      <c r="C46" s="11" t="s">
        <v>178</v>
      </c>
      <c r="E46" s="11" t="str" cm="1">
        <f t="array" ref="E46">_xlfn.IFS(
    COUNTIF(Herramientas_eléctricas18[Herramientas_eléctricas], B46) &gt; 0, Herramientas_eléctricas18[[#Headers],[Herramientas_eléctricas]],
    COUNTIF(Herramientas_neumáticas19[Herramientas_neumáticas], B46) &gt; 0, Herramientas_neumáticas19[[#Headers],[Herramientas_neumáticas]],
    COUNTIF(Herramientas_de_medición20[Herramientas_de_medición], B46) &gt; 0, Herramientas_de_medición20[[#Headers],[Herramientas_de_medición]],
    COUNTIF(Herrramientas_mecánicas21[Herramientas_mecánicas], B46) &gt; 0, Herrramientas_mecánicas21[[#Headers],[Herramientas_mecánicas]],
    COUNTIF(AI46:AI52, B46) &gt; 0, Herramientas_hidráulicas22[[#Headers],[Herramientas_hidráulicas]],
    COUNTIF(EPP_23[SPCC], B46) &gt; 0, EPP_23[[#Headers],[SPCC]],
   COUNTIF(Herramientas_de_izaje24[Herramientas_de_izaje], B46) &gt; 0, Herramientas_de_izaje24[[#Headers],[Herramientas_de_izaje]],
COUNTIF(Tabla1626[Equipos], B46) &gt; 0, Tabla1626[[#Headers],[Equipos]],
    TRUE, "Sin clasificación"
)</f>
        <v>Herramientas_mecánicas</v>
      </c>
      <c r="F46" s="15" t="str">
        <f>_xlfn.TEXTJOIN(", ",TRUE, Tabla38[[#This Row],[Tipo de escalera]],Tabla38[[#This Row],[Longitud]],Tabla38[[#This Row],[Carga Maxima]])</f>
        <v>ESCALERA DOBLE O DE TIJERA, 3,6 M, 300 LB</v>
      </c>
      <c r="G46" s="15" t="s">
        <v>384</v>
      </c>
      <c r="H46" s="15" t="s">
        <v>412</v>
      </c>
      <c r="I46" s="15" t="s">
        <v>396</v>
      </c>
      <c r="J46" s="15" t="s">
        <v>318</v>
      </c>
      <c r="K46" s="47" t="s">
        <v>355</v>
      </c>
      <c r="L46" t="s">
        <v>413</v>
      </c>
      <c r="M46" s="47" t="s">
        <v>355</v>
      </c>
      <c r="N46" s="47" t="str">
        <f>_xlfn.LET(
    _xlpm.itemBuscado, B46,
    _xlpm.areaBuscada, C46,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TEXT(COUNTIF($C$2:C46, _xlpm.areaBuscada), "0000"),
    _xlpm.codItem &amp; "-" &amp; _xlpm.codArea &amp; "-" &amp; _xlpm.secuencia
)</f>
        <v>ZM-ES-TG-0012</v>
      </c>
      <c r="P46" s="15"/>
      <c r="R46" s="48"/>
    </row>
    <row r="47" spans="2:43" ht="28.8" x14ac:dyDescent="0.3">
      <c r="B47" t="s">
        <v>20</v>
      </c>
      <c r="C47" s="11" t="s">
        <v>178</v>
      </c>
      <c r="E47" s="11" t="str" cm="1">
        <f t="array" ref="E47">_xlfn.IFS(
    COUNTIF(Herramientas_eléctricas18[Herramientas_eléctricas], B47) &gt; 0, Herramientas_eléctricas18[[#Headers],[Herramientas_eléctricas]],
    COUNTIF(Herramientas_neumáticas19[Herramientas_neumáticas], B47) &gt; 0, Herramientas_neumáticas19[[#Headers],[Herramientas_neumáticas]],
    COUNTIF(Herramientas_de_medición20[Herramientas_de_medición], B47) &gt; 0, Herramientas_de_medición20[[#Headers],[Herramientas_de_medición]],
    COUNTIF(Herrramientas_mecánicas21[Herramientas_mecánicas], B47) &gt; 0, Herrramientas_mecánicas21[[#Headers],[Herramientas_mecánicas]],
    COUNTIF(AI47:AI53, B47) &gt; 0, Herramientas_hidráulicas22[[#Headers],[Herramientas_hidráulicas]],
    COUNTIF(EPP_23[SPCC], B47) &gt; 0, EPP_23[[#Headers],[SPCC]],
   COUNTIF(Herramientas_de_izaje24[Herramientas_de_izaje], B47) &gt; 0, Herramientas_de_izaje24[[#Headers],[Herramientas_de_izaje]],
COUNTIF(Tabla1626[Equipos], B47) &gt; 0, Tabla1626[[#Headers],[Equipos]],
    TRUE, "Sin clasificación"
)</f>
        <v>Herramientas_mecánicas</v>
      </c>
      <c r="F47" s="15" t="str">
        <f>_xlfn.TEXTJOIN(", ",TRUE, Tabla38[[#This Row],[Tipo de escalera]],Tabla38[[#This Row],[Longitud]],Tabla38[[#This Row],[Carga Maxima]])</f>
        <v>ESCALERA DOBLE O DE TIJERA, NO TIENE, NO TIENE</v>
      </c>
      <c r="G47" s="15" t="s">
        <v>384</v>
      </c>
      <c r="H47" s="15" t="s">
        <v>355</v>
      </c>
      <c r="I47" s="15" t="s">
        <v>355</v>
      </c>
      <c r="J47" s="15" t="s">
        <v>318</v>
      </c>
      <c r="K47" s="47" t="s">
        <v>355</v>
      </c>
      <c r="L47" t="s">
        <v>414</v>
      </c>
      <c r="M47" s="47" t="s">
        <v>355</v>
      </c>
      <c r="N47" s="47" t="str">
        <f>_xlfn.LET(
    _xlpm.itemBuscado, B47,
    _xlpm.areaBuscada, C47,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TEXT(COUNTIF($C$2:C47, _xlpm.areaBuscada), "0000"),
    _xlpm.codItem &amp; "-" &amp; _xlpm.codArea &amp; "-" &amp; _xlpm.secuencia
)</f>
        <v>ZM-ES-TG-0013</v>
      </c>
      <c r="P47" s="15"/>
      <c r="R47" s="48"/>
      <c r="AE47" t="s">
        <v>41</v>
      </c>
      <c r="AH47" t="s">
        <v>282</v>
      </c>
    </row>
    <row r="48" spans="2:43" ht="28.8" x14ac:dyDescent="0.3">
      <c r="B48" t="s">
        <v>20</v>
      </c>
      <c r="C48" s="11" t="s">
        <v>178</v>
      </c>
      <c r="E48" s="11" t="str" cm="1">
        <f t="array" ref="E48">_xlfn.IFS(
    COUNTIF(Herramientas_eléctricas18[Herramientas_eléctricas], B48) &gt; 0, Herramientas_eléctricas18[[#Headers],[Herramientas_eléctricas]],
    COUNTIF(Herramientas_neumáticas19[Herramientas_neumáticas], B48) &gt; 0, Herramientas_neumáticas19[[#Headers],[Herramientas_neumáticas]],
    COUNTIF(Herramientas_de_medición20[Herramientas_de_medición], B48) &gt; 0, Herramientas_de_medición20[[#Headers],[Herramientas_de_medición]],
    COUNTIF(Herrramientas_mecánicas21[Herramientas_mecánicas], B48) &gt; 0, Herrramientas_mecánicas21[[#Headers],[Herramientas_mecánicas]],
    COUNTIF(AI48:AI54, B48) &gt; 0, Herramientas_hidráulicas22[[#Headers],[Herramientas_hidráulicas]],
    COUNTIF(EPP_23[SPCC], B48) &gt; 0, EPP_23[[#Headers],[SPCC]],
   COUNTIF(Herramientas_de_izaje24[Herramientas_de_izaje], B48) &gt; 0, Herramientas_de_izaje24[[#Headers],[Herramientas_de_izaje]],
COUNTIF(Tabla1626[Equipos], B48) &gt; 0, Tabla1626[[#Headers],[Equipos]],
    TRUE, "Sin clasificación"
)</f>
        <v>Herramientas_mecánicas</v>
      </c>
      <c r="F48" s="15" t="str">
        <f>_xlfn.TEXTJOIN(", ",TRUE, Tabla38[[#This Row],[Tipo de escalera]],Tabla38[[#This Row],[Longitud]],Tabla38[[#This Row],[Carga Maxima]])</f>
        <v>ESCALERA DOBLE O DE TIJERA, NO TIENE, 300 LB</v>
      </c>
      <c r="G48" s="15" t="s">
        <v>384</v>
      </c>
      <c r="H48" s="15" t="s">
        <v>355</v>
      </c>
      <c r="I48" s="15" t="s">
        <v>396</v>
      </c>
      <c r="J48" s="15" t="s">
        <v>337</v>
      </c>
      <c r="K48" s="47" t="s">
        <v>355</v>
      </c>
      <c r="L48" t="s">
        <v>415</v>
      </c>
      <c r="M48" s="47" t="s">
        <v>355</v>
      </c>
      <c r="N48" s="47" t="str">
        <f>_xlfn.LET(
    _xlpm.itemBuscado, B48,
    _xlpm.areaBuscada, C48,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TEXT(COUNTIF($C$2:C48, _xlpm.areaBuscada), "0000"),
    _xlpm.codItem &amp; "-" &amp; _xlpm.codArea &amp; "-" &amp; _xlpm.secuencia
)</f>
        <v>ZM-ES-TG-0014</v>
      </c>
      <c r="P48" s="15"/>
      <c r="R48" s="48"/>
      <c r="AE48" t="s">
        <v>41</v>
      </c>
      <c r="AG48" t="s">
        <v>283</v>
      </c>
      <c r="AH48" s="74" t="s">
        <v>284</v>
      </c>
      <c r="AQ48" t="s">
        <v>74</v>
      </c>
    </row>
    <row r="49" spans="2:43" ht="28.8" x14ac:dyDescent="0.3">
      <c r="B49" t="s">
        <v>20</v>
      </c>
      <c r="C49" s="11" t="s">
        <v>178</v>
      </c>
      <c r="E49" s="11" t="str" cm="1">
        <f t="array" ref="E49">_xlfn.IFS(
    COUNTIF(Herramientas_eléctricas18[Herramientas_eléctricas], B49) &gt; 0, Herramientas_eléctricas18[[#Headers],[Herramientas_eléctricas]],
    COUNTIF(Herramientas_neumáticas19[Herramientas_neumáticas], B49) &gt; 0, Herramientas_neumáticas19[[#Headers],[Herramientas_neumáticas]],
    COUNTIF(Herramientas_de_medición20[Herramientas_de_medición], B49) &gt; 0, Herramientas_de_medición20[[#Headers],[Herramientas_de_medición]],
    COUNTIF(Herrramientas_mecánicas21[Herramientas_mecánicas], B49) &gt; 0, Herrramientas_mecánicas21[[#Headers],[Herramientas_mecánicas]],
    COUNTIF(AI49:AI55, B49) &gt; 0, Herramientas_hidráulicas22[[#Headers],[Herramientas_hidráulicas]],
    COUNTIF(EPP_23[SPCC], B49) &gt; 0, EPP_23[[#Headers],[SPCC]],
   COUNTIF(Herramientas_de_izaje24[Herramientas_de_izaje], B49) &gt; 0, Herramientas_de_izaje24[[#Headers],[Herramientas_de_izaje]],
COUNTIF(Tabla1626[Equipos], B49) &gt; 0, Tabla1626[[#Headers],[Equipos]],
    TRUE, "Sin clasificación"
)</f>
        <v>Herramientas_mecánicas</v>
      </c>
      <c r="F49" s="15" t="str">
        <f>_xlfn.TEXTJOIN(", ",TRUE, Tabla38[[#This Row],[Tipo de escalera]],Tabla38[[#This Row],[Longitud]],Tabla38[[#This Row],[Carga Maxima]])</f>
        <v>ESCALERA DOBLE O DE TIJERA, NO TIENE, 102 KG</v>
      </c>
      <c r="G49" s="15" t="s">
        <v>384</v>
      </c>
      <c r="H49" s="15" t="s">
        <v>355</v>
      </c>
      <c r="I49" s="15" t="s">
        <v>417</v>
      </c>
      <c r="J49" s="15" t="s">
        <v>416</v>
      </c>
      <c r="K49" s="47" t="s">
        <v>355</v>
      </c>
      <c r="L49" t="s">
        <v>355</v>
      </c>
      <c r="M49" s="47" t="s">
        <v>355</v>
      </c>
      <c r="N49" s="47" t="str">
        <f>_xlfn.LET(
    _xlpm.itemBuscado, B49,
    _xlpm.areaBuscada, C49,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TEXT(COUNTIF($C$2:C49, _xlpm.areaBuscada), "0000"),
    _xlpm.codItem &amp; "-" &amp; _xlpm.codArea &amp; "-" &amp; _xlpm.secuencia
)</f>
        <v>ZM-ES-TG-0015</v>
      </c>
      <c r="P49" s="15"/>
      <c r="R49" s="48"/>
      <c r="AE49" t="s">
        <v>285</v>
      </c>
      <c r="AG49" t="s">
        <v>286</v>
      </c>
      <c r="AQ49" s="22" t="s">
        <v>74</v>
      </c>
    </row>
    <row r="50" spans="2:43" ht="28.8" x14ac:dyDescent="0.3">
      <c r="B50" t="s">
        <v>20</v>
      </c>
      <c r="C50" s="11" t="s">
        <v>178</v>
      </c>
      <c r="E50" s="11" t="str" cm="1">
        <f t="array" ref="E50">_xlfn.IFS(
    COUNTIF(Herramientas_eléctricas18[Herramientas_eléctricas], B50) &gt; 0, Herramientas_eléctricas18[[#Headers],[Herramientas_eléctricas]],
    COUNTIF(Herramientas_neumáticas19[Herramientas_neumáticas], B50) &gt; 0, Herramientas_neumáticas19[[#Headers],[Herramientas_neumáticas]],
    COUNTIF(Herramientas_de_medición20[Herramientas_de_medición], B50) &gt; 0, Herramientas_de_medición20[[#Headers],[Herramientas_de_medición]],
    COUNTIF(Herrramientas_mecánicas21[Herramientas_mecánicas], B50) &gt; 0, Herrramientas_mecánicas21[[#Headers],[Herramientas_mecánicas]],
    COUNTIF(AI50:AI56, B50) &gt; 0, Herramientas_hidráulicas22[[#Headers],[Herramientas_hidráulicas]],
    COUNTIF(EPP_23[SPCC], B50) &gt; 0, EPP_23[[#Headers],[SPCC]],
   COUNTIF(Herramientas_de_izaje24[Herramientas_de_izaje], B50) &gt; 0, Herramientas_de_izaje24[[#Headers],[Herramientas_de_izaje]],
COUNTIF(Tabla1626[Equipos], B50) &gt; 0, Tabla1626[[#Headers],[Equipos]],
    TRUE, "Sin clasificación"
)</f>
        <v>Herramientas_mecánicas</v>
      </c>
      <c r="F50" s="15" t="str">
        <f>_xlfn.TEXTJOIN(", ",TRUE, Tabla38[[#This Row],[Tipo de escalera]],Tabla38[[#This Row],[Longitud]],Tabla38[[#This Row],[Carga Maxima]])</f>
        <v>ESCALERA DOBLE O DE TIJERA, NO TIENE, NO TIENE</v>
      </c>
      <c r="G50" s="15" t="s">
        <v>384</v>
      </c>
      <c r="H50" s="15" t="s">
        <v>355</v>
      </c>
      <c r="I50" s="15" t="s">
        <v>355</v>
      </c>
      <c r="J50" s="15" t="s">
        <v>355</v>
      </c>
      <c r="K50" s="47" t="s">
        <v>355</v>
      </c>
      <c r="L50" t="s">
        <v>418</v>
      </c>
      <c r="M50" s="47" t="s">
        <v>355</v>
      </c>
      <c r="N50" s="47" t="str">
        <f>_xlfn.LET(
    _xlpm.itemBuscado, B50,
    _xlpm.areaBuscada, C50,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TEXT(COUNTIF($C$2:C50, _xlpm.areaBuscada), "0000"),
    _xlpm.codItem &amp; "-" &amp; _xlpm.codArea &amp; "-" &amp; _xlpm.secuencia
)</f>
        <v>ZM-ES-TG-0016</v>
      </c>
      <c r="P50" s="15"/>
      <c r="R50" s="48"/>
      <c r="AE50" t="s">
        <v>287</v>
      </c>
      <c r="AG50" t="s">
        <v>288</v>
      </c>
      <c r="AH50" t="s">
        <v>289</v>
      </c>
      <c r="AQ50" s="18" t="s">
        <v>290</v>
      </c>
    </row>
    <row r="51" spans="2:43" ht="28.8" x14ac:dyDescent="0.3">
      <c r="B51" t="s">
        <v>20</v>
      </c>
      <c r="C51" s="11" t="s">
        <v>178</v>
      </c>
      <c r="E51" s="11" t="s">
        <v>7</v>
      </c>
      <c r="F51" s="15" t="str">
        <f>_xlfn.TEXTJOIN(", ",TRUE, Tabla38[[#This Row],[Tipo de escalera]],Tabla38[[#This Row],[Longitud]],Tabla38[[#This Row],[Carga Maxima]])</f>
        <v>ESCALERA EXTENSIBLE O TELESCÓPICA, 24 PIES, 250 LB</v>
      </c>
      <c r="G51" s="15" t="s">
        <v>385</v>
      </c>
      <c r="H51" s="15" t="s">
        <v>421</v>
      </c>
      <c r="I51" s="15" t="s">
        <v>420</v>
      </c>
      <c r="J51" s="15" t="s">
        <v>318</v>
      </c>
      <c r="K51" s="47" t="s">
        <v>355</v>
      </c>
      <c r="L51" t="s">
        <v>419</v>
      </c>
      <c r="M51" s="47" t="s">
        <v>355</v>
      </c>
      <c r="N51" s="47" t="str">
        <f>_xlfn.LET(
    _xlpm.itemBuscado, B51,
    _xlpm.areaBuscada, C51,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TEXT(COUNTIF($C$2:C51, _xlpm.areaBuscada), "0000"),
    _xlpm.codItem &amp; "-" &amp; _xlpm.codArea &amp; "-" &amp; _xlpm.secuencia
)</f>
        <v>ZM-ES-TG-0017</v>
      </c>
      <c r="O51">
        <v>0</v>
      </c>
      <c r="P51" s="15"/>
      <c r="R51" s="48"/>
      <c r="S51" t="s">
        <v>425</v>
      </c>
      <c r="AH51" s="22" t="s">
        <v>291</v>
      </c>
    </row>
    <row r="52" spans="2:43" ht="28.8" x14ac:dyDescent="0.3">
      <c r="B52" t="s">
        <v>20</v>
      </c>
      <c r="C52" s="11" t="s">
        <v>178</v>
      </c>
      <c r="E52" s="11" t="s">
        <v>7</v>
      </c>
      <c r="F52" s="15" t="str">
        <f>_xlfn.TEXTJOIN(", ",TRUE, Tabla38[[#This Row],[Tipo de escalera]],Tabla38[[#This Row],[Longitud]],Tabla38[[#This Row],[Carga Maxima]])</f>
        <v>ESCALERA EXTENSIBLE O TELESCÓPICA, 40 PIES, 400 LB</v>
      </c>
      <c r="G52" s="15" t="s">
        <v>385</v>
      </c>
      <c r="H52" s="15" t="s">
        <v>424</v>
      </c>
      <c r="I52" s="15" t="s">
        <v>423</v>
      </c>
      <c r="J52" s="15" t="s">
        <v>318</v>
      </c>
      <c r="K52" s="47" t="s">
        <v>355</v>
      </c>
      <c r="L52" t="s">
        <v>422</v>
      </c>
      <c r="M52" s="47" t="s">
        <v>355</v>
      </c>
      <c r="N52" s="47" t="str">
        <f>_xlfn.LET(
    _xlpm.itemBuscado, B52,
    _xlpm.areaBuscada, C52,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TEXT(COUNTIF($C$2:C52, _xlpm.areaBuscada), "0000"),
    _xlpm.codItem &amp; "-" &amp; _xlpm.codArea &amp; "-" &amp; _xlpm.secuencia
)</f>
        <v>ZM-ES-TG-0018</v>
      </c>
      <c r="P52" s="15"/>
      <c r="R52" s="48"/>
      <c r="AE52" t="s">
        <v>60</v>
      </c>
      <c r="AH52" s="67" t="s">
        <v>292</v>
      </c>
    </row>
    <row r="53" spans="2:43" ht="28.8" x14ac:dyDescent="0.3">
      <c r="B53" t="s">
        <v>20</v>
      </c>
      <c r="C53" s="11" t="s">
        <v>178</v>
      </c>
      <c r="E53" s="11" t="s">
        <v>7</v>
      </c>
      <c r="F53" s="15" t="str">
        <f>_xlfn.TEXTJOIN(", ",TRUE, Tabla38[[#This Row],[Tipo de escalera]],Tabla38[[#This Row],[Longitud]],Tabla38[[#This Row],[Carga Maxima]])</f>
        <v>ESCALERA EXTENSIBLE O TELESCÓPICA, 40 PIES, 400 LB</v>
      </c>
      <c r="G53" s="15" t="s">
        <v>385</v>
      </c>
      <c r="H53" s="15" t="s">
        <v>424</v>
      </c>
      <c r="I53" s="15" t="s">
        <v>423</v>
      </c>
      <c r="J53" s="15" t="s">
        <v>318</v>
      </c>
      <c r="K53" s="47" t="s">
        <v>355</v>
      </c>
      <c r="L53" t="s">
        <v>426</v>
      </c>
      <c r="M53" s="47" t="s">
        <v>355</v>
      </c>
      <c r="N53" s="47" t="str">
        <f>_xlfn.LET(
    _xlpm.itemBuscado, B53,
    _xlpm.areaBuscada, C53,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TEXT(COUNTIF($C$2:C53, _xlpm.areaBuscada), "0000"),
    _xlpm.codItem &amp; "-" &amp; _xlpm.codArea &amp; "-" &amp; _xlpm.secuencia
)</f>
        <v>ZM-ES-TG-0019</v>
      </c>
      <c r="P53" s="15"/>
      <c r="R53" s="48"/>
      <c r="AE53" s="70" t="s">
        <v>293</v>
      </c>
      <c r="AH53" s="22" t="s">
        <v>294</v>
      </c>
    </row>
    <row r="54" spans="2:43" ht="28.8" x14ac:dyDescent="0.3">
      <c r="B54" t="s">
        <v>20</v>
      </c>
      <c r="C54" s="11" t="s">
        <v>178</v>
      </c>
      <c r="E54" s="11" t="s">
        <v>7</v>
      </c>
      <c r="F54" s="15" t="str">
        <f>_xlfn.TEXTJOIN(", ",TRUE, Tabla38[[#This Row],[Tipo de escalera]],Tabla38[[#This Row],[Longitud]],Tabla38[[#This Row],[Carga Maxima]])</f>
        <v>ESCALERA EXTENSIBLE O TELESCÓPICA, 10 PULGADAS, 136 KG</v>
      </c>
      <c r="G54" s="15" t="s">
        <v>385</v>
      </c>
      <c r="H54" s="15" t="s">
        <v>429</v>
      </c>
      <c r="I54" s="15" t="s">
        <v>430</v>
      </c>
      <c r="J54" s="15" t="s">
        <v>318</v>
      </c>
      <c r="K54" s="47" t="s">
        <v>428</v>
      </c>
      <c r="L54" t="s">
        <v>427</v>
      </c>
      <c r="M54" s="47">
        <v>2885510126</v>
      </c>
      <c r="N54" s="47" t="str">
        <f>_xlfn.LET(
    _xlpm.itemBuscado, B54,
    _xlpm.areaBuscada, C54,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TEXT(COUNTIF($C$2:C54, _xlpm.areaBuscada), "0000"),
    _xlpm.codItem &amp; "-" &amp; _xlpm.codArea &amp; "-" &amp; _xlpm.secuencia
)</f>
        <v>ZM-ES-TG-0020</v>
      </c>
      <c r="P54" s="15"/>
      <c r="R54" s="48"/>
      <c r="AH54" s="22" t="s">
        <v>295</v>
      </c>
    </row>
    <row r="55" spans="2:43" ht="28.8" x14ac:dyDescent="0.3">
      <c r="B55" t="s">
        <v>20</v>
      </c>
      <c r="C55" s="11" t="s">
        <v>178</v>
      </c>
      <c r="E55" s="11" t="s">
        <v>7</v>
      </c>
      <c r="F55" s="15" t="str">
        <f>_xlfn.TEXTJOIN(", ",TRUE, Tabla38[[#This Row],[Tipo de escalera]],Tabla38[[#This Row],[Longitud]],Tabla38[[#This Row],[Carga Maxima]])</f>
        <v>ESCALERA TIPO PLATAFORMA MOVIBLE, 50 CM, 136 KG</v>
      </c>
      <c r="G55" s="15" t="s">
        <v>386</v>
      </c>
      <c r="H55" s="15" t="s">
        <v>432</v>
      </c>
      <c r="I55" s="15" t="s">
        <v>430</v>
      </c>
      <c r="J55" s="15" t="s">
        <v>318</v>
      </c>
      <c r="K55" s="47" t="s">
        <v>431</v>
      </c>
      <c r="L55" t="s">
        <v>355</v>
      </c>
      <c r="M55" s="47">
        <v>2886513201</v>
      </c>
      <c r="N55" s="47" t="str">
        <f>_xlfn.LET(
    _xlpm.itemBuscado, B55,
    _xlpm.areaBuscada, C55,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TEXT(COUNTIF($C$2:C55, _xlpm.areaBuscada), "0000"),
    _xlpm.codItem &amp; "-" &amp; _xlpm.codArea &amp; "-" &amp; _xlpm.secuencia
)</f>
        <v>ZM-ES-TG-0021</v>
      </c>
      <c r="P55" s="15"/>
      <c r="R55" s="48"/>
      <c r="AH55" s="22" t="s">
        <v>296</v>
      </c>
    </row>
    <row r="56" spans="2:43" ht="28.8" x14ac:dyDescent="0.3">
      <c r="B56" t="s">
        <v>20</v>
      </c>
      <c r="C56" s="11" t="s">
        <v>178</v>
      </c>
      <c r="E56" s="11" t="s">
        <v>7</v>
      </c>
      <c r="F56" s="15" t="str">
        <f>_xlfn.TEXTJOIN(", ",TRUE, Tabla38[[#This Row],[Tipo de escalera]],Tabla38[[#This Row],[Longitud]],Tabla38[[#This Row],[Carga Maxima]])</f>
        <v>ESCALERA TIPO PLATAFORMA MOVIBLE, 50 CM, 136 KG</v>
      </c>
      <c r="G56" s="15" t="s">
        <v>386</v>
      </c>
      <c r="H56" s="15" t="s">
        <v>432</v>
      </c>
      <c r="I56" s="15" t="s">
        <v>430</v>
      </c>
      <c r="J56" s="15" t="s">
        <v>318</v>
      </c>
      <c r="K56" s="47" t="s">
        <v>431</v>
      </c>
      <c r="L56" t="s">
        <v>355</v>
      </c>
      <c r="M56" s="47">
        <v>2886513201</v>
      </c>
      <c r="N56" s="47" t="str">
        <f>_xlfn.LET(
    _xlpm.itemBuscado, B56,
    _xlpm.areaBuscada, C56,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TEXT(COUNTIF($C$2:C56, _xlpm.areaBuscada), "0000"),
    _xlpm.codItem &amp; "-" &amp; _xlpm.codArea &amp; "-" &amp; _xlpm.secuencia
)</f>
        <v>ZM-ES-TG-0022</v>
      </c>
      <c r="P56" s="15"/>
      <c r="R56" s="48"/>
      <c r="AG56" t="s">
        <v>297</v>
      </c>
      <c r="AH56" s="18" t="s">
        <v>298</v>
      </c>
    </row>
    <row r="57" spans="2:43" x14ac:dyDescent="0.3">
      <c r="B57" t="s">
        <v>20</v>
      </c>
      <c r="C57" s="11" t="s">
        <v>172</v>
      </c>
      <c r="E57" s="11" t="s">
        <v>7</v>
      </c>
      <c r="F57" s="15"/>
      <c r="G57" s="15" t="s">
        <v>385</v>
      </c>
      <c r="H57" s="15" t="s">
        <v>421</v>
      </c>
      <c r="I57" s="15" t="s">
        <v>420</v>
      </c>
      <c r="J57" s="15" t="s">
        <v>318</v>
      </c>
      <c r="K57" s="47" t="s">
        <v>433</v>
      </c>
      <c r="L57" t="s">
        <v>434</v>
      </c>
      <c r="M57" s="47">
        <v>2886508620</v>
      </c>
      <c r="N57" s="47" t="str">
        <f>_xlfn.LET(
    _xlpm.itemBuscado, B57,
    _xlpm.areaBuscada, C57,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TEXT(COUNTIF($C$2:C57, _xlpm.areaBuscada), "0000"),
    _xlpm.codItem &amp; "-" &amp; _xlpm.codArea &amp; "-" &amp; _xlpm.secuencia
)</f>
        <v>ZM-ES-ML-0001</v>
      </c>
      <c r="P57" s="15"/>
      <c r="R57" s="48"/>
      <c r="AG57" t="s">
        <v>299</v>
      </c>
      <c r="AH57" s="22" t="s">
        <v>300</v>
      </c>
    </row>
    <row r="58" spans="2:43" x14ac:dyDescent="0.3">
      <c r="B58" t="s">
        <v>20</v>
      </c>
      <c r="C58" s="11" t="s">
        <v>172</v>
      </c>
      <c r="E58" s="11" t="s">
        <v>7</v>
      </c>
      <c r="F58" s="15" t="str">
        <f>_xlfn.TEXTJOIN(", ",TRUE, Tabla38[[#This Row],[Tipo de escalera]],Tabla38[[#This Row],[Longitud]],Tabla38[[#This Row],[Carga Maxima]])</f>
        <v>ESCALERA EXTENSIBLE O TELESCÓPICA, 24 PIES, 250 LB</v>
      </c>
      <c r="G58" s="15" t="s">
        <v>385</v>
      </c>
      <c r="H58" s="15" t="s">
        <v>421</v>
      </c>
      <c r="I58" s="15" t="s">
        <v>420</v>
      </c>
      <c r="J58" s="15" t="s">
        <v>318</v>
      </c>
      <c r="K58" s="47" t="s">
        <v>433</v>
      </c>
      <c r="L58" t="s">
        <v>435</v>
      </c>
      <c r="M58" s="47">
        <v>2886508620</v>
      </c>
      <c r="N58" s="47" t="str">
        <f>_xlfn.LET(
    _xlpm.itemBuscado, B58,
    _xlpm.areaBuscada, C58,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TEXT(COUNTIF($C$2:C58, _xlpm.areaBuscada), "0000"),
    _xlpm.codItem &amp; "-" &amp; _xlpm.codArea &amp; "-" &amp; _xlpm.secuencia
)</f>
        <v>ZM-ES-ML-0002</v>
      </c>
      <c r="P58" s="15"/>
      <c r="R58" s="48"/>
      <c r="AE58" t="s">
        <v>23</v>
      </c>
      <c r="AH58" s="18" t="s">
        <v>301</v>
      </c>
    </row>
    <row r="59" spans="2:43" x14ac:dyDescent="0.3">
      <c r="B59" t="s">
        <v>20</v>
      </c>
      <c r="C59" s="11" t="s">
        <v>172</v>
      </c>
      <c r="E59" s="11" t="s">
        <v>7</v>
      </c>
      <c r="F59" s="15" t="str">
        <f>_xlfn.TEXTJOIN(", ",TRUE, Tabla38[[#This Row],[Tipo de escalera]],Tabla38[[#This Row],[Longitud]],Tabla38[[#This Row],[Carga Maxima]])</f>
        <v>ESCALERA EXTENSIBLE O TELESCÓPICA, 24 PIES, 250 LB</v>
      </c>
      <c r="G59" s="15" t="s">
        <v>385</v>
      </c>
      <c r="H59" s="15" t="s">
        <v>421</v>
      </c>
      <c r="I59" s="15" t="s">
        <v>420</v>
      </c>
      <c r="J59" s="15" t="s">
        <v>318</v>
      </c>
      <c r="K59" s="47" t="s">
        <v>433</v>
      </c>
      <c r="L59" t="s">
        <v>436</v>
      </c>
      <c r="M59" s="47">
        <v>2886508620</v>
      </c>
      <c r="N59" s="47" t="str">
        <f>_xlfn.LET(
    _xlpm.itemBuscado, B59,
    _xlpm.areaBuscada, C59,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TEXT(COUNTIF($C$2:C59, _xlpm.areaBuscada), "0000"),
    _xlpm.codItem &amp; "-" &amp; _xlpm.codArea &amp; "-" &amp; _xlpm.secuencia
)</f>
        <v>ZM-ES-ML-0003</v>
      </c>
      <c r="P59" s="15"/>
      <c r="R59" s="48"/>
      <c r="AE59" t="s">
        <v>302</v>
      </c>
      <c r="AH59" s="70" t="s">
        <v>303</v>
      </c>
    </row>
    <row r="60" spans="2:43" x14ac:dyDescent="0.3">
      <c r="B60" t="s">
        <v>20</v>
      </c>
      <c r="C60" s="11" t="s">
        <v>172</v>
      </c>
      <c r="E60" s="11" t="s">
        <v>7</v>
      </c>
      <c r="F60" s="15" t="str">
        <f>_xlfn.TEXTJOIN(", ",TRUE, Tabla38[[#This Row],[Tipo de escalera]],Tabla38[[#This Row],[Longitud]],Tabla38[[#This Row],[Carga Maxima]])</f>
        <v>ESCALERA EXTENSIBLE O TELESCÓPICA</v>
      </c>
      <c r="G60" s="15" t="s">
        <v>385</v>
      </c>
      <c r="H60" s="15"/>
      <c r="I60" s="15"/>
      <c r="J60" s="15" t="s">
        <v>318</v>
      </c>
      <c r="K60" s="47" t="s">
        <v>355</v>
      </c>
      <c r="L60" t="s">
        <v>437</v>
      </c>
      <c r="M60" s="47" t="s">
        <v>355</v>
      </c>
      <c r="N60" s="47" t="str">
        <f>_xlfn.LET(
    _xlpm.itemBuscado, B60,
    _xlpm.areaBuscada, C60,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TEXT(COUNTIF($C$2:C60, _xlpm.areaBuscada), "0000"),
    _xlpm.codItem &amp; "-" &amp; _xlpm.codArea &amp; "-" &amp; _xlpm.secuencia
)</f>
        <v>ZM-ES-ML-0004</v>
      </c>
      <c r="P60" s="15"/>
      <c r="R60" s="48"/>
      <c r="AG60" t="s">
        <v>62</v>
      </c>
    </row>
    <row r="61" spans="2:43" x14ac:dyDescent="0.3">
      <c r="B61" t="s">
        <v>20</v>
      </c>
      <c r="C61" s="11" t="s">
        <v>172</v>
      </c>
      <c r="E61" s="11" t="s">
        <v>7</v>
      </c>
      <c r="F61" s="15" t="str">
        <f>_xlfn.TEXTJOIN(", ",TRUE, Tabla38[[#This Row],[Tipo de escalera]],Tabla38[[#This Row],[Longitud]],Tabla38[[#This Row],[Carga Maxima]])</f>
        <v>ESCALERA EXTENSIBLE O TELESCÓPICA, 24 PIES, 250 LB</v>
      </c>
      <c r="G61" s="15" t="s">
        <v>385</v>
      </c>
      <c r="H61" s="15" t="s">
        <v>421</v>
      </c>
      <c r="I61" s="15" t="s">
        <v>420</v>
      </c>
      <c r="J61" s="15" t="s">
        <v>337</v>
      </c>
      <c r="K61" s="47" t="s">
        <v>355</v>
      </c>
      <c r="L61" t="s">
        <v>438</v>
      </c>
      <c r="M61" s="47" t="s">
        <v>355</v>
      </c>
      <c r="N61" s="47" t="str">
        <f>_xlfn.LET(
    _xlpm.itemBuscado, B61,
    _xlpm.areaBuscada, C61,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TEXT(COUNTIF($C$2:C61, _xlpm.areaBuscada), "0000"),
    _xlpm.codItem &amp; "-" &amp; _xlpm.codArea &amp; "-" &amp; _xlpm.secuencia
)</f>
        <v>ZM-ES-ML-0005</v>
      </c>
      <c r="P61" s="15"/>
      <c r="R61" s="48"/>
      <c r="AG61" s="70" t="s">
        <v>304</v>
      </c>
      <c r="AH61" t="s">
        <v>305</v>
      </c>
    </row>
    <row r="62" spans="2:43" x14ac:dyDescent="0.3">
      <c r="B62" t="s">
        <v>20</v>
      </c>
      <c r="C62" s="11" t="s">
        <v>172</v>
      </c>
      <c r="E62" s="11" t="s">
        <v>7</v>
      </c>
      <c r="F62" s="15" t="str">
        <f>_xlfn.TEXTJOIN(", ",TRUE, Tabla38[[#This Row],[Tipo de escalera]],Tabla38[[#This Row],[Longitud]],Tabla38[[#This Row],[Carga Maxima]])</f>
        <v>ESCALERA EXTENSIBLE O TELESCÓPICA, 24 PIES, 250 LB</v>
      </c>
      <c r="G62" s="15" t="s">
        <v>385</v>
      </c>
      <c r="H62" s="15" t="s">
        <v>421</v>
      </c>
      <c r="I62" s="15" t="s">
        <v>420</v>
      </c>
      <c r="J62" s="15" t="s">
        <v>318</v>
      </c>
      <c r="K62" s="47" t="s">
        <v>355</v>
      </c>
      <c r="L62" t="s">
        <v>439</v>
      </c>
      <c r="M62" s="47" t="s">
        <v>355</v>
      </c>
      <c r="N62" s="47" t="str">
        <f>_xlfn.LET(
    _xlpm.itemBuscado, B62,
    _xlpm.areaBuscada, C62,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TEXT(COUNTIF($C$2:C62, _xlpm.areaBuscada), "0000"),
    _xlpm.codItem &amp; "-" &amp; _xlpm.codArea &amp; "-" &amp; _xlpm.secuencia
)</f>
        <v>ZM-ES-ML-0006</v>
      </c>
      <c r="P62" s="15"/>
      <c r="R62" s="48"/>
      <c r="AE62" t="s">
        <v>64</v>
      </c>
      <c r="AH62" t="s">
        <v>306</v>
      </c>
    </row>
    <row r="63" spans="2:43" x14ac:dyDescent="0.3">
      <c r="B63" t="s">
        <v>20</v>
      </c>
      <c r="C63" s="11" t="s">
        <v>172</v>
      </c>
      <c r="E63" s="11" t="s">
        <v>7</v>
      </c>
      <c r="F63" s="15" t="str">
        <f>_xlfn.TEXTJOIN(", ",TRUE, Tabla38[[#This Row],[Tipo de escalera]],Tabla38[[#This Row],[Longitud]],Tabla38[[#This Row],[Carga Maxima]])</f>
        <v>ESCALERA SIMPLE DE UN TRAMO, 16 PIES, 300 LB</v>
      </c>
      <c r="G63" s="15" t="s">
        <v>383</v>
      </c>
      <c r="H63" s="15" t="s">
        <v>442</v>
      </c>
      <c r="I63" s="15" t="s">
        <v>396</v>
      </c>
      <c r="J63" s="15" t="s">
        <v>318</v>
      </c>
      <c r="K63" s="47" t="s">
        <v>441</v>
      </c>
      <c r="L63" t="s">
        <v>439</v>
      </c>
      <c r="M63" s="47">
        <v>2886508594</v>
      </c>
      <c r="N63" s="47" t="str">
        <f>_xlfn.LET(
    _xlpm.itemBuscado, B63,
    _xlpm.areaBuscada, C63,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TEXT(COUNTIF($C$2:C63, _xlpm.areaBuscada), "0000"),
    _xlpm.codItem &amp; "-" &amp; _xlpm.codArea &amp; "-" &amp; _xlpm.secuencia
)</f>
        <v>ZM-ES-ML-0007</v>
      </c>
      <c r="P63" s="15"/>
      <c r="R63" s="48"/>
      <c r="AE63" s="75" t="s">
        <v>307</v>
      </c>
      <c r="AG63" t="s">
        <v>89</v>
      </c>
    </row>
    <row r="64" spans="2:43" ht="28.8" x14ac:dyDescent="0.3">
      <c r="B64" t="s">
        <v>20</v>
      </c>
      <c r="C64" s="11" t="s">
        <v>172</v>
      </c>
      <c r="E64" s="11" t="s">
        <v>7</v>
      </c>
      <c r="F64" s="15" t="str">
        <f>_xlfn.TEXTJOIN(", ",TRUE, Tabla38[[#This Row],[Tipo de escalera]],Tabla38[[#This Row],[Longitud]],Tabla38[[#This Row],[Carga Maxima]])</f>
        <v>ESCALERA SIMPLE DE UN TRAMO, 16 PIES, 300 LB</v>
      </c>
      <c r="G64" s="15" t="s">
        <v>383</v>
      </c>
      <c r="H64" s="15" t="s">
        <v>442</v>
      </c>
      <c r="I64" s="15" t="s">
        <v>396</v>
      </c>
      <c r="J64" s="15" t="s">
        <v>318</v>
      </c>
      <c r="K64" s="47" t="s">
        <v>441</v>
      </c>
      <c r="L64" t="s">
        <v>440</v>
      </c>
      <c r="M64" s="47">
        <v>2886508594</v>
      </c>
      <c r="N64" s="47" t="str">
        <f>_xlfn.LET(
    _xlpm.itemBuscado, B64,
    _xlpm.areaBuscada, C64,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TEXT(COUNTIF($C$2:C64, _xlpm.areaBuscada), "0000"),
    _xlpm.codItem &amp; "-" &amp; _xlpm.codArea &amp; "-" &amp; _xlpm.secuencia
)</f>
        <v>ZM-ES-ML-0008</v>
      </c>
      <c r="P64" s="15"/>
      <c r="R64" s="48"/>
      <c r="AE64" s="70" t="s">
        <v>308</v>
      </c>
      <c r="AG64" s="12" t="s">
        <v>309</v>
      </c>
      <c r="AH64" t="s">
        <v>102</v>
      </c>
    </row>
    <row r="65" spans="2:34" x14ac:dyDescent="0.3">
      <c r="B65" t="s">
        <v>20</v>
      </c>
      <c r="C65" s="11" t="s">
        <v>172</v>
      </c>
      <c r="E65" s="11" t="s">
        <v>7</v>
      </c>
      <c r="F65" s="15" t="str">
        <f>_xlfn.TEXTJOIN(", ",TRUE, Tabla38[[#This Row],[Tipo de escalera]],Tabla38[[#This Row],[Longitud]],Tabla38[[#This Row],[Carga Maxima]])</f>
        <v>ESCALERA SIMPLE DE UN TRAMO, 3,6 METROS, 225 KG</v>
      </c>
      <c r="G65" s="15" t="s">
        <v>383</v>
      </c>
      <c r="H65" s="15" t="s">
        <v>445</v>
      </c>
      <c r="I65" s="15" t="s">
        <v>401</v>
      </c>
      <c r="J65" s="15" t="s">
        <v>337</v>
      </c>
      <c r="K65" s="47" t="s">
        <v>444</v>
      </c>
      <c r="L65" t="s">
        <v>443</v>
      </c>
      <c r="M65" s="47">
        <v>9564100900</v>
      </c>
      <c r="N65" s="47" t="str">
        <f>_xlfn.LET(
    _xlpm.itemBuscado, B65,
    _xlpm.areaBuscada, C65,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TEXT(COUNTIF($C$2:C65, _xlpm.areaBuscada), "0000"),
    _xlpm.codItem &amp; "-" &amp; _xlpm.codArea &amp; "-" &amp; _xlpm.secuencia
)</f>
        <v>ZM-ES-ML-0009</v>
      </c>
      <c r="P65" s="15"/>
      <c r="R65" s="48"/>
      <c r="AH65" t="s">
        <v>310</v>
      </c>
    </row>
    <row r="66" spans="2:34" x14ac:dyDescent="0.3">
      <c r="B66" t="s">
        <v>20</v>
      </c>
      <c r="C66" s="11" t="s">
        <v>172</v>
      </c>
      <c r="E66" s="11" t="s">
        <v>7</v>
      </c>
      <c r="F66" s="15" t="str">
        <f>_xlfn.TEXTJOIN(", ",TRUE, Tabla38[[#This Row],[Tipo de escalera]],Tabla38[[#This Row],[Longitud]],Tabla38[[#This Row],[Carga Maxima]])</f>
        <v>ESCALERA SIMPLE DE UN TRAMO, 3,6 METROS, 225 KG</v>
      </c>
      <c r="G66" s="15" t="s">
        <v>383</v>
      </c>
      <c r="H66" s="15" t="s">
        <v>445</v>
      </c>
      <c r="I66" s="15" t="s">
        <v>401</v>
      </c>
      <c r="J66" s="15" t="s">
        <v>337</v>
      </c>
      <c r="K66" s="47" t="s">
        <v>444</v>
      </c>
      <c r="L66" t="s">
        <v>446</v>
      </c>
      <c r="M66" s="47">
        <v>9564100900</v>
      </c>
      <c r="N66" s="47" t="str">
        <f>_xlfn.LET(
    _xlpm.itemBuscado, B66,
    _xlpm.areaBuscada, C66,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TEXT(COUNTIF($C$2:C66, _xlpm.areaBuscada), "0000"),
    _xlpm.codItem &amp; "-" &amp; _xlpm.codArea &amp; "-" &amp; _xlpm.secuencia
)</f>
        <v>ZM-ES-ML-0010</v>
      </c>
      <c r="P66" s="15"/>
      <c r="R66" s="48"/>
      <c r="AE66" t="s">
        <v>101</v>
      </c>
      <c r="AG66" s="34" t="s">
        <v>73</v>
      </c>
    </row>
    <row r="67" spans="2:34" x14ac:dyDescent="0.3">
      <c r="B67" t="s">
        <v>20</v>
      </c>
      <c r="C67" s="11" t="s">
        <v>172</v>
      </c>
      <c r="E67" s="11" t="s">
        <v>7</v>
      </c>
      <c r="F67" s="15" t="str">
        <f>_xlfn.TEXTJOIN(", ",TRUE, Tabla38[[#This Row],[Tipo de escalera]],Tabla38[[#This Row],[Longitud]],Tabla38[[#This Row],[Carga Maxima]])</f>
        <v>ESCALERA SIMPLE DE UN TRAMO, 8 PIES, 300 LB</v>
      </c>
      <c r="G67" s="15" t="s">
        <v>383</v>
      </c>
      <c r="H67" s="15" t="s">
        <v>450</v>
      </c>
      <c r="I67" s="15" t="s">
        <v>396</v>
      </c>
      <c r="J67" s="15" t="s">
        <v>318</v>
      </c>
      <c r="K67" s="47" t="s">
        <v>327</v>
      </c>
      <c r="L67" t="s">
        <v>448</v>
      </c>
      <c r="M67" s="47" t="s">
        <v>355</v>
      </c>
      <c r="N67" s="47" t="str">
        <f>_xlfn.LET(
    _xlpm.itemBuscado, B67,
    _xlpm.areaBuscada, C67,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TEXT(COUNTIF($C$2:C67, _xlpm.areaBuscada), "0000"),
    _xlpm.codItem &amp; "-" &amp; _xlpm.codArea &amp; "-" &amp; _xlpm.secuencia
)</f>
        <v>ZM-ES-ML-0011</v>
      </c>
      <c r="P67" s="15"/>
      <c r="R67" s="48"/>
      <c r="AE67" t="s">
        <v>311</v>
      </c>
      <c r="AG67" s="22" t="s">
        <v>312</v>
      </c>
      <c r="AH67" t="s">
        <v>313</v>
      </c>
    </row>
    <row r="68" spans="2:34" x14ac:dyDescent="0.3">
      <c r="B68" t="s">
        <v>20</v>
      </c>
      <c r="C68" s="11" t="s">
        <v>172</v>
      </c>
      <c r="E68" s="11" t="s">
        <v>7</v>
      </c>
      <c r="F68" s="15" t="str">
        <f>_xlfn.TEXTJOIN(", ",TRUE, Tabla38[[#This Row],[Tipo de escalera]],Tabla38[[#This Row],[Longitud]],Tabla38[[#This Row],[Carga Maxima]])</f>
        <v>ESCALERA SIMPLE DE UN TRAMO, 16 PIES, 300 LB</v>
      </c>
      <c r="G68" s="15" t="s">
        <v>383</v>
      </c>
      <c r="H68" s="15" t="s">
        <v>442</v>
      </c>
      <c r="I68" s="15" t="s">
        <v>396</v>
      </c>
      <c r="J68" s="15" t="s">
        <v>318</v>
      </c>
      <c r="K68" s="47" t="s">
        <v>447</v>
      </c>
      <c r="L68" t="s">
        <v>449</v>
      </c>
      <c r="M68" s="47" t="s">
        <v>355</v>
      </c>
      <c r="N68" s="47" t="str">
        <f>_xlfn.LET(
    _xlpm.itemBuscado, B68,
    _xlpm.areaBuscada, C68,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TEXT(COUNTIF($C$2:C68, _xlpm.areaBuscada), "0000"),
    _xlpm.codItem &amp; "-" &amp; _xlpm.codArea &amp; "-" &amp; _xlpm.secuencia
)</f>
        <v>ZM-ES-ML-0012</v>
      </c>
      <c r="P68" s="15"/>
      <c r="R68" s="48"/>
      <c r="AH68" s="21" t="s">
        <v>314</v>
      </c>
    </row>
    <row r="69" spans="2:34" x14ac:dyDescent="0.3">
      <c r="B69" t="s">
        <v>20</v>
      </c>
      <c r="C69" s="11" t="s">
        <v>172</v>
      </c>
      <c r="E69" s="11" t="s">
        <v>7</v>
      </c>
      <c r="F69" s="15" t="str">
        <f>_xlfn.TEXTJOIN(", ",TRUE, Tabla38[[#This Row],[Tipo de escalera]],Tabla38[[#This Row],[Longitud]],Tabla38[[#This Row],[Carga Maxima]])</f>
        <v>ESCALERA SIMPLE DE UN TRAMO, 8 PIES, 300 LB</v>
      </c>
      <c r="G69" s="15" t="s">
        <v>383</v>
      </c>
      <c r="H69" s="15" t="s">
        <v>450</v>
      </c>
      <c r="I69" s="15" t="s">
        <v>396</v>
      </c>
      <c r="J69" s="15" t="s">
        <v>318</v>
      </c>
      <c r="K69" s="47" t="s">
        <v>327</v>
      </c>
      <c r="L69" t="s">
        <v>451</v>
      </c>
      <c r="M69" s="47" t="s">
        <v>355</v>
      </c>
      <c r="N69" s="47" t="str">
        <f>_xlfn.LET(
    _xlpm.itemBuscado, B69,
    _xlpm.areaBuscada, C69,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TEXT(COUNTIF($C$2:C69, _xlpm.areaBuscada), "0000"),
    _xlpm.codItem &amp; "-" &amp; _xlpm.codArea &amp; "-" &amp; _xlpm.secuencia
)</f>
        <v>ZM-ES-ML-0013</v>
      </c>
      <c r="P69" s="15"/>
      <c r="R69" s="48"/>
      <c r="AH69" s="70" t="s">
        <v>315</v>
      </c>
    </row>
    <row r="70" spans="2:34" x14ac:dyDescent="0.3">
      <c r="B70" t="s">
        <v>20</v>
      </c>
      <c r="C70" s="11" t="s">
        <v>172</v>
      </c>
      <c r="E70" s="11" t="s">
        <v>7</v>
      </c>
      <c r="F70" s="15" t="str">
        <f>_xlfn.TEXTJOIN(", ",TRUE, Tabla38[[#This Row],[Tipo de escalera]],Tabla38[[#This Row],[Longitud]],Tabla38[[#This Row],[Carga Maxima]])</f>
        <v>ESCALERA SIMPLE DE UN TRAMO, 8 PIES, 300 LB</v>
      </c>
      <c r="G70" s="15" t="s">
        <v>383</v>
      </c>
      <c r="H70" s="15" t="s">
        <v>450</v>
      </c>
      <c r="I70" s="15" t="s">
        <v>396</v>
      </c>
      <c r="J70" s="15" t="s">
        <v>318</v>
      </c>
      <c r="K70" s="47" t="s">
        <v>327</v>
      </c>
      <c r="L70" t="s">
        <v>452</v>
      </c>
      <c r="M70" s="47" t="s">
        <v>355</v>
      </c>
      <c r="N70" s="47" t="str">
        <f>_xlfn.LET(
    _xlpm.itemBuscado, B70,
    _xlpm.areaBuscada, C70,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TEXT(COUNTIF($C$2:C70, _xlpm.areaBuscada), "0000"),
    _xlpm.codItem &amp; "-" &amp; _xlpm.codArea &amp; "-" &amp; _xlpm.secuencia
)</f>
        <v>ZM-ES-ML-0014</v>
      </c>
      <c r="P70" s="15"/>
      <c r="R70" s="48"/>
    </row>
    <row r="71" spans="2:34" x14ac:dyDescent="0.3">
      <c r="B71" t="s">
        <v>20</v>
      </c>
      <c r="C71" s="11" t="s">
        <v>172</v>
      </c>
      <c r="E71" s="11" t="s">
        <v>7</v>
      </c>
      <c r="F71" s="15" t="str">
        <f>_xlfn.TEXTJOIN(", ",TRUE, Tabla38[[#This Row],[Tipo de escalera]],Tabla38[[#This Row],[Longitud]],Tabla38[[#This Row],[Carga Maxima]])</f>
        <v>ESCALERA DOBLE O DE TIJERA, NO TIENE, NO TIENE</v>
      </c>
      <c r="G71" s="15" t="s">
        <v>384</v>
      </c>
      <c r="H71" s="15" t="s">
        <v>355</v>
      </c>
      <c r="I71" s="15" t="s">
        <v>355</v>
      </c>
      <c r="J71" s="15" t="s">
        <v>318</v>
      </c>
      <c r="K71" s="47" t="s">
        <v>355</v>
      </c>
      <c r="L71" t="s">
        <v>355</v>
      </c>
      <c r="M71" s="47" t="s">
        <v>355</v>
      </c>
      <c r="N71" s="47" t="str">
        <f>_xlfn.LET(
    _xlpm.itemBuscado, B71,
    _xlpm.areaBuscada, C71,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TEXT(COUNTIF($C$2:C71, _xlpm.areaBuscada), "0000"),
    _xlpm.codItem &amp; "-" &amp; _xlpm.codArea &amp; "-" &amp; _xlpm.secuencia
)</f>
        <v>ZM-ES-ML-0015</v>
      </c>
      <c r="P71" s="15"/>
      <c r="R71" s="48"/>
    </row>
    <row r="72" spans="2:34" x14ac:dyDescent="0.3">
      <c r="B72" t="s">
        <v>20</v>
      </c>
      <c r="C72" s="11" t="s">
        <v>172</v>
      </c>
      <c r="E72" s="11" t="s">
        <v>7</v>
      </c>
      <c r="F72" s="15" t="str">
        <f>_xlfn.TEXTJOIN(", ",TRUE, Tabla38[[#This Row],[Tipo de escalera]],Tabla38[[#This Row],[Longitud]],Tabla38[[#This Row],[Carga Maxima]])</f>
        <v>ESCALERA DOBLE O DE TIJERA, 6 PIES, 300 LB</v>
      </c>
      <c r="G72" s="15" t="s">
        <v>384</v>
      </c>
      <c r="H72" s="15" t="s">
        <v>455</v>
      </c>
      <c r="I72" s="15" t="s">
        <v>396</v>
      </c>
      <c r="J72" s="15" t="s">
        <v>318</v>
      </c>
      <c r="K72" s="47" t="s">
        <v>454</v>
      </c>
      <c r="L72" t="s">
        <v>453</v>
      </c>
      <c r="M72" s="47">
        <v>2886508833</v>
      </c>
      <c r="N72" s="47" t="str">
        <f>_xlfn.LET(
    _xlpm.itemBuscado, B72,
    _xlpm.areaBuscada, C72,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TEXT(COUNTIF($C$2:C72, _xlpm.areaBuscada), "0000"),
    _xlpm.codItem &amp; "-" &amp; _xlpm.codArea &amp; "-" &amp; _xlpm.secuencia
)</f>
        <v>ZM-ES-ML-0016</v>
      </c>
      <c r="P72" s="15"/>
      <c r="R72" s="48"/>
    </row>
    <row r="73" spans="2:34" x14ac:dyDescent="0.3">
      <c r="B73" t="s">
        <v>20</v>
      </c>
      <c r="C73" s="11" t="s">
        <v>171</v>
      </c>
      <c r="E73" s="11" t="s">
        <v>7</v>
      </c>
      <c r="F73" s="15" t="str">
        <f>_xlfn.TEXTJOIN(", ",TRUE, Tabla38[[#This Row],[Tipo de escalera]],Tabla38[[#This Row],[Longitud]],Tabla38[[#This Row],[Carga Maxima]])</f>
        <v>ESCALERA DOBLE O DE TIJERA, 6 PIES, 250 KG</v>
      </c>
      <c r="G73" s="15" t="s">
        <v>384</v>
      </c>
      <c r="H73" s="15" t="s">
        <v>455</v>
      </c>
      <c r="I73" s="15" t="s">
        <v>457</v>
      </c>
      <c r="J73" s="15" t="s">
        <v>318</v>
      </c>
      <c r="K73" s="47" t="s">
        <v>458</v>
      </c>
      <c r="L73" t="s">
        <v>456</v>
      </c>
      <c r="M73" s="47">
        <v>2866502588</v>
      </c>
      <c r="N73" s="47" t="str">
        <f>_xlfn.LET(
    _xlpm.itemBuscado, B73,
    _xlpm.areaBuscada, C73,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TEXT(COUNTIF($C$2:C73, _xlpm.areaBuscada), "0000"),
    _xlpm.codItem &amp; "-" &amp; _xlpm.codArea &amp; "-" &amp; _xlpm.secuencia
)</f>
        <v>ZM-ES-CH-0001</v>
      </c>
      <c r="P73" s="15"/>
      <c r="R73" s="48"/>
    </row>
    <row r="74" spans="2:34" x14ac:dyDescent="0.3">
      <c r="B74" t="s">
        <v>20</v>
      </c>
      <c r="C74" s="11" t="s">
        <v>171</v>
      </c>
      <c r="E74" s="11" t="s">
        <v>7</v>
      </c>
      <c r="F74" s="15" t="str">
        <f>_xlfn.TEXTJOIN(", ",TRUE, Tabla38[[#This Row],[Tipo de escalera]],Tabla38[[#This Row],[Longitud]],Tabla38[[#This Row],[Carga Maxima]])</f>
        <v>ESCALERA DOBLE O DE TIJERA, 4 PIES, 250 KG</v>
      </c>
      <c r="G74" s="15" t="s">
        <v>384</v>
      </c>
      <c r="H74" s="15" t="s">
        <v>460</v>
      </c>
      <c r="I74" s="15" t="s">
        <v>457</v>
      </c>
      <c r="J74" s="15" t="s">
        <v>318</v>
      </c>
      <c r="K74" s="47" t="s">
        <v>323</v>
      </c>
      <c r="L74" t="s">
        <v>459</v>
      </c>
      <c r="M74" s="47">
        <v>728665025645</v>
      </c>
      <c r="N74" s="47" t="str">
        <f>_xlfn.LET(
    _xlpm.itemBuscado, B74,
    _xlpm.areaBuscada, C74,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TEXT(COUNTIF($C$2:C74, _xlpm.areaBuscada), "0000"),
    _xlpm.codItem &amp; "-" &amp; _xlpm.codArea &amp; "-" &amp; _xlpm.secuencia
)</f>
        <v>ZM-ES-CH-0002</v>
      </c>
      <c r="P74" s="15"/>
      <c r="R74" s="48"/>
    </row>
    <row r="75" spans="2:34" ht="57.6" x14ac:dyDescent="0.3">
      <c r="B75" t="s">
        <v>20</v>
      </c>
      <c r="C75" s="11" t="s">
        <v>171</v>
      </c>
      <c r="E75" s="11" t="s">
        <v>7</v>
      </c>
      <c r="F75" s="15" t="str">
        <f>_xlfn.TEXTJOIN(", ",TRUE, Tabla38[[#This Row],[Tipo de escalera]],Tabla38[[#This Row],[Longitud]],Tabla38[[#This Row],[Carga Maxima]])</f>
        <v>ESCALERA SIMPLE DE UN TRAMO, 8 PIES, 300 LB</v>
      </c>
      <c r="G75" s="15" t="s">
        <v>383</v>
      </c>
      <c r="H75" s="15" t="s">
        <v>450</v>
      </c>
      <c r="I75" s="15" t="s">
        <v>396</v>
      </c>
      <c r="J75" s="15" t="s">
        <v>318</v>
      </c>
      <c r="K75" s="47" t="s">
        <v>462</v>
      </c>
      <c r="L75" t="s">
        <v>461</v>
      </c>
      <c r="M75" s="47">
        <v>28866508690</v>
      </c>
      <c r="N75" s="47" t="str">
        <f>_xlfn.LET(
    _xlpm.itemBuscado, B75,
    _xlpm.areaBuscada, C75,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TEXT(COUNTIF($C$2:C75, _xlpm.areaBuscada), "0000"),
    _xlpm.codItem &amp; "-" &amp; _xlpm.codArea &amp; "-" &amp; _xlpm.secuencia
)</f>
        <v>ZM-ES-CH-0003</v>
      </c>
      <c r="P75" s="15"/>
      <c r="R75" s="48"/>
      <c r="AE75" s="11" t="s">
        <v>316</v>
      </c>
    </row>
    <row r="76" spans="2:34" x14ac:dyDescent="0.3">
      <c r="B76" t="s">
        <v>20</v>
      </c>
      <c r="C76" s="11" t="s">
        <v>171</v>
      </c>
      <c r="E76" s="11" t="s">
        <v>7</v>
      </c>
      <c r="F76" s="15" t="str">
        <f>_xlfn.TEXTJOIN(", ",TRUE, Tabla38[[#This Row],[Tipo de escalera]],Tabla38[[#This Row],[Longitud]],Tabla38[[#This Row],[Carga Maxima]])</f>
        <v>ESCALERA EXTENSIBLE O TELESCÓPICA, 17 PIES, 300 LB</v>
      </c>
      <c r="G76" s="15" t="s">
        <v>385</v>
      </c>
      <c r="H76" s="15" t="s">
        <v>465</v>
      </c>
      <c r="I76" s="15" t="s">
        <v>396</v>
      </c>
      <c r="J76" s="15" t="s">
        <v>318</v>
      </c>
      <c r="K76" s="47" t="s">
        <v>464</v>
      </c>
      <c r="L76" t="s">
        <v>463</v>
      </c>
      <c r="M76" s="47" t="s">
        <v>355</v>
      </c>
      <c r="N76" s="47" t="str">
        <f>_xlfn.LET(
    _xlpm.itemBuscado, B76,
    _xlpm.areaBuscada, C76,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TEXT(COUNTIF($C$2:C76, _xlpm.areaBuscada), "0000"),
    _xlpm.codItem &amp; "-" &amp; _xlpm.codArea &amp; "-" &amp; _xlpm.secuencia
)</f>
        <v>ZM-ES-CH-0004</v>
      </c>
      <c r="P76" s="15"/>
      <c r="R76" s="48"/>
    </row>
    <row r="77" spans="2:34" x14ac:dyDescent="0.3">
      <c r="B77" t="s">
        <v>20</v>
      </c>
      <c r="C77" s="11" t="s">
        <v>171</v>
      </c>
      <c r="E77" s="11" t="s">
        <v>7</v>
      </c>
      <c r="F77" s="15" t="str">
        <f>_xlfn.TEXTJOIN(", ",TRUE, Tabla38[[#This Row],[Tipo de escalera]],Tabla38[[#This Row],[Longitud]],Tabla38[[#This Row],[Carga Maxima]])</f>
        <v>ESCALERA DOBLE O DE TIJERA, 4 PIES, 225 LB</v>
      </c>
      <c r="G77" s="15" t="s">
        <v>384</v>
      </c>
      <c r="H77" s="15" t="s">
        <v>460</v>
      </c>
      <c r="I77" s="15" t="s">
        <v>468</v>
      </c>
      <c r="J77" s="15" t="s">
        <v>337</v>
      </c>
      <c r="K77" s="47" t="s">
        <v>467</v>
      </c>
      <c r="L77" t="s">
        <v>466</v>
      </c>
      <c r="M77" s="47">
        <v>9564100820</v>
      </c>
      <c r="N77" s="47" t="str">
        <f>_xlfn.LET(
    _xlpm.itemBuscado, B77,
    _xlpm.areaBuscada, C77,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TEXT(COUNTIF($C$2:C77, _xlpm.areaBuscada), "0000"),
    _xlpm.codItem &amp; "-" &amp; _xlpm.codArea &amp; "-" &amp; _xlpm.secuencia
)</f>
        <v>ZM-ES-CH-0005</v>
      </c>
      <c r="P77" s="15"/>
      <c r="R77" s="48"/>
    </row>
    <row r="78" spans="2:34" x14ac:dyDescent="0.3">
      <c r="B78" t="s">
        <v>20</v>
      </c>
      <c r="C78" s="11" t="s">
        <v>171</v>
      </c>
      <c r="E78" s="11" t="s">
        <v>7</v>
      </c>
      <c r="F78" s="15" t="str">
        <f>_xlfn.TEXTJOIN(", ",TRUE, Tabla38[[#This Row],[Tipo de escalera]],Tabla38[[#This Row],[Longitud]],Tabla38[[#This Row],[Carga Maxima]])</f>
        <v>ESCALERA SIMPLE DE UN TRAMO, 12 PIES, 220KG</v>
      </c>
      <c r="G78" s="15" t="s">
        <v>383</v>
      </c>
      <c r="H78" s="15" t="s">
        <v>472</v>
      </c>
      <c r="I78" s="15" t="s">
        <v>471</v>
      </c>
      <c r="J78" s="15" t="s">
        <v>337</v>
      </c>
      <c r="K78" s="47" t="s">
        <v>444</v>
      </c>
      <c r="L78" t="s">
        <v>469</v>
      </c>
      <c r="M78" s="47">
        <v>95641009901</v>
      </c>
      <c r="N78" s="47" t="str">
        <f>_xlfn.LET(
    _xlpm.itemBuscado, B78,
    _xlpm.areaBuscada, C78,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TEXT(COUNTIF($C$2:C78, _xlpm.areaBuscada), "0000"),
    _xlpm.codItem &amp; "-" &amp; _xlpm.codArea &amp; "-" &amp; _xlpm.secuencia
)</f>
        <v>ZM-ES-CH-0006</v>
      </c>
      <c r="P78" s="15"/>
      <c r="R78" s="48"/>
    </row>
    <row r="79" spans="2:34" x14ac:dyDescent="0.3">
      <c r="B79" t="s">
        <v>20</v>
      </c>
      <c r="C79" s="11" t="s">
        <v>171</v>
      </c>
      <c r="E79" s="11" t="s">
        <v>7</v>
      </c>
      <c r="F79" s="15" t="str">
        <f>_xlfn.TEXTJOIN(", ",TRUE, Tabla38[[#This Row],[Tipo de escalera]],Tabla38[[#This Row],[Longitud]],Tabla38[[#This Row],[Carga Maxima]])</f>
        <v>ESCALERA SIMPLE DE UN TRAMO, 8 PIES, 300 LB</v>
      </c>
      <c r="G79" s="15" t="s">
        <v>383</v>
      </c>
      <c r="H79" s="15" t="s">
        <v>450</v>
      </c>
      <c r="I79" s="15" t="s">
        <v>396</v>
      </c>
      <c r="J79" s="15" t="s">
        <v>318</v>
      </c>
      <c r="K79" s="47" t="s">
        <v>473</v>
      </c>
      <c r="L79" t="s">
        <v>470</v>
      </c>
      <c r="M79" s="47">
        <v>28866508590</v>
      </c>
      <c r="N79" s="47" t="str">
        <f>_xlfn.LET(
    _xlpm.itemBuscado, B79,
    _xlpm.areaBuscada, C79,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TEXT(COUNTIF($C$2:C79, _xlpm.areaBuscada), "0000"),
    _xlpm.codItem &amp; "-" &amp; _xlpm.codArea &amp; "-" &amp; _xlpm.secuencia
)</f>
        <v>ZM-ES-CH-0007</v>
      </c>
      <c r="P79" s="15"/>
      <c r="R79" s="48"/>
    </row>
    <row r="80" spans="2:34" x14ac:dyDescent="0.3">
      <c r="B80" t="s">
        <v>20</v>
      </c>
      <c r="C80" s="11" t="s">
        <v>179</v>
      </c>
      <c r="E80" s="11" t="s">
        <v>7</v>
      </c>
      <c r="F80" s="15" t="str">
        <f>_xlfn.TEXTJOIN(", ",TRUE, Tabla38[[#This Row],[Tipo de escalera]],Tabla38[[#This Row],[Longitud]],Tabla38[[#This Row],[Carga Maxima]])</f>
        <v>ESCALERA SIMPLE DE UN TRAMO, 8 PIES, 225 KG</v>
      </c>
      <c r="G80" s="15" t="s">
        <v>383</v>
      </c>
      <c r="H80" s="15" t="s">
        <v>450</v>
      </c>
      <c r="I80" s="15" t="s">
        <v>401</v>
      </c>
      <c r="J80" s="15" t="s">
        <v>337</v>
      </c>
      <c r="K80" s="47" t="s">
        <v>362</v>
      </c>
      <c r="L80" t="s">
        <v>475</v>
      </c>
      <c r="M80" s="47">
        <v>9564100988</v>
      </c>
      <c r="N80" s="47" t="str">
        <f>_xlfn.LET(
    _xlpm.itemBuscado, B80,
    _xlpm.areaBuscada, C80,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TEXT(COUNTIF($C$2:C80, _xlpm.areaBuscada), "0000"),
    _xlpm.codItem &amp; "-" &amp; _xlpm.codArea &amp; "-" &amp; _xlpm.secuencia
)</f>
        <v>ZM-ES-GE-0001</v>
      </c>
      <c r="P80" s="15"/>
      <c r="R80" s="48"/>
    </row>
    <row r="81" spans="2:18" x14ac:dyDescent="0.3">
      <c r="B81" t="s">
        <v>20</v>
      </c>
      <c r="C81" s="11" t="s">
        <v>179</v>
      </c>
      <c r="E81" s="11" t="s">
        <v>7</v>
      </c>
      <c r="F81" s="15" t="str">
        <f>_xlfn.TEXTJOIN(", ",TRUE, Tabla38[[#This Row],[Tipo de escalera]],Tabla38[[#This Row],[Longitud]],Tabla38[[#This Row],[Carga Maxima]])</f>
        <v>ESCALERA DOBLE O DE TIJERA, 4 PIES, 136 KG</v>
      </c>
      <c r="G81" s="15" t="s">
        <v>384</v>
      </c>
      <c r="H81" s="15" t="s">
        <v>460</v>
      </c>
      <c r="I81" s="15" t="s">
        <v>430</v>
      </c>
      <c r="J81" s="15" t="s">
        <v>318</v>
      </c>
      <c r="K81" s="47" t="s">
        <v>476</v>
      </c>
      <c r="L81" t="s">
        <v>474</v>
      </c>
      <c r="M81" s="47">
        <v>2886508836</v>
      </c>
      <c r="N81" s="47" t="str">
        <f>_xlfn.LET(
    _xlpm.itemBuscado, B81,
    _xlpm.areaBuscada, C81,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TEXT(COUNTIF($C$2:C81, _xlpm.areaBuscada), "0000"),
    _xlpm.codItem &amp; "-" &amp; _xlpm.codArea &amp; "-" &amp; _xlpm.secuencia
)</f>
        <v>ZM-ES-GE-0002</v>
      </c>
      <c r="P81" s="15"/>
      <c r="R81" s="48"/>
    </row>
    <row r="82" spans="2:18" x14ac:dyDescent="0.3">
      <c r="B82" t="s">
        <v>20</v>
      </c>
      <c r="C82" s="11" t="s">
        <v>179</v>
      </c>
      <c r="E82" s="11" t="s">
        <v>7</v>
      </c>
      <c r="F82" s="15" t="str">
        <f>_xlfn.TEXTJOIN(", ",TRUE, Tabla38[[#This Row],[Tipo de escalera]],Tabla38[[#This Row],[Longitud]],Tabla38[[#This Row],[Carga Maxima]])</f>
        <v>ESCALERA EXTENSIBLE O TELESCÓPICA, 22 PIES, 250 LB</v>
      </c>
      <c r="G82" s="15" t="s">
        <v>385</v>
      </c>
      <c r="H82" s="15" t="s">
        <v>478</v>
      </c>
      <c r="I82" s="15" t="s">
        <v>420</v>
      </c>
      <c r="J82" s="15" t="s">
        <v>318</v>
      </c>
      <c r="K82" s="47" t="s">
        <v>355</v>
      </c>
      <c r="L82" t="s">
        <v>477</v>
      </c>
      <c r="M82" s="47" t="s">
        <v>355</v>
      </c>
      <c r="N82" s="47" t="str">
        <f>_xlfn.LET(
    _xlpm.itemBuscado, B82,
    _xlpm.areaBuscada, C82,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TEXT(COUNTIF($C$2:C82, _xlpm.areaBuscada), "0000"),
    _xlpm.codItem &amp; "-" &amp; _xlpm.codArea &amp; "-" &amp; _xlpm.secuencia
)</f>
        <v>ZM-ES-GE-0003</v>
      </c>
      <c r="P82" s="15"/>
      <c r="R82" s="48"/>
    </row>
    <row r="83" spans="2:18" x14ac:dyDescent="0.3">
      <c r="B83" t="s">
        <v>20</v>
      </c>
      <c r="C83" s="11" t="s">
        <v>179</v>
      </c>
      <c r="E83" s="11" t="s">
        <v>7</v>
      </c>
      <c r="F83" s="15" t="str">
        <f>_xlfn.TEXTJOIN(", ",TRUE, Tabla38[[#This Row],[Tipo de escalera]],Tabla38[[#This Row],[Longitud]],Tabla38[[#This Row],[Carga Maxima]])</f>
        <v>ESCALERA DOBLE O DE TIJERA, 5 PIES, NO TIENE</v>
      </c>
      <c r="G83" s="15" t="s">
        <v>384</v>
      </c>
      <c r="H83" s="15" t="s">
        <v>479</v>
      </c>
      <c r="I83" s="15" t="s">
        <v>355</v>
      </c>
      <c r="J83" s="15" t="s">
        <v>337</v>
      </c>
      <c r="K83" s="47" t="s">
        <v>355</v>
      </c>
      <c r="L83" t="s">
        <v>480</v>
      </c>
      <c r="M83" s="47" t="s">
        <v>355</v>
      </c>
      <c r="N83" s="47" t="str">
        <f>_xlfn.LET(
    _xlpm.itemBuscado, B83,
    _xlpm.areaBuscada, C83,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TEXT(COUNTIF($C$2:C83, _xlpm.areaBuscada), "0000"),
    _xlpm.codItem &amp; "-" &amp; _xlpm.codArea &amp; "-" &amp; _xlpm.secuencia
)</f>
        <v>ZM-ES-GE-0004</v>
      </c>
      <c r="P83" s="15"/>
      <c r="R83" s="48"/>
    </row>
    <row r="84" spans="2:18" x14ac:dyDescent="0.3">
      <c r="B84" t="s">
        <v>20</v>
      </c>
      <c r="C84" s="11" t="s">
        <v>179</v>
      </c>
      <c r="E84" s="11" t="s">
        <v>7</v>
      </c>
      <c r="F84" s="15" t="str">
        <f>_xlfn.TEXTJOIN(", ",TRUE, Tabla38[[#This Row],[Tipo de escalera]],Tabla38[[#This Row],[Longitud]],Tabla38[[#This Row],[Carga Maxima]])</f>
        <v>ESCALERA DOBLE O DE TIJERA, 6 PIES, 300 LB</v>
      </c>
      <c r="G84" s="15" t="s">
        <v>384</v>
      </c>
      <c r="H84" s="15" t="s">
        <v>455</v>
      </c>
      <c r="I84" s="15" t="s">
        <v>396</v>
      </c>
      <c r="J84" s="15" t="s">
        <v>318</v>
      </c>
      <c r="K84" s="47" t="s">
        <v>355</v>
      </c>
      <c r="L84" t="s">
        <v>481</v>
      </c>
      <c r="M84" s="47">
        <v>288650849</v>
      </c>
      <c r="N84" s="47" t="str">
        <f>_xlfn.LET(
    _xlpm.itemBuscado, B84,
    _xlpm.areaBuscada, C84,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TEXT(COUNTIF($C$2:C84, _xlpm.areaBuscada), "0000"),
    _xlpm.codItem &amp; "-" &amp; _xlpm.codArea &amp; "-" &amp; _xlpm.secuencia
)</f>
        <v>ZM-ES-GE-0005</v>
      </c>
      <c r="P84" s="15"/>
      <c r="R84" s="48"/>
    </row>
    <row r="85" spans="2:18" x14ac:dyDescent="0.3">
      <c r="B85" t="s">
        <v>20</v>
      </c>
      <c r="C85" s="11" t="s">
        <v>179</v>
      </c>
      <c r="E85" s="11" t="s">
        <v>7</v>
      </c>
      <c r="F85" s="15" t="str">
        <f>_xlfn.TEXTJOIN(", ",TRUE, Tabla38[[#This Row],[Tipo de escalera]],Tabla38[[#This Row],[Longitud]],Tabla38[[#This Row],[Carga Maxima]])</f>
        <v>ESCALERA DOBLE O DE TIJERA, 4 PIES, 250 LB</v>
      </c>
      <c r="G85" s="15" t="s">
        <v>384</v>
      </c>
      <c r="H85" s="15" t="s">
        <v>460</v>
      </c>
      <c r="I85" s="15" t="s">
        <v>420</v>
      </c>
      <c r="J85" s="15" t="s">
        <v>318</v>
      </c>
      <c r="K85" s="47" t="s">
        <v>355</v>
      </c>
      <c r="L85" t="s">
        <v>475</v>
      </c>
      <c r="M85" s="47" t="s">
        <v>355</v>
      </c>
      <c r="N85" s="47" t="str">
        <f>_xlfn.LET(
    _xlpm.itemBuscado, B85,
    _xlpm.areaBuscada, C85,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TEXT(COUNTIF($C$2:C85, _xlpm.areaBuscada), "0000"),
    _xlpm.codItem &amp; "-" &amp; _xlpm.codArea &amp; "-" &amp; _xlpm.secuencia
)</f>
        <v>ZM-ES-GE-0006</v>
      </c>
      <c r="P85" s="15"/>
      <c r="R85" s="48"/>
    </row>
    <row r="86" spans="2:18" x14ac:dyDescent="0.3">
      <c r="B86" t="s">
        <v>20</v>
      </c>
      <c r="C86" s="11" t="s">
        <v>174</v>
      </c>
      <c r="E86" s="11" t="s">
        <v>7</v>
      </c>
      <c r="F86" s="15" t="str">
        <f>_xlfn.TEXTJOIN(", ",TRUE, Tabla38[[#This Row],[Tipo de escalera]],Tabla38[[#This Row],[Longitud]],Tabla38[[#This Row],[Carga Maxima]])</f>
        <v>ESCALERA EXTENSIBLE O TELESCÓPICA, 40 PIES, 300LB</v>
      </c>
      <c r="G86" s="15" t="s">
        <v>385</v>
      </c>
      <c r="H86" s="15" t="s">
        <v>424</v>
      </c>
      <c r="I86" s="15" t="s">
        <v>483</v>
      </c>
      <c r="J86" s="15" t="s">
        <v>318</v>
      </c>
      <c r="K86" s="47" t="s">
        <v>482</v>
      </c>
      <c r="L86" t="s">
        <v>484</v>
      </c>
      <c r="M86" s="47">
        <v>266008667</v>
      </c>
      <c r="N86" s="47" t="str">
        <f>_xlfn.LET(
    _xlpm.itemBuscado, B86,
    _xlpm.areaBuscada, C86,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TEXT(COUNTIF($C$2:C86, _xlpm.areaBuscada), "0000"),
    _xlpm.codItem &amp; "-" &amp; _xlpm.codArea &amp; "-" &amp; _xlpm.secuencia
)</f>
        <v>ZM-ES-FI-0001</v>
      </c>
      <c r="P86" s="15"/>
      <c r="R86" s="48"/>
    </row>
    <row r="87" spans="2:18" x14ac:dyDescent="0.3">
      <c r="B87" t="s">
        <v>20</v>
      </c>
      <c r="C87" s="11" t="s">
        <v>174</v>
      </c>
      <c r="E87" s="11" t="s">
        <v>7</v>
      </c>
      <c r="F87" s="15" t="str">
        <f>_xlfn.TEXTJOIN(", ",TRUE, Tabla38[[#This Row],[Tipo de escalera]],Tabla38[[#This Row],[Longitud]],Tabla38[[#This Row],[Carga Maxima]])</f>
        <v>ESCALERA EXTENSIBLE O TELESCÓPICA, 40 PIES, 300 LB</v>
      </c>
      <c r="G87" s="15" t="s">
        <v>385</v>
      </c>
      <c r="H87" s="15" t="s">
        <v>424</v>
      </c>
      <c r="I87" s="15" t="s">
        <v>396</v>
      </c>
      <c r="J87" s="15" t="s">
        <v>318</v>
      </c>
      <c r="K87" s="47" t="s">
        <v>482</v>
      </c>
      <c r="L87" t="s">
        <v>485</v>
      </c>
      <c r="M87" s="47">
        <v>2660086007</v>
      </c>
      <c r="N87" s="47" t="str">
        <f>_xlfn.LET(
    _xlpm.itemBuscado, B87,
    _xlpm.areaBuscada, C87,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TEXT(COUNTIF($C$2:C87, _xlpm.areaBuscada), "0000"),
    _xlpm.codItem &amp; "-" &amp; _xlpm.codArea &amp; "-" &amp; _xlpm.secuencia
)</f>
        <v>ZM-ES-FI-0002</v>
      </c>
      <c r="P87" s="15"/>
      <c r="R87" s="48"/>
    </row>
    <row r="88" spans="2:18" x14ac:dyDescent="0.3">
      <c r="B88" t="s">
        <v>20</v>
      </c>
      <c r="C88" s="11" t="s">
        <v>174</v>
      </c>
      <c r="E88" s="11" t="s">
        <v>7</v>
      </c>
      <c r="F88" s="15" t="str">
        <f>_xlfn.TEXTJOIN(", ",TRUE, Tabla38[[#This Row],[Tipo de escalera]],Tabla38[[#This Row],[Longitud]],Tabla38[[#This Row],[Carga Maxima]])</f>
        <v>ESCALERA EXTENSIBLE O TELESCÓPICA, 24 PIES, 150 KG</v>
      </c>
      <c r="G88" s="15" t="s">
        <v>385</v>
      </c>
      <c r="H88" s="15" t="s">
        <v>421</v>
      </c>
      <c r="I88" s="15" t="s">
        <v>488</v>
      </c>
      <c r="J88" s="15" t="s">
        <v>337</v>
      </c>
      <c r="K88" s="47" t="s">
        <v>487</v>
      </c>
      <c r="L88" t="s">
        <v>486</v>
      </c>
      <c r="M88" s="47">
        <v>9564100682</v>
      </c>
      <c r="N88" s="47" t="str">
        <f>_xlfn.LET(
    _xlpm.itemBuscado, B88,
    _xlpm.areaBuscada, C88,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TEXT(COUNTIF($C$2:C88, _xlpm.areaBuscada), "0000"),
    _xlpm.codItem &amp; "-" &amp; _xlpm.codArea &amp; "-" &amp; _xlpm.secuencia
)</f>
        <v>ZM-ES-FI-0003</v>
      </c>
      <c r="P88" s="15"/>
      <c r="R88" s="48"/>
    </row>
    <row r="89" spans="2:18" x14ac:dyDescent="0.3">
      <c r="B89" t="s">
        <v>20</v>
      </c>
      <c r="C89" s="11" t="s">
        <v>174</v>
      </c>
      <c r="E89" s="11" t="s">
        <v>7</v>
      </c>
      <c r="F89" s="15" t="str">
        <f>_xlfn.TEXTJOIN(", ",TRUE, Tabla38[[#This Row],[Tipo de escalera]],Tabla38[[#This Row],[Longitud]],Tabla38[[#This Row],[Carga Maxima]])</f>
        <v>ESCALERA EXTENSIBLE O TELESCÓPICA, 24 PIES, 150 KG</v>
      </c>
      <c r="G89" s="15" t="s">
        <v>385</v>
      </c>
      <c r="H89" s="15" t="s">
        <v>421</v>
      </c>
      <c r="I89" s="15" t="s">
        <v>488</v>
      </c>
      <c r="J89" s="15" t="s">
        <v>318</v>
      </c>
      <c r="K89" s="47" t="s">
        <v>489</v>
      </c>
      <c r="L89" t="s">
        <v>485</v>
      </c>
      <c r="M89" s="47" t="s">
        <v>355</v>
      </c>
      <c r="N89" s="47" t="str">
        <f>_xlfn.LET(
    _xlpm.itemBuscado, B89,
    _xlpm.areaBuscada, C89,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TEXT(COUNTIF($C$2:C89, _xlpm.areaBuscada), "0000"),
    _xlpm.codItem &amp; "-" &amp; _xlpm.codArea &amp; "-" &amp; _xlpm.secuencia
)</f>
        <v>ZM-ES-FI-0004</v>
      </c>
      <c r="P89" s="15"/>
      <c r="R89" s="48"/>
    </row>
    <row r="90" spans="2:18" x14ac:dyDescent="0.3">
      <c r="B90" t="s">
        <v>20</v>
      </c>
      <c r="C90" s="11" t="s">
        <v>174</v>
      </c>
      <c r="E90" s="11" t="s">
        <v>7</v>
      </c>
      <c r="F90" s="15" t="str">
        <f>_xlfn.TEXTJOIN(", ",TRUE, Tabla38[[#This Row],[Tipo de escalera]],Tabla38[[#This Row],[Longitud]],Tabla38[[#This Row],[Carga Maxima]])</f>
        <v>ESCALERA EXTENSIBLE O TELESCÓPICA, 24 PIES, 113 KG</v>
      </c>
      <c r="G90" s="15" t="s">
        <v>385</v>
      </c>
      <c r="H90" s="15" t="s">
        <v>421</v>
      </c>
      <c r="I90" s="15" t="s">
        <v>491</v>
      </c>
      <c r="J90" s="15" t="s">
        <v>337</v>
      </c>
      <c r="K90" s="47" t="s">
        <v>490</v>
      </c>
      <c r="L90" t="s">
        <v>492</v>
      </c>
      <c r="M90" s="47">
        <v>956412022</v>
      </c>
      <c r="N90" s="47" t="str">
        <f>_xlfn.LET(
    _xlpm.itemBuscado, B90,
    _xlpm.areaBuscada, C90,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TEXT(COUNTIF($C$2:C90, _xlpm.areaBuscada), "0000"),
    _xlpm.codItem &amp; "-" &amp; _xlpm.codArea &amp; "-" &amp; _xlpm.secuencia
)</f>
        <v>ZM-ES-FI-0005</v>
      </c>
      <c r="P90" s="15"/>
      <c r="R90" s="48"/>
    </row>
    <row r="91" spans="2:18" x14ac:dyDescent="0.3">
      <c r="B91" t="s">
        <v>20</v>
      </c>
      <c r="C91" s="11" t="s">
        <v>174</v>
      </c>
      <c r="E91" s="11" t="s">
        <v>7</v>
      </c>
      <c r="F91" s="15" t="str">
        <f>_xlfn.TEXTJOIN(", ",TRUE, Tabla38[[#This Row],[Tipo de escalera]],Tabla38[[#This Row],[Longitud]],Tabla38[[#This Row],[Carga Maxima]])</f>
        <v>ESCALERA EXTENSIBLE O TELESCÓPICA, 24 PIES, 150 KG</v>
      </c>
      <c r="G91" s="15" t="s">
        <v>385</v>
      </c>
      <c r="H91" s="15" t="s">
        <v>421</v>
      </c>
      <c r="I91" s="15" t="s">
        <v>488</v>
      </c>
      <c r="J91" s="15" t="s">
        <v>337</v>
      </c>
      <c r="K91" s="47" t="s">
        <v>355</v>
      </c>
      <c r="L91" t="s">
        <v>493</v>
      </c>
      <c r="M91" s="47" t="s">
        <v>355</v>
      </c>
      <c r="N91" s="47" t="str">
        <f>_xlfn.LET(
    _xlpm.itemBuscado, B91,
    _xlpm.areaBuscada, C91,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TEXT(COUNTIF($C$2:C91, _xlpm.areaBuscada), "0000"),
    _xlpm.codItem &amp; "-" &amp; _xlpm.codArea &amp; "-" &amp; _xlpm.secuencia
)</f>
        <v>ZM-ES-FI-0006</v>
      </c>
      <c r="P91" s="15"/>
      <c r="R91" s="48"/>
    </row>
    <row r="92" spans="2:18" x14ac:dyDescent="0.3">
      <c r="B92" t="s">
        <v>20</v>
      </c>
      <c r="C92" s="11" t="s">
        <v>174</v>
      </c>
      <c r="E92" s="11" t="s">
        <v>7</v>
      </c>
      <c r="F92" s="15" t="str">
        <f>_xlfn.TEXTJOIN(", ",TRUE, Tabla38[[#This Row],[Tipo de escalera]],Tabla38[[#This Row],[Longitud]],Tabla38[[#This Row],[Carga Maxima]])</f>
        <v>ESCALERA EXTENSIBLE O TELESCÓPICA, 14 PIES, 250 LB</v>
      </c>
      <c r="G92" s="15" t="s">
        <v>385</v>
      </c>
      <c r="H92" s="15" t="s">
        <v>494</v>
      </c>
      <c r="I92" s="15" t="s">
        <v>420</v>
      </c>
      <c r="J92" s="15" t="s">
        <v>318</v>
      </c>
      <c r="K92" s="47" t="s">
        <v>355</v>
      </c>
      <c r="L92" t="s">
        <v>495</v>
      </c>
      <c r="M92" s="47" t="s">
        <v>355</v>
      </c>
      <c r="N92" s="47" t="str">
        <f>_xlfn.LET(
    _xlpm.itemBuscado, B92,
    _xlpm.areaBuscada, C92,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TEXT(COUNTIF($C$2:C92, _xlpm.areaBuscada), "0000"),
    _xlpm.codItem &amp; "-" &amp; _xlpm.codArea &amp; "-" &amp; _xlpm.secuencia
)</f>
        <v>ZM-ES-FI-0007</v>
      </c>
      <c r="P92" s="15"/>
      <c r="R92" s="48"/>
    </row>
    <row r="93" spans="2:18" x14ac:dyDescent="0.3">
      <c r="B93" t="s">
        <v>20</v>
      </c>
      <c r="C93" s="11" t="s">
        <v>174</v>
      </c>
      <c r="E93" s="11" t="s">
        <v>7</v>
      </c>
      <c r="F93" s="15" t="str">
        <f>_xlfn.TEXTJOIN(", ",TRUE, Tabla38[[#This Row],[Tipo de escalera]],Tabla38[[#This Row],[Longitud]],Tabla38[[#This Row],[Carga Maxima]])</f>
        <v>ESCALERA EXTENSIBLE O TELESCÓPICA, 8 PIES, NO TIENE</v>
      </c>
      <c r="G93" s="15" t="s">
        <v>385</v>
      </c>
      <c r="H93" s="15" t="s">
        <v>450</v>
      </c>
      <c r="I93" s="15" t="s">
        <v>355</v>
      </c>
      <c r="J93" s="15" t="s">
        <v>337</v>
      </c>
      <c r="K93" s="47" t="s">
        <v>355</v>
      </c>
      <c r="L93" t="s">
        <v>355</v>
      </c>
      <c r="M93" s="47" t="s">
        <v>355</v>
      </c>
      <c r="N93" s="47" t="str">
        <f>_xlfn.LET(
    _xlpm.itemBuscado, B93,
    _xlpm.areaBuscada, C93,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TEXT(COUNTIF($C$2:C93, _xlpm.areaBuscada), "0000"),
    _xlpm.codItem &amp; "-" &amp; _xlpm.codArea &amp; "-" &amp; _xlpm.secuencia
)</f>
        <v>ZM-ES-FI-0008</v>
      </c>
      <c r="P93" s="15"/>
      <c r="R93" s="48"/>
    </row>
    <row r="94" spans="2:18" x14ac:dyDescent="0.3">
      <c r="B94" t="s">
        <v>20</v>
      </c>
      <c r="C94" s="11" t="s">
        <v>174</v>
      </c>
      <c r="E94" s="11" t="s">
        <v>7</v>
      </c>
      <c r="F94" s="15" t="str">
        <f>_xlfn.TEXTJOIN(", ",TRUE, Tabla38[[#This Row],[Tipo de escalera]],Tabla38[[#This Row],[Longitud]],Tabla38[[#This Row],[Carga Maxima]])</f>
        <v>ESCALERA EXTENSIBLE O TELESCÓPICA, 8 PIES, 102 KG</v>
      </c>
      <c r="G94" s="15" t="s">
        <v>385</v>
      </c>
      <c r="H94" s="15" t="s">
        <v>450</v>
      </c>
      <c r="I94" s="15" t="s">
        <v>417</v>
      </c>
      <c r="J94" s="15" t="s">
        <v>496</v>
      </c>
      <c r="K94" s="47" t="s">
        <v>498</v>
      </c>
      <c r="L94" t="s">
        <v>497</v>
      </c>
      <c r="M94" s="47">
        <v>2886512280</v>
      </c>
      <c r="N94" s="47" t="str">
        <f>_xlfn.LET(
    _xlpm.itemBuscado, B94,
    _xlpm.areaBuscada, C94,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TEXT(COUNTIF($C$2:C94, _xlpm.areaBuscada), "0000"),
    _xlpm.codItem &amp; "-" &amp; _xlpm.codArea &amp; "-" &amp; _xlpm.secuencia
)</f>
        <v>ZM-ES-FI-0009</v>
      </c>
      <c r="P94" s="15"/>
      <c r="R94" s="48"/>
    </row>
    <row r="95" spans="2:18" x14ac:dyDescent="0.3">
      <c r="B95" t="s">
        <v>20</v>
      </c>
      <c r="C95" s="11" t="s">
        <v>174</v>
      </c>
      <c r="E95" s="11" t="s">
        <v>7</v>
      </c>
      <c r="F95" s="15" t="str">
        <f>_xlfn.TEXTJOIN(", ",TRUE, Tabla38[[#This Row],[Tipo de escalera]],Tabla38[[#This Row],[Longitud]],Tabla38[[#This Row],[Carga Maxima]])</f>
        <v>ESCALERA DOBLE O DE TIJERA, 8 PIES, 300 LB</v>
      </c>
      <c r="G95" s="15" t="s">
        <v>384</v>
      </c>
      <c r="H95" s="15" t="s">
        <v>450</v>
      </c>
      <c r="I95" s="15" t="s">
        <v>396</v>
      </c>
      <c r="J95" s="15" t="s">
        <v>318</v>
      </c>
      <c r="K95" s="47" t="s">
        <v>330</v>
      </c>
      <c r="L95" t="s">
        <v>499</v>
      </c>
      <c r="M95" s="47">
        <v>2886508851</v>
      </c>
      <c r="N95" s="47" t="str">
        <f>_xlfn.LET(
    _xlpm.itemBuscado, B95,
    _xlpm.areaBuscada, C95,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TEXT(COUNTIF($C$2:C95, _xlpm.areaBuscada), "0000"),
    _xlpm.codItem &amp; "-" &amp; _xlpm.codArea &amp; "-" &amp; _xlpm.secuencia
)</f>
        <v>ZM-ES-FI-0010</v>
      </c>
      <c r="P95" s="15"/>
      <c r="R95" s="48"/>
    </row>
    <row r="96" spans="2:18" x14ac:dyDescent="0.3">
      <c r="B96" t="s">
        <v>20</v>
      </c>
      <c r="C96" s="11" t="s">
        <v>174</v>
      </c>
      <c r="E96" s="11" t="s">
        <v>7</v>
      </c>
      <c r="F96" s="15" t="str">
        <f>_xlfn.TEXTJOIN(", ",TRUE, Tabla38[[#This Row],[Tipo de escalera]],Tabla38[[#This Row],[Longitud]],Tabla38[[#This Row],[Carga Maxima]])</f>
        <v>ESCALERA DOBLE O DE TIJERA, 4 PIES, 102 KG</v>
      </c>
      <c r="G96" s="15" t="s">
        <v>384</v>
      </c>
      <c r="H96" s="15" t="s">
        <v>460</v>
      </c>
      <c r="I96" s="15" t="s">
        <v>417</v>
      </c>
      <c r="J96" s="15" t="s">
        <v>416</v>
      </c>
      <c r="K96" s="47" t="s">
        <v>355</v>
      </c>
      <c r="L96" t="s">
        <v>500</v>
      </c>
      <c r="M96" s="47">
        <v>5080240616252</v>
      </c>
      <c r="N96" s="47" t="str">
        <f>_xlfn.LET(
    _xlpm.itemBuscado, B96,
    _xlpm.areaBuscada, C96,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TEXT(COUNTIF($C$2:C96, _xlpm.areaBuscada), "0000"),
    _xlpm.codItem &amp; "-" &amp; _xlpm.codArea &amp; "-" &amp; _xlpm.secuencia
)</f>
        <v>ZM-ES-FI-0011</v>
      </c>
      <c r="P96" s="15"/>
      <c r="R96" s="48"/>
    </row>
    <row r="97" spans="2:18" x14ac:dyDescent="0.3">
      <c r="B97" t="s">
        <v>20</v>
      </c>
      <c r="C97" s="11" t="s">
        <v>173</v>
      </c>
      <c r="E97" s="11" t="s">
        <v>7</v>
      </c>
      <c r="F97" s="15" t="str">
        <f>_xlfn.TEXTJOIN(", ",TRUE, Tabla38[[#This Row],[Tipo de escalera]],Tabla38[[#This Row],[Longitud]],Tabla38[[#This Row],[Carga Maxima]])</f>
        <v>ESCALERA SIMPLE DE UN TRAMO, 19 PIES, 136 KG</v>
      </c>
      <c r="G97" s="15" t="s">
        <v>383</v>
      </c>
      <c r="H97" s="15" t="s">
        <v>503</v>
      </c>
      <c r="I97" s="15" t="s">
        <v>430</v>
      </c>
      <c r="J97" s="15" t="s">
        <v>502</v>
      </c>
      <c r="K97" s="47"/>
      <c r="L97" t="s">
        <v>509</v>
      </c>
      <c r="M97" s="47"/>
      <c r="N97" s="47" t="str">
        <f>_xlfn.LET(
    _xlpm.itemBuscado, B97,
    _xlpm.areaBuscada, C97,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TEXT(COUNTIF($C$2:C97, _xlpm.areaBuscada), "0000"),
    _xlpm.codItem &amp; "-" &amp; _xlpm.codArea &amp; "-" &amp; _xlpm.secuencia
)</f>
        <v>ZM-ES-FL-0001</v>
      </c>
      <c r="P97" s="15"/>
      <c r="R97" s="48"/>
    </row>
    <row r="98" spans="2:18" x14ac:dyDescent="0.3">
      <c r="B98" t="s">
        <v>20</v>
      </c>
      <c r="C98" s="11" t="s">
        <v>173</v>
      </c>
      <c r="E98" s="11" t="s">
        <v>7</v>
      </c>
      <c r="F98" s="15" t="str">
        <f>_xlfn.TEXTJOIN(", ",TRUE, Tabla38[[#This Row],[Tipo de escalera]],Tabla38[[#This Row],[Longitud]],Tabla38[[#This Row],[Carga Maxima]])</f>
        <v>ESCALERA SIMPLE DE UN TRAMO, 19 PIES, 136 KG</v>
      </c>
      <c r="G98" s="15" t="s">
        <v>383</v>
      </c>
      <c r="H98" s="15" t="s">
        <v>503</v>
      </c>
      <c r="I98" s="15" t="s">
        <v>430</v>
      </c>
      <c r="J98" s="15" t="s">
        <v>502</v>
      </c>
      <c r="K98" s="47"/>
      <c r="L98" t="s">
        <v>355</v>
      </c>
      <c r="M98" s="47"/>
      <c r="N98" s="47" t="str">
        <f>_xlfn.LET(
    _xlpm.itemBuscado, B98,
    _xlpm.areaBuscada, C98,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TEXT(COUNTIF($C$2:C98, _xlpm.areaBuscada), "0000"),
    _xlpm.codItem &amp; "-" &amp; _xlpm.codArea &amp; "-" &amp; _xlpm.secuencia
)</f>
        <v>ZM-ES-FL-0002</v>
      </c>
      <c r="P98" s="15"/>
      <c r="R98" s="48"/>
    </row>
    <row r="99" spans="2:18" x14ac:dyDescent="0.3">
      <c r="B99" t="s">
        <v>20</v>
      </c>
      <c r="C99" s="11" t="s">
        <v>173</v>
      </c>
      <c r="E99" s="11" t="s">
        <v>7</v>
      </c>
      <c r="F99" s="15" t="str">
        <f>_xlfn.TEXTJOIN(", ",TRUE, Tabla38[[#This Row],[Tipo de escalera]],Tabla38[[#This Row],[Longitud]],Tabla38[[#This Row],[Carga Maxima]])</f>
        <v>ESCALERA SIMPLE DE UN TRAMO, 19 PIES, 136 KG</v>
      </c>
      <c r="G99" s="15" t="s">
        <v>383</v>
      </c>
      <c r="H99" s="15" t="s">
        <v>503</v>
      </c>
      <c r="I99" s="15" t="s">
        <v>430</v>
      </c>
      <c r="J99" s="15" t="s">
        <v>502</v>
      </c>
      <c r="K99" s="47"/>
      <c r="L99" t="s">
        <v>508</v>
      </c>
      <c r="M99" s="47"/>
      <c r="N99" s="47" t="str">
        <f>_xlfn.LET(
    _xlpm.itemBuscado, B99,
    _xlpm.areaBuscada, C99,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TEXT(COUNTIF($C$2:C99, _xlpm.areaBuscada), "0000"),
    _xlpm.codItem &amp; "-" &amp; _xlpm.codArea &amp; "-" &amp; _xlpm.secuencia
)</f>
        <v>ZM-ES-FL-0003</v>
      </c>
      <c r="P99" s="15"/>
      <c r="R99" s="48"/>
    </row>
    <row r="100" spans="2:18" x14ac:dyDescent="0.3">
      <c r="B100" t="s">
        <v>20</v>
      </c>
      <c r="C100" s="11" t="s">
        <v>173</v>
      </c>
      <c r="E100" s="11" t="s">
        <v>7</v>
      </c>
      <c r="F100" s="15" t="str">
        <f>_xlfn.TEXTJOIN(", ",TRUE, Tabla38[[#This Row],[Tipo de escalera]],Tabla38[[#This Row],[Longitud]],Tabla38[[#This Row],[Carga Maxima]])</f>
        <v>ESCALERA SIMPLE DE UN TRAMO, 19 PIES, 136 KG</v>
      </c>
      <c r="G100" s="15" t="s">
        <v>383</v>
      </c>
      <c r="H100" s="15" t="s">
        <v>503</v>
      </c>
      <c r="I100" s="15" t="s">
        <v>430</v>
      </c>
      <c r="J100" s="15" t="s">
        <v>502</v>
      </c>
      <c r="K100" s="47"/>
      <c r="L100" t="s">
        <v>507</v>
      </c>
      <c r="M100" s="47"/>
      <c r="N100" s="47" t="str">
        <f>_xlfn.LET(
    _xlpm.itemBuscado, B100,
    _xlpm.areaBuscada, C100,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TEXT(COUNTIF($C$2:C100, _xlpm.areaBuscada), "0000"),
    _xlpm.codItem &amp; "-" &amp; _xlpm.codArea &amp; "-" &amp; _xlpm.secuencia
)</f>
        <v>ZM-ES-FL-0004</v>
      </c>
      <c r="P100" s="15"/>
      <c r="R100" s="48"/>
    </row>
    <row r="101" spans="2:18" x14ac:dyDescent="0.3">
      <c r="B101" t="s">
        <v>20</v>
      </c>
      <c r="C101" s="11" t="s">
        <v>173</v>
      </c>
      <c r="E101" s="11" t="s">
        <v>7</v>
      </c>
      <c r="F101" s="15" t="str">
        <f>_xlfn.TEXTJOIN(", ",TRUE, Tabla38[[#This Row],[Tipo de escalera]],Tabla38[[#This Row],[Longitud]],Tabla38[[#This Row],[Carga Maxima]])</f>
        <v>ESCALERA SIMPLE DE UN TRAMO, 19 PIES, 136 KG</v>
      </c>
      <c r="G101" s="15" t="s">
        <v>383</v>
      </c>
      <c r="H101" s="15" t="s">
        <v>503</v>
      </c>
      <c r="I101" s="15" t="s">
        <v>430</v>
      </c>
      <c r="J101" s="15" t="s">
        <v>502</v>
      </c>
      <c r="K101" s="47"/>
      <c r="L101" t="s">
        <v>506</v>
      </c>
      <c r="M101" s="47"/>
      <c r="N101" s="47" t="str">
        <f>_xlfn.LET(
    _xlpm.itemBuscado, B101,
    _xlpm.areaBuscada, C101,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TEXT(COUNTIF($C$2:C101, _xlpm.areaBuscada), "0000"),
    _xlpm.codItem &amp; "-" &amp; _xlpm.codArea &amp; "-" &amp; _xlpm.secuencia
)</f>
        <v>ZM-ES-FL-0005</v>
      </c>
      <c r="P101" s="15"/>
      <c r="R101" s="48"/>
    </row>
    <row r="102" spans="2:18" x14ac:dyDescent="0.3">
      <c r="B102" t="s">
        <v>20</v>
      </c>
      <c r="C102" s="11" t="s">
        <v>173</v>
      </c>
      <c r="E102" s="11" t="s">
        <v>7</v>
      </c>
      <c r="F102" s="15" t="str">
        <f>_xlfn.TEXTJOIN(", ",TRUE, Tabla38[[#This Row],[Tipo de escalera]],Tabla38[[#This Row],[Longitud]],Tabla38[[#This Row],[Carga Maxima]])</f>
        <v>ESCALERA SIMPLE DE UN TRAMO, 16 PIES, 136 KG</v>
      </c>
      <c r="G102" s="15" t="s">
        <v>383</v>
      </c>
      <c r="H102" s="15" t="s">
        <v>442</v>
      </c>
      <c r="I102" s="15" t="s">
        <v>430</v>
      </c>
      <c r="J102" s="15" t="s">
        <v>502</v>
      </c>
      <c r="K102" s="47"/>
      <c r="L102" t="s">
        <v>505</v>
      </c>
      <c r="M102" s="47"/>
      <c r="N102" s="47" t="str">
        <f>_xlfn.LET(
    _xlpm.itemBuscado, B102,
    _xlpm.areaBuscada, C102,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TEXT(COUNTIF($C$2:C102, _xlpm.areaBuscada), "0000"),
    _xlpm.codItem &amp; "-" &amp; _xlpm.codArea &amp; "-" &amp; _xlpm.secuencia
)</f>
        <v>ZM-ES-FL-0006</v>
      </c>
      <c r="P102" s="15"/>
      <c r="R102" s="48"/>
    </row>
    <row r="103" spans="2:18" x14ac:dyDescent="0.3">
      <c r="B103" t="s">
        <v>20</v>
      </c>
      <c r="C103" s="11" t="s">
        <v>173</v>
      </c>
      <c r="E103" s="11" t="s">
        <v>7</v>
      </c>
      <c r="F103" s="15" t="str">
        <f>_xlfn.TEXTJOIN(", ",TRUE, Tabla38[[#This Row],[Tipo de escalera]],Tabla38[[#This Row],[Longitud]],Tabla38[[#This Row],[Carga Maxima]])</f>
        <v>ESCALERA SIMPLE DE UN TRAMO, 19 PIES, 136 KG</v>
      </c>
      <c r="G103" s="15" t="s">
        <v>383</v>
      </c>
      <c r="H103" s="15" t="s">
        <v>503</v>
      </c>
      <c r="I103" s="15" t="s">
        <v>430</v>
      </c>
      <c r="J103" s="15" t="s">
        <v>502</v>
      </c>
      <c r="K103" s="47"/>
      <c r="L103" t="s">
        <v>504</v>
      </c>
      <c r="M103" s="47"/>
      <c r="N103" s="47" t="str">
        <f>_xlfn.LET(
    _xlpm.itemBuscado, B103,
    _xlpm.areaBuscada, C103,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TEXT(COUNTIF($C$2:C103, _xlpm.areaBuscada), "0000"),
    _xlpm.codItem &amp; "-" &amp; _xlpm.codArea &amp; "-" &amp; _xlpm.secuencia
)</f>
        <v>ZM-ES-FL-0007</v>
      </c>
      <c r="P103" s="15"/>
      <c r="R103" s="48"/>
    </row>
    <row r="104" spans="2:18" x14ac:dyDescent="0.3">
      <c r="B104" t="s">
        <v>20</v>
      </c>
      <c r="C104" s="11" t="s">
        <v>173</v>
      </c>
      <c r="E104" s="11" t="s">
        <v>7</v>
      </c>
      <c r="F104" s="15" t="str">
        <f>_xlfn.TEXTJOIN(", ",TRUE, Tabla38[[#This Row],[Tipo de escalera]],Tabla38[[#This Row],[Longitud]],Tabla38[[#This Row],[Carga Maxima]])</f>
        <v>ESCALERA SIMPLE DE UN TRAMO, 19 PIES, 136 KG</v>
      </c>
      <c r="G104" s="15" t="s">
        <v>383</v>
      </c>
      <c r="H104" s="15" t="s">
        <v>503</v>
      </c>
      <c r="I104" s="15" t="s">
        <v>430</v>
      </c>
      <c r="J104" s="15" t="s">
        <v>502</v>
      </c>
      <c r="K104" s="47"/>
      <c r="L104" t="s">
        <v>501</v>
      </c>
      <c r="M104" s="47"/>
      <c r="N104" s="47" t="str">
        <f>_xlfn.LET(
    _xlpm.itemBuscado, B104,
    _xlpm.areaBuscada, C104,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TEXT(COUNTIF($C$2:C104, _xlpm.areaBuscada), "0000"),
    _xlpm.codItem &amp; "-" &amp; _xlpm.codArea &amp; "-" &amp; _xlpm.secuencia
)</f>
        <v>ZM-ES-FL-0008</v>
      </c>
      <c r="P104" s="15"/>
      <c r="R104" s="48"/>
    </row>
    <row r="105" spans="2:18" x14ac:dyDescent="0.3">
      <c r="B105" t="s">
        <v>20</v>
      </c>
      <c r="C105" s="11" t="s">
        <v>173</v>
      </c>
      <c r="E105" s="11" t="s">
        <v>7</v>
      </c>
      <c r="F105" s="15" t="str">
        <f>_xlfn.TEXTJOIN(", ",TRUE, Tabla38[[#This Row],[Tipo de escalera]],Tabla38[[#This Row],[Longitud]],Tabla38[[#This Row],[Carga Maxima]])</f>
        <v xml:space="preserve">ESCALERA SIMPLE DE UN TRAMO, 19 PIES, 136 KG </v>
      </c>
      <c r="G105" s="15" t="s">
        <v>383</v>
      </c>
      <c r="H105" s="15" t="s">
        <v>503</v>
      </c>
      <c r="I105" s="15" t="s">
        <v>510</v>
      </c>
      <c r="J105" s="15" t="s">
        <v>502</v>
      </c>
      <c r="K105" s="47"/>
      <c r="L105" t="s">
        <v>511</v>
      </c>
      <c r="M105" s="47"/>
      <c r="N105" s="47" t="str">
        <f>_xlfn.LET(
    _xlpm.itemBuscado, B105,
    _xlpm.areaBuscada, C105,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TEXT(COUNTIF($C$2:C105, _xlpm.areaBuscada), "0000"),
    _xlpm.codItem &amp; "-" &amp; _xlpm.codArea &amp; "-" &amp; _xlpm.secuencia
)</f>
        <v>ZM-ES-FL-0009</v>
      </c>
      <c r="P105" s="15"/>
      <c r="R105" s="48"/>
    </row>
    <row r="106" spans="2:18" x14ac:dyDescent="0.3">
      <c r="B106" t="s">
        <v>20</v>
      </c>
      <c r="C106" s="11" t="s">
        <v>173</v>
      </c>
      <c r="E106" s="11" t="s">
        <v>7</v>
      </c>
      <c r="F106" s="15" t="str">
        <f>_xlfn.TEXTJOIN(", ",TRUE, Tabla38[[#This Row],[Tipo de escalera]],Tabla38[[#This Row],[Longitud]],Tabla38[[#This Row],[Carga Maxima]])</f>
        <v>ESCALERA SIMPLE DE UN TRAMO, 20 PIES, 136 KG</v>
      </c>
      <c r="G106" s="15" t="s">
        <v>383</v>
      </c>
      <c r="H106" s="15" t="s">
        <v>513</v>
      </c>
      <c r="I106" s="15" t="s">
        <v>430</v>
      </c>
      <c r="J106" s="15" t="s">
        <v>502</v>
      </c>
      <c r="K106" s="47"/>
      <c r="L106" t="s">
        <v>512</v>
      </c>
      <c r="M106" s="47"/>
      <c r="N106" s="47" t="str">
        <f>_xlfn.LET(
    _xlpm.itemBuscado, B106,
    _xlpm.areaBuscada, C106,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TEXT(COUNTIF($C$2:C106, _xlpm.areaBuscada), "0000"),
    _xlpm.codItem &amp; "-" &amp; _xlpm.codArea &amp; "-" &amp; _xlpm.secuencia
)</f>
        <v>ZM-ES-FL-0010</v>
      </c>
      <c r="P106" s="15"/>
      <c r="R106" s="48"/>
    </row>
    <row r="107" spans="2:18" x14ac:dyDescent="0.3">
      <c r="B107" t="s">
        <v>20</v>
      </c>
      <c r="C107" s="11" t="s">
        <v>173</v>
      </c>
      <c r="E107" s="11" t="s">
        <v>7</v>
      </c>
      <c r="F107" s="15" t="str">
        <f>_xlfn.TEXTJOIN(", ",TRUE, Tabla38[[#This Row],[Tipo de escalera]],Tabla38[[#This Row],[Longitud]],Tabla38[[#This Row],[Carga Maxima]])</f>
        <v>ESCALERA SIMPLE DE UN TRAMO, 20 PIES, 136 KG</v>
      </c>
      <c r="G107" s="15" t="s">
        <v>383</v>
      </c>
      <c r="H107" s="15" t="s">
        <v>513</v>
      </c>
      <c r="I107" s="15" t="s">
        <v>430</v>
      </c>
      <c r="J107" s="15" t="s">
        <v>502</v>
      </c>
      <c r="K107" s="47"/>
      <c r="L107" t="s">
        <v>514</v>
      </c>
      <c r="M107" s="47"/>
      <c r="N107" s="47" t="str">
        <f>_xlfn.LET(
    _xlpm.itemBuscado, B107,
    _xlpm.areaBuscada, C107,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TEXT(COUNTIF($C$2:C107, _xlpm.areaBuscada), "0000"),
    _xlpm.codItem &amp; "-" &amp; _xlpm.codArea &amp; "-" &amp; _xlpm.secuencia
)</f>
        <v>ZM-ES-FL-0011</v>
      </c>
      <c r="P107" s="15"/>
      <c r="R107" s="48"/>
    </row>
    <row r="108" spans="2:18" x14ac:dyDescent="0.3">
      <c r="B108" t="s">
        <v>20</v>
      </c>
      <c r="C108" s="11" t="s">
        <v>173</v>
      </c>
      <c r="E108" s="11" t="s">
        <v>7</v>
      </c>
      <c r="F108" s="15" t="str">
        <f>_xlfn.TEXTJOIN(", ",TRUE, Tabla38[[#This Row],[Tipo de escalera]],Tabla38[[#This Row],[Longitud]],Tabla38[[#This Row],[Carga Maxima]])</f>
        <v>ESCALERA SIMPLE DE UN TRAMO, 18 PIES, 136 KG</v>
      </c>
      <c r="G108" s="15" t="s">
        <v>383</v>
      </c>
      <c r="H108" s="15" t="s">
        <v>515</v>
      </c>
      <c r="I108" s="15" t="s">
        <v>430</v>
      </c>
      <c r="J108" s="15" t="s">
        <v>502</v>
      </c>
      <c r="K108" s="47"/>
      <c r="L108" t="s">
        <v>516</v>
      </c>
      <c r="M108" s="47"/>
      <c r="N108" s="47" t="str">
        <f>_xlfn.LET(
    _xlpm.itemBuscado, B108,
    _xlpm.areaBuscada, C108,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TEXT(COUNTIF($C$2:C108, _xlpm.areaBuscada), "0000"),
    _xlpm.codItem &amp; "-" &amp; _xlpm.codArea &amp; "-" &amp; _xlpm.secuencia
)</f>
        <v>ZM-ES-FL-0012</v>
      </c>
      <c r="P108" s="15"/>
      <c r="R108" s="48"/>
    </row>
    <row r="109" spans="2:18" x14ac:dyDescent="0.3">
      <c r="B109" t="s">
        <v>20</v>
      </c>
      <c r="C109" s="11" t="s">
        <v>173</v>
      </c>
      <c r="E109" s="11" t="s">
        <v>7</v>
      </c>
      <c r="F109" s="15" t="str">
        <f>_xlfn.TEXTJOIN(", ",TRUE, Tabla38[[#This Row],[Tipo de escalera]],Tabla38[[#This Row],[Longitud]],Tabla38[[#This Row],[Carga Maxima]])</f>
        <v>ESCALERA SIMPLE DE UN TRAMO, 20 PIES, 136 KG</v>
      </c>
      <c r="G109" s="15" t="s">
        <v>383</v>
      </c>
      <c r="H109" s="15" t="s">
        <v>513</v>
      </c>
      <c r="I109" s="15" t="s">
        <v>430</v>
      </c>
      <c r="J109" s="15" t="s">
        <v>502</v>
      </c>
      <c r="K109" s="47"/>
      <c r="L109" t="s">
        <v>517</v>
      </c>
      <c r="M109" s="47"/>
      <c r="N109" s="47" t="str">
        <f>_xlfn.LET(
    _xlpm.itemBuscado, B109,
    _xlpm.areaBuscada, C109,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TEXT(COUNTIF($C$2:C109, _xlpm.areaBuscada), "0000"),
    _xlpm.codItem &amp; "-" &amp; _xlpm.codArea &amp; "-" &amp; _xlpm.secuencia
)</f>
        <v>ZM-ES-FL-0013</v>
      </c>
      <c r="P109" s="15"/>
      <c r="R109" s="48"/>
    </row>
    <row r="110" spans="2:18" x14ac:dyDescent="0.3">
      <c r="B110" t="s">
        <v>20</v>
      </c>
      <c r="C110" s="11" t="s">
        <v>173</v>
      </c>
      <c r="E110" s="11" t="s">
        <v>7</v>
      </c>
      <c r="F110" s="15" t="str">
        <f>_xlfn.TEXTJOIN(", ",TRUE, Tabla38[[#This Row],[Tipo de escalera]],Tabla38[[#This Row],[Longitud]],Tabla38[[#This Row],[Carga Maxima]])</f>
        <v xml:space="preserve">ESCALERA SIMPLE DE UN TRAMO, 20 PIES, 136 KG </v>
      </c>
      <c r="G110" s="15" t="s">
        <v>383</v>
      </c>
      <c r="H110" s="15" t="s">
        <v>513</v>
      </c>
      <c r="I110" s="15" t="s">
        <v>510</v>
      </c>
      <c r="J110" s="15" t="s">
        <v>502</v>
      </c>
      <c r="K110" s="47"/>
      <c r="L110" t="s">
        <v>518</v>
      </c>
      <c r="M110" s="47"/>
      <c r="N110" s="47" t="str">
        <f>_xlfn.LET(
    _xlpm.itemBuscado, B110,
    _xlpm.areaBuscada, C110,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TEXT(COUNTIF($C$2:C110, _xlpm.areaBuscada), "0000"),
    _xlpm.codItem &amp; "-" &amp; _xlpm.codArea &amp; "-" &amp; _xlpm.secuencia
)</f>
        <v>ZM-ES-FL-0014</v>
      </c>
      <c r="P110" s="15"/>
      <c r="R110" s="48"/>
    </row>
    <row r="111" spans="2:18" x14ac:dyDescent="0.3">
      <c r="B111" t="s">
        <v>20</v>
      </c>
      <c r="C111" s="11" t="s">
        <v>173</v>
      </c>
      <c r="E111" s="11" t="s">
        <v>7</v>
      </c>
      <c r="F111" s="15" t="str">
        <f>_xlfn.TEXTJOIN(", ",TRUE, Tabla38[[#This Row],[Tipo de escalera]],Tabla38[[#This Row],[Longitud]],Tabla38[[#This Row],[Carga Maxima]])</f>
        <v>ESCALERA SIMPLE DE UN TRAMO, 20 PIES, 136 KG</v>
      </c>
      <c r="G111" s="15" t="s">
        <v>383</v>
      </c>
      <c r="H111" s="15" t="s">
        <v>513</v>
      </c>
      <c r="I111" s="15" t="s">
        <v>430</v>
      </c>
      <c r="J111" s="15" t="s">
        <v>502</v>
      </c>
      <c r="K111" s="47"/>
      <c r="L111" t="s">
        <v>519</v>
      </c>
      <c r="M111" s="47"/>
      <c r="N111" s="47" t="str">
        <f>_xlfn.LET(
    _xlpm.itemBuscado, B111,
    _xlpm.areaBuscada, C111,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TEXT(COUNTIF($C$2:C111, _xlpm.areaBuscada), "0000"),
    _xlpm.codItem &amp; "-" &amp; _xlpm.codArea &amp; "-" &amp; _xlpm.secuencia
)</f>
        <v>ZM-ES-FL-0015</v>
      </c>
      <c r="P111" s="15"/>
      <c r="R111" s="48"/>
    </row>
    <row r="112" spans="2:18" x14ac:dyDescent="0.3">
      <c r="B112" t="s">
        <v>20</v>
      </c>
      <c r="C112" s="11" t="s">
        <v>173</v>
      </c>
      <c r="E112" s="11" t="s">
        <v>7</v>
      </c>
      <c r="F112" s="15" t="str">
        <f>_xlfn.TEXTJOIN(", ",TRUE, Tabla38[[#This Row],[Tipo de escalera]],Tabla38[[#This Row],[Longitud]],Tabla38[[#This Row],[Carga Maxima]])</f>
        <v>ESCALERA SIMPLE DE UN TRAMO, 18 PIES, 136 KG</v>
      </c>
      <c r="G112" s="15" t="s">
        <v>383</v>
      </c>
      <c r="H112" s="15" t="s">
        <v>515</v>
      </c>
      <c r="I112" s="15" t="s">
        <v>430</v>
      </c>
      <c r="J112" s="15" t="s">
        <v>502</v>
      </c>
      <c r="K112" s="47"/>
      <c r="L112" t="s">
        <v>520</v>
      </c>
      <c r="M112" s="47"/>
      <c r="N112" s="47" t="str">
        <f>_xlfn.LET(
    _xlpm.itemBuscado, B112,
    _xlpm.areaBuscada, C112,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TEXT(COUNTIF($C$2:C112, _xlpm.areaBuscada), "0000"),
    _xlpm.codItem &amp; "-" &amp; _xlpm.codArea &amp; "-" &amp; _xlpm.secuencia
)</f>
        <v>ZM-ES-FL-0016</v>
      </c>
      <c r="P112" s="15"/>
      <c r="R112" s="48"/>
    </row>
    <row r="113" spans="2:18" x14ac:dyDescent="0.3">
      <c r="B113" t="s">
        <v>20</v>
      </c>
      <c r="C113" s="11" t="s">
        <v>173</v>
      </c>
      <c r="E113" s="11" t="s">
        <v>7</v>
      </c>
      <c r="F113" s="15" t="str">
        <f>_xlfn.TEXTJOIN(", ",TRUE, Tabla38[[#This Row],[Tipo de escalera]],Tabla38[[#This Row],[Longitud]],Tabla38[[#This Row],[Carga Maxima]])</f>
        <v>ESCALERA SIMPLE DE UN TRAMO, 18 PIES, 136 KG</v>
      </c>
      <c r="G113" s="15" t="s">
        <v>383</v>
      </c>
      <c r="H113" s="15" t="s">
        <v>515</v>
      </c>
      <c r="I113" s="15" t="s">
        <v>430</v>
      </c>
      <c r="J113" s="15" t="s">
        <v>502</v>
      </c>
      <c r="K113" s="47"/>
      <c r="L113" t="s">
        <v>521</v>
      </c>
      <c r="M113" s="47"/>
      <c r="N113" s="47" t="str">
        <f>_xlfn.LET(
    _xlpm.itemBuscado, B113,
    _xlpm.areaBuscada, C113,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TEXT(COUNTIF($C$2:C113, _xlpm.areaBuscada), "0000"),
    _xlpm.codItem &amp; "-" &amp; _xlpm.codArea &amp; "-" &amp; _xlpm.secuencia
)</f>
        <v>ZM-ES-FL-0017</v>
      </c>
      <c r="P113" s="15"/>
      <c r="R113" s="48"/>
    </row>
    <row r="114" spans="2:18" x14ac:dyDescent="0.3">
      <c r="B114" t="s">
        <v>20</v>
      </c>
      <c r="C114" s="11" t="s">
        <v>173</v>
      </c>
      <c r="E114" s="11" t="s">
        <v>7</v>
      </c>
      <c r="F114" s="15" t="str">
        <f>_xlfn.TEXTJOIN(", ",TRUE, Tabla38[[#This Row],[Tipo de escalera]],Tabla38[[#This Row],[Longitud]],Tabla38[[#This Row],[Carga Maxima]])</f>
        <v>ESCALERA SIMPLE DE UN TRAMO, 19 PIES, 136 KG</v>
      </c>
      <c r="G114" s="15" t="s">
        <v>383</v>
      </c>
      <c r="H114" s="15" t="s">
        <v>503</v>
      </c>
      <c r="I114" s="15" t="s">
        <v>430</v>
      </c>
      <c r="J114" s="15" t="s">
        <v>502</v>
      </c>
      <c r="K114" s="47"/>
      <c r="L114" t="s">
        <v>522</v>
      </c>
      <c r="M114" s="47"/>
      <c r="N114" s="47" t="str">
        <f>_xlfn.LET(
    _xlpm.itemBuscado, B114,
    _xlpm.areaBuscada, C114,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TEXT(COUNTIF($C$2:C114, _xlpm.areaBuscada), "0000"),
    _xlpm.codItem &amp; "-" &amp; _xlpm.codArea &amp; "-" &amp; _xlpm.secuencia
)</f>
        <v>ZM-ES-FL-0018</v>
      </c>
      <c r="P114" s="15"/>
      <c r="R114" s="48"/>
    </row>
    <row r="115" spans="2:18" x14ac:dyDescent="0.3">
      <c r="B115" t="s">
        <v>20</v>
      </c>
      <c r="C115" s="11" t="s">
        <v>173</v>
      </c>
      <c r="E115" s="11" t="s">
        <v>7</v>
      </c>
      <c r="F115" s="15" t="str">
        <f>_xlfn.TEXTJOIN(", ",TRUE, Tabla38[[#This Row],[Tipo de escalera]],Tabla38[[#This Row],[Longitud]],Tabla38[[#This Row],[Carga Maxima]])</f>
        <v>ESCALERA SIMPLE DE UN TRAMO, 17 PIES, 136 KG</v>
      </c>
      <c r="G115" s="15" t="s">
        <v>383</v>
      </c>
      <c r="H115" s="15" t="s">
        <v>465</v>
      </c>
      <c r="I115" s="15" t="s">
        <v>430</v>
      </c>
      <c r="J115" s="15" t="s">
        <v>502</v>
      </c>
      <c r="K115" s="47"/>
      <c r="L115" t="s">
        <v>523</v>
      </c>
      <c r="M115" s="47"/>
      <c r="N115" s="47" t="str">
        <f>_xlfn.LET(
    _xlpm.itemBuscado, B115,
    _xlpm.areaBuscada, C115,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TEXT(COUNTIF($C$2:C115, _xlpm.areaBuscada), "0000"),
    _xlpm.codItem &amp; "-" &amp; _xlpm.codArea &amp; "-" &amp; _xlpm.secuencia
)</f>
        <v>ZM-ES-FL-0019</v>
      </c>
      <c r="P115" s="15"/>
      <c r="R115" s="48"/>
    </row>
    <row r="116" spans="2:18" x14ac:dyDescent="0.3">
      <c r="B116" t="s">
        <v>20</v>
      </c>
      <c r="C116" s="11" t="s">
        <v>173</v>
      </c>
      <c r="E116" s="11" t="s">
        <v>7</v>
      </c>
      <c r="F116" s="15" t="str">
        <f>_xlfn.TEXTJOIN(", ",TRUE, Tabla38[[#This Row],[Tipo de escalera]],Tabla38[[#This Row],[Longitud]],Tabla38[[#This Row],[Carga Maxima]])</f>
        <v>ESCALERA SIMPLE DE UN TRAMO, 14 PIES, 225 LB</v>
      </c>
      <c r="G116" s="15" t="s">
        <v>383</v>
      </c>
      <c r="H116" s="15" t="s">
        <v>494</v>
      </c>
      <c r="I116" s="15" t="s">
        <v>468</v>
      </c>
      <c r="J116" s="15" t="s">
        <v>318</v>
      </c>
      <c r="K116" s="47" t="s">
        <v>525</v>
      </c>
      <c r="L116" t="s">
        <v>524</v>
      </c>
      <c r="M116" s="47"/>
      <c r="N116" s="47" t="str">
        <f>_xlfn.LET(
    _xlpm.itemBuscado, B116,
    _xlpm.areaBuscada, C116,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TEXT(COUNTIF($C$2:C116, _xlpm.areaBuscada), "0000"),
    _xlpm.codItem &amp; "-" &amp; _xlpm.codArea &amp; "-" &amp; _xlpm.secuencia
)</f>
        <v>ZM-ES-FL-0020</v>
      </c>
      <c r="P116" s="15"/>
      <c r="R116" s="48"/>
    </row>
    <row r="117" spans="2:18" x14ac:dyDescent="0.3">
      <c r="B117" t="s">
        <v>20</v>
      </c>
      <c r="C117" s="11" t="s">
        <v>173</v>
      </c>
      <c r="E117" s="11" t="s">
        <v>7</v>
      </c>
      <c r="F117" s="15" t="str">
        <f>_xlfn.TEXTJOIN(", ",TRUE, Tabla38[[#This Row],[Tipo de escalera]],Tabla38[[#This Row],[Longitud]],Tabla38[[#This Row],[Carga Maxima]])</f>
        <v>ESCALERA SIMPLE DE UN TRAMO, 18 PIES, 136 KG</v>
      </c>
      <c r="G117" s="15" t="s">
        <v>383</v>
      </c>
      <c r="H117" s="15" t="s">
        <v>515</v>
      </c>
      <c r="I117" s="15" t="s">
        <v>430</v>
      </c>
      <c r="J117" s="15" t="s">
        <v>502</v>
      </c>
      <c r="K117" s="47"/>
      <c r="L117" t="s">
        <v>526</v>
      </c>
      <c r="M117" s="47"/>
      <c r="N117" s="47" t="str">
        <f>_xlfn.LET(
    _xlpm.itemBuscado, B117,
    _xlpm.areaBuscada, C117,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TEXT(COUNTIF($C$2:C117, _xlpm.areaBuscada), "0000"),
    _xlpm.codItem &amp; "-" &amp; _xlpm.codArea &amp; "-" &amp; _xlpm.secuencia
)</f>
        <v>ZM-ES-FL-0021</v>
      </c>
      <c r="P117" s="15"/>
      <c r="R117" s="48"/>
    </row>
    <row r="118" spans="2:18" x14ac:dyDescent="0.3">
      <c r="B118" t="s">
        <v>20</v>
      </c>
      <c r="C118" s="11" t="s">
        <v>173</v>
      </c>
      <c r="E118" s="11" t="s">
        <v>7</v>
      </c>
      <c r="F118" s="15" t="str">
        <f>_xlfn.TEXTJOIN(", ",TRUE, Tabla38[[#This Row],[Tipo de escalera]],Tabla38[[#This Row],[Longitud]],Tabla38[[#This Row],[Carga Maxima]])</f>
        <v>ESCALERA SIMPLE DE UN TRAMO, 8 PIES, NO TIENE</v>
      </c>
      <c r="G118" s="15" t="s">
        <v>383</v>
      </c>
      <c r="H118" s="15" t="s">
        <v>450</v>
      </c>
      <c r="I118" s="15" t="s">
        <v>355</v>
      </c>
      <c r="J118" s="15" t="s">
        <v>337</v>
      </c>
      <c r="K118" s="47"/>
      <c r="L118" t="s">
        <v>527</v>
      </c>
      <c r="M118" s="47"/>
      <c r="N118" s="47" t="str">
        <f>_xlfn.LET(
    _xlpm.itemBuscado, B118,
    _xlpm.areaBuscada, C118,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TEXT(COUNTIF($C$2:C118, _xlpm.areaBuscada), "0000"),
    _xlpm.codItem &amp; "-" &amp; _xlpm.codArea &amp; "-" &amp; _xlpm.secuencia
)</f>
        <v>ZM-ES-FL-0022</v>
      </c>
      <c r="P118" s="15"/>
      <c r="R118" s="48"/>
    </row>
    <row r="119" spans="2:18" x14ac:dyDescent="0.3">
      <c r="B119" t="s">
        <v>20</v>
      </c>
      <c r="C119" s="11" t="s">
        <v>173</v>
      </c>
      <c r="E119" s="11" t="s">
        <v>7</v>
      </c>
      <c r="F119" s="15" t="str">
        <f>_xlfn.TEXTJOIN(", ",TRUE, Tabla38[[#This Row],[Tipo de escalera]],Tabla38[[#This Row],[Longitud]],Tabla38[[#This Row],[Carga Maxima]])</f>
        <v>ESCALERA SIMPLE DE UN TRAMO, 8 PIES, 175 KG</v>
      </c>
      <c r="G119" s="15" t="s">
        <v>383</v>
      </c>
      <c r="H119" s="15" t="s">
        <v>450</v>
      </c>
      <c r="I119" s="15" t="s">
        <v>530</v>
      </c>
      <c r="J119" s="15" t="s">
        <v>337</v>
      </c>
      <c r="K119" s="47" t="s">
        <v>529</v>
      </c>
      <c r="L119" t="s">
        <v>528</v>
      </c>
      <c r="M119" s="47">
        <v>9564100898</v>
      </c>
      <c r="N119" s="47" t="str">
        <f>_xlfn.LET(
    _xlpm.itemBuscado, B119,
    _xlpm.areaBuscada, C119,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TEXT(COUNTIF($C$2:C119, _xlpm.areaBuscada), "0000"),
    _xlpm.codItem &amp; "-" &amp; _xlpm.codArea &amp; "-" &amp; _xlpm.secuencia
)</f>
        <v>ZM-ES-FL-0023</v>
      </c>
      <c r="P119" s="15"/>
      <c r="R119" s="48"/>
    </row>
    <row r="120" spans="2:18" x14ac:dyDescent="0.3">
      <c r="B120" t="s">
        <v>20</v>
      </c>
      <c r="C120" s="11" t="s">
        <v>173</v>
      </c>
      <c r="E120" s="11" t="s">
        <v>7</v>
      </c>
      <c r="F120" s="15" t="str">
        <f>_xlfn.TEXTJOIN(", ",TRUE, Tabla38[[#This Row],[Tipo de escalera]],Tabla38[[#This Row],[Longitud]],Tabla38[[#This Row],[Carga Maxima]])</f>
        <v>ESCALERA SIMPLE DE UN TRAMO, 8 PIES, 175 KG</v>
      </c>
      <c r="G120" s="15" t="s">
        <v>383</v>
      </c>
      <c r="H120" s="15" t="s">
        <v>450</v>
      </c>
      <c r="I120" s="15" t="s">
        <v>530</v>
      </c>
      <c r="J120" s="15" t="s">
        <v>337</v>
      </c>
      <c r="K120" s="47" t="s">
        <v>529</v>
      </c>
      <c r="L120" t="s">
        <v>532</v>
      </c>
      <c r="M120" s="47">
        <v>9564100898</v>
      </c>
      <c r="N120" s="47" t="str">
        <f>_xlfn.LET(
    _xlpm.itemBuscado, B120,
    _xlpm.areaBuscada, C120,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TEXT(COUNTIF($C$2:C120, _xlpm.areaBuscada), "0000"),
    _xlpm.codItem &amp; "-" &amp; _xlpm.codArea &amp; "-" &amp; _xlpm.secuencia
)</f>
        <v>ZM-ES-FL-0024</v>
      </c>
      <c r="P120" s="15"/>
      <c r="R120" s="48"/>
    </row>
    <row r="121" spans="2:18" x14ac:dyDescent="0.3">
      <c r="B121" t="s">
        <v>20</v>
      </c>
      <c r="C121" s="11" t="s">
        <v>173</v>
      </c>
      <c r="E121" s="11" t="s">
        <v>7</v>
      </c>
      <c r="F121" s="15" t="str">
        <f>_xlfn.TEXTJOIN(", ",TRUE, Tabla38[[#This Row],[Tipo de escalera]],Tabla38[[#This Row],[Longitud]],Tabla38[[#This Row],[Carga Maxima]])</f>
        <v>ESCALERA SIMPLE DE UN TRAMO, 8 PIES, 175 KG</v>
      </c>
      <c r="G121" s="15" t="s">
        <v>383</v>
      </c>
      <c r="H121" s="15" t="s">
        <v>450</v>
      </c>
      <c r="I121" s="15" t="s">
        <v>530</v>
      </c>
      <c r="J121" s="15" t="s">
        <v>337</v>
      </c>
      <c r="K121" s="47" t="s">
        <v>529</v>
      </c>
      <c r="L121" t="s">
        <v>531</v>
      </c>
      <c r="M121" s="47">
        <v>9564100898</v>
      </c>
      <c r="N121" s="47" t="str">
        <f>_xlfn.LET(
    _xlpm.itemBuscado, B121,
    _xlpm.areaBuscada, C121,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TEXT(COUNTIF($C$2:C121, _xlpm.areaBuscada), "0000"),
    _xlpm.codItem &amp; "-" &amp; _xlpm.codArea &amp; "-" &amp; _xlpm.secuencia
)</f>
        <v>ZM-ES-FL-0025</v>
      </c>
      <c r="P121" s="15"/>
      <c r="R121" s="48"/>
    </row>
    <row r="122" spans="2:18" x14ac:dyDescent="0.3">
      <c r="B122" t="s">
        <v>20</v>
      </c>
      <c r="C122" s="11" t="s">
        <v>173</v>
      </c>
      <c r="E122" s="11" t="s">
        <v>7</v>
      </c>
      <c r="F122" s="15" t="str">
        <f>_xlfn.TEXTJOIN(", ",TRUE, Tabla38[[#This Row],[Tipo de escalera]],Tabla38[[#This Row],[Longitud]],Tabla38[[#This Row],[Carga Maxima]])</f>
        <v>ESCALERA SIMPLE DE UN TRAMO, 8 PIES, 300 LB</v>
      </c>
      <c r="G122" s="15" t="s">
        <v>383</v>
      </c>
      <c r="H122" s="15" t="s">
        <v>450</v>
      </c>
      <c r="I122" s="15" t="s">
        <v>396</v>
      </c>
      <c r="J122" s="15" t="s">
        <v>318</v>
      </c>
      <c r="K122" s="47" t="s">
        <v>355</v>
      </c>
      <c r="L122" t="s">
        <v>533</v>
      </c>
      <c r="M122" s="47" t="s">
        <v>355</v>
      </c>
      <c r="N122" s="47" t="str">
        <f>_xlfn.LET(
    _xlpm.itemBuscado, B122,
    _xlpm.areaBuscada, C122,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TEXT(COUNTIF($C$2:C122, _xlpm.areaBuscada), "0000"),
    _xlpm.codItem &amp; "-" &amp; _xlpm.codArea &amp; "-" &amp; _xlpm.secuencia
)</f>
        <v>ZM-ES-FL-0026</v>
      </c>
      <c r="P122" s="15"/>
      <c r="R122" s="48"/>
    </row>
    <row r="123" spans="2:18" x14ac:dyDescent="0.3">
      <c r="B123" t="s">
        <v>20</v>
      </c>
      <c r="C123" s="11" t="s">
        <v>173</v>
      </c>
      <c r="E123" s="11" t="s">
        <v>7</v>
      </c>
      <c r="F123" s="15" t="str">
        <f>_xlfn.TEXTJOIN(", ",TRUE, Tabla38[[#This Row],[Tipo de escalera]],Tabla38[[#This Row],[Longitud]],Tabla38[[#This Row],[Carga Maxima]])</f>
        <v>ESCALERA SIMPLE DE UN TRAMO, 9 PIES, 301 LB</v>
      </c>
      <c r="G123" s="15" t="s">
        <v>383</v>
      </c>
      <c r="H123" s="15" t="s">
        <v>537</v>
      </c>
      <c r="I123" s="15" t="s">
        <v>534</v>
      </c>
      <c r="J123" s="15" t="s">
        <v>318</v>
      </c>
      <c r="K123" s="47" t="s">
        <v>355</v>
      </c>
      <c r="L123" t="s">
        <v>355</v>
      </c>
      <c r="M123" s="47" t="s">
        <v>355</v>
      </c>
      <c r="N123" s="47" t="str">
        <f>_xlfn.LET(
    _xlpm.itemBuscado, B123,
    _xlpm.areaBuscada, C123,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TEXT(COUNTIF($C$2:C123, _xlpm.areaBuscada), "0000"),
    _xlpm.codItem &amp; "-" &amp; _xlpm.codArea &amp; "-" &amp; _xlpm.secuencia
)</f>
        <v>ZM-ES-FL-0027</v>
      </c>
      <c r="P123" s="15"/>
      <c r="R123" s="48"/>
    </row>
    <row r="124" spans="2:18" x14ac:dyDescent="0.3">
      <c r="B124" t="s">
        <v>20</v>
      </c>
      <c r="C124" s="11" t="s">
        <v>173</v>
      </c>
      <c r="E124" s="11" t="s">
        <v>7</v>
      </c>
      <c r="F124" s="15" t="str">
        <f>_xlfn.TEXTJOIN(", ",TRUE, Tabla38[[#This Row],[Tipo de escalera]],Tabla38[[#This Row],[Longitud]],Tabla38[[#This Row],[Carga Maxima]])</f>
        <v>ESCALERA SIMPLE DE UN TRAMO, 10 PIES, 302 LB</v>
      </c>
      <c r="G124" s="15" t="s">
        <v>383</v>
      </c>
      <c r="H124" s="15" t="s">
        <v>538</v>
      </c>
      <c r="I124" s="15" t="s">
        <v>535</v>
      </c>
      <c r="J124" s="15" t="s">
        <v>318</v>
      </c>
      <c r="K124" s="47" t="s">
        <v>355</v>
      </c>
      <c r="L124" t="s">
        <v>540</v>
      </c>
      <c r="M124" s="47" t="s">
        <v>355</v>
      </c>
      <c r="N124" s="47" t="str">
        <f>_xlfn.LET(
    _xlpm.itemBuscado, B124,
    _xlpm.areaBuscada, C124,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TEXT(COUNTIF($C$2:C124, _xlpm.areaBuscada), "0000"),
    _xlpm.codItem &amp; "-" &amp; _xlpm.codArea &amp; "-" &amp; _xlpm.secuencia
)</f>
        <v>ZM-ES-FL-0028</v>
      </c>
      <c r="P124" s="15"/>
      <c r="R124" s="48"/>
    </row>
    <row r="125" spans="2:18" x14ac:dyDescent="0.3">
      <c r="B125" t="s">
        <v>20</v>
      </c>
      <c r="C125" s="11" t="s">
        <v>173</v>
      </c>
      <c r="E125" s="11" t="s">
        <v>7</v>
      </c>
      <c r="F125" s="15" t="str">
        <f>_xlfn.TEXTJOIN(", ",TRUE, Tabla38[[#This Row],[Tipo de escalera]],Tabla38[[#This Row],[Longitud]],Tabla38[[#This Row],[Carga Maxima]])</f>
        <v>ESCALERA SIMPLE DE UN TRAMO, 11 PIES, 303 LB</v>
      </c>
      <c r="G125" s="15" t="s">
        <v>383</v>
      </c>
      <c r="H125" s="15" t="s">
        <v>539</v>
      </c>
      <c r="I125" s="15" t="s">
        <v>536</v>
      </c>
      <c r="J125" s="15" t="s">
        <v>318</v>
      </c>
      <c r="K125" s="47" t="s">
        <v>355</v>
      </c>
      <c r="L125" t="s">
        <v>541</v>
      </c>
      <c r="M125" s="47" t="s">
        <v>355</v>
      </c>
      <c r="N125" s="47" t="str">
        <f>_xlfn.LET(
    _xlpm.itemBuscado, B125,
    _xlpm.areaBuscada, C125,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TEXT(COUNTIF($C$2:C125, _xlpm.areaBuscada), "0000"),
    _xlpm.codItem &amp; "-" &amp; _xlpm.codArea &amp; "-" &amp; _xlpm.secuencia
)</f>
        <v>ZM-ES-FL-0029</v>
      </c>
      <c r="P125" s="15"/>
      <c r="R125" s="48"/>
    </row>
    <row r="126" spans="2:18" x14ac:dyDescent="0.3">
      <c r="B126" t="s">
        <v>20</v>
      </c>
      <c r="C126" s="11" t="s">
        <v>173</v>
      </c>
      <c r="E126" s="11" t="s">
        <v>7</v>
      </c>
      <c r="F126" s="15" t="str">
        <f>_xlfn.TEXTJOIN(", ",TRUE, Tabla38[[#This Row],[Tipo de escalera]],Tabla38[[#This Row],[Longitud]],Tabla38[[#This Row],[Carga Maxima]])</f>
        <v>ESCALERA SIMPLE DE UN TRAMO, 10 PIES, 175 KG</v>
      </c>
      <c r="G126" s="15" t="s">
        <v>383</v>
      </c>
      <c r="H126" s="15" t="s">
        <v>538</v>
      </c>
      <c r="I126" s="15" t="s">
        <v>530</v>
      </c>
      <c r="J126" s="15" t="s">
        <v>337</v>
      </c>
      <c r="K126" s="47" t="s">
        <v>355</v>
      </c>
      <c r="L126" t="s">
        <v>355</v>
      </c>
      <c r="M126" s="47" t="s">
        <v>355</v>
      </c>
      <c r="N126" s="47" t="str">
        <f>_xlfn.LET(
    _xlpm.itemBuscado, B126,
    _xlpm.areaBuscada, C126,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TEXT(COUNTIF($C$2:C126, _xlpm.areaBuscada), "0000"),
    _xlpm.codItem &amp; "-" &amp; _xlpm.codArea &amp; "-" &amp; _xlpm.secuencia
)</f>
        <v>ZM-ES-FL-0030</v>
      </c>
      <c r="P126" s="15"/>
      <c r="R126" s="48"/>
    </row>
    <row r="127" spans="2:18" x14ac:dyDescent="0.3">
      <c r="B127" t="s">
        <v>20</v>
      </c>
      <c r="C127" s="11" t="s">
        <v>173</v>
      </c>
      <c r="E127" s="11" t="s">
        <v>7</v>
      </c>
      <c r="F127" s="15" t="str">
        <f>_xlfn.TEXTJOIN(", ",TRUE, Tabla38[[#This Row],[Tipo de escalera]],Tabla38[[#This Row],[Longitud]],Tabla38[[#This Row],[Carga Maxima]])</f>
        <v>ESCALERA SIMPLE DE UN TRAMO, 10 PIES, 175 KG</v>
      </c>
      <c r="G127" s="15" t="s">
        <v>383</v>
      </c>
      <c r="H127" s="15" t="s">
        <v>538</v>
      </c>
      <c r="I127" s="15" t="s">
        <v>530</v>
      </c>
      <c r="J127" s="15" t="s">
        <v>337</v>
      </c>
      <c r="K127" s="47" t="s">
        <v>542</v>
      </c>
      <c r="L127" t="s">
        <v>355</v>
      </c>
      <c r="M127" s="47" t="s">
        <v>355</v>
      </c>
      <c r="N127" s="47" t="str">
        <f>_xlfn.LET(
    _xlpm.itemBuscado, B127,
    _xlpm.areaBuscada, C127,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TEXT(COUNTIF($C$2:C127, _xlpm.areaBuscada), "0000"),
    _xlpm.codItem &amp; "-" &amp; _xlpm.codArea &amp; "-" &amp; _xlpm.secuencia
)</f>
        <v>ZM-ES-FL-0031</v>
      </c>
      <c r="P127" s="15"/>
      <c r="R127" s="48"/>
    </row>
    <row r="128" spans="2:18" x14ac:dyDescent="0.3">
      <c r="B128" t="s">
        <v>20</v>
      </c>
      <c r="C128" s="11" t="s">
        <v>173</v>
      </c>
      <c r="E128" s="11" t="s">
        <v>7</v>
      </c>
      <c r="F128" s="15" t="str">
        <f>_xlfn.TEXTJOIN(", ",TRUE, Tabla38[[#This Row],[Tipo de escalera]],Tabla38[[#This Row],[Longitud]],Tabla38[[#This Row],[Carga Maxima]])</f>
        <v>ESCALERA SIMPLE DE UN TRAMO, 10 PIES, 175 KG</v>
      </c>
      <c r="G128" s="15" t="s">
        <v>383</v>
      </c>
      <c r="H128" s="15" t="s">
        <v>538</v>
      </c>
      <c r="I128" s="15" t="s">
        <v>530</v>
      </c>
      <c r="J128" s="15" t="s">
        <v>337</v>
      </c>
      <c r="K128" s="47" t="s">
        <v>355</v>
      </c>
      <c r="L128" t="s">
        <v>543</v>
      </c>
      <c r="M128" s="47" t="s">
        <v>355</v>
      </c>
      <c r="N128" s="47" t="str">
        <f>_xlfn.LET(
    _xlpm.itemBuscado, B128,
    _xlpm.areaBuscada, C128,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TEXT(COUNTIF($C$2:C128, _xlpm.areaBuscada), "0000"),
    _xlpm.codItem &amp; "-" &amp; _xlpm.codArea &amp; "-" &amp; _xlpm.secuencia
)</f>
        <v>ZM-ES-FL-0032</v>
      </c>
      <c r="P128" s="15"/>
      <c r="R128" s="48"/>
    </row>
    <row r="129" spans="2:19" x14ac:dyDescent="0.3">
      <c r="B129" t="s">
        <v>20</v>
      </c>
      <c r="C129" s="11" t="s">
        <v>173</v>
      </c>
      <c r="E129" s="11" t="s">
        <v>7</v>
      </c>
      <c r="F129" s="15" t="str">
        <f>_xlfn.TEXTJOIN(", ",TRUE, Tabla38[[#This Row],[Tipo de escalera]],Tabla38[[#This Row],[Longitud]],Tabla38[[#This Row],[Carga Maxima]])</f>
        <v>ESCALERA SIMPLE DE UN TRAMO, 10 PIES, 175 KG</v>
      </c>
      <c r="G129" s="15" t="s">
        <v>383</v>
      </c>
      <c r="H129" s="15" t="s">
        <v>538</v>
      </c>
      <c r="I129" s="15" t="s">
        <v>530</v>
      </c>
      <c r="J129" s="15" t="s">
        <v>337</v>
      </c>
      <c r="K129" s="47" t="s">
        <v>355</v>
      </c>
      <c r="L129" t="s">
        <v>532</v>
      </c>
      <c r="M129" s="47" t="s">
        <v>355</v>
      </c>
      <c r="N129" s="47" t="str">
        <f>_xlfn.LET(
    _xlpm.itemBuscado, B129,
    _xlpm.areaBuscada, C129,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TEXT(COUNTIF($C$2:C129, _xlpm.areaBuscada), "0000"),
    _xlpm.codItem &amp; "-" &amp; _xlpm.codArea &amp; "-" &amp; _xlpm.secuencia
)</f>
        <v>ZM-ES-FL-0033</v>
      </c>
      <c r="P129" s="15"/>
      <c r="R129" s="48"/>
    </row>
    <row r="130" spans="2:19" x14ac:dyDescent="0.3">
      <c r="B130" t="s">
        <v>20</v>
      </c>
      <c r="C130" s="11" t="s">
        <v>173</v>
      </c>
      <c r="E130" s="11" t="s">
        <v>7</v>
      </c>
      <c r="F130" s="15" t="str">
        <f>_xlfn.TEXTJOIN(", ",TRUE, Tabla38[[#This Row],[Tipo de escalera]],Tabla38[[#This Row],[Longitud]],Tabla38[[#This Row],[Carga Maxima]])</f>
        <v>ESCALERA SIMPLE DE UN TRAMO, 10 PIES, 175 KG</v>
      </c>
      <c r="G130" s="15" t="s">
        <v>383</v>
      </c>
      <c r="H130" s="15" t="s">
        <v>538</v>
      </c>
      <c r="I130" s="15" t="s">
        <v>530</v>
      </c>
      <c r="J130" s="15" t="s">
        <v>337</v>
      </c>
      <c r="K130" s="47" t="s">
        <v>355</v>
      </c>
      <c r="L130" t="s">
        <v>355</v>
      </c>
      <c r="M130" s="47" t="s">
        <v>355</v>
      </c>
      <c r="N130" s="47" t="str">
        <f>_xlfn.LET(
    _xlpm.itemBuscado, B130,
    _xlpm.areaBuscada, C130,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TEXT(COUNTIF($C$2:C130, _xlpm.areaBuscada), "0000"),
    _xlpm.codItem &amp; "-" &amp; _xlpm.codArea &amp; "-" &amp; _xlpm.secuencia
)</f>
        <v>ZM-ES-FL-0034</v>
      </c>
      <c r="P130" s="15"/>
      <c r="R130" s="48"/>
    </row>
    <row r="131" spans="2:19" x14ac:dyDescent="0.3">
      <c r="B131" t="s">
        <v>20</v>
      </c>
      <c r="C131" s="11" t="s">
        <v>173</v>
      </c>
      <c r="E131" s="11" t="s">
        <v>7</v>
      </c>
      <c r="F131" s="15" t="str">
        <f>_xlfn.TEXTJOIN(", ",TRUE, Tabla38[[#This Row],[Tipo de escalera]],Tabla38[[#This Row],[Longitud]],Tabla38[[#This Row],[Carga Maxima]])</f>
        <v>ESCALERA SIMPLE DE UN TRAMO, 12 PIES, 175 KG</v>
      </c>
      <c r="G131" s="15" t="s">
        <v>383</v>
      </c>
      <c r="H131" s="15" t="s">
        <v>472</v>
      </c>
      <c r="I131" s="15" t="s">
        <v>530</v>
      </c>
      <c r="J131" s="15" t="s">
        <v>337</v>
      </c>
      <c r="K131" s="47" t="s">
        <v>544</v>
      </c>
      <c r="L131" t="s">
        <v>355</v>
      </c>
      <c r="M131" s="47">
        <v>9564100900</v>
      </c>
      <c r="N131" s="47" t="str">
        <f>_xlfn.LET(
    _xlpm.itemBuscado, B131,
    _xlpm.areaBuscada, C131,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TEXT(COUNTIF($C$2:C131, _xlpm.areaBuscada), "0000"),
    _xlpm.codItem &amp; "-" &amp; _xlpm.codArea &amp; "-" &amp; _xlpm.secuencia
)</f>
        <v>ZM-ES-FL-0035</v>
      </c>
      <c r="P131" s="15"/>
      <c r="R131" s="48"/>
    </row>
    <row r="132" spans="2:19" x14ac:dyDescent="0.3">
      <c r="B132" t="s">
        <v>20</v>
      </c>
      <c r="C132" s="11" t="s">
        <v>173</v>
      </c>
      <c r="E132" s="11" t="s">
        <v>7</v>
      </c>
      <c r="F132" s="15" t="str">
        <f>_xlfn.TEXTJOIN(", ",TRUE, Tabla38[[#This Row],[Tipo de escalera]],Tabla38[[#This Row],[Longitud]],Tabla38[[#This Row],[Carga Maxima]])</f>
        <v>ESCALERA SIMPLE DE UN TRAMO, 12 PIES, 175 KG</v>
      </c>
      <c r="G132" s="15" t="s">
        <v>383</v>
      </c>
      <c r="H132" s="15" t="s">
        <v>472</v>
      </c>
      <c r="I132" s="15" t="s">
        <v>530</v>
      </c>
      <c r="J132" s="15" t="s">
        <v>337</v>
      </c>
      <c r="K132" s="47" t="s">
        <v>544</v>
      </c>
      <c r="L132" t="s">
        <v>355</v>
      </c>
      <c r="M132" s="47">
        <v>9564100900</v>
      </c>
      <c r="N132" s="47" t="str">
        <f>_xlfn.LET(
    _xlpm.itemBuscado, B132,
    _xlpm.areaBuscada, C132,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TEXT(COUNTIF($C$2:C132, _xlpm.areaBuscada), "0000"),
    _xlpm.codItem &amp; "-" &amp; _xlpm.codArea &amp; "-" &amp; _xlpm.secuencia
)</f>
        <v>ZM-ES-FL-0036</v>
      </c>
      <c r="P132" s="15"/>
      <c r="R132" s="48"/>
    </row>
    <row r="133" spans="2:19" x14ac:dyDescent="0.3">
      <c r="B133" t="s">
        <v>20</v>
      </c>
      <c r="C133" s="11" t="s">
        <v>173</v>
      </c>
      <c r="E133" s="11" t="s">
        <v>7</v>
      </c>
      <c r="F133" s="15" t="str">
        <f>_xlfn.TEXTJOIN(", ",TRUE, Tabla38[[#This Row],[Tipo de escalera]],Tabla38[[#This Row],[Longitud]],Tabla38[[#This Row],[Carga Maxima]])</f>
        <v>ESCALERA SIMPLE DE UN TRAMO, 12 PIES, 175 KG</v>
      </c>
      <c r="G133" s="15" t="s">
        <v>383</v>
      </c>
      <c r="H133" s="15" t="s">
        <v>472</v>
      </c>
      <c r="I133" s="15" t="s">
        <v>530</v>
      </c>
      <c r="J133" s="15" t="s">
        <v>337</v>
      </c>
      <c r="K133" s="47" t="s">
        <v>544</v>
      </c>
      <c r="L133" t="s">
        <v>355</v>
      </c>
      <c r="M133" s="47">
        <v>9564100900</v>
      </c>
      <c r="N133" s="47" t="str">
        <f>_xlfn.LET(
    _xlpm.itemBuscado, B133,
    _xlpm.areaBuscada, C133,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TEXT(COUNTIF($C$2:C133, _xlpm.areaBuscada), "0000"),
    _xlpm.codItem &amp; "-" &amp; _xlpm.codArea &amp; "-" &amp; _xlpm.secuencia
)</f>
        <v>ZM-ES-FL-0037</v>
      </c>
      <c r="P133" s="15"/>
      <c r="R133" s="48"/>
    </row>
    <row r="134" spans="2:19" x14ac:dyDescent="0.3">
      <c r="B134" t="s">
        <v>20</v>
      </c>
      <c r="C134" s="11" t="s">
        <v>173</v>
      </c>
      <c r="E134" s="11" t="s">
        <v>7</v>
      </c>
      <c r="F134" s="15" t="str">
        <f>_xlfn.TEXTJOIN(", ",TRUE, Tabla38[[#This Row],[Tipo de escalera]],Tabla38[[#This Row],[Longitud]],Tabla38[[#This Row],[Carga Maxima]])</f>
        <v>ESCALERA SIMPLE DE UN TRAMO, 12 PIES, 175 KG</v>
      </c>
      <c r="G134" s="15" t="s">
        <v>383</v>
      </c>
      <c r="H134" s="15" t="s">
        <v>472</v>
      </c>
      <c r="I134" s="15" t="s">
        <v>530</v>
      </c>
      <c r="J134" s="15" t="s">
        <v>337</v>
      </c>
      <c r="K134" s="47" t="s">
        <v>544</v>
      </c>
      <c r="L134" t="s">
        <v>355</v>
      </c>
      <c r="M134" s="47">
        <v>9564100900</v>
      </c>
      <c r="N134" s="47" t="str">
        <f>_xlfn.LET(
    _xlpm.itemBuscado, B134,
    _xlpm.areaBuscada, C134,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TEXT(COUNTIF($C$2:C134, _xlpm.areaBuscada), "0000"),
    _xlpm.codItem &amp; "-" &amp; _xlpm.codArea &amp; "-" &amp; _xlpm.secuencia
)</f>
        <v>ZM-ES-FL-0038</v>
      </c>
      <c r="P134" s="15"/>
      <c r="R134" s="48"/>
    </row>
    <row r="135" spans="2:19" x14ac:dyDescent="0.3">
      <c r="B135" t="s">
        <v>20</v>
      </c>
      <c r="C135" s="11" t="s">
        <v>173</v>
      </c>
      <c r="E135" s="11" t="s">
        <v>7</v>
      </c>
      <c r="F135" s="15" t="str">
        <f>_xlfn.TEXTJOIN(", ",TRUE, Tabla38[[#This Row],[Tipo de escalera]],Tabla38[[#This Row],[Longitud]],Tabla38[[#This Row],[Carga Maxima]])</f>
        <v>ESCALERA SIMPLE DE UN TRAMO, 12 PIES, 175 KG</v>
      </c>
      <c r="G135" s="15" t="s">
        <v>383</v>
      </c>
      <c r="H135" s="15" t="s">
        <v>472</v>
      </c>
      <c r="I135" s="15" t="s">
        <v>530</v>
      </c>
      <c r="J135" s="15" t="s">
        <v>337</v>
      </c>
      <c r="K135" s="47" t="s">
        <v>544</v>
      </c>
      <c r="L135" t="s">
        <v>355</v>
      </c>
      <c r="M135" s="47">
        <v>9564100900</v>
      </c>
      <c r="N135" s="47" t="str">
        <f>_xlfn.LET(
    _xlpm.itemBuscado, B135,
    _xlpm.areaBuscada, C135,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TEXT(COUNTIF($C$2:C135, _xlpm.areaBuscada), "0000"),
    _xlpm.codItem &amp; "-" &amp; _xlpm.codArea &amp; "-" &amp; _xlpm.secuencia
)</f>
        <v>ZM-ES-FL-0039</v>
      </c>
      <c r="P135" s="15"/>
      <c r="R135" s="48"/>
    </row>
    <row r="136" spans="2:19" x14ac:dyDescent="0.3">
      <c r="B136" t="s">
        <v>20</v>
      </c>
      <c r="C136" s="11" t="s">
        <v>173</v>
      </c>
      <c r="E136" s="11" t="s">
        <v>7</v>
      </c>
      <c r="F136" s="15" t="str">
        <f>_xlfn.TEXTJOIN(", ",TRUE, Tabla38[[#This Row],[Tipo de escalera]],Tabla38[[#This Row],[Longitud]],Tabla38[[#This Row],[Carga Maxima]])</f>
        <v>ESCALERA SIMPLE DE UN TRAMO, 12 PIES, 300 LB</v>
      </c>
      <c r="G136" s="15" t="s">
        <v>383</v>
      </c>
      <c r="H136" s="15" t="s">
        <v>472</v>
      </c>
      <c r="I136" s="15" t="s">
        <v>396</v>
      </c>
      <c r="J136" s="15" t="s">
        <v>318</v>
      </c>
      <c r="K136" s="47" t="s">
        <v>545</v>
      </c>
      <c r="L136" t="s">
        <v>546</v>
      </c>
      <c r="M136" s="47" t="s">
        <v>355</v>
      </c>
      <c r="N136" s="47" t="str">
        <f>_xlfn.LET(
    _xlpm.itemBuscado, B136,
    _xlpm.areaBuscada, C136,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TEXT(COUNTIF($C$2:C136, _xlpm.areaBuscada), "0000"),
    _xlpm.codItem &amp; "-" &amp; _xlpm.codArea &amp; "-" &amp; _xlpm.secuencia
)</f>
        <v>ZM-ES-FL-0040</v>
      </c>
      <c r="P136" s="15"/>
      <c r="R136" s="48"/>
    </row>
    <row r="137" spans="2:19" x14ac:dyDescent="0.3">
      <c r="B137" t="s">
        <v>20</v>
      </c>
      <c r="C137" s="11" t="s">
        <v>173</v>
      </c>
      <c r="E137" s="11" t="s">
        <v>7</v>
      </c>
      <c r="F137" s="15" t="str">
        <f>_xlfn.TEXTJOIN(", ",TRUE, Tabla38[[#This Row],[Tipo de escalera]],Tabla38[[#This Row],[Longitud]],Tabla38[[#This Row],[Carga Maxima]])</f>
        <v>ESCALERA SIMPLE DE UN TRAMO, 12 PIES, 300 LB</v>
      </c>
      <c r="G137" s="15" t="s">
        <v>383</v>
      </c>
      <c r="H137" s="15" t="s">
        <v>472</v>
      </c>
      <c r="I137" s="15" t="s">
        <v>396</v>
      </c>
      <c r="J137" s="15" t="s">
        <v>318</v>
      </c>
      <c r="K137" s="47" t="s">
        <v>545</v>
      </c>
      <c r="L137" t="s">
        <v>355</v>
      </c>
      <c r="M137" s="47" t="s">
        <v>355</v>
      </c>
      <c r="N137" s="47" t="str">
        <f>_xlfn.LET(
    _xlpm.itemBuscado, B137,
    _xlpm.areaBuscada, C137,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TEXT(COUNTIF($C$2:C137, _xlpm.areaBuscada), "0000"),
    _xlpm.codItem &amp; "-" &amp; _xlpm.codArea &amp; "-" &amp; _xlpm.secuencia
)</f>
        <v>ZM-ES-FL-0041</v>
      </c>
      <c r="P137" s="15"/>
      <c r="R137" s="48"/>
    </row>
    <row r="138" spans="2:19" x14ac:dyDescent="0.3">
      <c r="B138" t="s">
        <v>20</v>
      </c>
      <c r="C138" s="11" t="s">
        <v>173</v>
      </c>
      <c r="E138" s="11" t="s">
        <v>7</v>
      </c>
      <c r="F138" s="15" t="str">
        <f>_xlfn.TEXTJOIN(", ",TRUE, Tabla38[[#This Row],[Tipo de escalera]],Tabla38[[#This Row],[Longitud]],Tabla38[[#This Row],[Carga Maxima]])</f>
        <v>ESCALERA SIMPLE DE UN TRAMO, 12 PIES, 300 LB</v>
      </c>
      <c r="G138" s="15" t="s">
        <v>383</v>
      </c>
      <c r="H138" s="15" t="s">
        <v>472</v>
      </c>
      <c r="I138" s="15" t="s">
        <v>396</v>
      </c>
      <c r="J138" s="15" t="s">
        <v>318</v>
      </c>
      <c r="K138" s="47" t="s">
        <v>545</v>
      </c>
      <c r="L138" t="s">
        <v>355</v>
      </c>
      <c r="M138" s="47" t="s">
        <v>355</v>
      </c>
      <c r="N138" s="47" t="str">
        <f>_xlfn.LET(
    _xlpm.itemBuscado, B138,
    _xlpm.areaBuscada, C138,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TEXT(COUNTIF($C$2:C138, _xlpm.areaBuscada), "0000"),
    _xlpm.codItem &amp; "-" &amp; _xlpm.codArea &amp; "-" &amp; _xlpm.secuencia
)</f>
        <v>ZM-ES-FL-0042</v>
      </c>
      <c r="P138" s="15"/>
      <c r="R138" s="48"/>
    </row>
    <row r="139" spans="2:19" x14ac:dyDescent="0.3">
      <c r="B139" t="s">
        <v>20</v>
      </c>
      <c r="C139" s="11" t="s">
        <v>173</v>
      </c>
      <c r="E139" s="11" t="s">
        <v>7</v>
      </c>
      <c r="F139" s="15" t="str">
        <f>_xlfn.TEXTJOIN(", ",TRUE, Tabla38[[#This Row],[Tipo de escalera]],Tabla38[[#This Row],[Longitud]],Tabla38[[#This Row],[Carga Maxima]])</f>
        <v>ESCALERA SIMPLE DE UN TRAMO, 12 PIES, 300 LB</v>
      </c>
      <c r="G139" s="15" t="s">
        <v>383</v>
      </c>
      <c r="H139" s="15" t="s">
        <v>472</v>
      </c>
      <c r="I139" s="15" t="s">
        <v>396</v>
      </c>
      <c r="J139" s="15" t="s">
        <v>318</v>
      </c>
      <c r="K139" s="47" t="s">
        <v>545</v>
      </c>
      <c r="L139" t="s">
        <v>355</v>
      </c>
      <c r="M139" s="47" t="s">
        <v>355</v>
      </c>
      <c r="N139" s="47" t="str">
        <f>_xlfn.LET(
    _xlpm.itemBuscado, B139,
    _xlpm.areaBuscada, C139,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TEXT(COUNTIF($C$2:C139, _xlpm.areaBuscada), "0000"),
    _xlpm.codItem &amp; "-" &amp; _xlpm.codArea &amp; "-" &amp; _xlpm.secuencia
)</f>
        <v>ZM-ES-FL-0043</v>
      </c>
      <c r="P139" s="15"/>
      <c r="R139" s="48"/>
    </row>
    <row r="140" spans="2:19" x14ac:dyDescent="0.3">
      <c r="B140" t="s">
        <v>20</v>
      </c>
      <c r="C140" s="11" t="s">
        <v>173</v>
      </c>
      <c r="D140" s="32"/>
      <c r="E140" s="11" t="s">
        <v>7</v>
      </c>
      <c r="F140" s="15" t="str">
        <f>_xlfn.TEXTJOIN(", ",TRUE, Tabla38[[#This Row],[Tipo de escalera]],Tabla38[[#This Row],[Longitud]],Tabla38[[#This Row],[Carga Maxima]])</f>
        <v>ESCALERA SIMPLE DE UN TRAMO, 12 PIES, 300 LB</v>
      </c>
      <c r="G140" s="15" t="s">
        <v>383</v>
      </c>
      <c r="H140" s="15" t="s">
        <v>472</v>
      </c>
      <c r="I140" s="15" t="s">
        <v>396</v>
      </c>
      <c r="J140" s="15" t="s">
        <v>318</v>
      </c>
      <c r="K140" s="47" t="s">
        <v>545</v>
      </c>
      <c r="L140" s="76" t="s">
        <v>355</v>
      </c>
      <c r="M140" s="47" t="s">
        <v>355</v>
      </c>
      <c r="N140" s="47" t="str">
        <f>_xlfn.LET(
    _xlpm.itemBuscado, B140,
    _xlpm.areaBuscada, C140,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TEXT(COUNTIF($C$2:C140, _xlpm.areaBuscada), "0000"),
    _xlpm.codItem &amp; "-" &amp; _xlpm.codArea &amp; "-" &amp; _xlpm.secuencia
)</f>
        <v>ZM-ES-FL-0044</v>
      </c>
      <c r="O140" s="77"/>
      <c r="P140" s="15"/>
      <c r="Q140" s="32"/>
      <c r="R140" s="48"/>
    </row>
    <row r="141" spans="2:19" x14ac:dyDescent="0.3">
      <c r="B141" t="s">
        <v>20</v>
      </c>
      <c r="C141" s="11" t="s">
        <v>173</v>
      </c>
      <c r="D141" s="32"/>
      <c r="E141" s="11" t="s">
        <v>7</v>
      </c>
      <c r="F141" t="str">
        <f>_xlfn.TEXTJOIN(", ",TRUE, Tabla38[[#This Row],[Tipo de escalera]],Tabla38[[#This Row],[Longitud]],Tabla38[[#This Row],[Carga Maxima]])</f>
        <v>ESCALERA SIMPLE DE UN TRAMO, 12 PIES, 300 LB</v>
      </c>
      <c r="G141" s="15" t="s">
        <v>383</v>
      </c>
      <c r="H141" s="15" t="s">
        <v>472</v>
      </c>
      <c r="I141" s="15" t="s">
        <v>396</v>
      </c>
      <c r="J141" s="15" t="s">
        <v>318</v>
      </c>
      <c r="K141" s="47" t="s">
        <v>545</v>
      </c>
      <c r="L141" s="76" t="s">
        <v>547</v>
      </c>
      <c r="M141" s="47" t="s">
        <v>355</v>
      </c>
      <c r="N141" s="78" t="str">
        <f>_xlfn.LET(
    _xlpm.itemBuscado, B141,
    _xlpm.areaBuscada, C141,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TEXT(COUNTIF($C$2:C141, _xlpm.areaBuscada), "0000"),
    _xlpm.codItem &amp; "-" &amp; _xlpm.codArea &amp; "-" &amp; _xlpm.secuencia
)</f>
        <v>ZM-ES-FL-0045</v>
      </c>
      <c r="O141" s="77"/>
      <c r="P141" s="32"/>
      <c r="Q141" s="32"/>
      <c r="R141" s="32"/>
      <c r="S141" s="32"/>
    </row>
    <row r="142" spans="2:19" x14ac:dyDescent="0.3">
      <c r="B142" t="s">
        <v>20</v>
      </c>
      <c r="C142" s="11" t="s">
        <v>173</v>
      </c>
      <c r="D142" s="32"/>
      <c r="E142" s="11" t="s">
        <v>7</v>
      </c>
      <c r="F142" t="str">
        <f>_xlfn.TEXTJOIN(", ",TRUE, Tabla38[[#This Row],[Tipo de escalera]],Tabla38[[#This Row],[Longitud]],Tabla38[[#This Row],[Carga Maxima]])</f>
        <v>ESCALERA EXTENSIBLE O TELESCÓPICA, 20 PIES, 90 KG</v>
      </c>
      <c r="G142" s="15" t="s">
        <v>385</v>
      </c>
      <c r="H142" t="s">
        <v>513</v>
      </c>
      <c r="I142" t="s">
        <v>548</v>
      </c>
      <c r="J142" s="15" t="s">
        <v>496</v>
      </c>
      <c r="K142" s="47" t="s">
        <v>549</v>
      </c>
      <c r="L142" s="76" t="s">
        <v>355</v>
      </c>
      <c r="M142" s="76" t="s">
        <v>355</v>
      </c>
      <c r="N142" s="78" t="str">
        <f>_xlfn.LET(
    _xlpm.itemBuscado, B142,
    _xlpm.areaBuscada, C142,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TEXT(COUNTIF($C$2:C142, _xlpm.areaBuscada), "0000"),
    _xlpm.codItem &amp; "-" &amp; _xlpm.codArea &amp; "-" &amp; _xlpm.secuencia
)</f>
        <v>ZM-ES-FL-0046</v>
      </c>
      <c r="O142" s="77"/>
      <c r="P142" s="32"/>
      <c r="Q142" s="32"/>
      <c r="R142" s="32"/>
      <c r="S142" s="32"/>
    </row>
    <row r="143" spans="2:19" x14ac:dyDescent="0.3">
      <c r="B143" t="s">
        <v>20</v>
      </c>
      <c r="C143" s="11" t="s">
        <v>173</v>
      </c>
      <c r="D143" s="32"/>
      <c r="E143" s="11" t="s">
        <v>7</v>
      </c>
      <c r="F143" t="str">
        <f>_xlfn.TEXTJOIN(", ",TRUE, Tabla38[[#This Row],[Tipo de escalera]],Tabla38[[#This Row],[Longitud]],Tabla38[[#This Row],[Carga Maxima]])</f>
        <v>ESCALERA EXTENSIBLE O TELESCÓPICA, 20 PIES, 90 KG</v>
      </c>
      <c r="G143" s="15" t="s">
        <v>385</v>
      </c>
      <c r="H143" t="s">
        <v>513</v>
      </c>
      <c r="I143" t="s">
        <v>548</v>
      </c>
      <c r="J143" s="15" t="s">
        <v>496</v>
      </c>
      <c r="K143" s="47" t="s">
        <v>549</v>
      </c>
      <c r="L143" s="76" t="s">
        <v>550</v>
      </c>
      <c r="M143" s="76" t="s">
        <v>355</v>
      </c>
      <c r="N143" s="78" t="str">
        <f>_xlfn.LET(
    _xlpm.itemBuscado, B143,
    _xlpm.areaBuscada, C143,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TEXT(COUNTIF($C$2:C143, _xlpm.areaBuscada), "0000"),
    _xlpm.codItem &amp; "-" &amp; _xlpm.codArea &amp; "-" &amp; _xlpm.secuencia
)</f>
        <v>ZM-ES-FL-0047</v>
      </c>
      <c r="O143" s="77"/>
      <c r="P143" s="32"/>
      <c r="Q143" s="32"/>
      <c r="R143" s="32"/>
      <c r="S143" s="32"/>
    </row>
    <row r="144" spans="2:19" x14ac:dyDescent="0.3">
      <c r="B144" t="s">
        <v>20</v>
      </c>
      <c r="C144" s="11" t="s">
        <v>173</v>
      </c>
      <c r="D144" s="32"/>
      <c r="E144" s="11" t="s">
        <v>7</v>
      </c>
      <c r="F144" t="str">
        <f>_xlfn.TEXTJOIN(", ",TRUE, Tabla38[[#This Row],[Tipo de escalera]],Tabla38[[#This Row],[Longitud]],Tabla38[[#This Row],[Carga Maxima]])</f>
        <v>ESCALERA EXTENSIBLE O TELESCÓPICA, 20 PIES, 90 KG</v>
      </c>
      <c r="G144" s="15" t="s">
        <v>385</v>
      </c>
      <c r="H144" t="s">
        <v>513</v>
      </c>
      <c r="I144" t="s">
        <v>548</v>
      </c>
      <c r="J144" s="15" t="s">
        <v>496</v>
      </c>
      <c r="K144" s="47" t="s">
        <v>549</v>
      </c>
      <c r="L144" s="76" t="s">
        <v>355</v>
      </c>
      <c r="M144" s="76" t="s">
        <v>355</v>
      </c>
      <c r="N144" s="78" t="str">
        <f>_xlfn.LET(
    _xlpm.itemBuscado, B144,
    _xlpm.areaBuscada, C144,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TEXT(COUNTIF($C$2:C144, _xlpm.areaBuscada), "0000"),
    _xlpm.codItem &amp; "-" &amp; _xlpm.codArea &amp; "-" &amp; _xlpm.secuencia
)</f>
        <v>ZM-ES-FL-0048</v>
      </c>
      <c r="O144" s="77"/>
      <c r="P144" s="32"/>
      <c r="Q144" s="32"/>
      <c r="R144" s="32"/>
      <c r="S144" s="32"/>
    </row>
    <row r="145" spans="2:19" x14ac:dyDescent="0.3">
      <c r="B145" t="s">
        <v>20</v>
      </c>
      <c r="C145" s="11" t="s">
        <v>173</v>
      </c>
      <c r="D145" s="32"/>
      <c r="E145" s="11" t="s">
        <v>7</v>
      </c>
      <c r="F145" t="str">
        <f>_xlfn.TEXTJOIN(", ",TRUE, Tabla38[[#This Row],[Tipo de escalera]],Tabla38[[#This Row],[Longitud]],Tabla38[[#This Row],[Carga Maxima]])</f>
        <v>ESCALERA EXTENSIBLE O TELESCÓPICA, 30 PIES, NO TIENE</v>
      </c>
      <c r="G145" s="15" t="s">
        <v>385</v>
      </c>
      <c r="H145" t="s">
        <v>551</v>
      </c>
      <c r="I145" t="s">
        <v>355</v>
      </c>
      <c r="J145" s="15" t="s">
        <v>318</v>
      </c>
      <c r="K145" s="47" t="s">
        <v>355</v>
      </c>
      <c r="L145" s="76" t="s">
        <v>355</v>
      </c>
      <c r="M145" s="76" t="s">
        <v>355</v>
      </c>
      <c r="N145" s="78" t="str">
        <f>_xlfn.LET(
    _xlpm.itemBuscado, B145,
    _xlpm.areaBuscada, C145,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TEXT(COUNTIF($C$2:C145, _xlpm.areaBuscada), "0000"),
    _xlpm.codItem &amp; "-" &amp; _xlpm.codArea &amp; "-" &amp; _xlpm.secuencia
)</f>
        <v>ZM-ES-FL-0049</v>
      </c>
      <c r="O145" s="77"/>
      <c r="P145" s="32"/>
      <c r="Q145" s="32"/>
      <c r="R145" s="32"/>
      <c r="S145" s="32"/>
    </row>
    <row r="146" spans="2:19" x14ac:dyDescent="0.3">
      <c r="B146" t="s">
        <v>20</v>
      </c>
      <c r="C146" s="11" t="s">
        <v>173</v>
      </c>
      <c r="D146" s="32"/>
      <c r="E146" s="11" t="s">
        <v>7</v>
      </c>
      <c r="F146" t="str">
        <f>_xlfn.TEXTJOIN(", ",TRUE, Tabla38[[#This Row],[Tipo de escalera]],Tabla38[[#This Row],[Longitud]],Tabla38[[#This Row],[Carga Maxima]])</f>
        <v>ESCALERA DOBLE O DE TIJERA, 10 PIES, 102 KG</v>
      </c>
      <c r="G146" s="15" t="s">
        <v>384</v>
      </c>
      <c r="H146" t="s">
        <v>538</v>
      </c>
      <c r="I146" t="s">
        <v>417</v>
      </c>
      <c r="J146" s="15" t="s">
        <v>496</v>
      </c>
      <c r="K146" s="47" t="s">
        <v>355</v>
      </c>
      <c r="L146" s="76" t="s">
        <v>552</v>
      </c>
      <c r="M146" s="76" t="s">
        <v>355</v>
      </c>
      <c r="N146" s="78" t="str">
        <f>_xlfn.LET(
    _xlpm.itemBuscado, B146,
    _xlpm.areaBuscada, C146,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TEXT(COUNTIF($C$2:C146, _xlpm.areaBuscada), "0000"),
    _xlpm.codItem &amp; "-" &amp; _xlpm.codArea &amp; "-" &amp; _xlpm.secuencia
)</f>
        <v>ZM-ES-FL-0050</v>
      </c>
      <c r="O146" s="77"/>
      <c r="P146" s="32"/>
      <c r="Q146" s="32"/>
      <c r="R146" s="32"/>
      <c r="S146" s="32"/>
    </row>
    <row r="147" spans="2:19" x14ac:dyDescent="0.3">
      <c r="B147" t="s">
        <v>20</v>
      </c>
      <c r="C147" s="11" t="s">
        <v>173</v>
      </c>
      <c r="D147" s="32"/>
      <c r="E147" s="11" t="s">
        <v>7</v>
      </c>
      <c r="F147" t="str">
        <f>_xlfn.TEXTJOIN(", ",TRUE, Tabla38[[#This Row],[Tipo de escalera]],Tabla38[[#This Row],[Longitud]],Tabla38[[#This Row],[Carga Maxima]])</f>
        <v>ESCALERA DOBLE O DE TIJERA, 10 PIES, 102 KG</v>
      </c>
      <c r="G147" s="15" t="s">
        <v>384</v>
      </c>
      <c r="H147" t="s">
        <v>538</v>
      </c>
      <c r="I147" t="s">
        <v>417</v>
      </c>
      <c r="J147" s="15" t="s">
        <v>496</v>
      </c>
      <c r="K147" s="47" t="s">
        <v>355</v>
      </c>
      <c r="L147" s="76" t="s">
        <v>553</v>
      </c>
      <c r="M147" s="76" t="s">
        <v>355</v>
      </c>
      <c r="N147" s="78" t="str">
        <f>_xlfn.LET(
    _xlpm.itemBuscado, B147,
    _xlpm.areaBuscada, C147,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TEXT(COUNTIF($C$2:C147, _xlpm.areaBuscada), "0000"),
    _xlpm.codItem &amp; "-" &amp; _xlpm.codArea &amp; "-" &amp; _xlpm.secuencia
)</f>
        <v>ZM-ES-FL-0051</v>
      </c>
      <c r="O147" s="77"/>
      <c r="P147" s="32"/>
      <c r="Q147" s="32"/>
      <c r="R147" s="32"/>
      <c r="S147" s="32"/>
    </row>
    <row r="148" spans="2:19" x14ac:dyDescent="0.3">
      <c r="B148" t="s">
        <v>20</v>
      </c>
      <c r="C148" s="11" t="s">
        <v>173</v>
      </c>
      <c r="D148" s="32"/>
      <c r="E148" s="11" t="s">
        <v>7</v>
      </c>
      <c r="F148" t="str">
        <f>_xlfn.TEXTJOIN(", ",TRUE, Tabla38[[#This Row],[Tipo de escalera]],Tabla38[[#This Row],[Longitud]],Tabla38[[#This Row],[Carga Maxima]])</f>
        <v>ESCALERA DOBLE O DE TIJERA, 10 PIES, 135 KG</v>
      </c>
      <c r="G148" s="15" t="s">
        <v>384</v>
      </c>
      <c r="H148" t="s">
        <v>538</v>
      </c>
      <c r="I148" t="s">
        <v>556</v>
      </c>
      <c r="J148" s="15" t="s">
        <v>318</v>
      </c>
      <c r="K148" s="47" t="s">
        <v>555</v>
      </c>
      <c r="L148" s="76" t="s">
        <v>554</v>
      </c>
      <c r="M148" s="76">
        <v>2886508852</v>
      </c>
      <c r="N148" s="78" t="str">
        <f>_xlfn.LET(
    _xlpm.itemBuscado, B148,
    _xlpm.areaBuscada, C148,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TEXT(COUNTIF($C$2:C148, _xlpm.areaBuscada), "0000"),
    _xlpm.codItem &amp; "-" &amp; _xlpm.codArea &amp; "-" &amp; _xlpm.secuencia
)</f>
        <v>ZM-ES-FL-0052</v>
      </c>
      <c r="O148" s="77"/>
      <c r="P148" s="32"/>
      <c r="Q148" s="32"/>
      <c r="R148" s="32"/>
      <c r="S148" s="32"/>
    </row>
    <row r="149" spans="2:19" x14ac:dyDescent="0.3">
      <c r="B149" t="s">
        <v>20</v>
      </c>
      <c r="C149" s="11" t="s">
        <v>173</v>
      </c>
      <c r="D149" s="32"/>
      <c r="E149" s="11" t="s">
        <v>7</v>
      </c>
      <c r="F149" t="str">
        <f>_xlfn.TEXTJOIN(", ",TRUE, Tabla38[[#This Row],[Tipo de escalera]],Tabla38[[#This Row],[Longitud]],Tabla38[[#This Row],[Carga Maxima]])</f>
        <v>ESCALERA DOBLE O DE TIJERA, 10 PIES, 102 KG</v>
      </c>
      <c r="G149" s="15" t="s">
        <v>384</v>
      </c>
      <c r="H149" t="s">
        <v>538</v>
      </c>
      <c r="I149" t="s">
        <v>417</v>
      </c>
      <c r="J149" s="15" t="s">
        <v>496</v>
      </c>
      <c r="K149" s="47" t="s">
        <v>557</v>
      </c>
      <c r="L149" s="76" t="s">
        <v>558</v>
      </c>
      <c r="M149" s="76" t="s">
        <v>355</v>
      </c>
      <c r="N149" s="78" t="str">
        <f>_xlfn.LET(
    _xlpm.itemBuscado, B149,
    _xlpm.areaBuscada, C149,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TEXT(COUNTIF($C$2:C149, _xlpm.areaBuscada), "0000"),
    _xlpm.codItem &amp; "-" &amp; _xlpm.codArea &amp; "-" &amp; _xlpm.secuencia
)</f>
        <v>ZM-ES-FL-0053</v>
      </c>
      <c r="O149" s="77"/>
      <c r="P149" s="32"/>
      <c r="Q149" s="32"/>
      <c r="R149" s="32"/>
      <c r="S149" s="32"/>
    </row>
    <row r="150" spans="2:19" x14ac:dyDescent="0.3">
      <c r="B150" t="s">
        <v>20</v>
      </c>
      <c r="C150" s="11" t="s">
        <v>173</v>
      </c>
      <c r="D150" s="32"/>
      <c r="E150" s="11" t="s">
        <v>7</v>
      </c>
      <c r="F150" t="str">
        <f>_xlfn.TEXTJOIN(", ",TRUE, Tabla38[[#This Row],[Tipo de escalera]],Tabla38[[#This Row],[Longitud]],Tabla38[[#This Row],[Carga Maxima]])</f>
        <v>ESCALERA DOBLE O DE TIJERA, 10 PIES, 102 KG</v>
      </c>
      <c r="G150" s="15" t="s">
        <v>384</v>
      </c>
      <c r="H150" t="s">
        <v>538</v>
      </c>
      <c r="I150" t="s">
        <v>417</v>
      </c>
      <c r="J150" s="15" t="s">
        <v>496</v>
      </c>
      <c r="K150" s="47" t="s">
        <v>557</v>
      </c>
      <c r="L150" s="76" t="s">
        <v>559</v>
      </c>
      <c r="M150" s="76" t="s">
        <v>355</v>
      </c>
      <c r="N150" s="78" t="str">
        <f>_xlfn.LET(
    _xlpm.itemBuscado, B150,
    _xlpm.areaBuscada, C150,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TEXT(COUNTIF($C$2:C150, _xlpm.areaBuscada), "0000"),
    _xlpm.codItem &amp; "-" &amp; _xlpm.codArea &amp; "-" &amp; _xlpm.secuencia
)</f>
        <v>ZM-ES-FL-0054</v>
      </c>
      <c r="O150" s="77"/>
      <c r="P150" s="32"/>
      <c r="Q150" s="32"/>
      <c r="R150" s="32"/>
      <c r="S150" s="32"/>
    </row>
    <row r="151" spans="2:19" x14ac:dyDescent="0.3">
      <c r="B151" t="s">
        <v>20</v>
      </c>
      <c r="C151" s="11" t="s">
        <v>173</v>
      </c>
      <c r="D151" s="32"/>
      <c r="E151" s="11" t="s">
        <v>7</v>
      </c>
      <c r="F151" t="str">
        <f>_xlfn.TEXTJOIN(", ",TRUE, Tabla38[[#This Row],[Tipo de escalera]],Tabla38[[#This Row],[Longitud]],Tabla38[[#This Row],[Carga Maxima]])</f>
        <v>ESCALERA DOBLE O DE TIJERA, 10 PIES, 102 KG</v>
      </c>
      <c r="G151" s="15" t="s">
        <v>384</v>
      </c>
      <c r="H151" t="s">
        <v>538</v>
      </c>
      <c r="I151" t="s">
        <v>417</v>
      </c>
      <c r="J151" s="15" t="s">
        <v>496</v>
      </c>
      <c r="K151" s="47" t="s">
        <v>557</v>
      </c>
      <c r="L151" s="76" t="s">
        <v>560</v>
      </c>
      <c r="M151" s="76" t="s">
        <v>355</v>
      </c>
      <c r="N151" s="78" t="str">
        <f>_xlfn.LET(
    _xlpm.itemBuscado, B151,
    _xlpm.areaBuscada, C151,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TEXT(COUNTIF($C$2:C151, _xlpm.areaBuscada), "0000"),
    _xlpm.codItem &amp; "-" &amp; _xlpm.codArea &amp; "-" &amp; _xlpm.secuencia
)</f>
        <v>ZM-ES-FL-0055</v>
      </c>
      <c r="O151" s="77"/>
      <c r="P151" s="32"/>
      <c r="Q151" s="32"/>
      <c r="R151" s="32"/>
      <c r="S151" s="32"/>
    </row>
    <row r="152" spans="2:19" x14ac:dyDescent="0.3">
      <c r="B152" t="s">
        <v>20</v>
      </c>
      <c r="C152" s="11" t="s">
        <v>173</v>
      </c>
      <c r="D152" s="32"/>
      <c r="E152" s="11" t="s">
        <v>7</v>
      </c>
      <c r="F152" t="str">
        <f>_xlfn.TEXTJOIN(", ",TRUE, Tabla38[[#This Row],[Tipo de escalera]],Tabla38[[#This Row],[Longitud]],Tabla38[[#This Row],[Carga Maxima]])</f>
        <v>ESCALERA DOBLE O DE TIJERA, 8 PIES, 136 KG</v>
      </c>
      <c r="G152" s="15" t="s">
        <v>384</v>
      </c>
      <c r="H152" t="s">
        <v>450</v>
      </c>
      <c r="I152" t="s">
        <v>430</v>
      </c>
      <c r="J152" s="15" t="s">
        <v>318</v>
      </c>
      <c r="K152" s="47" t="s">
        <v>330</v>
      </c>
      <c r="L152" s="76" t="s">
        <v>561</v>
      </c>
      <c r="M152" s="76">
        <v>2886508851</v>
      </c>
      <c r="N152" s="78" t="str">
        <f>_xlfn.LET(
    _xlpm.itemBuscado, B152,
    _xlpm.areaBuscada, C152,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TEXT(COUNTIF($C$2:C152, _xlpm.areaBuscada), "0000"),
    _xlpm.codItem &amp; "-" &amp; _xlpm.codArea &amp; "-" &amp; _xlpm.secuencia
)</f>
        <v>ZM-ES-FL-0056</v>
      </c>
      <c r="O152" s="77"/>
      <c r="P152" s="32"/>
      <c r="Q152" s="32"/>
      <c r="R152" s="32"/>
      <c r="S152" s="32"/>
    </row>
    <row r="153" spans="2:19" ht="43.2" x14ac:dyDescent="0.3">
      <c r="B153" t="s">
        <v>20</v>
      </c>
      <c r="C153" s="11" t="s">
        <v>181</v>
      </c>
      <c r="D153" s="32"/>
      <c r="E153" s="11" t="s">
        <v>7</v>
      </c>
      <c r="G153" s="15" t="s">
        <v>385</v>
      </c>
      <c r="H153" t="s">
        <v>562</v>
      </c>
      <c r="I153" t="s">
        <v>420</v>
      </c>
      <c r="J153" s="15" t="s">
        <v>318</v>
      </c>
      <c r="K153" s="47" t="s">
        <v>355</v>
      </c>
      <c r="L153" s="76" t="s">
        <v>563</v>
      </c>
      <c r="M153" s="76" t="s">
        <v>355</v>
      </c>
      <c r="N153" s="78" t="str">
        <f>_xlfn.LET(
    _xlpm.itemBuscado, B153,
    _xlpm.areaBuscada, C153,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TEXT(COUNTIF($C$2:C153, _xlpm.areaBuscada), "0000"),
    _xlpm.codItem &amp; "-" &amp; _xlpm.codArea &amp; "-" &amp; _xlpm.secuencia
)</f>
        <v>ZM-ES-RH-0001</v>
      </c>
      <c r="O153" s="77"/>
      <c r="P153" s="32"/>
      <c r="Q153" s="32"/>
      <c r="R153" s="32"/>
      <c r="S153" s="32"/>
    </row>
    <row r="154" spans="2:19" ht="43.2" x14ac:dyDescent="0.3">
      <c r="B154" t="s">
        <v>20</v>
      </c>
      <c r="C154" s="11" t="s">
        <v>181</v>
      </c>
      <c r="D154" s="32"/>
      <c r="E154" s="11" t="s">
        <v>7</v>
      </c>
      <c r="F154" t="str">
        <f>_xlfn.TEXTJOIN(", ",TRUE, Tabla38[[#This Row],[Tipo de escalera]],Tabla38[[#This Row],[Longitud]],Tabla38[[#This Row],[Carga Maxima]])</f>
        <v>ESCALERA DOBLE O DE TIJERA, 7 PIES, 225 LB</v>
      </c>
      <c r="G154" s="15" t="s">
        <v>384</v>
      </c>
      <c r="H154" t="s">
        <v>564</v>
      </c>
      <c r="I154" t="s">
        <v>468</v>
      </c>
      <c r="J154" s="15" t="s">
        <v>416</v>
      </c>
      <c r="K154" s="47" t="s">
        <v>355</v>
      </c>
      <c r="L154" s="76" t="s">
        <v>565</v>
      </c>
      <c r="M154" s="76">
        <v>7506240617143</v>
      </c>
      <c r="N154" s="78" t="str">
        <f>_xlfn.LET(
    _xlpm.itemBuscado, B154,
    _xlpm.areaBuscada, C154,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TEXT(COUNTIF($C$2:C154, _xlpm.areaBuscada), "0000"),
    _xlpm.codItem &amp; "-" &amp; _xlpm.codArea &amp; "-" &amp; _xlpm.secuencia
)</f>
        <v>ZM-ES-RH-0002</v>
      </c>
      <c r="O154" s="77"/>
      <c r="P154" s="32"/>
      <c r="Q154" s="32"/>
      <c r="R154" s="32"/>
      <c r="S154" s="32"/>
    </row>
    <row r="155" spans="2:19" x14ac:dyDescent="0.3">
      <c r="B155" t="s">
        <v>20</v>
      </c>
      <c r="C155" s="11" t="s">
        <v>892</v>
      </c>
      <c r="D155" s="32"/>
      <c r="E155" s="11" t="s">
        <v>7</v>
      </c>
      <c r="F155" t="str">
        <f>_xlfn.TEXTJOIN(", ",TRUE, Tabla38[[#This Row],[Tipo de escalera]],Tabla38[[#This Row],[Longitud]],Tabla38[[#This Row],[Carga Maxima]])</f>
        <v>ESCALERA DOBLE O DE TIJERA, 5'', 136KG</v>
      </c>
      <c r="G155" s="15" t="s">
        <v>384</v>
      </c>
      <c r="H155" t="s">
        <v>896</v>
      </c>
      <c r="I155" t="s">
        <v>895</v>
      </c>
      <c r="J155" s="15" t="s">
        <v>318</v>
      </c>
      <c r="K155" s="47" t="s">
        <v>894</v>
      </c>
      <c r="L155" s="76" t="s">
        <v>897</v>
      </c>
      <c r="M155" s="76">
        <v>72886512406</v>
      </c>
      <c r="N155" s="78" t="str">
        <f>_xlfn.LET(
    _xlpm.itemBuscado, B155,
    _xlpm.areaBuscada, C155,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TEXT(COUNTIF($C$2:C155, _xlpm.areaBuscada), "0000"),
    _xlpm.codItem &amp; "-" &amp; _xlpm.codArea &amp; "-" &amp; _xlpm.secuencia
)</f>
        <v>ZM-ES-VF-0001</v>
      </c>
      <c r="O155" s="77"/>
      <c r="P155" s="32" t="s">
        <v>901</v>
      </c>
      <c r="Q155" s="32"/>
      <c r="R155" s="32"/>
      <c r="S155" s="32"/>
    </row>
    <row r="156" spans="2:19" x14ac:dyDescent="0.3">
      <c r="B156" t="s">
        <v>20</v>
      </c>
      <c r="C156" s="11" t="s">
        <v>892</v>
      </c>
      <c r="D156" s="32"/>
      <c r="E156" s="11" t="s">
        <v>7</v>
      </c>
      <c r="F156" t="str">
        <f>_xlfn.TEXTJOIN(", ",TRUE, Tabla38[[#This Row],[Tipo de escalera]],Tabla38[[#This Row],[Longitud]],Tabla38[[#This Row],[Carga Maxima]])</f>
        <v>ESCALERA EXTENSIBLE O TELESCÓPICA, 7,3m/24'', 75kg</v>
      </c>
      <c r="G156" s="15" t="s">
        <v>385</v>
      </c>
      <c r="H156" t="s">
        <v>899</v>
      </c>
      <c r="I156" t="s">
        <v>898</v>
      </c>
      <c r="J156" s="15" t="s">
        <v>337</v>
      </c>
      <c r="K156" s="47"/>
      <c r="L156" s="76" t="s">
        <v>900</v>
      </c>
      <c r="M156" s="76"/>
      <c r="N156" s="78" t="str">
        <f>_xlfn.LET(
    _xlpm.itemBuscado, B156,
    _xlpm.areaBuscada, C156,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TEXT(COUNTIF($C$2:C156, _xlpm.areaBuscada), "0000"),
    _xlpm.codItem &amp; "-" &amp; _xlpm.codArea &amp; "-" &amp; _xlpm.secuencia
)</f>
        <v>ZM-ES-VF-0002</v>
      </c>
      <c r="O156" s="77"/>
      <c r="P156" s="32"/>
      <c r="Q156" s="32"/>
      <c r="R156" s="32"/>
      <c r="S156" s="32"/>
    </row>
    <row r="157" spans="2:19" x14ac:dyDescent="0.3">
      <c r="C157" s="11"/>
      <c r="D157" s="32"/>
      <c r="E157" s="11" t="s">
        <v>7</v>
      </c>
      <c r="F157" t="str">
        <f>_xlfn.TEXTJOIN(", ",TRUE, Tabla38[[#This Row],[Tipo de escalera]],Tabla38[[#This Row],[Longitud]],Tabla38[[#This Row],[Carga Maxima]])</f>
        <v/>
      </c>
      <c r="G157" s="15"/>
      <c r="J157" s="15"/>
      <c r="K157" s="47"/>
      <c r="L157" s="76"/>
      <c r="M157" s="76"/>
      <c r="N157" s="78" t="str">
        <f>_xlfn.LET(
    _xlpm.itemBuscado, B157,
    _xlpm.areaBuscada, C157,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TEXT(COUNTIF($C$2:C157, _xlpm.areaBuscada), "0000"),
    _xlpm.codItem &amp; "-" &amp; _xlpm.codArea &amp; "-" &amp; _xlpm.secuencia
)</f>
        <v>-SinArea-0000</v>
      </c>
      <c r="O157" s="77"/>
      <c r="P157" s="32"/>
      <c r="Q157" s="32"/>
      <c r="R157" s="32"/>
      <c r="S157" s="32"/>
    </row>
    <row r="158" spans="2:19" x14ac:dyDescent="0.3">
      <c r="C158" s="11"/>
      <c r="D158" s="32"/>
      <c r="E158" s="11" t="s">
        <v>7</v>
      </c>
      <c r="F158" t="str">
        <f>_xlfn.TEXTJOIN(", ",TRUE, Tabla38[[#This Row],[Tipo de escalera]],Tabla38[[#This Row],[Longitud]],Tabla38[[#This Row],[Carga Maxima]])</f>
        <v/>
      </c>
      <c r="G158" s="15"/>
      <c r="J158" s="15"/>
      <c r="K158" s="47"/>
      <c r="L158" s="76"/>
      <c r="M158" s="76"/>
      <c r="N158" s="78" t="str">
        <f>_xlfn.LET(
    _xlpm.itemBuscado, B158,
    _xlpm.areaBuscada, C158,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TEXT(COUNTIF($C$2:C158, _xlpm.areaBuscada), "0000"),
    _xlpm.codItem &amp; "-" &amp; _xlpm.codArea &amp; "-" &amp; _xlpm.secuencia
)</f>
        <v>-SinArea-0000</v>
      </c>
      <c r="O158" s="77"/>
      <c r="P158" s="32"/>
      <c r="Q158" s="32"/>
      <c r="R158" s="32"/>
      <c r="S158" s="32"/>
    </row>
    <row r="159" spans="2:19" x14ac:dyDescent="0.3">
      <c r="C159" s="11"/>
      <c r="D159" s="32"/>
      <c r="E159" s="11" t="s">
        <v>7</v>
      </c>
      <c r="F159" t="str">
        <f>_xlfn.TEXTJOIN(", ",TRUE, Tabla38[[#This Row],[Tipo de escalera]],Tabla38[[#This Row],[Longitud]],Tabla38[[#This Row],[Carga Maxima]])</f>
        <v/>
      </c>
      <c r="G159" s="15"/>
      <c r="J159" s="15"/>
      <c r="K159" s="47"/>
      <c r="L159" s="76"/>
      <c r="M159" s="76"/>
      <c r="N159" s="78" t="str">
        <f>_xlfn.LET(
    _xlpm.itemBuscado, B159,
    _xlpm.areaBuscada, C159,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TEXT(COUNTIF($C$2:C159, _xlpm.areaBuscada), "0000"),
    _xlpm.codItem &amp; "-" &amp; _xlpm.codArea &amp; "-" &amp; _xlpm.secuencia
)</f>
        <v>-SinArea-0000</v>
      </c>
      <c r="O159" s="77"/>
      <c r="P159" s="32"/>
      <c r="Q159" s="32"/>
      <c r="R159" s="32"/>
      <c r="S159" s="32"/>
    </row>
    <row r="160" spans="2:19" x14ac:dyDescent="0.3">
      <c r="C160" s="11"/>
      <c r="D160" s="32"/>
      <c r="E160" s="11" t="s">
        <v>7</v>
      </c>
      <c r="F160" t="str">
        <f>_xlfn.TEXTJOIN(", ",TRUE, Tabla38[[#This Row],[Tipo de escalera]],Tabla38[[#This Row],[Longitud]],Tabla38[[#This Row],[Carga Maxima]])</f>
        <v/>
      </c>
      <c r="G160" s="15"/>
      <c r="J160" s="15"/>
      <c r="K160" s="47"/>
      <c r="L160" s="76"/>
      <c r="M160" s="76"/>
      <c r="N160" s="78"/>
      <c r="O160" s="77"/>
      <c r="P160" s="32"/>
      <c r="Q160" s="32"/>
      <c r="R160" s="32"/>
      <c r="S160" s="32"/>
    </row>
    <row r="161" spans="3:19" x14ac:dyDescent="0.3">
      <c r="C161" s="11"/>
      <c r="D161" s="32"/>
      <c r="E161" s="11" t="s">
        <v>7</v>
      </c>
      <c r="F161" t="str">
        <f>_xlfn.TEXTJOIN(", ",TRUE, Tabla38[[#This Row],[Tipo de escalera]],Tabla38[[#This Row],[Longitud]],Tabla38[[#This Row],[Carga Maxima]])</f>
        <v/>
      </c>
      <c r="G161" s="15"/>
      <c r="J161" s="15"/>
      <c r="K161" s="47"/>
      <c r="L161" s="76"/>
      <c r="M161" s="76"/>
      <c r="N161" s="78"/>
      <c r="O161" s="77"/>
      <c r="P161" s="32"/>
      <c r="Q161" s="32"/>
      <c r="R161" s="32"/>
      <c r="S161" s="32"/>
    </row>
    <row r="162" spans="3:19" x14ac:dyDescent="0.3">
      <c r="C162" s="11"/>
      <c r="D162" s="32"/>
      <c r="E162" s="11" t="s">
        <v>7</v>
      </c>
      <c r="F162" t="str">
        <f>_xlfn.TEXTJOIN(", ",TRUE, Tabla38[[#This Row],[Tipo de escalera]],Tabla38[[#This Row],[Longitud]],Tabla38[[#This Row],[Carga Maxima]])</f>
        <v/>
      </c>
      <c r="G162" s="15"/>
      <c r="J162" s="15"/>
      <c r="K162" s="47"/>
      <c r="L162" s="76"/>
      <c r="M162" s="76"/>
      <c r="N162" s="78"/>
      <c r="O162" s="77"/>
      <c r="P162" s="32"/>
      <c r="Q162" s="32"/>
      <c r="R162" s="32"/>
      <c r="S162" s="32"/>
    </row>
    <row r="163" spans="3:19" x14ac:dyDescent="0.3">
      <c r="C163" s="11"/>
      <c r="D163" s="32"/>
      <c r="E163" s="11"/>
      <c r="F163" t="str">
        <f>_xlfn.TEXTJOIN(", ",TRUE, Tabla38[[#This Row],[Tipo de escalera]],Tabla38[[#This Row],[Longitud]],Tabla38[[#This Row],[Carga Maxima]])</f>
        <v/>
      </c>
      <c r="G163" s="15"/>
      <c r="J163" s="15"/>
      <c r="K163" s="47"/>
      <c r="L163" s="76"/>
      <c r="M163" s="76"/>
      <c r="N163" s="78"/>
      <c r="O163" s="77"/>
      <c r="P163" s="32"/>
      <c r="Q163" s="32"/>
      <c r="R163" s="32"/>
      <c r="S163" s="32"/>
    </row>
    <row r="164" spans="3:19" x14ac:dyDescent="0.3">
      <c r="C164" s="11"/>
      <c r="D164" s="32"/>
      <c r="E164" s="11"/>
      <c r="F164" t="str">
        <f>_xlfn.TEXTJOIN(", ",TRUE, Tabla38[[#This Row],[Tipo de escalera]],Tabla38[[#This Row],[Longitud]],Tabla38[[#This Row],[Carga Maxima]])</f>
        <v/>
      </c>
      <c r="G164" s="15"/>
      <c r="J164" s="15"/>
      <c r="K164" s="47"/>
      <c r="L164" s="76"/>
      <c r="M164" s="76"/>
      <c r="N164" s="78"/>
      <c r="O164" s="77"/>
      <c r="P164" s="32"/>
      <c r="Q164" s="32"/>
      <c r="R164" s="32"/>
      <c r="S164" s="32"/>
    </row>
    <row r="165" spans="3:19" x14ac:dyDescent="0.3">
      <c r="C165" s="11"/>
      <c r="D165" s="32"/>
      <c r="E165" s="11"/>
      <c r="F165" t="str">
        <f>_xlfn.TEXTJOIN(", ",TRUE, Tabla38[[#This Row],[Tipo de escalera]],Tabla38[[#This Row],[Longitud]],Tabla38[[#This Row],[Carga Maxima]])</f>
        <v/>
      </c>
      <c r="G165" s="15"/>
      <c r="J165" s="15"/>
      <c r="K165" s="47"/>
      <c r="L165" s="76"/>
      <c r="M165" s="76"/>
      <c r="N165" s="78"/>
      <c r="O165" s="77"/>
      <c r="P165" s="32"/>
      <c r="Q165" s="32"/>
      <c r="R165" s="32"/>
      <c r="S165" s="32"/>
    </row>
    <row r="166" spans="3:19" x14ac:dyDescent="0.3">
      <c r="C166" s="11"/>
      <c r="D166" s="32"/>
      <c r="E166" s="11"/>
      <c r="F166" t="str">
        <f>_xlfn.TEXTJOIN(", ",TRUE, Tabla38[[#This Row],[Tipo de escalera]],Tabla38[[#This Row],[Longitud]],Tabla38[[#This Row],[Carga Maxima]])</f>
        <v/>
      </c>
      <c r="G166" s="15"/>
      <c r="J166" s="15"/>
      <c r="K166" s="47"/>
      <c r="L166" s="76"/>
      <c r="M166" s="76"/>
      <c r="N166" s="78"/>
      <c r="O166" s="77"/>
      <c r="P166" s="32"/>
      <c r="Q166" s="32"/>
      <c r="R166" s="32"/>
      <c r="S166" s="32"/>
    </row>
    <row r="167" spans="3:19" x14ac:dyDescent="0.3">
      <c r="C167" s="11"/>
      <c r="D167" s="32"/>
      <c r="E167" s="11"/>
      <c r="F167" t="str">
        <f>_xlfn.TEXTJOIN(", ",TRUE, Tabla38[[#This Row],[Tipo de escalera]],Tabla38[[#This Row],[Longitud]],Tabla38[[#This Row],[Carga Maxima]])</f>
        <v/>
      </c>
      <c r="G167" s="15"/>
      <c r="J167" s="15"/>
      <c r="K167" s="47"/>
      <c r="L167" s="76"/>
      <c r="M167" s="76"/>
      <c r="N167" s="78" t="str">
        <f>_xlfn.LET(
    _xlpm.itemBuscado, B167,
    _xlpm.areaBuscada, C167,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TEXT(COUNTIF($C$2:C167, _xlpm.areaBuscada), "0000"),
    _xlpm.codItem &amp; "-" &amp; _xlpm.codArea &amp; "-" &amp; _xlpm.secuencia
)</f>
        <v>-SinArea-0000</v>
      </c>
      <c r="O167" s="77"/>
      <c r="P167" s="32"/>
      <c r="Q167" s="32"/>
      <c r="R167" s="32"/>
      <c r="S167" s="32"/>
    </row>
    <row r="168" spans="3:19" x14ac:dyDescent="0.3">
      <c r="C168" s="11"/>
      <c r="D168" s="32"/>
      <c r="E168" s="11"/>
      <c r="F168" t="str">
        <f>_xlfn.TEXTJOIN(", ",TRUE, Tabla38[[#This Row],[Tipo de escalera]],Tabla38[[#This Row],[Longitud]],Tabla38[[#This Row],[Carga Maxima]])</f>
        <v/>
      </c>
      <c r="G168" s="15"/>
      <c r="J168" s="15"/>
      <c r="K168" s="47"/>
      <c r="L168" s="76"/>
      <c r="M168" s="76"/>
      <c r="N168" s="78" t="str">
        <f>_xlfn.LET(
    _xlpm.itemBuscado, B168,
    _xlpm.areaBuscada, C168,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TEXT(COUNTIF($C$2:C168, _xlpm.areaBuscada), "0000"),
    _xlpm.codItem &amp; "-" &amp; _xlpm.codArea &amp; "-" &amp; _xlpm.secuencia
)</f>
        <v>-SinArea-0000</v>
      </c>
      <c r="O168" s="77"/>
      <c r="P168" s="32"/>
      <c r="Q168" s="32"/>
      <c r="R168" s="32"/>
      <c r="S168" s="32"/>
    </row>
    <row r="169" spans="3:19" x14ac:dyDescent="0.3">
      <c r="C169" s="11"/>
      <c r="D169" s="32"/>
      <c r="E169" s="11"/>
      <c r="F169" t="str">
        <f>_xlfn.TEXTJOIN(", ",TRUE, Tabla38[[#This Row],[Tipo de escalera]],Tabla38[[#This Row],[Longitud]],Tabla38[[#This Row],[Carga Maxima]])</f>
        <v/>
      </c>
      <c r="G169" s="15"/>
      <c r="J169" s="15"/>
      <c r="K169" s="47"/>
      <c r="L169" s="76"/>
      <c r="M169" s="76"/>
      <c r="N169" s="78" t="str">
        <f>_xlfn.LET(
    _xlpm.itemBuscado, B169,
    _xlpm.areaBuscada, C169,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TEXT(COUNTIF($C$2:C169, _xlpm.areaBuscada), "0000"),
    _xlpm.codItem &amp; "-" &amp; _xlpm.codArea &amp; "-" &amp; _xlpm.secuencia
)</f>
        <v>-SinArea-0000</v>
      </c>
      <c r="O169" s="77"/>
      <c r="P169" s="32"/>
      <c r="Q169" s="32"/>
      <c r="R169" s="32"/>
      <c r="S169" s="32"/>
    </row>
    <row r="170" spans="3:19" x14ac:dyDescent="0.3">
      <c r="C170" s="11"/>
      <c r="D170" s="32"/>
      <c r="E170" s="11"/>
      <c r="F170" t="str">
        <f>_xlfn.TEXTJOIN(", ",TRUE, Tabla38[[#This Row],[Tipo de escalera]],Tabla38[[#This Row],[Longitud]],Tabla38[[#This Row],[Carga Maxima]])</f>
        <v/>
      </c>
      <c r="G170" s="15"/>
      <c r="J170" s="15"/>
      <c r="K170" s="47"/>
      <c r="L170" s="76"/>
      <c r="M170" s="76"/>
      <c r="N170" s="78" t="str">
        <f>_xlfn.LET(
    _xlpm.itemBuscado, B170,
    _xlpm.areaBuscada, C170,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TEXT(COUNTIF($C$2:C170, _xlpm.areaBuscada), "0000"),
    _xlpm.codItem &amp; "-" &amp; _xlpm.codArea &amp; "-" &amp; _xlpm.secuencia
)</f>
        <v>-SinArea-0000</v>
      </c>
      <c r="O170" s="77"/>
      <c r="P170" s="32"/>
      <c r="Q170" s="32"/>
      <c r="R170" s="32"/>
      <c r="S170" s="32"/>
    </row>
    <row r="171" spans="3:19" x14ac:dyDescent="0.3">
      <c r="C171" s="11"/>
      <c r="D171" s="32"/>
      <c r="E171" s="11"/>
      <c r="F171" t="str">
        <f>_xlfn.TEXTJOIN(", ",TRUE, Tabla38[[#This Row],[Tipo de escalera]],Tabla38[[#This Row],[Longitud]],Tabla38[[#This Row],[Carga Maxima]])</f>
        <v/>
      </c>
      <c r="G171" s="15"/>
      <c r="J171" s="15"/>
      <c r="K171" s="47"/>
      <c r="L171" s="76"/>
      <c r="M171" s="76"/>
      <c r="N171" s="78" t="str">
        <f>_xlfn.LET(
    _xlpm.itemBuscado, B171,
    _xlpm.areaBuscada, C171,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TEXT(COUNTIF($C$2:C171, _xlpm.areaBuscada), "0000"),
    _xlpm.codItem &amp; "-" &amp; _xlpm.codArea &amp; "-" &amp; _xlpm.secuencia
)</f>
        <v>-SinArea-0000</v>
      </c>
      <c r="O171" s="77"/>
      <c r="P171" s="32"/>
      <c r="Q171" s="32"/>
      <c r="R171" s="32"/>
      <c r="S171" s="32"/>
    </row>
    <row r="172" spans="3:19" x14ac:dyDescent="0.3">
      <c r="C172" s="11"/>
      <c r="D172" s="32"/>
      <c r="E172" s="11"/>
      <c r="F172" t="str">
        <f>_xlfn.TEXTJOIN(", ",TRUE, Tabla38[[#This Row],[Tipo de escalera]],Tabla38[[#This Row],[Longitud]],Tabla38[[#This Row],[Carga Maxima]])</f>
        <v/>
      </c>
      <c r="G172" s="15"/>
      <c r="J172" s="15"/>
      <c r="K172" s="47"/>
      <c r="L172" s="76"/>
      <c r="M172" s="76"/>
      <c r="N172" s="78" t="str">
        <f>_xlfn.LET(
    _xlpm.itemBuscado, B172,
    _xlpm.areaBuscada, C172,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TEXT(COUNTIF($C$2:C172, _xlpm.areaBuscada), "0000"),
    _xlpm.codItem &amp; "-" &amp; _xlpm.codArea &amp; "-" &amp; _xlpm.secuencia
)</f>
        <v>-SinArea-0000</v>
      </c>
      <c r="O172" s="77"/>
      <c r="P172" s="32"/>
      <c r="Q172" s="32"/>
      <c r="R172" s="32"/>
      <c r="S172" s="32"/>
    </row>
    <row r="173" spans="3:19" x14ac:dyDescent="0.3">
      <c r="C173" s="11"/>
      <c r="D173" s="32"/>
      <c r="E173" s="11"/>
      <c r="F173" t="str">
        <f>_xlfn.TEXTJOIN(", ",TRUE, Tabla38[[#This Row],[Tipo de escalera]],Tabla38[[#This Row],[Longitud]],Tabla38[[#This Row],[Carga Maxima]])</f>
        <v/>
      </c>
      <c r="G173" s="15"/>
      <c r="J173" s="15"/>
      <c r="K173" s="47"/>
      <c r="L173" s="76"/>
      <c r="M173" s="76"/>
      <c r="N173" s="78" t="str">
        <f>_xlfn.LET(
    _xlpm.itemBuscado, B173,
    _xlpm.areaBuscada, C173,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TEXT(COUNTIF($C$2:C173, _xlpm.areaBuscada), "0000"),
    _xlpm.codItem &amp; "-" &amp; _xlpm.codArea &amp; "-" &amp; _xlpm.secuencia
)</f>
        <v>-SinArea-0000</v>
      </c>
      <c r="O173" s="77"/>
      <c r="P173" s="32"/>
      <c r="Q173" s="32"/>
      <c r="R173" s="32"/>
      <c r="S173" s="32"/>
    </row>
    <row r="174" spans="3:19" x14ac:dyDescent="0.3">
      <c r="C174" s="11"/>
      <c r="D174" s="32"/>
      <c r="E174" s="11"/>
      <c r="F174" t="str">
        <f>_xlfn.TEXTJOIN(", ",TRUE, Tabla38[[#This Row],[Tipo de escalera]],Tabla38[[#This Row],[Longitud]],Tabla38[[#This Row],[Carga Maxima]])</f>
        <v/>
      </c>
      <c r="G174" s="15"/>
      <c r="J174" s="15"/>
      <c r="K174" s="47"/>
      <c r="L174" s="76"/>
      <c r="M174" s="76"/>
      <c r="N174" s="78" t="str">
        <f>_xlfn.LET(
    _xlpm.itemBuscado, B174,
    _xlpm.areaBuscada, C174,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TEXT(COUNTIF($C$2:C174, _xlpm.areaBuscada), "0000"),
    _xlpm.codItem &amp; "-" &amp; _xlpm.codArea &amp; "-" &amp; _xlpm.secuencia
)</f>
        <v>-SinArea-0000</v>
      </c>
      <c r="O174" s="77"/>
      <c r="P174" s="32"/>
      <c r="Q174" s="32"/>
      <c r="R174" s="32"/>
      <c r="S174" s="32"/>
    </row>
    <row r="175" spans="3:19" x14ac:dyDescent="0.3">
      <c r="C175" s="11"/>
      <c r="D175" s="32"/>
      <c r="E175" s="11"/>
      <c r="F175" t="str">
        <f>_xlfn.TEXTJOIN(", ",TRUE, Tabla38[[#This Row],[Tipo de escalera]],Tabla38[[#This Row],[Longitud]],Tabla38[[#This Row],[Carga Maxima]])</f>
        <v/>
      </c>
      <c r="G175" s="15"/>
      <c r="J175" s="15"/>
      <c r="K175" s="47"/>
      <c r="L175" s="76"/>
      <c r="M175" s="76"/>
      <c r="N175" s="78" t="str">
        <f>_xlfn.LET(
    _xlpm.itemBuscado, B175,
    _xlpm.areaBuscada, C175,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TEXT(COUNTIF($C$2:C175, _xlpm.areaBuscada), "0000"),
    _xlpm.codItem &amp; "-" &amp; _xlpm.codArea &amp; "-" &amp; _xlpm.secuencia
)</f>
        <v>-SinArea-0000</v>
      </c>
      <c r="O175" s="77"/>
      <c r="P175" s="32"/>
      <c r="Q175" s="32"/>
      <c r="R175" s="32"/>
      <c r="S175" s="32"/>
    </row>
    <row r="176" spans="3:19" x14ac:dyDescent="0.3">
      <c r="C176" s="11"/>
      <c r="D176" s="32"/>
      <c r="E176" s="11"/>
      <c r="F176" t="str">
        <f>_xlfn.TEXTJOIN(", ",TRUE, Tabla38[[#This Row],[Tipo de escalera]],Tabla38[[#This Row],[Longitud]],Tabla38[[#This Row],[Carga Maxima]])</f>
        <v/>
      </c>
      <c r="G176" s="15"/>
      <c r="J176" s="15"/>
      <c r="K176" s="47"/>
      <c r="L176" s="76"/>
      <c r="M176" s="76"/>
      <c r="N176" s="78" t="str">
        <f>_xlfn.LET(
    _xlpm.itemBuscado, B176,
    _xlpm.areaBuscada, C176,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TEXT(COUNTIF($C$2:C176, _xlpm.areaBuscada), "0000"),
    _xlpm.codItem &amp; "-" &amp; _xlpm.codArea &amp; "-" &amp; _xlpm.secuencia
)</f>
        <v>-SinArea-0000</v>
      </c>
      <c r="O176" s="77"/>
      <c r="P176" s="32"/>
      <c r="Q176" s="32"/>
      <c r="R176" s="32"/>
      <c r="S176" s="32"/>
    </row>
    <row r="177" spans="3:19" x14ac:dyDescent="0.3">
      <c r="C177" s="11"/>
      <c r="D177" s="32"/>
      <c r="E177" s="11"/>
      <c r="F177" t="str">
        <f>_xlfn.TEXTJOIN(", ",TRUE, Tabla38[[#This Row],[Tipo de escalera]],Tabla38[[#This Row],[Longitud]],Tabla38[[#This Row],[Carga Maxima]])</f>
        <v/>
      </c>
      <c r="G177" s="15"/>
      <c r="J177" s="15"/>
      <c r="K177" s="47"/>
      <c r="L177" s="76"/>
      <c r="M177" s="76"/>
      <c r="N177" s="78" t="str">
        <f>_xlfn.LET(
    _xlpm.itemBuscado, B177,
    _xlpm.areaBuscada, C177,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TEXT(COUNTIF($C$2:C177, _xlpm.areaBuscada), "0000"),
    _xlpm.codItem &amp; "-" &amp; _xlpm.codArea &amp; "-" &amp; _xlpm.secuencia
)</f>
        <v>-SinArea-0000</v>
      </c>
      <c r="O177" s="77"/>
      <c r="P177" s="32"/>
      <c r="Q177" s="32"/>
      <c r="R177" s="32"/>
      <c r="S177" s="32"/>
    </row>
    <row r="178" spans="3:19" x14ac:dyDescent="0.3">
      <c r="C178" s="11"/>
      <c r="D178" s="32"/>
      <c r="E178" s="11"/>
      <c r="F178" t="str">
        <f>_xlfn.TEXTJOIN(", ",TRUE, Tabla38[[#This Row],[Tipo de escalera]],Tabla38[[#This Row],[Longitud]],Tabla38[[#This Row],[Carga Maxima]])</f>
        <v/>
      </c>
      <c r="G178" s="15"/>
      <c r="J178" s="15"/>
      <c r="K178" s="47"/>
      <c r="L178" s="76"/>
      <c r="M178" s="76"/>
      <c r="N178" s="78" t="str">
        <f>_xlfn.LET(
    _xlpm.itemBuscado, B178,
    _xlpm.areaBuscada, C178,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TEXT(COUNTIF($C$2:C178, _xlpm.areaBuscada), "0000"),
    _xlpm.codItem &amp; "-" &amp; _xlpm.codArea &amp; "-" &amp; _xlpm.secuencia
)</f>
        <v>-SinArea-0000</v>
      </c>
      <c r="O178" s="77"/>
      <c r="P178" s="32"/>
      <c r="Q178" s="32"/>
      <c r="R178" s="32"/>
      <c r="S178" s="32"/>
    </row>
    <row r="179" spans="3:19" x14ac:dyDescent="0.3">
      <c r="C179" s="11"/>
      <c r="D179" s="32"/>
      <c r="E179" s="11"/>
      <c r="F179" t="str">
        <f>_xlfn.TEXTJOIN(", ",TRUE, Tabla38[[#This Row],[Tipo de escalera]],Tabla38[[#This Row],[Longitud]],Tabla38[[#This Row],[Carga Maxima]])</f>
        <v/>
      </c>
      <c r="G179" s="15"/>
      <c r="J179" s="15"/>
      <c r="K179" s="47"/>
      <c r="L179" s="76"/>
      <c r="M179" s="76"/>
      <c r="N179" s="78" t="str">
        <f>_xlfn.LET(
    _xlpm.itemBuscado, B179,
    _xlpm.areaBuscada, C179,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TEXT(COUNTIF($C$2:C179, _xlpm.areaBuscada), "0000"),
    _xlpm.codItem &amp; "-" &amp; _xlpm.codArea &amp; "-" &amp; _xlpm.secuencia
)</f>
        <v>-SinArea-0000</v>
      </c>
      <c r="O179" s="77"/>
      <c r="P179" s="32"/>
      <c r="Q179" s="32"/>
      <c r="R179" s="32"/>
      <c r="S179" s="32"/>
    </row>
    <row r="180" spans="3:19" x14ac:dyDescent="0.3">
      <c r="C180" s="11"/>
      <c r="D180" s="32"/>
      <c r="E180" s="11"/>
      <c r="F180" t="str">
        <f>_xlfn.TEXTJOIN(", ",TRUE, Tabla38[[#This Row],[Tipo de escalera]],Tabla38[[#This Row],[Longitud]],Tabla38[[#This Row],[Carga Maxima]])</f>
        <v/>
      </c>
      <c r="G180" s="15"/>
      <c r="J180" s="15"/>
      <c r="K180" s="47"/>
      <c r="L180" s="76"/>
      <c r="M180" s="76"/>
      <c r="N180" s="78" t="str">
        <f>_xlfn.LET(
    _xlpm.itemBuscado, B180,
    _xlpm.areaBuscada, C180,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TEXT(COUNTIF($C$2:C180, _xlpm.areaBuscada), "0000"),
    _xlpm.codItem &amp; "-" &amp; _xlpm.codArea &amp; "-" &amp; _xlpm.secuencia
)</f>
        <v>-SinArea-0000</v>
      </c>
      <c r="O180" s="77"/>
      <c r="P180" s="32"/>
      <c r="Q180" s="32"/>
      <c r="R180" s="32"/>
      <c r="S180" s="32"/>
    </row>
    <row r="181" spans="3:19" x14ac:dyDescent="0.3">
      <c r="C181" s="11"/>
      <c r="D181" s="32"/>
      <c r="E181" s="11"/>
      <c r="F181" t="str">
        <f>_xlfn.TEXTJOIN(", ",TRUE, Tabla38[[#This Row],[Tipo de escalera]],Tabla38[[#This Row],[Longitud]],Tabla38[[#This Row],[Carga Maxima]])</f>
        <v/>
      </c>
      <c r="G181" s="15"/>
      <c r="J181" s="15"/>
      <c r="K181" s="47"/>
      <c r="L181" s="76"/>
      <c r="M181" s="76"/>
      <c r="N181" s="78" t="str">
        <f>_xlfn.LET(
    _xlpm.itemBuscado, B181,
    _xlpm.areaBuscada, C181,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TEXT(COUNTIF($C$2:C181, _xlpm.areaBuscada), "0000"),
    _xlpm.codItem &amp; "-" &amp; _xlpm.codArea &amp; "-" &amp; _xlpm.secuencia
)</f>
        <v>-SinArea-0000</v>
      </c>
      <c r="O181" s="77"/>
      <c r="P181" s="32"/>
      <c r="Q181" s="32"/>
      <c r="R181" s="32"/>
      <c r="S181" s="32"/>
    </row>
    <row r="182" spans="3:19" x14ac:dyDescent="0.3">
      <c r="C182" s="11"/>
      <c r="D182" s="32"/>
      <c r="E182" s="11"/>
      <c r="F182" t="str">
        <f>_xlfn.TEXTJOIN(", ",TRUE, Tabla38[[#This Row],[Tipo de escalera]],Tabla38[[#This Row],[Longitud]],Tabla38[[#This Row],[Carga Maxima]])</f>
        <v/>
      </c>
      <c r="G182" s="15"/>
      <c r="J182" s="15"/>
      <c r="K182" s="47"/>
      <c r="L182" s="76"/>
      <c r="M182" s="76"/>
      <c r="N182" s="78" t="str">
        <f>_xlfn.LET(
    _xlpm.itemBuscado, B182,
    _xlpm.areaBuscada, C182,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TEXT(COUNTIF($C$2:C182, _xlpm.areaBuscada), "0000"),
    _xlpm.codItem &amp; "-" &amp; _xlpm.codArea &amp; "-" &amp; _xlpm.secuencia
)</f>
        <v>-SinArea-0000</v>
      </c>
      <c r="O182" s="77"/>
      <c r="P182" s="32"/>
      <c r="Q182" s="32"/>
      <c r="R182" s="32"/>
      <c r="S182" s="32"/>
    </row>
    <row r="183" spans="3:19" x14ac:dyDescent="0.3">
      <c r="C183" s="11"/>
      <c r="D183" s="32"/>
      <c r="E183" s="11"/>
      <c r="F183" t="str">
        <f>_xlfn.TEXTJOIN(", ",TRUE, Tabla38[[#This Row],[Tipo de escalera]],Tabla38[[#This Row],[Longitud]],Tabla38[[#This Row],[Carga Maxima]])</f>
        <v/>
      </c>
      <c r="G183" s="15"/>
      <c r="J183" s="15"/>
      <c r="K183" s="47"/>
      <c r="L183" s="76"/>
      <c r="M183" s="76"/>
      <c r="N183" s="78" t="str">
        <f>_xlfn.LET(
    _xlpm.itemBuscado, B183,
    _xlpm.areaBuscada, C183,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TEXT(COUNTIF($C$2:C183, _xlpm.areaBuscada), "0000"),
    _xlpm.codItem &amp; "-" &amp; _xlpm.codArea &amp; "-" &amp; _xlpm.secuencia
)</f>
        <v>-SinArea-0000</v>
      </c>
      <c r="O183" s="77"/>
      <c r="P183" s="32"/>
      <c r="Q183" s="32"/>
      <c r="R183" s="32"/>
      <c r="S183" s="32"/>
    </row>
    <row r="184" spans="3:19" x14ac:dyDescent="0.3">
      <c r="C184" s="11"/>
      <c r="D184" s="32"/>
      <c r="E184" s="11"/>
      <c r="F184" t="str">
        <f>_xlfn.TEXTJOIN(", ",TRUE, Tabla38[[#This Row],[Tipo de escalera]],Tabla38[[#This Row],[Longitud]],Tabla38[[#This Row],[Carga Maxima]])</f>
        <v/>
      </c>
      <c r="G184" s="15"/>
      <c r="J184" s="15"/>
      <c r="K184" s="47"/>
      <c r="L184" s="76"/>
      <c r="M184" s="76"/>
      <c r="N184" s="78" t="str">
        <f>_xlfn.LET(
    _xlpm.itemBuscado, B184,
    _xlpm.areaBuscada, C184,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TEXT(COUNTIF($C$2:C184, _xlpm.areaBuscada), "0000"),
    _xlpm.codItem &amp; "-" &amp; _xlpm.codArea &amp; "-" &amp; _xlpm.secuencia
)</f>
        <v>-SinArea-0000</v>
      </c>
      <c r="O184" s="77"/>
      <c r="P184" s="32"/>
      <c r="Q184" s="32"/>
      <c r="R184" s="32"/>
      <c r="S184" s="32"/>
    </row>
    <row r="185" spans="3:19" x14ac:dyDescent="0.3">
      <c r="C185" s="11"/>
      <c r="D185" s="32"/>
      <c r="E185" s="11"/>
      <c r="F185" t="str">
        <f>_xlfn.TEXTJOIN(", ",TRUE, Tabla38[[#This Row],[Tipo de escalera]],Tabla38[[#This Row],[Longitud]],Tabla38[[#This Row],[Carga Maxima]])</f>
        <v/>
      </c>
      <c r="G185" s="15"/>
      <c r="J185" s="15"/>
      <c r="K185" s="47"/>
      <c r="L185" s="76"/>
      <c r="M185" s="76"/>
      <c r="N185" s="78" t="str">
        <f>_xlfn.LET(
    _xlpm.itemBuscado, B185,
    _xlpm.areaBuscada, C185,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TEXT(COUNTIF($C$2:C185, _xlpm.areaBuscada), "0000"),
    _xlpm.codItem &amp; "-" &amp; _xlpm.codArea &amp; "-" &amp; _xlpm.secuencia
)</f>
        <v>-SinArea-0000</v>
      </c>
      <c r="O185" s="77"/>
      <c r="P185" s="32"/>
      <c r="Q185" s="32"/>
      <c r="R185" s="32"/>
      <c r="S185" s="32"/>
    </row>
    <row r="186" spans="3:19" x14ac:dyDescent="0.3">
      <c r="C186" s="11"/>
      <c r="D186" s="32"/>
      <c r="E186" s="11"/>
      <c r="F186" t="str">
        <f>_xlfn.TEXTJOIN(", ",TRUE, Tabla38[[#This Row],[Tipo de escalera]],Tabla38[[#This Row],[Longitud]],Tabla38[[#This Row],[Carga Maxima]])</f>
        <v/>
      </c>
      <c r="G186" s="15"/>
      <c r="J186" s="15"/>
      <c r="K186" s="47"/>
      <c r="L186" s="76"/>
      <c r="M186" s="76"/>
      <c r="N186" s="78" t="str">
        <f>_xlfn.LET(
    _xlpm.itemBuscado, B186,
    _xlpm.areaBuscada, C186,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TEXT(COUNTIF($C$2:C186, _xlpm.areaBuscada), "0000"),
    _xlpm.codItem &amp; "-" &amp; _xlpm.codArea &amp; "-" &amp; _xlpm.secuencia
)</f>
        <v>-SinArea-0000</v>
      </c>
      <c r="O186" s="77"/>
      <c r="P186" s="32"/>
      <c r="Q186" s="32"/>
      <c r="R186" s="32"/>
      <c r="S186" s="32"/>
    </row>
    <row r="187" spans="3:19" x14ac:dyDescent="0.3">
      <c r="C187" s="11"/>
      <c r="D187" s="32"/>
      <c r="E187" s="11"/>
      <c r="F187" t="str">
        <f>_xlfn.TEXTJOIN(", ",TRUE, Tabla38[[#This Row],[Tipo de escalera]],Tabla38[[#This Row],[Longitud]],Tabla38[[#This Row],[Carga Maxima]])</f>
        <v/>
      </c>
      <c r="G187" s="15"/>
      <c r="J187" s="15"/>
      <c r="K187" s="47"/>
      <c r="L187" s="76"/>
      <c r="M187" s="76"/>
      <c r="N187" s="78" t="str">
        <f>_xlfn.LET(
    _xlpm.itemBuscado, B187,
    _xlpm.areaBuscada, C187,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TEXT(COUNTIF($C$2:C187, _xlpm.areaBuscada), "0000"),
    _xlpm.codItem &amp; "-" &amp; _xlpm.codArea &amp; "-" &amp; _xlpm.secuencia
)</f>
        <v>-SinArea-0000</v>
      </c>
      <c r="O187" s="77"/>
      <c r="P187" s="32"/>
      <c r="Q187" s="32"/>
      <c r="R187" s="32"/>
      <c r="S187" s="32"/>
    </row>
    <row r="188" spans="3:19" x14ac:dyDescent="0.3">
      <c r="C188" s="11"/>
      <c r="D188" s="32"/>
      <c r="E188" s="11"/>
      <c r="F188" t="str">
        <f>_xlfn.TEXTJOIN(", ",TRUE, Tabla38[[#This Row],[Tipo de escalera]],Tabla38[[#This Row],[Longitud]],Tabla38[[#This Row],[Carga Maxima]])</f>
        <v/>
      </c>
      <c r="G188" s="15"/>
      <c r="J188" s="15"/>
      <c r="K188" s="47"/>
      <c r="L188" s="76"/>
      <c r="M188" s="76"/>
      <c r="N188" s="78" t="str">
        <f>_xlfn.LET(
    _xlpm.itemBuscado, B188,
    _xlpm.areaBuscada, C188,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TEXT(COUNTIF($C$2:C188, _xlpm.areaBuscada), "0000"),
    _xlpm.codItem &amp; "-" &amp; _xlpm.codArea &amp; "-" &amp; _xlpm.secuencia
)</f>
        <v>-SinArea-0000</v>
      </c>
      <c r="O188" s="77"/>
      <c r="P188" s="32"/>
      <c r="Q188" s="32"/>
      <c r="R188" s="32"/>
      <c r="S188" s="32"/>
    </row>
    <row r="189" spans="3:19" x14ac:dyDescent="0.3">
      <c r="C189" s="11"/>
      <c r="D189" s="32"/>
      <c r="E189" s="11"/>
      <c r="F189" t="str">
        <f>_xlfn.TEXTJOIN(", ",TRUE, Tabla38[[#This Row],[Tipo de escalera]],Tabla38[[#This Row],[Longitud]],Tabla38[[#This Row],[Carga Maxima]])</f>
        <v/>
      </c>
      <c r="G189" s="15"/>
      <c r="J189" s="15"/>
      <c r="K189" s="47"/>
      <c r="L189" s="76"/>
      <c r="M189" s="76"/>
      <c r="N189" s="78" t="str">
        <f>_xlfn.LET(
    _xlpm.itemBuscado, B189,
    _xlpm.areaBuscada, C189,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TEXT(COUNTIF($C$2:C189, _xlpm.areaBuscada), "0000"),
    _xlpm.codItem &amp; "-" &amp; _xlpm.codArea &amp; "-" &amp; _xlpm.secuencia
)</f>
        <v>-SinArea-0000</v>
      </c>
      <c r="O189" s="77"/>
      <c r="P189" s="32"/>
      <c r="Q189" s="32"/>
      <c r="R189" s="32"/>
      <c r="S189" s="32"/>
    </row>
    <row r="190" spans="3:19" x14ac:dyDescent="0.3">
      <c r="C190" s="11"/>
      <c r="D190" s="32"/>
      <c r="E190" s="11"/>
      <c r="F190" t="str">
        <f>_xlfn.TEXTJOIN(", ",TRUE, Tabla38[[#This Row],[Tipo de escalera]],Tabla38[[#This Row],[Longitud]],Tabla38[[#This Row],[Carga Maxima]])</f>
        <v/>
      </c>
      <c r="G190" s="15"/>
      <c r="J190" s="15"/>
      <c r="K190" s="47"/>
      <c r="L190" s="76"/>
      <c r="M190" s="76"/>
      <c r="N190" s="78" t="str">
        <f>_xlfn.LET(
    _xlpm.itemBuscado, B190,
    _xlpm.areaBuscada, C190,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TEXT(COUNTIF($C$2:C190, _xlpm.areaBuscada), "0000"),
    _xlpm.codItem &amp; "-" &amp; _xlpm.codArea &amp; "-" &amp; _xlpm.secuencia
)</f>
        <v>-SinArea-0000</v>
      </c>
      <c r="O190" s="77"/>
      <c r="P190" s="32"/>
      <c r="Q190" s="32"/>
      <c r="R190" s="32"/>
      <c r="S190" s="32"/>
    </row>
    <row r="191" spans="3:19" x14ac:dyDescent="0.3">
      <c r="C191" s="11"/>
      <c r="D191" s="32"/>
      <c r="E191" s="11"/>
      <c r="F191" t="str">
        <f>_xlfn.TEXTJOIN(", ",TRUE, Tabla38[[#This Row],[Tipo de escalera]],Tabla38[[#This Row],[Longitud]],Tabla38[[#This Row],[Carga Maxima]])</f>
        <v/>
      </c>
      <c r="G191" s="15"/>
      <c r="J191" s="15"/>
      <c r="K191" s="47"/>
      <c r="L191" s="76"/>
      <c r="M191" s="76"/>
      <c r="N191" s="78" t="str">
        <f>_xlfn.LET(
    _xlpm.itemBuscado, B191,
    _xlpm.areaBuscada, C191,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TEXT(COUNTIF($C$2:C191, _xlpm.areaBuscada), "0000"),
    _xlpm.codItem &amp; "-" &amp; _xlpm.codArea &amp; "-" &amp; _xlpm.secuencia
)</f>
        <v>-SinArea-0000</v>
      </c>
      <c r="O191" s="77"/>
      <c r="P191" s="32"/>
      <c r="Q191" s="32"/>
      <c r="R191" s="32"/>
      <c r="S191" s="32"/>
    </row>
    <row r="192" spans="3:19" x14ac:dyDescent="0.3">
      <c r="C192" s="11"/>
      <c r="D192" s="32"/>
      <c r="E192" s="11"/>
      <c r="F192" t="str">
        <f>_xlfn.TEXTJOIN(", ",TRUE, Tabla38[[#This Row],[Tipo de escalera]],Tabla38[[#This Row],[Longitud]],Tabla38[[#This Row],[Carga Maxima]])</f>
        <v/>
      </c>
      <c r="G192" s="15"/>
      <c r="J192" s="15"/>
      <c r="K192" s="47"/>
      <c r="L192" s="76"/>
      <c r="M192" s="76"/>
      <c r="N192" s="78" t="str">
        <f>_xlfn.LET(
    _xlpm.itemBuscado, B192,
    _xlpm.areaBuscada, C192,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TEXT(COUNTIF($C$2:C192, _xlpm.areaBuscada), "0000"),
    _xlpm.codItem &amp; "-" &amp; _xlpm.codArea &amp; "-" &amp; _xlpm.secuencia
)</f>
        <v>-SinArea-0000</v>
      </c>
      <c r="O192" s="77"/>
      <c r="P192" s="32"/>
      <c r="Q192" s="32"/>
      <c r="R192" s="32"/>
      <c r="S192" s="32"/>
    </row>
    <row r="193" spans="3:19" x14ac:dyDescent="0.3">
      <c r="C193" s="11"/>
      <c r="D193" s="32"/>
      <c r="E193" s="11"/>
      <c r="F193" t="str">
        <f>_xlfn.TEXTJOIN(", ",TRUE, Tabla38[[#This Row],[Tipo de escalera]],Tabla38[[#This Row],[Longitud]],Tabla38[[#This Row],[Carga Maxima]])</f>
        <v/>
      </c>
      <c r="G193" s="15"/>
      <c r="J193" s="15"/>
      <c r="K193" s="47"/>
      <c r="L193" s="76"/>
      <c r="M193" s="76"/>
      <c r="N193" s="78" t="str">
        <f>_xlfn.LET(
    _xlpm.itemBuscado, B193,
    _xlpm.areaBuscada, C193,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TEXT(COUNTIF($C$2:C193, _xlpm.areaBuscada), "0000"),
    _xlpm.codItem &amp; "-" &amp; _xlpm.codArea &amp; "-" &amp; _xlpm.secuencia
)</f>
        <v>-SinArea-0000</v>
      </c>
      <c r="O193" s="77"/>
      <c r="P193" s="32"/>
      <c r="Q193" s="32"/>
      <c r="R193" s="32"/>
      <c r="S193" s="32"/>
    </row>
    <row r="194" spans="3:19" x14ac:dyDescent="0.3">
      <c r="C194" s="11"/>
      <c r="D194" s="32"/>
      <c r="E194" s="11"/>
      <c r="F194" t="str">
        <f>_xlfn.TEXTJOIN(", ",TRUE, Tabla38[[#This Row],[Tipo de escalera]],Tabla38[[#This Row],[Longitud]],Tabla38[[#This Row],[Carga Maxima]])</f>
        <v/>
      </c>
      <c r="G194" s="15"/>
      <c r="J194" s="15"/>
      <c r="K194" s="47"/>
      <c r="L194" s="76"/>
      <c r="M194" s="76"/>
      <c r="N194" s="78" t="str">
        <f>_xlfn.LET(
    _xlpm.itemBuscado, B194,
    _xlpm.areaBuscada, C194,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TEXT(COUNTIF($C$2:C194, _xlpm.areaBuscada), "0000"),
    _xlpm.codItem &amp; "-" &amp; _xlpm.codArea &amp; "-" &amp; _xlpm.secuencia
)</f>
        <v>-SinArea-0000</v>
      </c>
      <c r="O194" s="77"/>
      <c r="P194" s="32"/>
      <c r="Q194" s="32"/>
      <c r="R194" s="32"/>
      <c r="S194" s="32"/>
    </row>
    <row r="195" spans="3:19" x14ac:dyDescent="0.3">
      <c r="C195" s="11"/>
      <c r="D195" s="32"/>
      <c r="E195" s="11"/>
      <c r="F195" t="str">
        <f>_xlfn.TEXTJOIN(", ",TRUE, Tabla38[[#This Row],[Tipo de escalera]],Tabla38[[#This Row],[Longitud]],Tabla38[[#This Row],[Carga Maxima]])</f>
        <v/>
      </c>
      <c r="G195" s="15"/>
      <c r="J195" s="15"/>
      <c r="K195" s="47"/>
      <c r="L195" s="76"/>
      <c r="M195" s="76"/>
      <c r="N195" s="78" t="str">
        <f>_xlfn.LET(
    _xlpm.itemBuscado, B195,
    _xlpm.areaBuscada, C195,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TEXT(COUNTIF($C$2:C195, _xlpm.areaBuscada), "0000"),
    _xlpm.codItem &amp; "-" &amp; _xlpm.codArea &amp; "-" &amp; _xlpm.secuencia
)</f>
        <v>-SinArea-0000</v>
      </c>
      <c r="O195" s="77"/>
      <c r="P195" s="32"/>
      <c r="Q195" s="32"/>
      <c r="R195" s="32"/>
      <c r="S195" s="32"/>
    </row>
    <row r="196" spans="3:19" x14ac:dyDescent="0.3">
      <c r="C196" s="11"/>
      <c r="D196" s="32"/>
      <c r="E196" s="11"/>
      <c r="F196" t="str">
        <f>_xlfn.TEXTJOIN(", ",TRUE, Tabla38[[#This Row],[Tipo de escalera]],Tabla38[[#This Row],[Longitud]],Tabla38[[#This Row],[Carga Maxima]])</f>
        <v/>
      </c>
      <c r="G196" s="15"/>
      <c r="J196" s="15"/>
      <c r="K196" s="47"/>
      <c r="L196" s="76"/>
      <c r="M196" s="76"/>
      <c r="N196" s="78" t="str">
        <f>_xlfn.LET(
    _xlpm.itemBuscado, B196,
    _xlpm.areaBuscada, C196,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TEXT(COUNTIF($C$2:C196, _xlpm.areaBuscada), "0000"),
    _xlpm.codItem &amp; "-" &amp; _xlpm.codArea &amp; "-" &amp; _xlpm.secuencia
)</f>
        <v>-SinArea-0000</v>
      </c>
      <c r="O196" s="77"/>
      <c r="P196" s="32"/>
      <c r="Q196" s="32"/>
      <c r="R196" s="32"/>
      <c r="S196" s="32"/>
    </row>
    <row r="197" spans="3:19" x14ac:dyDescent="0.3">
      <c r="C197" s="11"/>
      <c r="D197" s="32"/>
      <c r="E197" s="11"/>
      <c r="F197" t="str">
        <f>_xlfn.TEXTJOIN(", ",TRUE, Tabla38[[#This Row],[Tipo de escalera]],Tabla38[[#This Row],[Longitud]],Tabla38[[#This Row],[Carga Maxima]])</f>
        <v/>
      </c>
      <c r="G197" s="15"/>
      <c r="J197" s="15"/>
      <c r="K197" s="47"/>
      <c r="L197" s="76"/>
      <c r="M197" s="76"/>
      <c r="N197" s="78" t="str">
        <f>_xlfn.LET(
    _xlpm.itemBuscado, B197,
    _xlpm.areaBuscada, C197,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TEXT(COUNTIF($C$2:C197, _xlpm.areaBuscada), "0000"),
    _xlpm.codItem &amp; "-" &amp; _xlpm.codArea &amp; "-" &amp; _xlpm.secuencia
)</f>
        <v>-SinArea-0000</v>
      </c>
      <c r="O197" s="77"/>
      <c r="P197" s="32"/>
      <c r="Q197" s="32"/>
      <c r="R197" s="32"/>
      <c r="S197" s="32"/>
    </row>
    <row r="198" spans="3:19" x14ac:dyDescent="0.3">
      <c r="C198" s="11"/>
      <c r="D198" s="32"/>
      <c r="E198" s="11"/>
      <c r="F198" t="str">
        <f>_xlfn.TEXTJOIN(", ",TRUE, Tabla38[[#This Row],[Tipo de escalera]],Tabla38[[#This Row],[Longitud]],Tabla38[[#This Row],[Carga Maxima]])</f>
        <v/>
      </c>
      <c r="G198" s="15"/>
      <c r="J198" s="15"/>
      <c r="K198" s="47"/>
      <c r="L198" s="76"/>
      <c r="M198" s="76"/>
      <c r="N198" s="78" t="str">
        <f>_xlfn.LET(
    _xlpm.itemBuscado, B198,
    _xlpm.areaBuscada, C198,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TEXT(COUNTIF($C$2:C198, _xlpm.areaBuscada), "0000"),
    _xlpm.codItem &amp; "-" &amp; _xlpm.codArea &amp; "-" &amp; _xlpm.secuencia
)</f>
        <v>-SinArea-0000</v>
      </c>
      <c r="O198" s="77"/>
      <c r="P198" s="32"/>
      <c r="Q198" s="32"/>
      <c r="R198" s="32"/>
      <c r="S198" s="32"/>
    </row>
    <row r="199" spans="3:19" x14ac:dyDescent="0.3">
      <c r="C199" s="11"/>
      <c r="D199" s="32"/>
      <c r="E199" s="11"/>
      <c r="F199" t="str">
        <f>_xlfn.TEXTJOIN(", ",TRUE, Tabla38[[#This Row],[Tipo de escalera]],Tabla38[[#This Row],[Longitud]],Tabla38[[#This Row],[Carga Maxima]])</f>
        <v/>
      </c>
      <c r="G199" s="15"/>
      <c r="J199" s="15"/>
      <c r="K199" s="47"/>
      <c r="L199" s="76"/>
      <c r="M199" s="76"/>
      <c r="N199" s="78" t="str">
        <f>_xlfn.LET(
    _xlpm.itemBuscado, B199,
    _xlpm.areaBuscada, C199,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TEXT(COUNTIF($C$2:C199, _xlpm.areaBuscada), "0000"),
    _xlpm.codItem &amp; "-" &amp; _xlpm.codArea &amp; "-" &amp; _xlpm.secuencia
)</f>
        <v>-SinArea-0000</v>
      </c>
      <c r="O199" s="77"/>
      <c r="P199" s="32"/>
      <c r="Q199" s="32"/>
      <c r="R199" s="32"/>
      <c r="S199" s="32"/>
    </row>
    <row r="200" spans="3:19" x14ac:dyDescent="0.3">
      <c r="C200" s="11"/>
      <c r="D200" s="32"/>
      <c r="E200" s="11"/>
      <c r="F200" t="str">
        <f>_xlfn.TEXTJOIN(", ",TRUE, Tabla38[[#This Row],[Tipo de escalera]],Tabla38[[#This Row],[Longitud]],Tabla38[[#This Row],[Carga Maxima]])</f>
        <v/>
      </c>
      <c r="G200" s="15"/>
      <c r="J200" s="15"/>
      <c r="K200" s="47"/>
      <c r="L200" s="76"/>
      <c r="M200" s="76"/>
      <c r="N200" s="78" t="str">
        <f>_xlfn.LET(
    _xlpm.itemBuscado, B200,
    _xlpm.areaBuscada, C200,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TEXT(COUNTIF($C$2:C200, _xlpm.areaBuscada), "0000"),
    _xlpm.codItem &amp; "-" &amp; _xlpm.codArea &amp; "-" &amp; _xlpm.secuencia
)</f>
        <v>-SinArea-0000</v>
      </c>
      <c r="O200" s="77"/>
      <c r="P200" s="32"/>
      <c r="Q200" s="32"/>
      <c r="R200" s="32"/>
      <c r="S200" s="32"/>
    </row>
    <row r="201" spans="3:19" x14ac:dyDescent="0.3">
      <c r="C201" s="11"/>
      <c r="D201" s="32"/>
      <c r="E201" s="11"/>
      <c r="F201" t="str">
        <f>_xlfn.TEXTJOIN(", ",TRUE, Tabla38[[#This Row],[Tipo de escalera]],Tabla38[[#This Row],[Longitud]],Tabla38[[#This Row],[Carga Maxima]])</f>
        <v/>
      </c>
      <c r="G201" s="15"/>
      <c r="J201" s="15"/>
      <c r="K201" s="47"/>
      <c r="L201" s="76"/>
      <c r="M201" s="76"/>
      <c r="N201" s="78" t="str">
        <f>_xlfn.LET(
    _xlpm.itemBuscado, B201,
    _xlpm.areaBuscada, C201,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TEXT(COUNTIF($C$2:C201, _xlpm.areaBuscada), "0000"),
    _xlpm.codItem &amp; "-" &amp; _xlpm.codArea &amp; "-" &amp; _xlpm.secuencia
)</f>
        <v>-SinArea-0000</v>
      </c>
      <c r="O201" s="77"/>
      <c r="P201" s="32"/>
      <c r="Q201" s="32"/>
      <c r="R201" s="32"/>
      <c r="S201" s="32"/>
    </row>
    <row r="202" spans="3:19" x14ac:dyDescent="0.3">
      <c r="C202" s="11"/>
      <c r="D202" s="32"/>
      <c r="E202" s="11"/>
      <c r="F202" t="str">
        <f>_xlfn.TEXTJOIN(", ",TRUE, Tabla38[[#This Row],[Tipo de escalera]],Tabla38[[#This Row],[Longitud]],Tabla38[[#This Row],[Carga Maxima]])</f>
        <v/>
      </c>
      <c r="G202" s="15"/>
      <c r="J202" s="15"/>
      <c r="K202" s="47"/>
      <c r="L202" s="76"/>
      <c r="M202" s="76"/>
      <c r="N202" s="78" t="str">
        <f>_xlfn.LET(
    _xlpm.itemBuscado, B202,
    _xlpm.areaBuscada, C202,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TEXT(COUNTIF($C$2:C202, _xlpm.areaBuscada), "0000"),
    _xlpm.codItem &amp; "-" &amp; _xlpm.codArea &amp; "-" &amp; _xlpm.secuencia
)</f>
        <v>-SinArea-0000</v>
      </c>
      <c r="O202" s="77"/>
      <c r="P202" s="32"/>
      <c r="Q202" s="32"/>
      <c r="R202" s="32"/>
      <c r="S202" s="32"/>
    </row>
    <row r="203" spans="3:19" x14ac:dyDescent="0.3">
      <c r="C203" s="11"/>
      <c r="D203" s="32"/>
      <c r="E203" s="11"/>
      <c r="F203" t="str">
        <f>_xlfn.TEXTJOIN(", ",TRUE, Tabla38[[#This Row],[Tipo de escalera]],Tabla38[[#This Row],[Longitud]],Tabla38[[#This Row],[Carga Maxima]])</f>
        <v/>
      </c>
      <c r="G203" s="15"/>
      <c r="J203" s="15"/>
      <c r="K203" s="47"/>
      <c r="L203" s="76"/>
      <c r="M203" s="76"/>
      <c r="N203" s="78" t="str">
        <f>_xlfn.LET(
    _xlpm.itemBuscado, B203,
    _xlpm.areaBuscada, C203,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TEXT(COUNTIF($C$2:C203, _xlpm.areaBuscada), "0000"),
    _xlpm.codItem &amp; "-" &amp; _xlpm.codArea &amp; "-" &amp; _xlpm.secuencia
)</f>
        <v>-SinArea-0000</v>
      </c>
      <c r="O203" s="77"/>
      <c r="P203" s="32"/>
      <c r="Q203" s="32"/>
      <c r="R203" s="32"/>
      <c r="S203" s="32"/>
    </row>
    <row r="204" spans="3:19" x14ac:dyDescent="0.3">
      <c r="C204" s="11"/>
      <c r="D204" s="32"/>
      <c r="E204" s="11"/>
      <c r="F204" t="str">
        <f>_xlfn.TEXTJOIN(", ",TRUE, Tabla38[[#This Row],[Tipo de escalera]],Tabla38[[#This Row],[Longitud]],Tabla38[[#This Row],[Carga Maxima]])</f>
        <v/>
      </c>
      <c r="G204" s="15"/>
      <c r="J204" s="15"/>
      <c r="K204" s="47"/>
      <c r="L204" s="76"/>
      <c r="M204" s="76"/>
      <c r="N204" s="78" t="str">
        <f>_xlfn.LET(
    _xlpm.itemBuscado, B204,
    _xlpm.areaBuscada, C204,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TEXT(COUNTIF($C$2:C204, _xlpm.areaBuscada), "0000"),
    _xlpm.codItem &amp; "-" &amp; _xlpm.codArea &amp; "-" &amp; _xlpm.secuencia
)</f>
        <v>-SinArea-0000</v>
      </c>
      <c r="O204" s="77"/>
      <c r="P204" s="32"/>
      <c r="Q204" s="32"/>
      <c r="R204" s="32"/>
      <c r="S204" s="32"/>
    </row>
    <row r="205" spans="3:19" x14ac:dyDescent="0.3">
      <c r="C205" s="11"/>
      <c r="D205" s="32"/>
      <c r="E205" s="11"/>
      <c r="F205" t="str">
        <f>_xlfn.TEXTJOIN(", ",TRUE, Tabla38[[#This Row],[Tipo de escalera]],Tabla38[[#This Row],[Longitud]],Tabla38[[#This Row],[Carga Maxima]])</f>
        <v/>
      </c>
      <c r="G205" s="15"/>
      <c r="J205" s="15"/>
      <c r="K205" s="47"/>
      <c r="L205" s="76"/>
      <c r="M205" s="76"/>
      <c r="N205" s="78" t="str">
        <f>_xlfn.LET(
    _xlpm.itemBuscado, B205,
    _xlpm.areaBuscada, C205,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TEXT(COUNTIF($C$2:C205, _xlpm.areaBuscada), "0000"),
    _xlpm.codItem &amp; "-" &amp; _xlpm.codArea &amp; "-" &amp; _xlpm.secuencia
)</f>
        <v>-SinArea-0000</v>
      </c>
      <c r="O205" s="77"/>
      <c r="P205" s="32"/>
      <c r="Q205" s="32"/>
      <c r="R205" s="32"/>
      <c r="S205" s="32"/>
    </row>
    <row r="206" spans="3:19" x14ac:dyDescent="0.3">
      <c r="C206" s="11"/>
      <c r="D206" s="32"/>
      <c r="E206" s="11"/>
      <c r="F206" t="str">
        <f>_xlfn.TEXTJOIN(", ",TRUE, Tabla38[[#This Row],[Tipo de escalera]],Tabla38[[#This Row],[Longitud]],Tabla38[[#This Row],[Carga Maxima]])</f>
        <v/>
      </c>
      <c r="G206" s="15"/>
      <c r="J206" s="15"/>
      <c r="K206" s="47"/>
      <c r="L206" s="76"/>
      <c r="M206" s="76"/>
      <c r="N206" s="78" t="str">
        <f>_xlfn.LET(
    _xlpm.itemBuscado, B206,
    _xlpm.areaBuscada, C206,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TEXT(COUNTIF($C$2:C206, _xlpm.areaBuscada), "0000"),
    _xlpm.codItem &amp; "-" &amp; _xlpm.codArea &amp; "-" &amp; _xlpm.secuencia
)</f>
        <v>-SinArea-0000</v>
      </c>
      <c r="O206" s="77"/>
      <c r="P206" s="32"/>
      <c r="Q206" s="32"/>
      <c r="R206" s="32"/>
      <c r="S206" s="32"/>
    </row>
    <row r="207" spans="3:19" x14ac:dyDescent="0.3">
      <c r="C207" s="11"/>
      <c r="D207" s="32"/>
      <c r="E207" s="11"/>
      <c r="F207" t="str">
        <f>_xlfn.TEXTJOIN(", ",TRUE, Tabla38[[#This Row],[Tipo de escalera]],Tabla38[[#This Row],[Longitud]],Tabla38[[#This Row],[Carga Maxima]])</f>
        <v/>
      </c>
      <c r="G207" s="15"/>
      <c r="J207" s="15"/>
      <c r="K207" s="47"/>
      <c r="L207" s="76"/>
      <c r="M207" s="76"/>
      <c r="N207" s="78" t="str">
        <f>_xlfn.LET(
    _xlpm.itemBuscado, B207,
    _xlpm.areaBuscada, C207,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TEXT(COUNTIF($C$2:C207, _xlpm.areaBuscada), "0000"),
    _xlpm.codItem &amp; "-" &amp; _xlpm.codArea &amp; "-" &amp; _xlpm.secuencia
)</f>
        <v>-SinArea-0000</v>
      </c>
      <c r="O207" s="77"/>
      <c r="P207" s="32"/>
      <c r="Q207" s="32"/>
      <c r="R207" s="32"/>
      <c r="S207" s="32"/>
    </row>
    <row r="208" spans="3:19" x14ac:dyDescent="0.3">
      <c r="C208" s="11"/>
      <c r="D208" s="32"/>
      <c r="E208" s="11"/>
      <c r="F208" t="str">
        <f>_xlfn.TEXTJOIN(", ",TRUE, Tabla38[[#This Row],[Tipo de escalera]],Tabla38[[#This Row],[Longitud]],Tabla38[[#This Row],[Carga Maxima]])</f>
        <v/>
      </c>
      <c r="G208" s="15"/>
      <c r="J208" s="15"/>
      <c r="K208" s="47"/>
      <c r="L208" s="76"/>
      <c r="M208" s="76"/>
      <c r="N208" s="78" t="str">
        <f>_xlfn.LET(
    _xlpm.itemBuscado, B208,
    _xlpm.areaBuscada, C208,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TEXT(COUNTIF($C$2:C208, _xlpm.areaBuscada), "0000"),
    _xlpm.codItem &amp; "-" &amp; _xlpm.codArea &amp; "-" &amp; _xlpm.secuencia
)</f>
        <v>-SinArea-0000</v>
      </c>
      <c r="O208" s="77"/>
      <c r="P208" s="32"/>
      <c r="Q208" s="32"/>
      <c r="R208" s="32"/>
      <c r="S208" s="32"/>
    </row>
    <row r="209" spans="3:19" x14ac:dyDescent="0.3">
      <c r="C209" s="11"/>
      <c r="D209" s="32"/>
      <c r="E209" s="11"/>
      <c r="F209" t="str">
        <f>_xlfn.TEXTJOIN(", ",TRUE, Tabla38[[#This Row],[Tipo de escalera]],Tabla38[[#This Row],[Longitud]],Tabla38[[#This Row],[Carga Maxima]])</f>
        <v/>
      </c>
      <c r="G209" s="15"/>
      <c r="J209" s="15"/>
      <c r="K209" s="47"/>
      <c r="L209" s="76"/>
      <c r="M209" s="76"/>
      <c r="N209" s="78" t="str">
        <f>_xlfn.LET(
    _xlpm.itemBuscado, B209,
    _xlpm.areaBuscada, C209,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TEXT(COUNTIF($C$2:C209, _xlpm.areaBuscada), "0000"),
    _xlpm.codItem &amp; "-" &amp; _xlpm.codArea &amp; "-" &amp; _xlpm.secuencia
)</f>
        <v>-SinArea-0000</v>
      </c>
      <c r="O209" s="77"/>
      <c r="P209" s="32"/>
      <c r="Q209" s="32"/>
      <c r="R209" s="32"/>
      <c r="S209" s="32"/>
    </row>
    <row r="210" spans="3:19" x14ac:dyDescent="0.3">
      <c r="C210" s="11"/>
      <c r="D210" s="32"/>
      <c r="E210" s="11"/>
      <c r="F210" t="str">
        <f>_xlfn.TEXTJOIN(", ",TRUE, Tabla38[[#This Row],[Tipo de escalera]],Tabla38[[#This Row],[Longitud]],Tabla38[[#This Row],[Carga Maxima]])</f>
        <v/>
      </c>
      <c r="G210" s="15"/>
      <c r="J210" s="15"/>
      <c r="K210" s="47"/>
      <c r="L210" s="76"/>
      <c r="M210" s="76"/>
      <c r="N210" s="78" t="str">
        <f>_xlfn.LET(
    _xlpm.itemBuscado, B210,
    _xlpm.areaBuscada, C210,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TEXT(COUNTIF($C$2:C210, _xlpm.areaBuscada), "0000"),
    _xlpm.codItem &amp; "-" &amp; _xlpm.codArea &amp; "-" &amp; _xlpm.secuencia
)</f>
        <v>-SinArea-0000</v>
      </c>
      <c r="O210" s="77"/>
      <c r="P210" s="32"/>
      <c r="Q210" s="32"/>
      <c r="R210" s="32"/>
      <c r="S210" s="32"/>
    </row>
    <row r="211" spans="3:19" x14ac:dyDescent="0.3">
      <c r="C211" s="11"/>
      <c r="D211" s="32"/>
      <c r="E211" s="11"/>
      <c r="F211" t="str">
        <f>_xlfn.TEXTJOIN(", ",TRUE, Tabla38[[#This Row],[Tipo de escalera]],Tabla38[[#This Row],[Longitud]],Tabla38[[#This Row],[Carga Maxima]])</f>
        <v/>
      </c>
      <c r="G211" s="15"/>
      <c r="J211" s="15"/>
      <c r="K211" s="47"/>
      <c r="L211" s="76"/>
      <c r="M211" s="76"/>
      <c r="N211" s="78" t="str">
        <f>_xlfn.LET(
    _xlpm.itemBuscado, B211,
    _xlpm.areaBuscada, C211,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TEXT(COUNTIF($C$2:C211, _xlpm.areaBuscada), "0000"),
    _xlpm.codItem &amp; "-" &amp; _xlpm.codArea &amp; "-" &amp; _xlpm.secuencia
)</f>
        <v>-SinArea-0000</v>
      </c>
      <c r="O211" s="77"/>
      <c r="P211" s="32"/>
      <c r="Q211" s="32"/>
      <c r="R211" s="32"/>
      <c r="S211" s="32"/>
    </row>
    <row r="212" spans="3:19" x14ac:dyDescent="0.3">
      <c r="C212" s="11"/>
      <c r="D212" s="32"/>
      <c r="E212" s="11"/>
      <c r="F212" t="str">
        <f>_xlfn.TEXTJOIN(", ",TRUE, Tabla38[[#This Row],[Tipo de escalera]],Tabla38[[#This Row],[Longitud]],Tabla38[[#This Row],[Carga Maxima]])</f>
        <v/>
      </c>
      <c r="G212" s="15"/>
      <c r="J212" s="15"/>
      <c r="K212" s="47"/>
      <c r="L212" s="76"/>
      <c r="M212" s="76"/>
      <c r="N212" s="78" t="str">
        <f>_xlfn.LET(
    _xlpm.itemBuscado, B212,
    _xlpm.areaBuscada, C212,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TEXT(COUNTIF($C$2:C212, _xlpm.areaBuscada), "0000"),
    _xlpm.codItem &amp; "-" &amp; _xlpm.codArea &amp; "-" &amp; _xlpm.secuencia
)</f>
        <v>-SinArea-0000</v>
      </c>
      <c r="O212" s="77"/>
      <c r="P212" s="32"/>
      <c r="Q212" s="32"/>
      <c r="R212" s="32"/>
      <c r="S212" s="32"/>
    </row>
    <row r="213" spans="3:19" x14ac:dyDescent="0.3">
      <c r="C213" s="11"/>
      <c r="D213" s="32"/>
      <c r="E213" s="11"/>
      <c r="F213" t="str">
        <f>_xlfn.TEXTJOIN(", ",TRUE, Tabla38[[#This Row],[Tipo de escalera]],Tabla38[[#This Row],[Longitud]],Tabla38[[#This Row],[Carga Maxima]])</f>
        <v/>
      </c>
      <c r="G213" s="15"/>
      <c r="J213" s="15"/>
      <c r="K213" s="47"/>
      <c r="L213" s="76"/>
      <c r="M213" s="76"/>
      <c r="N213" s="78" t="str">
        <f>_xlfn.LET(
    _xlpm.itemBuscado, B213,
    _xlpm.areaBuscada, C213,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TEXT(COUNTIF($C$2:C213, _xlpm.areaBuscada), "0000"),
    _xlpm.codItem &amp; "-" &amp; _xlpm.codArea &amp; "-" &amp; _xlpm.secuencia
)</f>
        <v>-SinArea-0000</v>
      </c>
      <c r="O213" s="77"/>
      <c r="P213" s="32"/>
      <c r="Q213" s="32"/>
      <c r="R213" s="32"/>
      <c r="S213" s="32"/>
    </row>
    <row r="214" spans="3:19" x14ac:dyDescent="0.3">
      <c r="C214" s="11"/>
      <c r="D214" s="32"/>
      <c r="E214" s="11"/>
      <c r="F214" t="str">
        <f>_xlfn.TEXTJOIN(", ",TRUE, Tabla38[[#This Row],[Tipo de escalera]],Tabla38[[#This Row],[Longitud]],Tabla38[[#This Row],[Carga Maxima]])</f>
        <v/>
      </c>
      <c r="G214" s="15"/>
      <c r="J214" s="15"/>
      <c r="K214" s="47"/>
      <c r="L214" s="76"/>
      <c r="M214" s="76"/>
      <c r="N214" s="78" t="str">
        <f>_xlfn.LET(
    _xlpm.itemBuscado, B214,
    _xlpm.areaBuscada, C214,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TEXT(COUNTIF($C$2:C214, _xlpm.areaBuscada), "0000"),
    _xlpm.codItem &amp; "-" &amp; _xlpm.codArea &amp; "-" &amp; _xlpm.secuencia
)</f>
        <v>-SinArea-0000</v>
      </c>
      <c r="O214" s="77"/>
      <c r="P214" s="32"/>
      <c r="Q214" s="32"/>
      <c r="R214" s="32"/>
      <c r="S214" s="32"/>
    </row>
    <row r="215" spans="3:19" x14ac:dyDescent="0.3">
      <c r="C215" s="11"/>
      <c r="D215" s="32"/>
      <c r="E215" s="11"/>
      <c r="F215" t="str">
        <f>_xlfn.TEXTJOIN(", ",TRUE, Tabla38[[#This Row],[Tipo de escalera]],Tabla38[[#This Row],[Longitud]],Tabla38[[#This Row],[Carga Maxima]])</f>
        <v/>
      </c>
      <c r="G215" s="15"/>
      <c r="J215" s="15"/>
      <c r="K215" s="47"/>
      <c r="L215" s="76"/>
      <c r="M215" s="76"/>
      <c r="N215" s="78" t="str">
        <f>_xlfn.LET(
    _xlpm.itemBuscado, B215,
    _xlpm.areaBuscada, C215,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TEXT(COUNTIF($C$2:C215, _xlpm.areaBuscada), "0000"),
    _xlpm.codItem &amp; "-" &amp; _xlpm.codArea &amp; "-" &amp; _xlpm.secuencia
)</f>
        <v>-SinArea-0000</v>
      </c>
      <c r="O215" s="77"/>
      <c r="P215" s="32"/>
      <c r="Q215" s="32"/>
      <c r="R215" s="32"/>
      <c r="S215" s="32"/>
    </row>
    <row r="216" spans="3:19" x14ac:dyDescent="0.3">
      <c r="C216" s="11"/>
      <c r="D216" s="32"/>
      <c r="E216" s="11"/>
      <c r="F216" t="str">
        <f>_xlfn.TEXTJOIN(", ",TRUE, Tabla38[[#This Row],[Tipo de escalera]],Tabla38[[#This Row],[Longitud]],Tabla38[[#This Row],[Carga Maxima]])</f>
        <v/>
      </c>
      <c r="G216" s="15"/>
      <c r="J216" s="15"/>
      <c r="K216" s="47"/>
      <c r="L216" s="76"/>
      <c r="M216" s="76"/>
      <c r="N216" s="78" t="str">
        <f>_xlfn.LET(
    _xlpm.itemBuscado, B216,
    _xlpm.areaBuscada, C216,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TEXT(COUNTIF($C$2:C216, _xlpm.areaBuscada), "0000"),
    _xlpm.codItem &amp; "-" &amp; _xlpm.codArea &amp; "-" &amp; _xlpm.secuencia
)</f>
        <v>-SinArea-0000</v>
      </c>
      <c r="O216" s="77"/>
      <c r="P216" s="32"/>
      <c r="Q216" s="32"/>
      <c r="R216" s="32"/>
      <c r="S216" s="32"/>
    </row>
    <row r="217" spans="3:19" x14ac:dyDescent="0.3">
      <c r="C217" s="11"/>
      <c r="D217" s="32"/>
      <c r="E217" s="11"/>
      <c r="F217" t="str">
        <f>_xlfn.TEXTJOIN(", ",TRUE, Tabla38[[#This Row],[Tipo de escalera]],Tabla38[[#This Row],[Longitud]],Tabla38[[#This Row],[Carga Maxima]])</f>
        <v/>
      </c>
      <c r="G217" s="15"/>
      <c r="J217" s="15"/>
      <c r="K217" s="47"/>
      <c r="L217" s="76"/>
      <c r="M217" s="76"/>
      <c r="N217" s="78" t="str">
        <f>_xlfn.LET(
    _xlpm.itemBuscado, B217,
    _xlpm.areaBuscada, C217,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TEXT(COUNTIF($C$2:C217, _xlpm.areaBuscada), "0000"),
    _xlpm.codItem &amp; "-" &amp; _xlpm.codArea &amp; "-" &amp; _xlpm.secuencia
)</f>
        <v>-SinArea-0000</v>
      </c>
      <c r="O217" s="77"/>
      <c r="P217" s="32"/>
      <c r="Q217" s="32"/>
      <c r="R217" s="32"/>
      <c r="S217" s="32"/>
    </row>
    <row r="218" spans="3:19" x14ac:dyDescent="0.3">
      <c r="C218" s="11"/>
      <c r="D218" s="32"/>
      <c r="E218" s="11"/>
      <c r="F218" t="str">
        <f>_xlfn.TEXTJOIN(", ",TRUE, Tabla38[[#This Row],[Tipo de escalera]],Tabla38[[#This Row],[Longitud]],Tabla38[[#This Row],[Carga Maxima]])</f>
        <v/>
      </c>
      <c r="G218" s="15"/>
      <c r="J218" s="15"/>
      <c r="K218" s="47"/>
      <c r="L218" s="76"/>
      <c r="M218" s="76"/>
      <c r="N218" s="78" t="str">
        <f>_xlfn.LET(
    _xlpm.itemBuscado, B218,
    _xlpm.areaBuscada, C218,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TEXT(COUNTIF($C$2:C218, _xlpm.areaBuscada), "0000"),
    _xlpm.codItem &amp; "-" &amp; _xlpm.codArea &amp; "-" &amp; _xlpm.secuencia
)</f>
        <v>-SinArea-0000</v>
      </c>
      <c r="O218" s="77"/>
      <c r="P218" s="32"/>
      <c r="Q218" s="32"/>
      <c r="R218" s="32"/>
      <c r="S218" s="32"/>
    </row>
    <row r="219" spans="3:19" x14ac:dyDescent="0.3">
      <c r="C219" s="11"/>
      <c r="D219" s="32"/>
      <c r="E219" s="11"/>
      <c r="F219" t="str">
        <f>_xlfn.TEXTJOIN(", ",TRUE, Tabla38[[#This Row],[Tipo de escalera]],Tabla38[[#This Row],[Longitud]],Tabla38[[#This Row],[Carga Maxima]])</f>
        <v/>
      </c>
      <c r="G219" s="15"/>
      <c r="J219" s="15"/>
      <c r="K219" s="47"/>
      <c r="L219" s="76"/>
      <c r="M219" s="76"/>
      <c r="N219" s="78" t="str">
        <f>_xlfn.LET(
    _xlpm.itemBuscado, B219,
    _xlpm.areaBuscada, C219,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TEXT(COUNTIF($C$2:C219, _xlpm.areaBuscada), "0000"),
    _xlpm.codItem &amp; "-" &amp; _xlpm.codArea &amp; "-" &amp; _xlpm.secuencia
)</f>
        <v>-SinArea-0000</v>
      </c>
      <c r="O219" s="77"/>
      <c r="P219" s="32"/>
      <c r="Q219" s="32"/>
      <c r="R219" s="32"/>
      <c r="S219" s="32"/>
    </row>
    <row r="220" spans="3:19" x14ac:dyDescent="0.3">
      <c r="C220" s="11"/>
      <c r="D220" s="32"/>
      <c r="E220" s="11"/>
      <c r="F220" t="str">
        <f>_xlfn.TEXTJOIN(", ",TRUE, Tabla38[[#This Row],[Tipo de escalera]],Tabla38[[#This Row],[Longitud]],Tabla38[[#This Row],[Carga Maxima]])</f>
        <v/>
      </c>
      <c r="G220" s="15"/>
      <c r="J220" s="15"/>
      <c r="K220" s="47"/>
      <c r="L220" s="76"/>
      <c r="M220" s="76"/>
      <c r="N220" s="78" t="str">
        <f>_xlfn.LET(
    _xlpm.itemBuscado, B220,
    _xlpm.areaBuscada, C220,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TEXT(COUNTIF($C$2:C220, _xlpm.areaBuscada), "0000"),
    _xlpm.codItem &amp; "-" &amp; _xlpm.codArea &amp; "-" &amp; _xlpm.secuencia
)</f>
        <v>-SinArea-0000</v>
      </c>
      <c r="O220" s="77"/>
      <c r="P220" s="32"/>
      <c r="Q220" s="32"/>
      <c r="R220" s="32"/>
      <c r="S220" s="32"/>
    </row>
    <row r="221" spans="3:19" x14ac:dyDescent="0.3">
      <c r="C221" s="11"/>
      <c r="D221" s="32"/>
      <c r="E221" s="11"/>
      <c r="F221" t="str">
        <f>_xlfn.TEXTJOIN(", ",TRUE, Tabla38[[#This Row],[Tipo de escalera]],Tabla38[[#This Row],[Longitud]],Tabla38[[#This Row],[Carga Maxima]])</f>
        <v/>
      </c>
      <c r="G221" s="15"/>
      <c r="J221" s="15"/>
      <c r="K221" s="47"/>
      <c r="L221" s="76"/>
      <c r="M221" s="76"/>
      <c r="N221" s="78" t="str">
        <f>_xlfn.LET(
    _xlpm.itemBuscado, B221,
    _xlpm.areaBuscada, C221,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TEXT(COUNTIF($C$2:C221, _xlpm.areaBuscada), "0000"),
    _xlpm.codItem &amp; "-" &amp; _xlpm.codArea &amp; "-" &amp; _xlpm.secuencia
)</f>
        <v>-SinArea-0000</v>
      </c>
      <c r="O221" s="77"/>
      <c r="P221" s="32"/>
      <c r="Q221" s="32"/>
      <c r="R221" s="32"/>
      <c r="S221" s="32"/>
    </row>
    <row r="222" spans="3:19" x14ac:dyDescent="0.3">
      <c r="C222" s="11"/>
      <c r="D222" s="32"/>
      <c r="E222" s="11"/>
      <c r="F222" t="str">
        <f>_xlfn.TEXTJOIN(", ",TRUE, Tabla38[[#This Row],[Tipo de escalera]],Tabla38[[#This Row],[Longitud]],Tabla38[[#This Row],[Carga Maxima]])</f>
        <v/>
      </c>
      <c r="G222" s="15"/>
      <c r="J222" s="15"/>
      <c r="K222" s="47"/>
      <c r="L222" s="76"/>
      <c r="M222" s="76"/>
      <c r="N222" s="78" t="str">
        <f>_xlfn.LET(
    _xlpm.itemBuscado, B222,
    _xlpm.areaBuscada, C222,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TEXT(COUNTIF($C$2:C222, _xlpm.areaBuscada), "0000"),
    _xlpm.codItem &amp; "-" &amp; _xlpm.codArea &amp; "-" &amp; _xlpm.secuencia
)</f>
        <v>-SinArea-0000</v>
      </c>
      <c r="O222" s="77"/>
      <c r="P222" s="32"/>
      <c r="Q222" s="32"/>
      <c r="R222" s="32"/>
      <c r="S222" s="32"/>
    </row>
    <row r="223" spans="3:19" x14ac:dyDescent="0.3">
      <c r="C223" s="11"/>
      <c r="D223" s="32"/>
      <c r="E223" s="11"/>
      <c r="F223" t="str">
        <f>_xlfn.TEXTJOIN(", ",TRUE, Tabla38[[#This Row],[Tipo de escalera]],Tabla38[[#This Row],[Longitud]],Tabla38[[#This Row],[Carga Maxima]])</f>
        <v/>
      </c>
      <c r="G223" s="15"/>
      <c r="J223" s="15"/>
      <c r="K223" s="47"/>
      <c r="L223" s="76"/>
      <c r="M223" s="76"/>
      <c r="N223" s="78" t="str">
        <f>_xlfn.LET(
    _xlpm.itemBuscado, B223,
    _xlpm.areaBuscada, C223,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TEXT(COUNTIF($C$2:C223, _xlpm.areaBuscada), "0000"),
    _xlpm.codItem &amp; "-" &amp; _xlpm.codArea &amp; "-" &amp; _xlpm.secuencia
)</f>
        <v>-SinArea-0000</v>
      </c>
      <c r="O223" s="77"/>
      <c r="P223" s="32"/>
      <c r="Q223" s="32"/>
      <c r="R223" s="32"/>
      <c r="S223" s="32"/>
    </row>
    <row r="224" spans="3:19" x14ac:dyDescent="0.3">
      <c r="C224" s="11"/>
      <c r="D224" s="32"/>
      <c r="E224" s="11"/>
      <c r="F224" t="str">
        <f>_xlfn.TEXTJOIN(", ",TRUE, Tabla38[[#This Row],[Tipo de escalera]],Tabla38[[#This Row],[Longitud]],Tabla38[[#This Row],[Carga Maxima]])</f>
        <v/>
      </c>
      <c r="G224" s="15"/>
      <c r="J224" s="15"/>
      <c r="K224" s="47"/>
      <c r="L224" s="76"/>
      <c r="M224" s="76"/>
      <c r="N224" s="78" t="str">
        <f>_xlfn.LET(
    _xlpm.itemBuscado, B224,
    _xlpm.areaBuscada, C224,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TEXT(COUNTIF($C$2:C224, _xlpm.areaBuscada), "0000"),
    _xlpm.codItem &amp; "-" &amp; _xlpm.codArea &amp; "-" &amp; _xlpm.secuencia
)</f>
        <v>-SinArea-0000</v>
      </c>
      <c r="O224" s="77"/>
      <c r="P224" s="32"/>
      <c r="Q224" s="32"/>
      <c r="R224" s="32"/>
      <c r="S224" s="32"/>
    </row>
    <row r="225" spans="3:19" x14ac:dyDescent="0.3">
      <c r="C225" s="11"/>
      <c r="D225" s="32"/>
      <c r="E225" s="11"/>
      <c r="F225" t="str">
        <f>_xlfn.TEXTJOIN(", ",TRUE, Tabla38[[#This Row],[Tipo de escalera]],Tabla38[[#This Row],[Longitud]],Tabla38[[#This Row],[Carga Maxima]])</f>
        <v/>
      </c>
      <c r="G225" s="15"/>
      <c r="J225" s="15"/>
      <c r="K225" s="47"/>
      <c r="L225" s="76"/>
      <c r="M225" s="76"/>
      <c r="N225" s="78" t="str">
        <f>_xlfn.LET(
    _xlpm.itemBuscado, B225,
    _xlpm.areaBuscada, C225,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TEXT(COUNTIF($C$2:C225, _xlpm.areaBuscada), "0000"),
    _xlpm.codItem &amp; "-" &amp; _xlpm.codArea &amp; "-" &amp; _xlpm.secuencia
)</f>
        <v>-SinArea-0000</v>
      </c>
      <c r="O225" s="77"/>
      <c r="P225" s="32"/>
      <c r="Q225" s="32"/>
      <c r="R225" s="32"/>
      <c r="S225" s="32"/>
    </row>
    <row r="226" spans="3:19" x14ac:dyDescent="0.3">
      <c r="C226" s="11"/>
      <c r="D226" s="32"/>
      <c r="E226" s="11"/>
      <c r="F226" t="str">
        <f>_xlfn.TEXTJOIN(", ",TRUE, Tabla38[[#This Row],[Tipo de escalera]],Tabla38[[#This Row],[Longitud]],Tabla38[[#This Row],[Carga Maxima]])</f>
        <v/>
      </c>
      <c r="G226" s="15"/>
      <c r="J226" s="15"/>
      <c r="K226" s="47"/>
      <c r="L226" s="76"/>
      <c r="M226" s="76"/>
      <c r="N226" s="78" t="str">
        <f>_xlfn.LET(
    _xlpm.itemBuscado, B226,
    _xlpm.areaBuscada, C226,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TEXT(COUNTIF($C$2:C226, _xlpm.areaBuscada), "0000"),
    _xlpm.codItem &amp; "-" &amp; _xlpm.codArea &amp; "-" &amp; _xlpm.secuencia
)</f>
        <v>-SinArea-0000</v>
      </c>
      <c r="O226" s="77"/>
      <c r="P226" s="32"/>
      <c r="Q226" s="32"/>
      <c r="R226" s="32"/>
      <c r="S226" s="32"/>
    </row>
    <row r="227" spans="3:19" x14ac:dyDescent="0.3">
      <c r="C227" s="11"/>
      <c r="D227" s="32"/>
      <c r="E227" s="11"/>
      <c r="F227" t="str">
        <f>_xlfn.TEXTJOIN(", ",TRUE, Tabla38[[#This Row],[Tipo de escalera]],Tabla38[[#This Row],[Longitud]],Tabla38[[#This Row],[Carga Maxima]])</f>
        <v/>
      </c>
      <c r="G227" s="15"/>
      <c r="J227" s="15"/>
      <c r="K227" s="47"/>
      <c r="L227" s="76"/>
      <c r="M227" s="76"/>
      <c r="N227" s="78" t="str">
        <f>_xlfn.LET(
    _xlpm.itemBuscado, B227,
    _xlpm.areaBuscada, C227,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TEXT(COUNTIF($C$2:C227, _xlpm.areaBuscada), "0000"),
    _xlpm.codItem &amp; "-" &amp; _xlpm.codArea &amp; "-" &amp; _xlpm.secuencia
)</f>
        <v>-SinArea-0000</v>
      </c>
      <c r="O227" s="77"/>
      <c r="P227" s="32"/>
      <c r="Q227" s="32"/>
      <c r="R227" s="32"/>
      <c r="S227" s="32"/>
    </row>
    <row r="228" spans="3:19" x14ac:dyDescent="0.3">
      <c r="C228" s="11"/>
      <c r="D228" s="32"/>
      <c r="E228" s="11"/>
      <c r="F228" t="str">
        <f>_xlfn.TEXTJOIN(", ",TRUE, Tabla38[[#This Row],[Tipo de escalera]],Tabla38[[#This Row],[Longitud]],Tabla38[[#This Row],[Carga Maxima]])</f>
        <v/>
      </c>
      <c r="G228" s="15"/>
      <c r="J228" s="15"/>
      <c r="K228" s="47"/>
      <c r="L228" s="76"/>
      <c r="M228" s="76"/>
      <c r="N228" s="78" t="str">
        <f>_xlfn.LET(
    _xlpm.itemBuscado, B228,
    _xlpm.areaBuscada, C228,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TEXT(COUNTIF($C$2:C228, _xlpm.areaBuscada), "0000"),
    _xlpm.codItem &amp; "-" &amp; _xlpm.codArea &amp; "-" &amp; _xlpm.secuencia
)</f>
        <v>-SinArea-0000</v>
      </c>
      <c r="O228" s="77"/>
      <c r="P228" s="32"/>
      <c r="Q228" s="32"/>
      <c r="R228" s="32"/>
      <c r="S228" s="32"/>
    </row>
    <row r="229" spans="3:19" x14ac:dyDescent="0.3">
      <c r="C229" s="11"/>
      <c r="D229" s="32"/>
      <c r="E229" s="11"/>
      <c r="F229" t="str">
        <f>_xlfn.TEXTJOIN(", ",TRUE, Tabla38[[#This Row],[Tipo de escalera]],Tabla38[[#This Row],[Longitud]],Tabla38[[#This Row],[Carga Maxima]])</f>
        <v/>
      </c>
      <c r="G229" s="15"/>
      <c r="J229" s="15"/>
      <c r="K229" s="47"/>
      <c r="L229" s="76"/>
      <c r="M229" s="76"/>
      <c r="N229" s="78" t="str">
        <f>_xlfn.LET(
    _xlpm.itemBuscado, B229,
    _xlpm.areaBuscada, C229,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TEXT(COUNTIF($C$2:C229, _xlpm.areaBuscada), "0000"),
    _xlpm.codItem &amp; "-" &amp; _xlpm.codArea &amp; "-" &amp; _xlpm.secuencia
)</f>
        <v>-SinArea-0000</v>
      </c>
      <c r="O229" s="77"/>
      <c r="P229" s="32"/>
      <c r="Q229" s="32"/>
      <c r="R229" s="32"/>
      <c r="S229" s="32"/>
    </row>
    <row r="230" spans="3:19" x14ac:dyDescent="0.3">
      <c r="C230" s="11"/>
      <c r="D230" s="32"/>
      <c r="E230" s="11"/>
      <c r="F230" t="str">
        <f>_xlfn.TEXTJOIN(", ",TRUE, Tabla38[[#This Row],[Tipo de escalera]],Tabla38[[#This Row],[Longitud]],Tabla38[[#This Row],[Carga Maxima]])</f>
        <v/>
      </c>
      <c r="G230" s="15"/>
      <c r="J230" s="15"/>
      <c r="K230" s="47"/>
      <c r="L230" s="76"/>
      <c r="M230" s="76"/>
      <c r="N230" s="78" t="str">
        <f>_xlfn.LET(
    _xlpm.itemBuscado, B230,
    _xlpm.areaBuscada, C230,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TEXT(COUNTIF($C$2:C230, _xlpm.areaBuscada), "0000"),
    _xlpm.codItem &amp; "-" &amp; _xlpm.codArea &amp; "-" &amp; _xlpm.secuencia
)</f>
        <v>-SinArea-0000</v>
      </c>
      <c r="O230" s="77"/>
      <c r="P230" s="32"/>
      <c r="Q230" s="32"/>
      <c r="R230" s="32"/>
      <c r="S230" s="32"/>
    </row>
    <row r="231" spans="3:19" x14ac:dyDescent="0.3">
      <c r="C231" s="11"/>
      <c r="D231" s="32"/>
      <c r="E231" s="11"/>
      <c r="F231" t="str">
        <f>_xlfn.TEXTJOIN(", ",TRUE, Tabla38[[#This Row],[Tipo de escalera]],Tabla38[[#This Row],[Longitud]],Tabla38[[#This Row],[Carga Maxima]])</f>
        <v/>
      </c>
      <c r="G231" s="15"/>
      <c r="J231" s="15"/>
      <c r="K231" s="47"/>
      <c r="L231" s="76"/>
      <c r="M231" s="76"/>
      <c r="N231" s="78" t="str">
        <f>_xlfn.LET(
    _xlpm.itemBuscado, B231,
    _xlpm.areaBuscada, C231,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TEXT(COUNTIF($C$2:C231, _xlpm.areaBuscada), "0000"),
    _xlpm.codItem &amp; "-" &amp; _xlpm.codArea &amp; "-" &amp; _xlpm.secuencia
)</f>
        <v>-SinArea-0000</v>
      </c>
      <c r="O231" s="77"/>
      <c r="P231" s="32"/>
      <c r="Q231" s="32"/>
      <c r="R231" s="32"/>
      <c r="S231" s="32"/>
    </row>
    <row r="232" spans="3:19" x14ac:dyDescent="0.3">
      <c r="C232" s="11"/>
      <c r="D232" s="32"/>
      <c r="E232" s="11"/>
      <c r="F232" t="str">
        <f>_xlfn.TEXTJOIN(", ",TRUE, Tabla38[[#This Row],[Tipo de escalera]],Tabla38[[#This Row],[Longitud]],Tabla38[[#This Row],[Carga Maxima]])</f>
        <v/>
      </c>
      <c r="G232" s="15"/>
      <c r="J232" s="15"/>
      <c r="K232" s="47"/>
      <c r="L232" s="76"/>
      <c r="M232" s="76"/>
      <c r="N232" s="78" t="str">
        <f>_xlfn.LET(
    _xlpm.itemBuscado, B232,
    _xlpm.areaBuscada, C232,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TEXT(COUNTIF($C$2:C232, _xlpm.areaBuscada), "0000"),
    _xlpm.codItem &amp; "-" &amp; _xlpm.codArea &amp; "-" &amp; _xlpm.secuencia
)</f>
        <v>-SinArea-0000</v>
      </c>
      <c r="O232" s="77"/>
      <c r="P232" s="32"/>
      <c r="Q232" s="32"/>
      <c r="R232" s="32"/>
      <c r="S232" s="32"/>
    </row>
    <row r="233" spans="3:19" x14ac:dyDescent="0.3">
      <c r="C233" s="11"/>
      <c r="D233" s="32"/>
      <c r="E233" s="11"/>
      <c r="F233" t="str">
        <f>_xlfn.TEXTJOIN(", ",TRUE, Tabla38[[#This Row],[Tipo de escalera]],Tabla38[[#This Row],[Longitud]],Tabla38[[#This Row],[Carga Maxima]])</f>
        <v/>
      </c>
      <c r="G233" s="15"/>
      <c r="J233" s="15"/>
      <c r="K233" s="47"/>
      <c r="L233" s="76"/>
      <c r="M233" s="76"/>
      <c r="N233" s="78" t="str">
        <f>_xlfn.LET(
    _xlpm.itemBuscado, B233,
    _xlpm.areaBuscada, C233,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TEXT(COUNTIF($C$2:C233, _xlpm.areaBuscada), "0000"),
    _xlpm.codItem &amp; "-" &amp; _xlpm.codArea &amp; "-" &amp; _xlpm.secuencia
)</f>
        <v>-SinArea-0000</v>
      </c>
      <c r="O233" s="77"/>
      <c r="P233" s="32"/>
      <c r="Q233" s="32"/>
      <c r="R233" s="32"/>
      <c r="S233" s="32"/>
    </row>
    <row r="234" spans="3:19" x14ac:dyDescent="0.3">
      <c r="C234" s="11"/>
      <c r="D234" s="32"/>
      <c r="E234" s="11"/>
      <c r="F234" t="str">
        <f>_xlfn.TEXTJOIN(", ",TRUE, Tabla38[[#This Row],[Tipo de escalera]],Tabla38[[#This Row],[Longitud]],Tabla38[[#This Row],[Carga Maxima]])</f>
        <v/>
      </c>
      <c r="G234" s="15"/>
      <c r="J234" s="15"/>
      <c r="K234" s="47"/>
      <c r="L234" s="76"/>
      <c r="M234" s="76"/>
      <c r="N234" s="78" t="str">
        <f>_xlfn.LET(
    _xlpm.itemBuscado, B234,
    _xlpm.areaBuscada, C234,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TEXT(COUNTIF($C$2:C234, _xlpm.areaBuscada), "0000"),
    _xlpm.codItem &amp; "-" &amp; _xlpm.codArea &amp; "-" &amp; _xlpm.secuencia
)</f>
        <v>-SinArea-0000</v>
      </c>
      <c r="O234" s="77"/>
      <c r="P234" s="32"/>
      <c r="Q234" s="32"/>
      <c r="R234" s="32"/>
      <c r="S234" s="32"/>
    </row>
    <row r="235" spans="3:19" x14ac:dyDescent="0.3">
      <c r="C235" s="11"/>
      <c r="D235" s="32"/>
      <c r="E235" s="11"/>
      <c r="F235" t="str">
        <f>_xlfn.TEXTJOIN(", ",TRUE, Tabla38[[#This Row],[Tipo de escalera]],Tabla38[[#This Row],[Longitud]],Tabla38[[#This Row],[Carga Maxima]])</f>
        <v/>
      </c>
      <c r="G235" s="15"/>
      <c r="J235" s="15"/>
      <c r="K235" s="47"/>
      <c r="L235" s="76"/>
      <c r="M235" s="76"/>
      <c r="N235" s="78" t="str">
        <f>_xlfn.LET(
    _xlpm.itemBuscado, B235,
    _xlpm.areaBuscada, C235,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TEXT(COUNTIF($C$2:C235, _xlpm.areaBuscada), "0000"),
    _xlpm.codItem &amp; "-" &amp; _xlpm.codArea &amp; "-" &amp; _xlpm.secuencia
)</f>
        <v>-SinArea-0000</v>
      </c>
      <c r="O235" s="77"/>
      <c r="P235" s="32"/>
      <c r="Q235" s="32"/>
      <c r="R235" s="32"/>
      <c r="S235" s="32"/>
    </row>
    <row r="236" spans="3:19" x14ac:dyDescent="0.3">
      <c r="C236" s="11"/>
      <c r="D236" s="32"/>
      <c r="E236" s="11"/>
      <c r="F236" t="str">
        <f>_xlfn.TEXTJOIN(", ",TRUE, Tabla38[[#This Row],[Tipo de escalera]],Tabla38[[#This Row],[Longitud]],Tabla38[[#This Row],[Carga Maxima]])</f>
        <v/>
      </c>
      <c r="G236" s="15"/>
      <c r="J236" s="15"/>
      <c r="K236" s="47"/>
      <c r="L236" s="76"/>
      <c r="M236" s="76"/>
      <c r="N236" s="78" t="str">
        <f>_xlfn.LET(
    _xlpm.itemBuscado, B236,
    _xlpm.areaBuscada, C236,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TEXT(COUNTIF($C$2:C236, _xlpm.areaBuscada), "0000"),
    _xlpm.codItem &amp; "-" &amp; _xlpm.codArea &amp; "-" &amp; _xlpm.secuencia
)</f>
        <v>-SinArea-0000</v>
      </c>
      <c r="O236" s="77"/>
      <c r="P236" s="32"/>
      <c r="Q236" s="32"/>
      <c r="R236" s="32"/>
      <c r="S236" s="32"/>
    </row>
    <row r="237" spans="3:19" x14ac:dyDescent="0.3">
      <c r="C237" s="11"/>
      <c r="D237" s="32"/>
      <c r="E237" s="11"/>
      <c r="F237" t="str">
        <f>_xlfn.TEXTJOIN(", ",TRUE, Tabla38[[#This Row],[Tipo de escalera]],Tabla38[[#This Row],[Longitud]],Tabla38[[#This Row],[Carga Maxima]])</f>
        <v/>
      </c>
      <c r="G237" s="15"/>
      <c r="J237" s="15"/>
      <c r="K237" s="47"/>
      <c r="L237" s="76"/>
      <c r="M237" s="76"/>
      <c r="N237" s="78" t="str">
        <f>_xlfn.LET(
    _xlpm.itemBuscado, B237,
    _xlpm.areaBuscada, C237,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TEXT(COUNTIF($C$2:C237, _xlpm.areaBuscada), "0000"),
    _xlpm.codItem &amp; "-" &amp; _xlpm.codArea &amp; "-" &amp; _xlpm.secuencia
)</f>
        <v>-SinArea-0000</v>
      </c>
      <c r="O237" s="77"/>
      <c r="P237" s="32"/>
      <c r="Q237" s="32"/>
      <c r="R237" s="32"/>
      <c r="S237" s="32"/>
    </row>
    <row r="238" spans="3:19" x14ac:dyDescent="0.3">
      <c r="C238" s="11"/>
      <c r="D238" s="32"/>
      <c r="E238" s="11"/>
      <c r="F238" t="str">
        <f>_xlfn.TEXTJOIN(", ",TRUE, Tabla38[[#This Row],[Tipo de escalera]],Tabla38[[#This Row],[Longitud]],Tabla38[[#This Row],[Carga Maxima]])</f>
        <v/>
      </c>
      <c r="G238" s="15"/>
      <c r="J238" s="15"/>
      <c r="K238" s="47"/>
      <c r="L238" s="76"/>
      <c r="M238" s="76"/>
      <c r="N238" s="78" t="str">
        <f>_xlfn.LET(
    _xlpm.itemBuscado, B238,
    _xlpm.areaBuscada, C238,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TEXT(COUNTIF($C$2:C238, _xlpm.areaBuscada), "0000"),
    _xlpm.codItem &amp; "-" &amp; _xlpm.codArea &amp; "-" &amp; _xlpm.secuencia
)</f>
        <v>-SinArea-0000</v>
      </c>
      <c r="O238" s="77"/>
      <c r="P238" s="32"/>
      <c r="Q238" s="32"/>
      <c r="R238" s="32"/>
      <c r="S238" s="32"/>
    </row>
    <row r="239" spans="3:19" x14ac:dyDescent="0.3">
      <c r="C239" s="11"/>
      <c r="D239" s="32"/>
      <c r="E239" s="11"/>
      <c r="F239" t="str">
        <f>_xlfn.TEXTJOIN(", ",TRUE, Tabla38[[#This Row],[Tipo de escalera]],Tabla38[[#This Row],[Longitud]],Tabla38[[#This Row],[Carga Maxima]])</f>
        <v/>
      </c>
      <c r="G239" s="15"/>
      <c r="J239" s="15"/>
      <c r="K239" s="47"/>
      <c r="L239" s="76"/>
      <c r="M239" s="76"/>
      <c r="N239" s="78" t="str">
        <f>_xlfn.LET(
    _xlpm.itemBuscado, B239,
    _xlpm.areaBuscada, C239,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TEXT(COUNTIF($C$2:C239, _xlpm.areaBuscada), "0000"),
    _xlpm.codItem &amp; "-" &amp; _xlpm.codArea &amp; "-" &amp; _xlpm.secuencia
)</f>
        <v>-SinArea-0000</v>
      </c>
      <c r="O239" s="77"/>
      <c r="P239" s="32"/>
      <c r="Q239" s="32"/>
      <c r="R239" s="32"/>
      <c r="S239" s="32"/>
    </row>
    <row r="240" spans="3:19" x14ac:dyDescent="0.3">
      <c r="C240" s="11"/>
      <c r="D240" s="32"/>
      <c r="E240" s="11"/>
      <c r="F240" t="str">
        <f>_xlfn.TEXTJOIN(", ",TRUE, Tabla38[[#This Row],[Tipo de escalera]],Tabla38[[#This Row],[Longitud]],Tabla38[[#This Row],[Carga Maxima]])</f>
        <v/>
      </c>
      <c r="G240" s="15"/>
      <c r="J240" s="15"/>
      <c r="K240" s="47"/>
      <c r="L240" s="76"/>
      <c r="M240" s="76"/>
      <c r="N240" s="78" t="str">
        <f>_xlfn.LET(
    _xlpm.itemBuscado, B240,
    _xlpm.areaBuscada, C240,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TEXT(COUNTIF($C$2:C240, _xlpm.areaBuscada), "0000"),
    _xlpm.codItem &amp; "-" &amp; _xlpm.codArea &amp; "-" &amp; _xlpm.secuencia
)</f>
        <v>-SinArea-0000</v>
      </c>
      <c r="O240" s="77"/>
      <c r="P240" s="32"/>
      <c r="Q240" s="32"/>
      <c r="R240" s="32"/>
      <c r="S240" s="32"/>
    </row>
    <row r="241" spans="3:19" x14ac:dyDescent="0.3">
      <c r="C241" s="11"/>
      <c r="D241" s="32"/>
      <c r="E241" s="11"/>
      <c r="F241" t="str">
        <f>_xlfn.TEXTJOIN(", ",TRUE, Tabla38[[#This Row],[Tipo de escalera]],Tabla38[[#This Row],[Longitud]],Tabla38[[#This Row],[Carga Maxima]])</f>
        <v/>
      </c>
      <c r="G241" s="15"/>
      <c r="J241" s="15"/>
      <c r="K241" s="47"/>
      <c r="L241" s="76"/>
      <c r="M241" s="76"/>
      <c r="N241" s="78" t="str">
        <f>_xlfn.LET(
    _xlpm.itemBuscado, B241,
    _xlpm.areaBuscada, C241,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TEXT(COUNTIF($C$2:C241, _xlpm.areaBuscada), "0000"),
    _xlpm.codItem &amp; "-" &amp; _xlpm.codArea &amp; "-" &amp; _xlpm.secuencia
)</f>
        <v>-SinArea-0000</v>
      </c>
      <c r="O241" s="77"/>
      <c r="P241" s="32"/>
      <c r="Q241" s="32"/>
      <c r="R241" s="32"/>
      <c r="S241" s="32"/>
    </row>
    <row r="242" spans="3:19" x14ac:dyDescent="0.3">
      <c r="C242" s="11"/>
      <c r="D242" s="32"/>
      <c r="E242" s="11"/>
      <c r="F242" t="str">
        <f>_xlfn.TEXTJOIN(", ",TRUE, Tabla38[[#This Row],[Tipo de escalera]],Tabla38[[#This Row],[Longitud]],Tabla38[[#This Row],[Carga Maxima]])</f>
        <v/>
      </c>
      <c r="G242" s="15"/>
      <c r="J242" s="15"/>
      <c r="K242" s="47"/>
      <c r="L242" s="76"/>
      <c r="M242" s="76"/>
      <c r="N242" s="78" t="str">
        <f>_xlfn.LET(
    _xlpm.itemBuscado, B242,
    _xlpm.areaBuscada, C242,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TEXT(COUNTIF($C$2:C242, _xlpm.areaBuscada), "0000"),
    _xlpm.codItem &amp; "-" &amp; _xlpm.codArea &amp; "-" &amp; _xlpm.secuencia
)</f>
        <v>-SinArea-0000</v>
      </c>
      <c r="O242" s="77"/>
      <c r="P242" s="32"/>
      <c r="Q242" s="32"/>
      <c r="R242" s="32"/>
      <c r="S242" s="32"/>
    </row>
    <row r="243" spans="3:19" x14ac:dyDescent="0.3">
      <c r="C243" s="11"/>
      <c r="D243" s="32"/>
      <c r="E243" s="11"/>
      <c r="F243" t="str">
        <f>_xlfn.TEXTJOIN(", ",TRUE, Tabla38[[#This Row],[Tipo de escalera]],Tabla38[[#This Row],[Longitud]],Tabla38[[#This Row],[Carga Maxima]])</f>
        <v/>
      </c>
      <c r="G243" s="15"/>
      <c r="J243" s="15"/>
      <c r="K243" s="47"/>
      <c r="L243" s="76"/>
      <c r="M243" s="76"/>
      <c r="N243" s="78" t="str">
        <f>_xlfn.LET(
    _xlpm.itemBuscado, B243,
    _xlpm.areaBuscada, C243,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TEXT(COUNTIF($C$2:C243, _xlpm.areaBuscada), "0000"),
    _xlpm.codItem &amp; "-" &amp; _xlpm.codArea &amp; "-" &amp; _xlpm.secuencia
)</f>
        <v>-SinArea-0000</v>
      </c>
      <c r="O243" s="77"/>
      <c r="P243" s="32"/>
      <c r="Q243" s="32"/>
      <c r="R243" s="32"/>
      <c r="S243" s="32"/>
    </row>
    <row r="244" spans="3:19" x14ac:dyDescent="0.3">
      <c r="C244" s="11"/>
      <c r="D244" s="32"/>
      <c r="E244" s="11"/>
      <c r="F244" t="str">
        <f>_xlfn.TEXTJOIN(", ",TRUE, Tabla38[[#This Row],[Tipo de escalera]],Tabla38[[#This Row],[Longitud]],Tabla38[[#This Row],[Carga Maxima]])</f>
        <v/>
      </c>
      <c r="G244" s="15"/>
      <c r="J244" s="15"/>
      <c r="K244" s="47"/>
      <c r="L244" s="76"/>
      <c r="M244" s="76"/>
      <c r="N244" s="78" t="str">
        <f>_xlfn.LET(
    _xlpm.itemBuscado, B244,
    _xlpm.areaBuscada, C244,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TEXT(COUNTIF($C$2:C244, _xlpm.areaBuscada), "0000"),
    _xlpm.codItem &amp; "-" &amp; _xlpm.codArea &amp; "-" &amp; _xlpm.secuencia
)</f>
        <v>-SinArea-0000</v>
      </c>
      <c r="O244" s="77"/>
      <c r="P244" s="32"/>
      <c r="Q244" s="32"/>
      <c r="R244" s="32"/>
      <c r="S244" s="32"/>
    </row>
    <row r="245" spans="3:19" x14ac:dyDescent="0.3">
      <c r="C245" s="11"/>
      <c r="D245" s="32"/>
      <c r="E245" s="11"/>
      <c r="F245" t="str">
        <f>_xlfn.TEXTJOIN(", ",TRUE, Tabla38[[#This Row],[Tipo de escalera]],Tabla38[[#This Row],[Longitud]],Tabla38[[#This Row],[Carga Maxima]])</f>
        <v/>
      </c>
      <c r="G245" s="15"/>
      <c r="J245" s="15"/>
      <c r="K245" s="47"/>
      <c r="L245" s="76"/>
      <c r="M245" s="76"/>
      <c r="N245" s="78" t="str">
        <f>_xlfn.LET(
    _xlpm.itemBuscado, B245,
    _xlpm.areaBuscada, C245,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TEXT(COUNTIF($C$2:C245, _xlpm.areaBuscada), "0000"),
    _xlpm.codItem &amp; "-" &amp; _xlpm.codArea &amp; "-" &amp; _xlpm.secuencia
)</f>
        <v>-SinArea-0000</v>
      </c>
      <c r="O245" s="77"/>
      <c r="P245" s="32"/>
      <c r="Q245" s="32"/>
      <c r="R245" s="32"/>
      <c r="S245" s="32"/>
    </row>
    <row r="246" spans="3:19" x14ac:dyDescent="0.3">
      <c r="C246" s="11"/>
      <c r="D246" s="32"/>
      <c r="E246" s="11"/>
      <c r="F246" t="str">
        <f>_xlfn.TEXTJOIN(", ",TRUE, Tabla38[[#This Row],[Tipo de escalera]],Tabla38[[#This Row],[Longitud]],Tabla38[[#This Row],[Carga Maxima]])</f>
        <v/>
      </c>
      <c r="G246" s="15"/>
      <c r="J246" s="15"/>
      <c r="K246" s="47"/>
      <c r="L246" s="76"/>
      <c r="M246" s="76"/>
      <c r="N246" s="78" t="str">
        <f>_xlfn.LET(
    _xlpm.itemBuscado, B246,
    _xlpm.areaBuscada, C246,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TEXT(COUNTIF($C$2:C246, _xlpm.areaBuscada), "0000"),
    _xlpm.codItem &amp; "-" &amp; _xlpm.codArea &amp; "-" &amp; _xlpm.secuencia
)</f>
        <v>-SinArea-0000</v>
      </c>
      <c r="O246" s="77"/>
      <c r="P246" s="32"/>
      <c r="Q246" s="32"/>
      <c r="R246" s="32"/>
      <c r="S246" s="32"/>
    </row>
    <row r="247" spans="3:19" x14ac:dyDescent="0.3">
      <c r="C247" s="11"/>
      <c r="D247" s="32"/>
      <c r="E247" s="11"/>
      <c r="F247" t="str">
        <f>_xlfn.TEXTJOIN(", ",TRUE, Tabla38[[#This Row],[Tipo de escalera]],Tabla38[[#This Row],[Longitud]],Tabla38[[#This Row],[Carga Maxima]])</f>
        <v/>
      </c>
      <c r="G247" s="15"/>
      <c r="J247" s="15"/>
      <c r="K247" s="47"/>
      <c r="L247" s="76"/>
      <c r="M247" s="76"/>
      <c r="N247" s="78" t="str">
        <f>_xlfn.LET(
    _xlpm.itemBuscado, B247,
    _xlpm.areaBuscada, C247,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TEXT(COUNTIF($C$2:C247, _xlpm.areaBuscada), "0000"),
    _xlpm.codItem &amp; "-" &amp; _xlpm.codArea &amp; "-" &amp; _xlpm.secuencia
)</f>
        <v>-SinArea-0000</v>
      </c>
      <c r="O247" s="77"/>
      <c r="P247" s="32"/>
      <c r="Q247" s="32"/>
      <c r="R247" s="32"/>
      <c r="S247" s="32"/>
    </row>
    <row r="248" spans="3:19" x14ac:dyDescent="0.3">
      <c r="C248" s="11"/>
      <c r="D248" s="32"/>
      <c r="E248" s="11"/>
      <c r="F248" t="str">
        <f>_xlfn.TEXTJOIN(", ",TRUE, Tabla38[[#This Row],[Tipo de escalera]],Tabla38[[#This Row],[Longitud]],Tabla38[[#This Row],[Carga Maxima]])</f>
        <v/>
      </c>
      <c r="G248" s="15"/>
      <c r="J248" s="15"/>
      <c r="K248" s="47"/>
      <c r="L248" s="76"/>
      <c r="M248" s="76"/>
      <c r="N248" s="78" t="str">
        <f>_xlfn.LET(
    _xlpm.itemBuscado, B248,
    _xlpm.areaBuscada, C248,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TEXT(COUNTIF($C$2:C248, _xlpm.areaBuscada), "0000"),
    _xlpm.codItem &amp; "-" &amp; _xlpm.codArea &amp; "-" &amp; _xlpm.secuencia
)</f>
        <v>-SinArea-0000</v>
      </c>
      <c r="O248" s="77"/>
      <c r="P248" s="32"/>
      <c r="Q248" s="32"/>
      <c r="R248" s="32"/>
      <c r="S248" s="32"/>
    </row>
    <row r="249" spans="3:19" x14ac:dyDescent="0.3">
      <c r="C249" s="11"/>
      <c r="D249" s="32"/>
      <c r="E249" s="11"/>
      <c r="F249" t="str">
        <f>_xlfn.TEXTJOIN(", ",TRUE, Tabla38[[#This Row],[Tipo de escalera]],Tabla38[[#This Row],[Longitud]],Tabla38[[#This Row],[Carga Maxima]])</f>
        <v/>
      </c>
      <c r="G249" s="15"/>
      <c r="J249" s="15"/>
      <c r="K249" s="47"/>
      <c r="L249" s="76"/>
      <c r="M249" s="76"/>
      <c r="N249" s="78" t="str">
        <f>_xlfn.LET(
    _xlpm.itemBuscado, B249,
    _xlpm.areaBuscada, C249,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TEXT(COUNTIF($C$2:C249, _xlpm.areaBuscada), "0000"),
    _xlpm.codItem &amp; "-" &amp; _xlpm.codArea &amp; "-" &amp; _xlpm.secuencia
)</f>
        <v>-SinArea-0000</v>
      </c>
      <c r="O249" s="77"/>
      <c r="P249" s="32"/>
      <c r="Q249" s="32"/>
      <c r="R249" s="32"/>
      <c r="S249" s="32"/>
    </row>
    <row r="250" spans="3:19" x14ac:dyDescent="0.3">
      <c r="C250" s="11"/>
      <c r="D250" s="32"/>
      <c r="E250" s="11"/>
      <c r="F250" t="str">
        <f>_xlfn.TEXTJOIN(", ",TRUE, Tabla38[[#This Row],[Tipo de escalera]],Tabla38[[#This Row],[Longitud]],Tabla38[[#This Row],[Carga Maxima]])</f>
        <v/>
      </c>
      <c r="G250" s="15"/>
      <c r="J250" s="15"/>
      <c r="K250" s="47"/>
      <c r="L250" s="76"/>
      <c r="M250" s="76"/>
      <c r="N250" s="78" t="str">
        <f>_xlfn.LET(
    _xlpm.itemBuscado, B250,
    _xlpm.areaBuscada, C250,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TEXT(COUNTIF($C$2:C250, _xlpm.areaBuscada), "0000"),
    _xlpm.codItem &amp; "-" &amp; _xlpm.codArea &amp; "-" &amp; _xlpm.secuencia
)</f>
        <v>-SinArea-0000</v>
      </c>
      <c r="O250" s="77"/>
      <c r="P250" s="32"/>
      <c r="Q250" s="32"/>
      <c r="R250" s="32"/>
      <c r="S250" s="32"/>
    </row>
    <row r="251" spans="3:19" x14ac:dyDescent="0.3">
      <c r="C251" s="11"/>
      <c r="D251" s="32"/>
      <c r="E251" s="11"/>
      <c r="F251" t="str">
        <f>_xlfn.TEXTJOIN(", ",TRUE, Tabla38[[#This Row],[Tipo de escalera]],Tabla38[[#This Row],[Longitud]],Tabla38[[#This Row],[Carga Maxima]])</f>
        <v/>
      </c>
      <c r="G251" s="15"/>
      <c r="J251" s="15"/>
      <c r="K251" s="47"/>
      <c r="L251" s="76"/>
      <c r="M251" s="76"/>
      <c r="N251" s="78" t="str">
        <f>_xlfn.LET(
    _xlpm.itemBuscado, B251,
    _xlpm.areaBuscada, C251,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TEXT(COUNTIF($C$2:C251, _xlpm.areaBuscada), "0000"),
    _xlpm.codItem &amp; "-" &amp; _xlpm.codArea &amp; "-" &amp; _xlpm.secuencia
)</f>
        <v>-SinArea-0000</v>
      </c>
      <c r="O251" s="77"/>
      <c r="P251" s="32"/>
      <c r="Q251" s="32"/>
      <c r="R251" s="32"/>
      <c r="S251" s="32"/>
    </row>
    <row r="252" spans="3:19" x14ac:dyDescent="0.3">
      <c r="C252" s="11"/>
      <c r="D252" s="32"/>
      <c r="E252" s="11"/>
      <c r="F252" t="str">
        <f>_xlfn.TEXTJOIN(", ",TRUE, Tabla38[[#This Row],[Tipo de escalera]],Tabla38[[#This Row],[Longitud]],Tabla38[[#This Row],[Carga Maxima]])</f>
        <v/>
      </c>
      <c r="G252" s="15"/>
      <c r="J252" s="15"/>
      <c r="K252" s="47"/>
      <c r="L252" s="76"/>
      <c r="M252" s="76"/>
      <c r="N252" s="78" t="str">
        <f>_xlfn.LET(
    _xlpm.itemBuscado, B252,
    _xlpm.areaBuscada, C252,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TEXT(COUNTIF($C$2:C252, _xlpm.areaBuscada), "0000"),
    _xlpm.codItem &amp; "-" &amp; _xlpm.codArea &amp; "-" &amp; _xlpm.secuencia
)</f>
        <v>-SinArea-0000</v>
      </c>
      <c r="O252" s="77"/>
      <c r="P252" s="32"/>
      <c r="Q252" s="32"/>
      <c r="R252" s="32"/>
      <c r="S252" s="32"/>
    </row>
    <row r="253" spans="3:19" x14ac:dyDescent="0.3">
      <c r="C253" s="11"/>
      <c r="D253" s="32"/>
      <c r="E253" s="11"/>
      <c r="F253" t="str">
        <f>_xlfn.TEXTJOIN(", ",TRUE, Tabla38[[#This Row],[Tipo de escalera]],Tabla38[[#This Row],[Longitud]],Tabla38[[#This Row],[Carga Maxima]])</f>
        <v/>
      </c>
      <c r="G253" s="15"/>
      <c r="J253" s="15"/>
      <c r="K253" s="47"/>
      <c r="L253" s="76"/>
      <c r="M253" s="76"/>
      <c r="N253" s="78" t="str">
        <f>_xlfn.LET(
    _xlpm.itemBuscado, B253,
    _xlpm.areaBuscada, C253,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TEXT(COUNTIF($C$2:C253, _xlpm.areaBuscada), "0000"),
    _xlpm.codItem &amp; "-" &amp; _xlpm.codArea &amp; "-" &amp; _xlpm.secuencia
)</f>
        <v>-SinArea-0000</v>
      </c>
      <c r="O253" s="77"/>
      <c r="P253" s="32"/>
      <c r="Q253" s="32"/>
      <c r="R253" s="32"/>
      <c r="S253" s="32"/>
    </row>
    <row r="254" spans="3:19" x14ac:dyDescent="0.3">
      <c r="C254" s="11"/>
      <c r="D254" s="32"/>
      <c r="E254" s="11"/>
      <c r="F254" t="str">
        <f>_xlfn.TEXTJOIN(", ",TRUE, Tabla38[[#This Row],[Tipo de escalera]],Tabla38[[#This Row],[Longitud]],Tabla38[[#This Row],[Carga Maxima]])</f>
        <v/>
      </c>
      <c r="G254" s="15"/>
      <c r="J254" s="15"/>
      <c r="K254" s="47"/>
      <c r="L254" s="76"/>
      <c r="M254" s="76"/>
      <c r="N254" s="78" t="str">
        <f>_xlfn.LET(
    _xlpm.itemBuscado, B254,
    _xlpm.areaBuscada, C254,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TEXT(COUNTIF($C$2:C254, _xlpm.areaBuscada), "0000"),
    _xlpm.codItem &amp; "-" &amp; _xlpm.codArea &amp; "-" &amp; _xlpm.secuencia
)</f>
        <v>-SinArea-0000</v>
      </c>
      <c r="O254" s="77"/>
      <c r="P254" s="32"/>
      <c r="Q254" s="32"/>
      <c r="R254" s="32"/>
      <c r="S254" s="32"/>
    </row>
    <row r="255" spans="3:19" x14ac:dyDescent="0.3">
      <c r="C255" s="11"/>
      <c r="D255" s="32"/>
      <c r="E255" s="11"/>
      <c r="F255" t="str">
        <f>_xlfn.TEXTJOIN(", ",TRUE, Tabla38[[#This Row],[Tipo de escalera]],Tabla38[[#This Row],[Longitud]],Tabla38[[#This Row],[Carga Maxima]])</f>
        <v/>
      </c>
      <c r="G255" s="15"/>
      <c r="J255" s="15"/>
      <c r="K255" s="47"/>
      <c r="L255" s="76"/>
      <c r="M255" s="76"/>
      <c r="N255" s="78" t="str">
        <f>_xlfn.LET(
    _xlpm.itemBuscado, B255,
    _xlpm.areaBuscada, C255,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TEXT(COUNTIF($C$2:C255, _xlpm.areaBuscada), "0000"),
    _xlpm.codItem &amp; "-" &amp; _xlpm.codArea &amp; "-" &amp; _xlpm.secuencia
)</f>
        <v>-SinArea-0000</v>
      </c>
      <c r="O255" s="77"/>
      <c r="P255" s="32"/>
      <c r="Q255" s="32"/>
      <c r="R255" s="32"/>
      <c r="S255" s="32"/>
    </row>
    <row r="256" spans="3:19" x14ac:dyDescent="0.3">
      <c r="C256" s="11"/>
      <c r="D256" s="32"/>
      <c r="E256" s="11"/>
      <c r="F256" t="str">
        <f>_xlfn.TEXTJOIN(", ",TRUE, Tabla38[[#This Row],[Tipo de escalera]],Tabla38[[#This Row],[Longitud]],Tabla38[[#This Row],[Carga Maxima]])</f>
        <v/>
      </c>
      <c r="G256" s="15"/>
      <c r="J256" s="15"/>
      <c r="K256" s="47"/>
      <c r="L256" s="76"/>
      <c r="M256" s="76"/>
      <c r="N256" s="78" t="str">
        <f>_xlfn.LET(
    _xlpm.itemBuscado, B256,
    _xlpm.areaBuscada, C256,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TEXT(COUNTIF($C$2:C256, _xlpm.areaBuscada), "0000"),
    _xlpm.codItem &amp; "-" &amp; _xlpm.codArea &amp; "-" &amp; _xlpm.secuencia
)</f>
        <v>-SinArea-0000</v>
      </c>
      <c r="O256" s="77"/>
      <c r="P256" s="32"/>
      <c r="Q256" s="32"/>
      <c r="R256" s="32"/>
      <c r="S256" s="32"/>
    </row>
    <row r="257" spans="3:19" x14ac:dyDescent="0.3">
      <c r="C257" s="11"/>
      <c r="D257" s="32"/>
      <c r="E257" s="11"/>
      <c r="F257" t="str">
        <f>_xlfn.TEXTJOIN(", ",TRUE, Tabla38[[#This Row],[Tipo de escalera]],Tabla38[[#This Row],[Longitud]],Tabla38[[#This Row],[Carga Maxima]])</f>
        <v/>
      </c>
      <c r="G257" s="15"/>
      <c r="J257" s="15"/>
      <c r="K257" s="47"/>
      <c r="L257" s="76"/>
      <c r="M257" s="76"/>
      <c r="N257" s="78" t="str">
        <f>_xlfn.LET(
    _xlpm.itemBuscado, B257,
    _xlpm.areaBuscada, C257,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TEXT(COUNTIF($C$2:C257, _xlpm.areaBuscada), "0000"),
    _xlpm.codItem &amp; "-" &amp; _xlpm.codArea &amp; "-" &amp; _xlpm.secuencia
)</f>
        <v>-SinArea-0000</v>
      </c>
      <c r="O257" s="77"/>
      <c r="P257" s="32"/>
      <c r="Q257" s="32"/>
      <c r="R257" s="32"/>
      <c r="S257" s="32"/>
    </row>
    <row r="258" spans="3:19" x14ac:dyDescent="0.3">
      <c r="C258" s="11"/>
      <c r="D258" s="32"/>
      <c r="E258" s="11"/>
      <c r="F258" t="str">
        <f>_xlfn.TEXTJOIN(", ",TRUE, Tabla38[[#This Row],[Tipo de escalera]],Tabla38[[#This Row],[Longitud]],Tabla38[[#This Row],[Carga Maxima]])</f>
        <v/>
      </c>
      <c r="G258" s="15"/>
      <c r="J258" s="15"/>
      <c r="K258" s="47"/>
      <c r="L258" s="76"/>
      <c r="M258" s="76"/>
      <c r="N258" s="78" t="str">
        <f>_xlfn.LET(
    _xlpm.itemBuscado, B258,
    _xlpm.areaBuscada, C258,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TEXT(COUNTIF($C$2:C258, _xlpm.areaBuscada), "0000"),
    _xlpm.codItem &amp; "-" &amp; _xlpm.codArea &amp; "-" &amp; _xlpm.secuencia
)</f>
        <v>-SinArea-0000</v>
      </c>
      <c r="O258" s="77"/>
      <c r="P258" s="32"/>
      <c r="Q258" s="32"/>
      <c r="R258" s="32"/>
      <c r="S258" s="32"/>
    </row>
    <row r="259" spans="3:19" x14ac:dyDescent="0.3">
      <c r="C259" s="11"/>
      <c r="D259" s="32"/>
      <c r="E259" s="11"/>
      <c r="F259" t="str">
        <f>_xlfn.TEXTJOIN(", ",TRUE, Tabla38[[#This Row],[Tipo de escalera]],Tabla38[[#This Row],[Longitud]],Tabla38[[#This Row],[Carga Maxima]])</f>
        <v/>
      </c>
      <c r="G259" s="15"/>
      <c r="J259" s="15"/>
      <c r="K259" s="47"/>
      <c r="L259" s="76"/>
      <c r="M259" s="76"/>
      <c r="N259" s="78" t="str">
        <f>_xlfn.LET(
    _xlpm.itemBuscado, B259,
    _xlpm.areaBuscada, C259,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TEXT(COUNTIF($C$2:C259, _xlpm.areaBuscada), "0000"),
    _xlpm.codItem &amp; "-" &amp; _xlpm.codArea &amp; "-" &amp; _xlpm.secuencia
)</f>
        <v>-SinArea-0000</v>
      </c>
      <c r="O259" s="77"/>
      <c r="P259" s="32"/>
      <c r="Q259" s="32"/>
      <c r="R259" s="32"/>
      <c r="S259" s="32"/>
    </row>
    <row r="260" spans="3:19" x14ac:dyDescent="0.3">
      <c r="C260" s="11"/>
      <c r="D260" s="32"/>
      <c r="E260" s="11"/>
      <c r="F260" t="str">
        <f>_xlfn.TEXTJOIN(", ",TRUE, Tabla38[[#This Row],[Tipo de escalera]],Tabla38[[#This Row],[Longitud]],Tabla38[[#This Row],[Carga Maxima]])</f>
        <v/>
      </c>
      <c r="G260" s="15"/>
      <c r="J260" s="15"/>
      <c r="K260" s="47"/>
      <c r="L260" s="76"/>
      <c r="M260" s="76"/>
      <c r="N260" s="78" t="str">
        <f>_xlfn.LET(
    _xlpm.itemBuscado, B260,
    _xlpm.areaBuscada, C260,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TEXT(COUNTIF($C$2:C260, _xlpm.areaBuscada), "0000"),
    _xlpm.codItem &amp; "-" &amp; _xlpm.codArea &amp; "-" &amp; _xlpm.secuencia
)</f>
        <v>-SinArea-0000</v>
      </c>
      <c r="O260" s="77"/>
      <c r="P260" s="32"/>
      <c r="Q260" s="32"/>
      <c r="R260" s="32"/>
      <c r="S260" s="32"/>
    </row>
    <row r="261" spans="3:19" x14ac:dyDescent="0.3">
      <c r="C261" s="11"/>
      <c r="D261" s="32"/>
      <c r="E261" s="11"/>
      <c r="F261" t="str">
        <f>_xlfn.TEXTJOIN(", ",TRUE, Tabla38[[#This Row],[Tipo de escalera]],Tabla38[[#This Row],[Longitud]],Tabla38[[#This Row],[Carga Maxima]])</f>
        <v/>
      </c>
      <c r="G261" s="15"/>
      <c r="J261" s="15"/>
      <c r="K261" s="47"/>
      <c r="L261" s="76"/>
      <c r="M261" s="76"/>
      <c r="N261" s="78" t="str">
        <f>_xlfn.LET(
    _xlpm.itemBuscado, B261,
    _xlpm.areaBuscada, C261,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TEXT(COUNTIF($C$2:C261, _xlpm.areaBuscada), "0000"),
    _xlpm.codItem &amp; "-" &amp; _xlpm.codArea &amp; "-" &amp; _xlpm.secuencia
)</f>
        <v>-SinArea-0000</v>
      </c>
      <c r="O261" s="77"/>
      <c r="P261" s="32"/>
      <c r="Q261" s="32"/>
      <c r="R261" s="32"/>
      <c r="S261" s="32"/>
    </row>
    <row r="262" spans="3:19" x14ac:dyDescent="0.3">
      <c r="C262" s="11"/>
      <c r="D262" s="32"/>
      <c r="E262" s="11"/>
      <c r="F262" t="str">
        <f>_xlfn.TEXTJOIN(", ",TRUE, Tabla38[[#This Row],[Tipo de escalera]],Tabla38[[#This Row],[Longitud]],Tabla38[[#This Row],[Carga Maxima]])</f>
        <v/>
      </c>
      <c r="G262" s="15"/>
      <c r="J262" s="15"/>
      <c r="K262" s="47"/>
      <c r="L262" s="76"/>
      <c r="M262" s="76"/>
      <c r="N262" s="78" t="str">
        <f>_xlfn.LET(
    _xlpm.itemBuscado, B262,
    _xlpm.areaBuscada, C262,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TEXT(COUNTIF($C$2:C262, _xlpm.areaBuscada), "0000"),
    _xlpm.codItem &amp; "-" &amp; _xlpm.codArea &amp; "-" &amp; _xlpm.secuencia
)</f>
        <v>-SinArea-0000</v>
      </c>
      <c r="O262" s="77"/>
      <c r="P262" s="32"/>
      <c r="Q262" s="32"/>
      <c r="R262" s="32"/>
      <c r="S262" s="32"/>
    </row>
    <row r="263" spans="3:19" x14ac:dyDescent="0.3">
      <c r="C263" s="11"/>
      <c r="D263" s="32"/>
      <c r="E263" s="11"/>
      <c r="F263" t="str">
        <f>_xlfn.TEXTJOIN(", ",TRUE, Tabla38[[#This Row],[Tipo de escalera]],Tabla38[[#This Row],[Longitud]],Tabla38[[#This Row],[Carga Maxima]])</f>
        <v/>
      </c>
      <c r="G263" s="15"/>
      <c r="J263" s="15"/>
      <c r="K263" s="47"/>
      <c r="L263" s="76"/>
      <c r="M263" s="76"/>
      <c r="N263" s="78" t="str">
        <f>_xlfn.LET(
    _xlpm.itemBuscado, B263,
    _xlpm.areaBuscada, C263,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TEXT(COUNTIF($C$2:C263, _xlpm.areaBuscada), "0000"),
    _xlpm.codItem &amp; "-" &amp; _xlpm.codArea &amp; "-" &amp; _xlpm.secuencia
)</f>
        <v>-SinArea-0000</v>
      </c>
      <c r="O263" s="77"/>
      <c r="P263" s="32"/>
      <c r="Q263" s="32"/>
      <c r="R263" s="32"/>
      <c r="S263" s="32"/>
    </row>
    <row r="264" spans="3:19" x14ac:dyDescent="0.3">
      <c r="C264" s="11"/>
      <c r="D264" s="32"/>
      <c r="E264" s="11"/>
      <c r="F264" t="str">
        <f>_xlfn.TEXTJOIN(", ",TRUE, Tabla38[[#This Row],[Tipo de escalera]],Tabla38[[#This Row],[Longitud]],Tabla38[[#This Row],[Carga Maxima]])</f>
        <v/>
      </c>
      <c r="G264" s="15"/>
      <c r="J264" s="15"/>
      <c r="K264" s="47"/>
      <c r="L264" s="76"/>
      <c r="M264" s="76"/>
      <c r="N264" s="78" t="str">
        <f>_xlfn.LET(
    _xlpm.itemBuscado, B264,
    _xlpm.areaBuscada, C264,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TEXT(COUNTIF($C$2:C264, _xlpm.areaBuscada), "0000"),
    _xlpm.codItem &amp; "-" &amp; _xlpm.codArea &amp; "-" &amp; _xlpm.secuencia
)</f>
        <v>-SinArea-0000</v>
      </c>
      <c r="O264" s="77"/>
      <c r="P264" s="32"/>
      <c r="Q264" s="32"/>
      <c r="R264" s="32"/>
      <c r="S264" s="32"/>
    </row>
    <row r="265" spans="3:19" x14ac:dyDescent="0.3">
      <c r="C265" s="11"/>
      <c r="D265" s="32"/>
      <c r="E265" s="11"/>
      <c r="F265" t="str">
        <f>_xlfn.TEXTJOIN(", ",TRUE, Tabla38[[#This Row],[Tipo de escalera]],Tabla38[[#This Row],[Longitud]],Tabla38[[#This Row],[Carga Maxima]])</f>
        <v/>
      </c>
      <c r="G265" s="15"/>
      <c r="J265" s="15"/>
      <c r="K265" s="47"/>
      <c r="L265" s="76"/>
      <c r="M265" s="76"/>
      <c r="N265" s="78" t="str">
        <f>_xlfn.LET(
    _xlpm.itemBuscado, B265,
    _xlpm.areaBuscada, C265,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TEXT(COUNTIF($C$2:C265, _xlpm.areaBuscada), "0000"),
    _xlpm.codItem &amp; "-" &amp; _xlpm.codArea &amp; "-" &amp; _xlpm.secuencia
)</f>
        <v>-SinArea-0000</v>
      </c>
      <c r="O265" s="77"/>
      <c r="P265" s="32"/>
      <c r="Q265" s="32"/>
      <c r="R265" s="32"/>
      <c r="S265" s="32"/>
    </row>
    <row r="266" spans="3:19" x14ac:dyDescent="0.3">
      <c r="C266" s="11"/>
      <c r="D266" s="32"/>
      <c r="E266" s="11"/>
      <c r="F266" t="str">
        <f>_xlfn.TEXTJOIN(", ",TRUE, Tabla38[[#This Row],[Tipo de escalera]],Tabla38[[#This Row],[Longitud]],Tabla38[[#This Row],[Carga Maxima]])</f>
        <v/>
      </c>
      <c r="G266" s="15"/>
      <c r="J266" s="15"/>
      <c r="K266" s="47"/>
      <c r="L266" s="76"/>
      <c r="M266" s="76"/>
      <c r="N266" s="78" t="str">
        <f>_xlfn.LET(
    _xlpm.itemBuscado, B266,
    _xlpm.areaBuscada, C266,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TEXT(COUNTIF($C$2:C266, _xlpm.areaBuscada), "0000"),
    _xlpm.codItem &amp; "-" &amp; _xlpm.codArea &amp; "-" &amp; _xlpm.secuencia
)</f>
        <v>-SinArea-0000</v>
      </c>
      <c r="O266" s="77"/>
      <c r="P266" s="32"/>
      <c r="Q266" s="32"/>
      <c r="R266" s="32"/>
      <c r="S266" s="32"/>
    </row>
    <row r="267" spans="3:19" x14ac:dyDescent="0.3">
      <c r="C267" s="11"/>
      <c r="D267" s="32"/>
      <c r="E267" s="11"/>
      <c r="F267" t="str">
        <f>_xlfn.TEXTJOIN(", ",TRUE, Tabla38[[#This Row],[Tipo de escalera]],Tabla38[[#This Row],[Longitud]],Tabla38[[#This Row],[Carga Maxima]])</f>
        <v/>
      </c>
      <c r="G267" s="15"/>
      <c r="J267" s="15"/>
      <c r="K267" s="47"/>
      <c r="L267" s="76"/>
      <c r="M267" s="76"/>
      <c r="N267" s="78" t="str">
        <f>_xlfn.LET(
    _xlpm.itemBuscado, B267,
    _xlpm.areaBuscada, C267,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TEXT(COUNTIF($C$2:C267, _xlpm.areaBuscada), "0000"),
    _xlpm.codItem &amp; "-" &amp; _xlpm.codArea &amp; "-" &amp; _xlpm.secuencia
)</f>
        <v>-SinArea-0000</v>
      </c>
      <c r="O267" s="77"/>
      <c r="P267" s="32"/>
      <c r="Q267" s="32"/>
      <c r="R267" s="32"/>
      <c r="S267" s="32"/>
    </row>
    <row r="268" spans="3:19" x14ac:dyDescent="0.3">
      <c r="C268" s="11"/>
      <c r="D268" s="32"/>
      <c r="E268" s="11"/>
      <c r="F268" t="str">
        <f>_xlfn.TEXTJOIN(", ",TRUE, Tabla38[[#This Row],[Tipo de escalera]],Tabla38[[#This Row],[Longitud]],Tabla38[[#This Row],[Carga Maxima]])</f>
        <v/>
      </c>
      <c r="G268" s="15"/>
      <c r="J268" s="15"/>
      <c r="K268" s="47"/>
      <c r="L268" s="76"/>
      <c r="M268" s="76"/>
      <c r="N268" s="78" t="str">
        <f>_xlfn.LET(
    _xlpm.itemBuscado, B268,
    _xlpm.areaBuscada, C268,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TEXT(COUNTIF($C$2:C268, _xlpm.areaBuscada), "0000"),
    _xlpm.codItem &amp; "-" &amp; _xlpm.codArea &amp; "-" &amp; _xlpm.secuencia
)</f>
        <v>-SinArea-0000</v>
      </c>
      <c r="O268" s="77"/>
      <c r="P268" s="32"/>
      <c r="Q268" s="32"/>
      <c r="R268" s="32"/>
      <c r="S268" s="32"/>
    </row>
    <row r="269" spans="3:19" x14ac:dyDescent="0.3">
      <c r="C269" s="11"/>
      <c r="D269" s="32"/>
      <c r="E269" s="11"/>
      <c r="F269" t="str">
        <f>_xlfn.TEXTJOIN(", ",TRUE, Tabla38[[#This Row],[Tipo de escalera]],Tabla38[[#This Row],[Longitud]],Tabla38[[#This Row],[Carga Maxima]])</f>
        <v/>
      </c>
      <c r="G269" s="15"/>
      <c r="J269" s="15"/>
      <c r="K269" s="47"/>
      <c r="L269" s="76"/>
      <c r="M269" s="76"/>
      <c r="N269" s="78" t="str">
        <f>_xlfn.LET(
    _xlpm.itemBuscado, B269,
    _xlpm.areaBuscada, C269,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TEXT(COUNTIF($C$2:C269, _xlpm.areaBuscada), "0000"),
    _xlpm.codItem &amp; "-" &amp; _xlpm.codArea &amp; "-" &amp; _xlpm.secuencia
)</f>
        <v>-SinArea-0000</v>
      </c>
      <c r="O269" s="77"/>
      <c r="P269" s="32"/>
      <c r="Q269" s="32"/>
      <c r="R269" s="32"/>
      <c r="S269" s="32"/>
    </row>
    <row r="270" spans="3:19" x14ac:dyDescent="0.3">
      <c r="C270" s="11"/>
      <c r="D270" s="32"/>
      <c r="E270" s="11"/>
      <c r="F270" t="str">
        <f>_xlfn.TEXTJOIN(", ",TRUE, Tabla38[[#This Row],[Tipo de escalera]],Tabla38[[#This Row],[Longitud]],Tabla38[[#This Row],[Carga Maxima]])</f>
        <v/>
      </c>
      <c r="G270" s="15"/>
      <c r="J270" s="15"/>
      <c r="K270" s="47"/>
      <c r="L270" s="76"/>
      <c r="M270" s="76"/>
      <c r="N270" s="78" t="str">
        <f>_xlfn.LET(
    _xlpm.itemBuscado, B270,
    _xlpm.areaBuscada, C270,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TEXT(COUNTIF($C$2:C270, _xlpm.areaBuscada), "0000"),
    _xlpm.codItem &amp; "-" &amp; _xlpm.codArea &amp; "-" &amp; _xlpm.secuencia
)</f>
        <v>-SinArea-0000</v>
      </c>
      <c r="O270" s="77"/>
      <c r="P270" s="32"/>
      <c r="Q270" s="32"/>
      <c r="R270" s="32"/>
      <c r="S270" s="32"/>
    </row>
    <row r="271" spans="3:19" x14ac:dyDescent="0.3">
      <c r="C271" s="11"/>
      <c r="D271" s="32"/>
      <c r="E271" s="11"/>
      <c r="F271" t="str">
        <f>_xlfn.TEXTJOIN(", ",TRUE, Tabla38[[#This Row],[Tipo de escalera]],Tabla38[[#This Row],[Longitud]],Tabla38[[#This Row],[Carga Maxima]])</f>
        <v/>
      </c>
      <c r="G271" s="15"/>
      <c r="J271" s="15"/>
      <c r="K271" s="47"/>
      <c r="L271" s="76"/>
      <c r="M271" s="76"/>
      <c r="N271" s="78" t="str">
        <f>_xlfn.LET(
    _xlpm.itemBuscado, B271,
    _xlpm.areaBuscada, C271,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TEXT(COUNTIF($C$2:C271, _xlpm.areaBuscada), "0000"),
    _xlpm.codItem &amp; "-" &amp; _xlpm.codArea &amp; "-" &amp; _xlpm.secuencia
)</f>
        <v>-SinArea-0000</v>
      </c>
      <c r="O271" s="77"/>
      <c r="P271" s="32"/>
      <c r="Q271" s="32"/>
      <c r="R271" s="32"/>
      <c r="S271" s="32"/>
    </row>
    <row r="272" spans="3:19" x14ac:dyDescent="0.3">
      <c r="C272" s="11"/>
      <c r="D272" s="32"/>
      <c r="E272" s="11"/>
      <c r="F272" t="str">
        <f>_xlfn.TEXTJOIN(", ",TRUE, Tabla38[[#This Row],[Tipo de escalera]],Tabla38[[#This Row],[Longitud]],Tabla38[[#This Row],[Carga Maxima]])</f>
        <v/>
      </c>
      <c r="G272" s="15"/>
      <c r="J272" s="15"/>
      <c r="K272" s="47"/>
      <c r="L272" s="76"/>
      <c r="M272" s="76"/>
      <c r="N272" s="78" t="str">
        <f>_xlfn.LET(
    _xlpm.itemBuscado, B272,
    _xlpm.areaBuscada, C272,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TEXT(COUNTIF($C$2:C272, _xlpm.areaBuscada), "0000"),
    _xlpm.codItem &amp; "-" &amp; _xlpm.codArea &amp; "-" &amp; _xlpm.secuencia
)</f>
        <v>-SinArea-0000</v>
      </c>
      <c r="O272" s="77"/>
      <c r="P272" s="32"/>
      <c r="Q272" s="32"/>
      <c r="R272" s="32"/>
      <c r="S272" s="32"/>
    </row>
    <row r="273" spans="3:19" x14ac:dyDescent="0.3">
      <c r="C273" s="11"/>
      <c r="D273" s="32"/>
      <c r="E273" s="11"/>
      <c r="F273" t="str">
        <f>_xlfn.TEXTJOIN(", ",TRUE, Tabla38[[#This Row],[Tipo de escalera]],Tabla38[[#This Row],[Longitud]],Tabla38[[#This Row],[Carga Maxima]])</f>
        <v/>
      </c>
      <c r="G273" s="15"/>
      <c r="J273" s="15"/>
      <c r="K273" s="47"/>
      <c r="L273" s="76"/>
      <c r="M273" s="76"/>
      <c r="N273" s="78" t="str">
        <f>_xlfn.LET(
    _xlpm.itemBuscado, B273,
    _xlpm.areaBuscada, C273,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TEXT(COUNTIF($C$2:C273, _xlpm.areaBuscada), "0000"),
    _xlpm.codItem &amp; "-" &amp; _xlpm.codArea &amp; "-" &amp; _xlpm.secuencia
)</f>
        <v>-SinArea-0000</v>
      </c>
      <c r="O273" s="77"/>
      <c r="P273" s="32"/>
      <c r="Q273" s="32"/>
      <c r="R273" s="32"/>
      <c r="S273" s="32"/>
    </row>
    <row r="274" spans="3:19" x14ac:dyDescent="0.3">
      <c r="C274" s="11"/>
      <c r="D274" s="32"/>
      <c r="E274" s="11"/>
      <c r="F274" t="str">
        <f>_xlfn.TEXTJOIN(", ",TRUE, Tabla38[[#This Row],[Tipo de escalera]],Tabla38[[#This Row],[Longitud]],Tabla38[[#This Row],[Carga Maxima]])</f>
        <v/>
      </c>
      <c r="G274" s="15"/>
      <c r="J274" s="15"/>
      <c r="K274" s="47"/>
      <c r="L274" s="76"/>
      <c r="M274" s="76"/>
      <c r="N274" s="78" t="str">
        <f>_xlfn.LET(
    _xlpm.itemBuscado, B274,
    _xlpm.areaBuscada, C274,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TEXT(COUNTIF($C$2:C274, _xlpm.areaBuscada), "0000"),
    _xlpm.codItem &amp; "-" &amp; _xlpm.codArea &amp; "-" &amp; _xlpm.secuencia
)</f>
        <v>-SinArea-0000</v>
      </c>
      <c r="O274" s="77"/>
      <c r="P274" s="32"/>
      <c r="Q274" s="32"/>
      <c r="R274" s="32"/>
      <c r="S274" s="32"/>
    </row>
    <row r="275" spans="3:19" x14ac:dyDescent="0.3">
      <c r="C275" s="11"/>
      <c r="D275" s="32"/>
      <c r="E275" s="11"/>
      <c r="F275" t="str">
        <f>_xlfn.TEXTJOIN(", ",TRUE, Tabla38[[#This Row],[Tipo de escalera]],Tabla38[[#This Row],[Longitud]],Tabla38[[#This Row],[Carga Maxima]])</f>
        <v/>
      </c>
      <c r="G275" s="15"/>
      <c r="J275" s="15"/>
      <c r="K275" s="47"/>
      <c r="L275" s="76"/>
      <c r="M275" s="76"/>
      <c r="N275" s="78" t="str">
        <f>_xlfn.LET(
    _xlpm.itemBuscado, B275,
    _xlpm.areaBuscada, C275,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TEXT(COUNTIF($C$2:C275, _xlpm.areaBuscada), "0000"),
    _xlpm.codItem &amp; "-" &amp; _xlpm.codArea &amp; "-" &amp; _xlpm.secuencia
)</f>
        <v>-SinArea-0000</v>
      </c>
      <c r="O275" s="77"/>
      <c r="P275" s="32"/>
      <c r="Q275" s="32"/>
      <c r="R275" s="32"/>
      <c r="S275" s="32"/>
    </row>
    <row r="276" spans="3:19" x14ac:dyDescent="0.3">
      <c r="C276" s="11"/>
      <c r="D276" s="32"/>
      <c r="E276" s="11"/>
      <c r="F276" t="str">
        <f>_xlfn.TEXTJOIN(", ",TRUE, Tabla38[[#This Row],[Tipo de escalera]],Tabla38[[#This Row],[Longitud]],Tabla38[[#This Row],[Carga Maxima]])</f>
        <v/>
      </c>
      <c r="G276" s="15"/>
      <c r="J276" s="15"/>
      <c r="K276" s="47"/>
      <c r="L276" s="76"/>
      <c r="M276" s="76"/>
      <c r="N276" s="78" t="str">
        <f>_xlfn.LET(
    _xlpm.itemBuscado, B276,
    _xlpm.areaBuscada, C276,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TEXT(COUNTIF($C$2:C276, _xlpm.areaBuscada), "0000"),
    _xlpm.codItem &amp; "-" &amp; _xlpm.codArea &amp; "-" &amp; _xlpm.secuencia
)</f>
        <v>-SinArea-0000</v>
      </c>
      <c r="O276" s="77"/>
      <c r="P276" s="32"/>
      <c r="Q276" s="32"/>
      <c r="R276" s="32"/>
      <c r="S276" s="32"/>
    </row>
    <row r="277" spans="3:19" x14ac:dyDescent="0.3">
      <c r="C277" s="11"/>
      <c r="D277" s="32"/>
      <c r="E277" s="11"/>
      <c r="F277" t="str">
        <f>_xlfn.TEXTJOIN(", ",TRUE, Tabla38[[#This Row],[Tipo de escalera]],Tabla38[[#This Row],[Longitud]],Tabla38[[#This Row],[Carga Maxima]])</f>
        <v/>
      </c>
      <c r="G277" s="15"/>
      <c r="J277" s="15"/>
      <c r="K277" s="47"/>
      <c r="L277" s="76"/>
      <c r="M277" s="76"/>
      <c r="N277" s="78" t="str">
        <f>_xlfn.LET(
    _xlpm.itemBuscado, B277,
    _xlpm.areaBuscada, C277,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TEXT(COUNTIF($C$2:C277, _xlpm.areaBuscada), "0000"),
    _xlpm.codItem &amp; "-" &amp; _xlpm.codArea &amp; "-" &amp; _xlpm.secuencia
)</f>
        <v>-SinArea-0000</v>
      </c>
      <c r="O277" s="77"/>
      <c r="P277" s="32"/>
      <c r="Q277" s="32"/>
      <c r="R277" s="32"/>
      <c r="S277" s="32"/>
    </row>
    <row r="278" spans="3:19" x14ac:dyDescent="0.3">
      <c r="C278" s="11"/>
      <c r="D278" s="32"/>
      <c r="E278" s="11"/>
      <c r="F278" t="str">
        <f>_xlfn.TEXTJOIN(", ",TRUE, Tabla38[[#This Row],[Tipo de escalera]],Tabla38[[#This Row],[Longitud]],Tabla38[[#This Row],[Carga Maxima]])</f>
        <v/>
      </c>
      <c r="G278" s="15"/>
      <c r="J278" s="15"/>
      <c r="K278" s="47"/>
      <c r="L278" s="76"/>
      <c r="M278" s="76"/>
      <c r="N278" s="78" t="str">
        <f>_xlfn.LET(
    _xlpm.itemBuscado, B278,
    _xlpm.areaBuscada, C278,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TEXT(COUNTIF($C$2:C278, _xlpm.areaBuscada), "0000"),
    _xlpm.codItem &amp; "-" &amp; _xlpm.codArea &amp; "-" &amp; _xlpm.secuencia
)</f>
        <v>-SinArea-0000</v>
      </c>
      <c r="O278" s="77"/>
      <c r="P278" s="32"/>
      <c r="Q278" s="32"/>
      <c r="R278" s="32"/>
      <c r="S278" s="32"/>
    </row>
    <row r="279" spans="3:19" x14ac:dyDescent="0.3">
      <c r="C279" s="11"/>
      <c r="D279" s="32"/>
      <c r="E279" s="11"/>
      <c r="F279" t="str">
        <f>_xlfn.TEXTJOIN(", ",TRUE, Tabla38[[#This Row],[Tipo de escalera]],Tabla38[[#This Row],[Longitud]],Tabla38[[#This Row],[Carga Maxima]])</f>
        <v/>
      </c>
      <c r="G279" s="15"/>
      <c r="J279" s="15"/>
      <c r="K279" s="47"/>
      <c r="L279" s="76"/>
      <c r="M279" s="76"/>
      <c r="N279" s="78" t="str">
        <f>_xlfn.LET(
    _xlpm.itemBuscado, B279,
    _xlpm.areaBuscada, C279,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TEXT(COUNTIF($C$2:C279, _xlpm.areaBuscada), "0000"),
    _xlpm.codItem &amp; "-" &amp; _xlpm.codArea &amp; "-" &amp; _xlpm.secuencia
)</f>
        <v>-SinArea-0000</v>
      </c>
      <c r="O279" s="77"/>
      <c r="P279" s="32"/>
      <c r="Q279" s="32"/>
      <c r="R279" s="32"/>
      <c r="S279" s="32"/>
    </row>
    <row r="280" spans="3:19" x14ac:dyDescent="0.3">
      <c r="C280" s="11"/>
      <c r="D280" s="32"/>
      <c r="E280" s="11"/>
      <c r="F280" t="str">
        <f>_xlfn.TEXTJOIN(", ",TRUE, Tabla38[[#This Row],[Tipo de escalera]],Tabla38[[#This Row],[Longitud]],Tabla38[[#This Row],[Carga Maxima]])</f>
        <v/>
      </c>
      <c r="G280" s="15"/>
      <c r="J280" s="15"/>
      <c r="K280" s="47"/>
      <c r="L280" s="76"/>
      <c r="M280" s="76"/>
      <c r="N280" s="78" t="str">
        <f>_xlfn.LET(
    _xlpm.itemBuscado, B280,
    _xlpm.areaBuscada, C280,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TEXT(COUNTIF($C$2:C280, _xlpm.areaBuscada), "0000"),
    _xlpm.codItem &amp; "-" &amp; _xlpm.codArea &amp; "-" &amp; _xlpm.secuencia
)</f>
        <v>-SinArea-0000</v>
      </c>
      <c r="O280" s="77"/>
      <c r="P280" s="32"/>
      <c r="Q280" s="32"/>
      <c r="R280" s="32"/>
      <c r="S280" s="32"/>
    </row>
    <row r="281" spans="3:19" x14ac:dyDescent="0.3">
      <c r="C281" s="11"/>
      <c r="D281" s="32"/>
      <c r="E281" s="11"/>
      <c r="F281" t="str">
        <f>_xlfn.TEXTJOIN(", ",TRUE, Tabla38[[#This Row],[Tipo de escalera]],Tabla38[[#This Row],[Longitud]],Tabla38[[#This Row],[Carga Maxima]])</f>
        <v/>
      </c>
      <c r="G281" s="15"/>
      <c r="J281" s="15"/>
      <c r="K281" s="47"/>
      <c r="L281" s="76"/>
      <c r="M281" s="76"/>
      <c r="N281" s="78" t="str">
        <f>_xlfn.LET(
    _xlpm.itemBuscado, B281,
    _xlpm.areaBuscada, C281,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TEXT(COUNTIF($C$2:C281, _xlpm.areaBuscada), "0000"),
    _xlpm.codItem &amp; "-" &amp; _xlpm.codArea &amp; "-" &amp; _xlpm.secuencia
)</f>
        <v>-SinArea-0000</v>
      </c>
      <c r="O281" s="77"/>
      <c r="P281" s="32"/>
      <c r="Q281" s="32"/>
      <c r="R281" s="32"/>
      <c r="S281" s="32"/>
    </row>
    <row r="282" spans="3:19" x14ac:dyDescent="0.3">
      <c r="C282" s="11"/>
      <c r="D282" s="32"/>
      <c r="E282" s="11"/>
      <c r="F282" t="str">
        <f>_xlfn.TEXTJOIN(", ",TRUE, Tabla38[[#This Row],[Tipo de escalera]],Tabla38[[#This Row],[Longitud]],Tabla38[[#This Row],[Carga Maxima]])</f>
        <v/>
      </c>
      <c r="G282" s="15"/>
      <c r="J282" s="15"/>
      <c r="K282" s="47"/>
      <c r="L282" s="76"/>
      <c r="M282" s="76"/>
      <c r="N282" s="78" t="str">
        <f>_xlfn.LET(
    _xlpm.itemBuscado, B282,
    _xlpm.areaBuscada, C282,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TEXT(COUNTIF($C$2:C282, _xlpm.areaBuscada), "0000"),
    _xlpm.codItem &amp; "-" &amp; _xlpm.codArea &amp; "-" &amp; _xlpm.secuencia
)</f>
        <v>-SinArea-0000</v>
      </c>
      <c r="O282" s="77"/>
      <c r="P282" s="32"/>
      <c r="Q282" s="32"/>
      <c r="R282" s="32"/>
      <c r="S282" s="32"/>
    </row>
    <row r="283" spans="3:19" x14ac:dyDescent="0.3">
      <c r="C283" s="11"/>
      <c r="D283" s="32"/>
      <c r="E283" s="11"/>
      <c r="F283" t="str">
        <f>_xlfn.TEXTJOIN(", ",TRUE, Tabla38[[#This Row],[Tipo de escalera]],Tabla38[[#This Row],[Longitud]],Tabla38[[#This Row],[Carga Maxima]])</f>
        <v/>
      </c>
      <c r="G283" s="15"/>
      <c r="J283" s="15"/>
      <c r="K283" s="47"/>
      <c r="L283" s="76"/>
      <c r="M283" s="76"/>
      <c r="N283" s="78" t="str">
        <f>_xlfn.LET(
    _xlpm.itemBuscado, B283,
    _xlpm.areaBuscada, C283,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TEXT(COUNTIF($C$2:C283, _xlpm.areaBuscada), "0000"),
    _xlpm.codItem &amp; "-" &amp; _xlpm.codArea &amp; "-" &amp; _xlpm.secuencia
)</f>
        <v>-SinArea-0000</v>
      </c>
      <c r="O283" s="77"/>
      <c r="P283" s="32"/>
      <c r="Q283" s="32"/>
      <c r="R283" s="32"/>
      <c r="S283" s="32"/>
    </row>
    <row r="284" spans="3:19" x14ac:dyDescent="0.3">
      <c r="C284" s="11"/>
      <c r="D284" s="32"/>
      <c r="E284" s="11"/>
      <c r="F284" t="str">
        <f>_xlfn.TEXTJOIN(", ",TRUE, Tabla38[[#This Row],[Tipo de escalera]],Tabla38[[#This Row],[Longitud]],Tabla38[[#This Row],[Carga Maxima]])</f>
        <v/>
      </c>
      <c r="G284" s="15"/>
      <c r="J284" s="15"/>
      <c r="K284" s="47"/>
      <c r="L284" s="76"/>
      <c r="M284" s="76"/>
      <c r="N284" s="78" t="str">
        <f>_xlfn.LET(
    _xlpm.itemBuscado, B284,
    _xlpm.areaBuscada, C284,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TEXT(COUNTIF($C$2:C284, _xlpm.areaBuscada), "0000"),
    _xlpm.codItem &amp; "-" &amp; _xlpm.codArea &amp; "-" &amp; _xlpm.secuencia
)</f>
        <v>-SinArea-0000</v>
      </c>
      <c r="O284" s="77"/>
      <c r="P284" s="32"/>
      <c r="Q284" s="32"/>
      <c r="R284" s="32"/>
      <c r="S284" s="32"/>
    </row>
    <row r="285" spans="3:19" x14ac:dyDescent="0.3">
      <c r="C285" s="11"/>
      <c r="D285" s="32"/>
      <c r="E285" s="11"/>
      <c r="F285" t="str">
        <f>_xlfn.TEXTJOIN(", ",TRUE, Tabla38[[#This Row],[Tipo de escalera]],Tabla38[[#This Row],[Longitud]],Tabla38[[#This Row],[Carga Maxima]])</f>
        <v/>
      </c>
      <c r="G285" s="15"/>
      <c r="J285" s="15"/>
      <c r="K285" s="47"/>
      <c r="L285" s="76"/>
      <c r="M285" s="76"/>
      <c r="N285" s="78" t="str">
        <f>_xlfn.LET(
    _xlpm.itemBuscado, B285,
    _xlpm.areaBuscada, C285,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TEXT(COUNTIF($C$2:C285, _xlpm.areaBuscada), "0000"),
    _xlpm.codItem &amp; "-" &amp; _xlpm.codArea &amp; "-" &amp; _xlpm.secuencia
)</f>
        <v>-SinArea-0000</v>
      </c>
      <c r="O285" s="77"/>
      <c r="P285" s="32"/>
      <c r="Q285" s="32"/>
      <c r="R285" s="32"/>
      <c r="S285" s="32"/>
    </row>
    <row r="286" spans="3:19" x14ac:dyDescent="0.3">
      <c r="C286" s="11"/>
      <c r="D286" s="32"/>
      <c r="E286" s="11"/>
      <c r="F286" t="str">
        <f>_xlfn.TEXTJOIN(", ",TRUE, Tabla38[[#This Row],[Tipo de escalera]],Tabla38[[#This Row],[Longitud]],Tabla38[[#This Row],[Carga Maxima]])</f>
        <v/>
      </c>
      <c r="G286" s="15"/>
      <c r="J286" s="15"/>
      <c r="K286" s="47"/>
      <c r="L286" s="76"/>
      <c r="M286" s="76"/>
      <c r="N286" s="78" t="str">
        <f>_xlfn.LET(
    _xlpm.itemBuscado, B286,
    _xlpm.areaBuscada, C286,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TEXT(COUNTIF($C$2:C286, _xlpm.areaBuscada), "0000"),
    _xlpm.codItem &amp; "-" &amp; _xlpm.codArea &amp; "-" &amp; _xlpm.secuencia
)</f>
        <v>-SinArea-0000</v>
      </c>
      <c r="O286" s="77"/>
      <c r="P286" s="32"/>
      <c r="Q286" s="32"/>
      <c r="R286" s="32"/>
      <c r="S286" s="32"/>
    </row>
    <row r="287" spans="3:19" x14ac:dyDescent="0.3">
      <c r="C287" s="11"/>
      <c r="D287" s="32"/>
      <c r="E287" s="11"/>
      <c r="F287" t="str">
        <f>_xlfn.TEXTJOIN(", ",TRUE, Tabla38[[#This Row],[Tipo de escalera]],Tabla38[[#This Row],[Longitud]],Tabla38[[#This Row],[Carga Maxima]])</f>
        <v/>
      </c>
      <c r="G287" s="15"/>
      <c r="J287" s="15"/>
      <c r="K287" s="47"/>
      <c r="L287" s="76"/>
      <c r="M287" s="76"/>
      <c r="N287" s="78" t="str">
        <f>_xlfn.LET(
    _xlpm.itemBuscado, B287,
    _xlpm.areaBuscada, C287,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TEXT(COUNTIF($C$2:C287, _xlpm.areaBuscada), "0000"),
    _xlpm.codItem &amp; "-" &amp; _xlpm.codArea &amp; "-" &amp; _xlpm.secuencia
)</f>
        <v>-SinArea-0000</v>
      </c>
      <c r="O287" s="77"/>
      <c r="P287" s="32"/>
      <c r="Q287" s="32"/>
      <c r="R287" s="32"/>
      <c r="S287" s="32"/>
    </row>
    <row r="288" spans="3:19" x14ac:dyDescent="0.3">
      <c r="C288" s="11"/>
      <c r="D288" s="32"/>
      <c r="E288" s="11"/>
      <c r="F288" t="str">
        <f>_xlfn.TEXTJOIN(", ",TRUE, Tabla38[[#This Row],[Tipo de escalera]],Tabla38[[#This Row],[Longitud]],Tabla38[[#This Row],[Carga Maxima]])</f>
        <v/>
      </c>
      <c r="G288" s="15"/>
      <c r="J288" s="15"/>
      <c r="K288" s="47"/>
      <c r="L288" s="76"/>
      <c r="M288" s="76"/>
      <c r="N288" s="78" t="str">
        <f>_xlfn.LET(
    _xlpm.itemBuscado, B288,
    _xlpm.areaBuscada, C288,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TEXT(COUNTIF($C$2:C288, _xlpm.areaBuscada), "0000"),
    _xlpm.codItem &amp; "-" &amp; _xlpm.codArea &amp; "-" &amp; _xlpm.secuencia
)</f>
        <v>-SinArea-0000</v>
      </c>
      <c r="O288" s="77"/>
      <c r="P288" s="32"/>
      <c r="Q288" s="32"/>
      <c r="R288" s="32"/>
      <c r="S288" s="32"/>
    </row>
    <row r="289" spans="3:19" x14ac:dyDescent="0.3">
      <c r="C289" s="11"/>
      <c r="D289" s="32"/>
      <c r="E289" s="11"/>
      <c r="F289" t="str">
        <f>_xlfn.TEXTJOIN(", ",TRUE, Tabla38[[#This Row],[Tipo de escalera]],Tabla38[[#This Row],[Longitud]],Tabla38[[#This Row],[Carga Maxima]])</f>
        <v/>
      </c>
      <c r="G289" s="15"/>
      <c r="J289" s="15"/>
      <c r="K289" s="47"/>
      <c r="L289" s="76"/>
      <c r="M289" s="76"/>
      <c r="N289" s="78" t="str">
        <f>_xlfn.LET(
    _xlpm.itemBuscado, B289,
    _xlpm.areaBuscada, C289,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TEXT(COUNTIF($C$2:C289, _xlpm.areaBuscada), "0000"),
    _xlpm.codItem &amp; "-" &amp; _xlpm.codArea &amp; "-" &amp; _xlpm.secuencia
)</f>
        <v>-SinArea-0000</v>
      </c>
      <c r="O289" s="77"/>
      <c r="P289" s="32"/>
      <c r="Q289" s="32"/>
      <c r="R289" s="32"/>
      <c r="S289" s="32"/>
    </row>
    <row r="290" spans="3:19" x14ac:dyDescent="0.3">
      <c r="C290" s="11"/>
      <c r="D290" s="32"/>
      <c r="E290" s="11"/>
      <c r="F290" t="str">
        <f>_xlfn.TEXTJOIN(", ",TRUE, Tabla38[[#This Row],[Tipo de escalera]],Tabla38[[#This Row],[Longitud]],Tabla38[[#This Row],[Carga Maxima]])</f>
        <v/>
      </c>
      <c r="G290" s="15"/>
      <c r="J290" s="15"/>
      <c r="K290" s="47"/>
      <c r="L290" s="76"/>
      <c r="M290" s="76"/>
      <c r="N290" s="78" t="str">
        <f>_xlfn.LET(
    _xlpm.itemBuscado, B290,
    _xlpm.areaBuscada, C290,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TEXT(COUNTIF($C$2:C290, _xlpm.areaBuscada), "0000"),
    _xlpm.codItem &amp; "-" &amp; _xlpm.codArea &amp; "-" &amp; _xlpm.secuencia
)</f>
        <v>-SinArea-0000</v>
      </c>
      <c r="O290" s="77"/>
      <c r="P290" s="32"/>
      <c r="Q290" s="32"/>
      <c r="R290" s="32"/>
      <c r="S290" s="32"/>
    </row>
    <row r="291" spans="3:19" x14ac:dyDescent="0.3">
      <c r="C291" s="11"/>
      <c r="D291" s="32"/>
      <c r="E291" s="11"/>
      <c r="F291" t="str">
        <f>_xlfn.TEXTJOIN(", ",TRUE, Tabla38[[#This Row],[Tipo de escalera]],Tabla38[[#This Row],[Longitud]],Tabla38[[#This Row],[Carga Maxima]])</f>
        <v/>
      </c>
      <c r="G291" s="15"/>
      <c r="J291" s="15"/>
      <c r="K291" s="47"/>
      <c r="L291" s="76"/>
      <c r="M291" s="76"/>
      <c r="N291" s="78" t="str">
        <f>_xlfn.LET(
    _xlpm.itemBuscado, B291,
    _xlpm.areaBuscada, C291,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TEXT(COUNTIF($C$2:C291, _xlpm.areaBuscada), "0000"),
    _xlpm.codItem &amp; "-" &amp; _xlpm.codArea &amp; "-" &amp; _xlpm.secuencia
)</f>
        <v>-SinArea-0000</v>
      </c>
      <c r="O291" s="77"/>
      <c r="P291" s="32"/>
      <c r="Q291" s="32"/>
      <c r="R291" s="32"/>
      <c r="S291" s="32"/>
    </row>
    <row r="292" spans="3:19" x14ac:dyDescent="0.3">
      <c r="C292" s="11"/>
      <c r="D292" s="32"/>
      <c r="E292" s="11"/>
      <c r="F292" t="str">
        <f>_xlfn.TEXTJOIN(", ",TRUE, Tabla38[[#This Row],[Tipo de escalera]],Tabla38[[#This Row],[Longitud]],Tabla38[[#This Row],[Carga Maxima]])</f>
        <v/>
      </c>
      <c r="G292" s="15"/>
      <c r="J292" s="15"/>
      <c r="K292" s="47"/>
      <c r="L292" s="76"/>
      <c r="M292" s="76"/>
      <c r="N292" s="78" t="str">
        <f>_xlfn.LET(
    _xlpm.itemBuscado, B292,
    _xlpm.areaBuscada, C292,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TEXT(COUNTIF($C$2:C292, _xlpm.areaBuscada), "0000"),
    _xlpm.codItem &amp; "-" &amp; _xlpm.codArea &amp; "-" &amp; _xlpm.secuencia
)</f>
        <v>-SinArea-0000</v>
      </c>
      <c r="O292" s="77"/>
      <c r="P292" s="32"/>
      <c r="Q292" s="32"/>
      <c r="R292" s="32"/>
      <c r="S292" s="32"/>
    </row>
    <row r="293" spans="3:19" x14ac:dyDescent="0.3">
      <c r="C293" s="11"/>
      <c r="D293" s="32"/>
      <c r="E293" s="11"/>
      <c r="F293" t="str">
        <f>_xlfn.TEXTJOIN(", ",TRUE, Tabla38[[#This Row],[Tipo de escalera]],Tabla38[[#This Row],[Longitud]],Tabla38[[#This Row],[Carga Maxima]])</f>
        <v/>
      </c>
      <c r="G293" s="15"/>
      <c r="J293" s="15"/>
      <c r="K293" s="47"/>
      <c r="L293" s="76"/>
      <c r="M293" s="76"/>
      <c r="N293" s="78" t="str">
        <f>_xlfn.LET(
    _xlpm.itemBuscado, B293,
    _xlpm.areaBuscada, C293,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TEXT(COUNTIF($C$2:C293, _xlpm.areaBuscada), "0000"),
    _xlpm.codItem &amp; "-" &amp; _xlpm.codArea &amp; "-" &amp; _xlpm.secuencia
)</f>
        <v>-SinArea-0000</v>
      </c>
      <c r="O293" s="77"/>
      <c r="P293" s="32"/>
      <c r="Q293" s="32"/>
      <c r="R293" s="32"/>
      <c r="S293" s="32"/>
    </row>
    <row r="294" spans="3:19" x14ac:dyDescent="0.3">
      <c r="C294" s="11"/>
      <c r="D294" s="32"/>
      <c r="E294" s="11"/>
      <c r="F294" t="str">
        <f>_xlfn.TEXTJOIN(", ",TRUE, Tabla38[[#This Row],[Tipo de escalera]],Tabla38[[#This Row],[Longitud]],Tabla38[[#This Row],[Carga Maxima]])</f>
        <v/>
      </c>
      <c r="G294" s="15"/>
      <c r="J294" s="15"/>
      <c r="K294" s="47"/>
      <c r="L294" s="76"/>
      <c r="M294" s="76"/>
      <c r="N294" s="78" t="str">
        <f>_xlfn.LET(
    _xlpm.itemBuscado, B294,
    _xlpm.areaBuscada, C294,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TEXT(COUNTIF($C$2:C294, _xlpm.areaBuscada), "0000"),
    _xlpm.codItem &amp; "-" &amp; _xlpm.codArea &amp; "-" &amp; _xlpm.secuencia
)</f>
        <v>-SinArea-0000</v>
      </c>
      <c r="O294" s="77"/>
      <c r="P294" s="32"/>
      <c r="Q294" s="32"/>
      <c r="R294" s="32"/>
      <c r="S294" s="32"/>
    </row>
    <row r="295" spans="3:19" x14ac:dyDescent="0.3">
      <c r="C295" s="11"/>
      <c r="D295" s="32"/>
      <c r="E295" s="11"/>
      <c r="F295" t="str">
        <f>_xlfn.TEXTJOIN(", ",TRUE, Tabla38[[#This Row],[Tipo de escalera]],Tabla38[[#This Row],[Longitud]],Tabla38[[#This Row],[Carga Maxima]])</f>
        <v/>
      </c>
      <c r="G295" s="15"/>
      <c r="J295" s="15"/>
      <c r="K295" s="47"/>
      <c r="L295" s="76"/>
      <c r="M295" s="76"/>
      <c r="N295" s="78" t="str">
        <f>_xlfn.LET(
    _xlpm.itemBuscado, B295,
    _xlpm.areaBuscada, C295,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TEXT(COUNTIF($C$2:C295, _xlpm.areaBuscada), "0000"),
    _xlpm.codItem &amp; "-" &amp; _xlpm.codArea &amp; "-" &amp; _xlpm.secuencia
)</f>
        <v>-SinArea-0000</v>
      </c>
      <c r="O295" s="77"/>
      <c r="P295" s="32"/>
      <c r="Q295" s="32"/>
      <c r="R295" s="32"/>
      <c r="S295" s="32"/>
    </row>
    <row r="296" spans="3:19" x14ac:dyDescent="0.3">
      <c r="C296" s="11"/>
      <c r="D296" s="32"/>
      <c r="E296" s="11"/>
      <c r="F296" t="str">
        <f>_xlfn.TEXTJOIN(", ",TRUE, Tabla38[[#This Row],[Tipo de escalera]],Tabla38[[#This Row],[Longitud]],Tabla38[[#This Row],[Carga Maxima]])</f>
        <v/>
      </c>
      <c r="G296" s="15"/>
      <c r="J296" s="15"/>
      <c r="K296" s="47"/>
      <c r="L296" s="76"/>
      <c r="M296" s="76"/>
      <c r="N296" s="78" t="str">
        <f>_xlfn.LET(
    _xlpm.itemBuscado, B296,
    _xlpm.areaBuscada, C296,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TEXT(COUNTIF($C$2:C296, _xlpm.areaBuscada), "0000"),
    _xlpm.codItem &amp; "-" &amp; _xlpm.codArea &amp; "-" &amp; _xlpm.secuencia
)</f>
        <v>-SinArea-0000</v>
      </c>
      <c r="O296" s="77"/>
      <c r="P296" s="32"/>
      <c r="Q296" s="32"/>
      <c r="R296" s="32"/>
      <c r="S296" s="32"/>
    </row>
    <row r="297" spans="3:19" x14ac:dyDescent="0.3">
      <c r="C297" s="11"/>
      <c r="D297" s="32"/>
      <c r="E297" s="11"/>
      <c r="F297" t="str">
        <f>_xlfn.TEXTJOIN(", ",TRUE, Tabla38[[#This Row],[Tipo de escalera]],Tabla38[[#This Row],[Longitud]],Tabla38[[#This Row],[Carga Maxima]])</f>
        <v/>
      </c>
      <c r="G297" s="15"/>
      <c r="J297" s="15"/>
      <c r="K297" s="47"/>
      <c r="L297" s="76"/>
      <c r="M297" s="76"/>
      <c r="N297" s="78" t="str">
        <f>_xlfn.LET(
    _xlpm.itemBuscado, B297,
    _xlpm.areaBuscada, C297,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TEXT(COUNTIF($C$2:C297, _xlpm.areaBuscada), "0000"),
    _xlpm.codItem &amp; "-" &amp; _xlpm.codArea &amp; "-" &amp; _xlpm.secuencia
)</f>
        <v>-SinArea-0000</v>
      </c>
      <c r="O297" s="77"/>
      <c r="P297" s="32"/>
      <c r="Q297" s="32"/>
      <c r="R297" s="32"/>
      <c r="S297" s="32"/>
    </row>
    <row r="298" spans="3:19" x14ac:dyDescent="0.3">
      <c r="C298" s="11"/>
      <c r="D298" s="32"/>
      <c r="E298" s="11"/>
      <c r="F298" t="str">
        <f>_xlfn.TEXTJOIN(", ",TRUE, Tabla38[[#This Row],[Tipo de escalera]],Tabla38[[#This Row],[Longitud]],Tabla38[[#This Row],[Carga Maxima]])</f>
        <v/>
      </c>
      <c r="G298" s="15"/>
      <c r="J298" s="15"/>
      <c r="K298" s="47"/>
      <c r="L298" s="76"/>
      <c r="M298" s="76"/>
      <c r="N298" s="78" t="str">
        <f>_xlfn.LET(
    _xlpm.itemBuscado, B298,
    _xlpm.areaBuscada, C298,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TEXT(COUNTIF($C$2:C298, _xlpm.areaBuscada), "0000"),
    _xlpm.codItem &amp; "-" &amp; _xlpm.codArea &amp; "-" &amp; _xlpm.secuencia
)</f>
        <v>-SinArea-0000</v>
      </c>
      <c r="O298" s="77"/>
      <c r="P298" s="32"/>
      <c r="Q298" s="32"/>
      <c r="R298" s="32"/>
      <c r="S298" s="32"/>
    </row>
    <row r="299" spans="3:19" x14ac:dyDescent="0.3">
      <c r="C299" s="11"/>
      <c r="D299" s="32"/>
      <c r="E299" s="11"/>
      <c r="F299" t="str">
        <f>_xlfn.TEXTJOIN(", ",TRUE, Tabla38[[#This Row],[Tipo de escalera]],Tabla38[[#This Row],[Longitud]],Tabla38[[#This Row],[Carga Maxima]])</f>
        <v/>
      </c>
      <c r="G299" s="15"/>
      <c r="J299" s="15"/>
      <c r="K299" s="47"/>
      <c r="L299" s="76"/>
      <c r="M299" s="76"/>
      <c r="N299" s="78" t="str">
        <f>_xlfn.LET(
    _xlpm.itemBuscado, B299,
    _xlpm.areaBuscada, C299,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TEXT(COUNTIF($C$2:C299, _xlpm.areaBuscada), "0000"),
    _xlpm.codItem &amp; "-" &amp; _xlpm.codArea &amp; "-" &amp; _xlpm.secuencia
)</f>
        <v>-SinArea-0000</v>
      </c>
      <c r="O299" s="77"/>
      <c r="P299" s="32"/>
      <c r="Q299" s="32"/>
      <c r="R299" s="32"/>
      <c r="S299" s="32"/>
    </row>
    <row r="300" spans="3:19" x14ac:dyDescent="0.3">
      <c r="C300" s="11"/>
      <c r="D300" s="32"/>
      <c r="E300" s="11"/>
      <c r="F300" t="str">
        <f>_xlfn.TEXTJOIN(", ",TRUE, Tabla38[[#This Row],[Tipo de escalera]],Tabla38[[#This Row],[Longitud]],Tabla38[[#This Row],[Carga Maxima]])</f>
        <v/>
      </c>
      <c r="G300" s="15"/>
      <c r="J300" s="15"/>
      <c r="K300" s="47"/>
      <c r="L300" s="76"/>
      <c r="M300" s="76"/>
      <c r="N300" s="78" t="str">
        <f>_xlfn.LET(
    _xlpm.itemBuscado, B300,
    _xlpm.areaBuscada, C300,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TEXT(COUNTIF($C$2:C300, _xlpm.areaBuscada), "0000"),
    _xlpm.codItem &amp; "-" &amp; _xlpm.codArea &amp; "-" &amp; _xlpm.secuencia
)</f>
        <v>-SinArea-0000</v>
      </c>
      <c r="O300" s="77"/>
      <c r="P300" s="32"/>
      <c r="Q300" s="32"/>
      <c r="R300" s="32"/>
      <c r="S300" s="32"/>
    </row>
    <row r="301" spans="3:19" x14ac:dyDescent="0.3">
      <c r="C301" s="11"/>
      <c r="D301" s="32"/>
      <c r="E301" s="11"/>
      <c r="F301" t="str">
        <f>_xlfn.TEXTJOIN(", ",TRUE, Tabla38[[#This Row],[Tipo de escalera]],Tabla38[[#This Row],[Longitud]],Tabla38[[#This Row],[Carga Maxima]])</f>
        <v/>
      </c>
      <c r="G301" s="15"/>
      <c r="J301" s="15"/>
      <c r="K301" s="47"/>
      <c r="L301" s="76"/>
      <c r="M301" s="76"/>
      <c r="N301" s="78" t="str">
        <f>_xlfn.LET(
    _xlpm.itemBuscado, B301,
    _xlpm.areaBuscada, C301,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TEXT(COUNTIF($C$2:C301, _xlpm.areaBuscada), "0000"),
    _xlpm.codItem &amp; "-" &amp; _xlpm.codArea &amp; "-" &amp; _xlpm.secuencia
)</f>
        <v>-SinArea-0000</v>
      </c>
      <c r="O301" s="77"/>
      <c r="P301" s="32"/>
      <c r="Q301" s="32"/>
      <c r="R301" s="32"/>
      <c r="S301" s="32"/>
    </row>
    <row r="302" spans="3:19" x14ac:dyDescent="0.3">
      <c r="C302" s="11"/>
      <c r="D302" s="32"/>
      <c r="E302" s="11"/>
      <c r="F302" t="str">
        <f>_xlfn.TEXTJOIN(", ",TRUE, Tabla38[[#This Row],[Tipo de escalera]],Tabla38[[#This Row],[Longitud]],Tabla38[[#This Row],[Carga Maxima]])</f>
        <v/>
      </c>
      <c r="G302" s="15"/>
      <c r="J302" s="15"/>
      <c r="K302" s="47"/>
      <c r="L302" s="76"/>
      <c r="M302" s="76"/>
      <c r="N302" s="78" t="str">
        <f>_xlfn.LET(
    _xlpm.itemBuscado, B302,
    _xlpm.areaBuscada, C302,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TEXT(COUNTIF($C$2:C302, _xlpm.areaBuscada), "0000"),
    _xlpm.codItem &amp; "-" &amp; _xlpm.codArea &amp; "-" &amp; _xlpm.secuencia
)</f>
        <v>-SinArea-0000</v>
      </c>
      <c r="O302" s="77"/>
      <c r="P302" s="32"/>
      <c r="Q302" s="32"/>
      <c r="R302" s="32"/>
      <c r="S302" s="32"/>
    </row>
    <row r="303" spans="3:19" x14ac:dyDescent="0.3">
      <c r="C303" s="11"/>
      <c r="D303" s="32"/>
      <c r="E303" s="11"/>
      <c r="F303" t="str">
        <f>_xlfn.TEXTJOIN(", ",TRUE, Tabla38[[#This Row],[Tipo de escalera]],Tabla38[[#This Row],[Longitud]],Tabla38[[#This Row],[Carga Maxima]])</f>
        <v/>
      </c>
      <c r="G303" s="15"/>
      <c r="J303" s="15"/>
      <c r="K303" s="47"/>
      <c r="L303" s="76"/>
      <c r="M303" s="76"/>
      <c r="N303" s="78" t="str">
        <f>_xlfn.LET(
    _xlpm.itemBuscado, B303,
    _xlpm.areaBuscada, C303,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TEXT(COUNTIF($C$2:C303, _xlpm.areaBuscada), "0000"),
    _xlpm.codItem &amp; "-" &amp; _xlpm.codArea &amp; "-" &amp; _xlpm.secuencia
)</f>
        <v>-SinArea-0000</v>
      </c>
      <c r="O303" s="77"/>
      <c r="P303" s="32"/>
      <c r="Q303" s="32"/>
      <c r="R303" s="32"/>
      <c r="S303" s="32"/>
    </row>
    <row r="304" spans="3:19" x14ac:dyDescent="0.3">
      <c r="C304" s="11"/>
      <c r="D304" s="32"/>
      <c r="E304" s="11"/>
      <c r="F304" t="str">
        <f>_xlfn.TEXTJOIN(", ",TRUE, Tabla38[[#This Row],[Tipo de escalera]],Tabla38[[#This Row],[Longitud]],Tabla38[[#This Row],[Carga Maxima]])</f>
        <v/>
      </c>
      <c r="G304" s="15"/>
      <c r="J304" s="15"/>
      <c r="K304" s="47"/>
      <c r="L304" s="76"/>
      <c r="M304" s="76"/>
      <c r="N304" s="78" t="str">
        <f>_xlfn.LET(
    _xlpm.itemBuscado, B304,
    _xlpm.areaBuscada, C304,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TEXT(COUNTIF($C$2:C304, _xlpm.areaBuscada), "0000"),
    _xlpm.codItem &amp; "-" &amp; _xlpm.codArea &amp; "-" &amp; _xlpm.secuencia
)</f>
        <v>-SinArea-0000</v>
      </c>
      <c r="O304" s="77"/>
      <c r="P304" s="32"/>
      <c r="Q304" s="32"/>
      <c r="R304" s="32"/>
      <c r="S304" s="32"/>
    </row>
    <row r="305" spans="3:19" x14ac:dyDescent="0.3">
      <c r="C305" s="11"/>
      <c r="D305" s="32"/>
      <c r="E305" s="11"/>
      <c r="F305" t="str">
        <f>_xlfn.TEXTJOIN(", ",TRUE, Tabla38[[#This Row],[Tipo de escalera]],Tabla38[[#This Row],[Longitud]],Tabla38[[#This Row],[Carga Maxima]])</f>
        <v/>
      </c>
      <c r="G305" s="15"/>
      <c r="J305" s="15"/>
      <c r="K305" s="47"/>
      <c r="L305" s="76"/>
      <c r="M305" s="76"/>
      <c r="N305" s="78" t="str">
        <f>_xlfn.LET(
    _xlpm.itemBuscado, B305,
    _xlpm.areaBuscada, C305,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TEXT(COUNTIF($C$2:C305, _xlpm.areaBuscada), "0000"),
    _xlpm.codItem &amp; "-" &amp; _xlpm.codArea &amp; "-" &amp; _xlpm.secuencia
)</f>
        <v>-SinArea-0000</v>
      </c>
      <c r="O305" s="77"/>
      <c r="P305" s="32"/>
      <c r="Q305" s="32"/>
      <c r="R305" s="32"/>
      <c r="S305" s="32"/>
    </row>
    <row r="306" spans="3:19" x14ac:dyDescent="0.3">
      <c r="C306" s="11"/>
      <c r="D306" s="32"/>
      <c r="E306" s="11"/>
      <c r="F306" t="str">
        <f>_xlfn.TEXTJOIN(", ",TRUE, Tabla38[[#This Row],[Tipo de escalera]],Tabla38[[#This Row],[Longitud]],Tabla38[[#This Row],[Carga Maxima]])</f>
        <v/>
      </c>
      <c r="G306" s="15"/>
      <c r="J306" s="15"/>
      <c r="K306" s="47"/>
      <c r="L306" s="76"/>
      <c r="M306" s="76"/>
      <c r="N306" s="78" t="str">
        <f>_xlfn.LET(
    _xlpm.itemBuscado, B306,
    _xlpm.areaBuscada, C306,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TEXT(COUNTIF($C$2:C306, _xlpm.areaBuscada), "0000"),
    _xlpm.codItem &amp; "-" &amp; _xlpm.codArea &amp; "-" &amp; _xlpm.secuencia
)</f>
        <v>-SinArea-0000</v>
      </c>
      <c r="O306" s="77"/>
      <c r="P306" s="32"/>
      <c r="Q306" s="32"/>
      <c r="R306" s="32"/>
      <c r="S306" s="32"/>
    </row>
    <row r="307" spans="3:19" x14ac:dyDescent="0.3">
      <c r="C307" s="11"/>
      <c r="D307" s="32"/>
      <c r="E307" s="11"/>
      <c r="F307" t="str">
        <f>_xlfn.TEXTJOIN(", ",TRUE, Tabla38[[#This Row],[Tipo de escalera]],Tabla38[[#This Row],[Longitud]],Tabla38[[#This Row],[Carga Maxima]])</f>
        <v/>
      </c>
      <c r="G307" s="15"/>
      <c r="J307" s="15"/>
      <c r="K307" s="47"/>
      <c r="L307" s="76"/>
      <c r="M307" s="76"/>
      <c r="N307" s="78" t="str">
        <f>_xlfn.LET(
    _xlpm.itemBuscado, B307,
    _xlpm.areaBuscada, C307,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TEXT(COUNTIF($C$2:C307, _xlpm.areaBuscada), "0000"),
    _xlpm.codItem &amp; "-" &amp; _xlpm.codArea &amp; "-" &amp; _xlpm.secuencia
)</f>
        <v>-SinArea-0000</v>
      </c>
      <c r="O307" s="77"/>
      <c r="P307" s="32"/>
      <c r="Q307" s="32"/>
      <c r="R307" s="32"/>
      <c r="S307" s="32"/>
    </row>
    <row r="308" spans="3:19" x14ac:dyDescent="0.3">
      <c r="C308" s="11"/>
      <c r="D308" s="32"/>
      <c r="E308" s="11"/>
      <c r="F308" t="str">
        <f>_xlfn.TEXTJOIN(", ",TRUE, Tabla38[[#This Row],[Tipo de escalera]],Tabla38[[#This Row],[Longitud]],Tabla38[[#This Row],[Carga Maxima]])</f>
        <v/>
      </c>
      <c r="G308" s="15"/>
      <c r="J308" s="15"/>
      <c r="K308" s="47"/>
      <c r="L308" s="76"/>
      <c r="M308" s="76"/>
      <c r="N308" s="78" t="str">
        <f>_xlfn.LET(
    _xlpm.itemBuscado, B308,
    _xlpm.areaBuscada, C308,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TEXT(COUNTIF($C$2:C308, _xlpm.areaBuscada), "0000"),
    _xlpm.codItem &amp; "-" &amp; _xlpm.codArea &amp; "-" &amp; _xlpm.secuencia
)</f>
        <v>-SinArea-0000</v>
      </c>
      <c r="O308" s="77"/>
      <c r="P308" s="32"/>
      <c r="Q308" s="32"/>
      <c r="R308" s="32"/>
      <c r="S308" s="32"/>
    </row>
    <row r="309" spans="3:19" x14ac:dyDescent="0.3">
      <c r="C309" s="11"/>
      <c r="D309" s="32"/>
      <c r="E309" s="11"/>
      <c r="F309" t="str">
        <f>_xlfn.TEXTJOIN(", ",TRUE, Tabla38[[#This Row],[Tipo de escalera]],Tabla38[[#This Row],[Longitud]],Tabla38[[#This Row],[Carga Maxima]])</f>
        <v/>
      </c>
      <c r="G309" s="15"/>
      <c r="J309" s="15"/>
      <c r="K309" s="47"/>
      <c r="L309" s="76"/>
      <c r="M309" s="76"/>
      <c r="N309" s="78" t="str">
        <f>_xlfn.LET(
    _xlpm.itemBuscado, B309,
    _xlpm.areaBuscada, C309,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TEXT(COUNTIF($C$2:C309, _xlpm.areaBuscada), "0000"),
    _xlpm.codItem &amp; "-" &amp; _xlpm.codArea &amp; "-" &amp; _xlpm.secuencia
)</f>
        <v>-SinArea-0000</v>
      </c>
      <c r="O309" s="77"/>
      <c r="P309" s="32"/>
      <c r="Q309" s="32"/>
      <c r="R309" s="32"/>
      <c r="S309" s="32"/>
    </row>
    <row r="310" spans="3:19" x14ac:dyDescent="0.3">
      <c r="C310" s="11"/>
      <c r="D310" s="32"/>
      <c r="E310" s="11"/>
      <c r="F310" t="str">
        <f>_xlfn.TEXTJOIN(", ",TRUE, Tabla38[[#This Row],[Tipo de escalera]],Tabla38[[#This Row],[Longitud]],Tabla38[[#This Row],[Carga Maxima]])</f>
        <v/>
      </c>
      <c r="G310" s="15"/>
      <c r="J310" s="15"/>
      <c r="K310" s="47"/>
      <c r="L310" s="76"/>
      <c r="M310" s="76"/>
      <c r="N310" s="78" t="str">
        <f>_xlfn.LET(
    _xlpm.itemBuscado, B310,
    _xlpm.areaBuscada, C310,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TEXT(COUNTIF($C$2:C310, _xlpm.areaBuscada), "0000"),
    _xlpm.codItem &amp; "-" &amp; _xlpm.codArea &amp; "-" &amp; _xlpm.secuencia
)</f>
        <v>-SinArea-0000</v>
      </c>
      <c r="O310" s="77"/>
      <c r="P310" s="32"/>
      <c r="Q310" s="32"/>
      <c r="R310" s="32"/>
      <c r="S310" s="32"/>
    </row>
    <row r="311" spans="3:19" x14ac:dyDescent="0.3">
      <c r="C311" s="11"/>
      <c r="D311" s="32"/>
      <c r="E311" s="11"/>
      <c r="F311" t="str">
        <f>_xlfn.TEXTJOIN(", ",TRUE, Tabla38[[#This Row],[Tipo de escalera]],Tabla38[[#This Row],[Longitud]],Tabla38[[#This Row],[Carga Maxima]])</f>
        <v/>
      </c>
      <c r="G311" s="15"/>
      <c r="J311" s="15"/>
      <c r="K311" s="47"/>
      <c r="L311" s="76"/>
      <c r="M311" s="76"/>
      <c r="N311" s="78" t="str">
        <f>_xlfn.LET(
    _xlpm.itemBuscado, B311,
    _xlpm.areaBuscada, C311,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TEXT(COUNTIF($C$2:C311, _xlpm.areaBuscada), "0000"),
    _xlpm.codItem &amp; "-" &amp; _xlpm.codArea &amp; "-" &amp; _xlpm.secuencia
)</f>
        <v>-SinArea-0000</v>
      </c>
      <c r="O311" s="77"/>
      <c r="P311" s="32"/>
      <c r="Q311" s="32"/>
      <c r="R311" s="32"/>
      <c r="S311" s="32"/>
    </row>
    <row r="312" spans="3:19" x14ac:dyDescent="0.3">
      <c r="C312" s="11"/>
      <c r="D312" s="32"/>
      <c r="E312" s="11"/>
      <c r="F312" t="str">
        <f>_xlfn.TEXTJOIN(", ",TRUE, Tabla38[[#This Row],[Tipo de escalera]],Tabla38[[#This Row],[Longitud]],Tabla38[[#This Row],[Carga Maxima]])</f>
        <v/>
      </c>
      <c r="G312" s="15"/>
      <c r="J312" s="15"/>
      <c r="K312" s="47"/>
      <c r="L312" s="76"/>
      <c r="M312" s="76"/>
      <c r="N312" s="78" t="str">
        <f>_xlfn.LET(
    _xlpm.itemBuscado, B312,
    _xlpm.areaBuscada, C312,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TEXT(COUNTIF($C$2:C312, _xlpm.areaBuscada), "0000"),
    _xlpm.codItem &amp; "-" &amp; _xlpm.codArea &amp; "-" &amp; _xlpm.secuencia
)</f>
        <v>-SinArea-0000</v>
      </c>
      <c r="O312" s="77"/>
      <c r="P312" s="32"/>
      <c r="Q312" s="32"/>
      <c r="R312" s="32"/>
      <c r="S312" s="32"/>
    </row>
    <row r="313" spans="3:19" x14ac:dyDescent="0.3">
      <c r="C313" s="11"/>
      <c r="D313" s="32"/>
      <c r="E313" s="11"/>
      <c r="F313" t="str">
        <f>_xlfn.TEXTJOIN(", ",TRUE, Tabla38[[#This Row],[Tipo de escalera]],Tabla38[[#This Row],[Longitud]],Tabla38[[#This Row],[Carga Maxima]])</f>
        <v/>
      </c>
      <c r="G313" s="15"/>
      <c r="J313" s="15"/>
      <c r="K313" s="47"/>
      <c r="L313" s="76"/>
      <c r="M313" s="76"/>
      <c r="N313" s="78" t="str">
        <f>_xlfn.LET(
    _xlpm.itemBuscado, B313,
    _xlpm.areaBuscada, C313,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TEXT(COUNTIF($C$2:C313, _xlpm.areaBuscada), "0000"),
    _xlpm.codItem &amp; "-" &amp; _xlpm.codArea &amp; "-" &amp; _xlpm.secuencia
)</f>
        <v>-SinArea-0000</v>
      </c>
      <c r="O313" s="77"/>
      <c r="P313" s="32"/>
      <c r="Q313" s="32"/>
      <c r="R313" s="32"/>
      <c r="S313" s="32"/>
    </row>
    <row r="314" spans="3:19" x14ac:dyDescent="0.3">
      <c r="C314" s="11"/>
      <c r="D314" s="32"/>
      <c r="E314" s="11"/>
      <c r="F314" t="str">
        <f>_xlfn.TEXTJOIN(", ",TRUE, Tabla38[[#This Row],[Tipo de escalera]],Tabla38[[#This Row],[Longitud]],Tabla38[[#This Row],[Carga Maxima]])</f>
        <v/>
      </c>
      <c r="G314" s="15"/>
      <c r="J314" s="15"/>
      <c r="K314" s="47"/>
      <c r="L314" s="76"/>
      <c r="M314" s="76"/>
      <c r="N314" s="78" t="str">
        <f>_xlfn.LET(
    _xlpm.itemBuscado, B314,
    _xlpm.areaBuscada, C314,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TEXT(COUNTIF($C$2:C314, _xlpm.areaBuscada), "0000"),
    _xlpm.codItem &amp; "-" &amp; _xlpm.codArea &amp; "-" &amp; _xlpm.secuencia
)</f>
        <v>-SinArea-0000</v>
      </c>
      <c r="O314" s="77"/>
      <c r="P314" s="32"/>
      <c r="Q314" s="32"/>
      <c r="R314" s="32"/>
      <c r="S314" s="32"/>
    </row>
    <row r="315" spans="3:19" x14ac:dyDescent="0.3">
      <c r="C315" s="11"/>
      <c r="D315" s="32"/>
      <c r="E315" s="11"/>
      <c r="F315" t="str">
        <f>_xlfn.TEXTJOIN(", ",TRUE, Tabla38[[#This Row],[Tipo de escalera]],Tabla38[[#This Row],[Longitud]],Tabla38[[#This Row],[Carga Maxima]])</f>
        <v/>
      </c>
      <c r="G315" s="15"/>
      <c r="J315" s="15"/>
      <c r="K315" s="47"/>
      <c r="L315" s="76"/>
      <c r="M315" s="76"/>
      <c r="N315" s="78" t="str">
        <f>_xlfn.LET(
    _xlpm.itemBuscado, B315,
    _xlpm.areaBuscada, C315,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TEXT(COUNTIF($C$2:C315, _xlpm.areaBuscada), "0000"),
    _xlpm.codItem &amp; "-" &amp; _xlpm.codArea &amp; "-" &amp; _xlpm.secuencia
)</f>
        <v>-SinArea-0000</v>
      </c>
      <c r="O315" s="77"/>
      <c r="P315" s="32"/>
      <c r="Q315" s="32"/>
      <c r="R315" s="32"/>
      <c r="S315" s="32"/>
    </row>
    <row r="316" spans="3:19" x14ac:dyDescent="0.3">
      <c r="C316" s="11"/>
      <c r="D316" s="32"/>
      <c r="E316" s="11"/>
      <c r="F316" t="str">
        <f>_xlfn.TEXTJOIN(", ",TRUE, Tabla38[[#This Row],[Tipo de escalera]],Tabla38[[#This Row],[Longitud]],Tabla38[[#This Row],[Carga Maxima]])</f>
        <v/>
      </c>
      <c r="G316" s="15"/>
      <c r="J316" s="15"/>
      <c r="K316" s="47"/>
      <c r="L316" s="76"/>
      <c r="M316" s="76"/>
      <c r="N316" s="78" t="str">
        <f>_xlfn.LET(
    _xlpm.itemBuscado, B316,
    _xlpm.areaBuscada, C316,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TEXT(COUNTIF($C$2:C316, _xlpm.areaBuscada), "0000"),
    _xlpm.codItem &amp; "-" &amp; _xlpm.codArea &amp; "-" &amp; _xlpm.secuencia
)</f>
        <v>-SinArea-0000</v>
      </c>
      <c r="O316" s="77"/>
      <c r="P316" s="32"/>
      <c r="Q316" s="32"/>
      <c r="R316" s="32"/>
      <c r="S316" s="32"/>
    </row>
    <row r="317" spans="3:19" x14ac:dyDescent="0.3">
      <c r="C317" s="11"/>
      <c r="D317" s="32"/>
      <c r="E317" s="11"/>
      <c r="F317" t="str">
        <f>_xlfn.TEXTJOIN(", ",TRUE, Tabla38[[#This Row],[Tipo de escalera]],Tabla38[[#This Row],[Longitud]],Tabla38[[#This Row],[Carga Maxima]])</f>
        <v/>
      </c>
      <c r="G317" s="15"/>
      <c r="J317" s="15"/>
      <c r="K317" s="47"/>
      <c r="L317" s="76"/>
      <c r="M317" s="76"/>
      <c r="N317" s="78" t="str">
        <f>_xlfn.LET(
    _xlpm.itemBuscado, B317,
    _xlpm.areaBuscada, C317,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TEXT(COUNTIF($C$2:C317, _xlpm.areaBuscada), "0000"),
    _xlpm.codItem &amp; "-" &amp; _xlpm.codArea &amp; "-" &amp; _xlpm.secuencia
)</f>
        <v>-SinArea-0000</v>
      </c>
      <c r="O317" s="77"/>
      <c r="P317" s="32"/>
      <c r="Q317" s="32"/>
      <c r="R317" s="32"/>
      <c r="S317" s="32"/>
    </row>
    <row r="318" spans="3:19" x14ac:dyDescent="0.3">
      <c r="C318" s="11"/>
      <c r="D318" s="32"/>
      <c r="E318" s="11"/>
      <c r="F318" t="str">
        <f>_xlfn.TEXTJOIN(", ",TRUE, Tabla38[[#This Row],[Tipo de escalera]],Tabla38[[#This Row],[Longitud]],Tabla38[[#This Row],[Carga Maxima]])</f>
        <v/>
      </c>
      <c r="G318" s="15"/>
      <c r="J318" s="15"/>
      <c r="K318" s="47"/>
      <c r="L318" s="76"/>
      <c r="M318" s="76"/>
      <c r="N318" s="78" t="str">
        <f>_xlfn.LET(
    _xlpm.itemBuscado, B318,
    _xlpm.areaBuscada, C318,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TEXT(COUNTIF($C$2:C318, _xlpm.areaBuscada), "0000"),
    _xlpm.codItem &amp; "-" &amp; _xlpm.codArea &amp; "-" &amp; _xlpm.secuencia
)</f>
        <v>-SinArea-0000</v>
      </c>
      <c r="O318" s="77"/>
      <c r="P318" s="32"/>
      <c r="Q318" s="32"/>
      <c r="R318" s="32"/>
      <c r="S318" s="32"/>
    </row>
    <row r="319" spans="3:19" x14ac:dyDescent="0.3">
      <c r="C319" s="11"/>
      <c r="D319" s="32"/>
      <c r="E319" s="11"/>
      <c r="F319" t="str">
        <f>_xlfn.TEXTJOIN(", ",TRUE, Tabla38[[#This Row],[Tipo de escalera]],Tabla38[[#This Row],[Longitud]],Tabla38[[#This Row],[Carga Maxima]])</f>
        <v/>
      </c>
      <c r="G319" s="15"/>
      <c r="J319" s="15"/>
      <c r="K319" s="47"/>
      <c r="L319" s="76"/>
      <c r="M319" s="76"/>
      <c r="N319" s="78" t="str">
        <f>_xlfn.LET(
    _xlpm.itemBuscado, B319,
    _xlpm.areaBuscada, C319,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TEXT(COUNTIF($C$2:C319, _xlpm.areaBuscada), "0000"),
    _xlpm.codItem &amp; "-" &amp; _xlpm.codArea &amp; "-" &amp; _xlpm.secuencia
)</f>
        <v>-SinArea-0000</v>
      </c>
      <c r="O319" s="77"/>
      <c r="P319" s="32"/>
      <c r="Q319" s="32"/>
      <c r="R319" s="32"/>
      <c r="S319" s="32"/>
    </row>
    <row r="320" spans="3:19" x14ac:dyDescent="0.3">
      <c r="C320" s="11"/>
      <c r="D320" s="32"/>
      <c r="E320" s="11"/>
      <c r="F320" t="str">
        <f>_xlfn.TEXTJOIN(", ",TRUE, Tabla38[[#This Row],[Tipo de escalera]],Tabla38[[#This Row],[Longitud]],Tabla38[[#This Row],[Carga Maxima]])</f>
        <v/>
      </c>
      <c r="G320" s="15"/>
      <c r="J320" s="15"/>
      <c r="K320" s="47"/>
      <c r="L320" s="76"/>
      <c r="M320" s="76"/>
      <c r="N320" s="78" t="str">
        <f>_xlfn.LET(
    _xlpm.itemBuscado, B320,
    _xlpm.areaBuscada, C320,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TEXT(COUNTIF($C$2:C320, _xlpm.areaBuscada), "0000"),
    _xlpm.codItem &amp; "-" &amp; _xlpm.codArea &amp; "-" &amp; _xlpm.secuencia
)</f>
        <v>-SinArea-0000</v>
      </c>
      <c r="O320" s="77"/>
      <c r="P320" s="32"/>
      <c r="Q320" s="32"/>
      <c r="R320" s="32"/>
      <c r="S320" s="32"/>
    </row>
    <row r="321" spans="3:19" x14ac:dyDescent="0.3">
      <c r="C321" s="11"/>
      <c r="D321" s="32"/>
      <c r="E321" s="11"/>
      <c r="F321" t="str">
        <f>_xlfn.TEXTJOIN(", ",TRUE, Tabla38[[#This Row],[Tipo de escalera]],Tabla38[[#This Row],[Longitud]],Tabla38[[#This Row],[Carga Maxima]])</f>
        <v/>
      </c>
      <c r="G321" s="15"/>
      <c r="J321" s="15"/>
      <c r="K321" s="47"/>
      <c r="L321" s="76"/>
      <c r="M321" s="76"/>
      <c r="N321" s="78" t="str">
        <f>_xlfn.LET(
    _xlpm.itemBuscado, B321,
    _xlpm.areaBuscada, C321,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TEXT(COUNTIF($C$2:C321, _xlpm.areaBuscada), "0000"),
    _xlpm.codItem &amp; "-" &amp; _xlpm.codArea &amp; "-" &amp; _xlpm.secuencia
)</f>
        <v>-SinArea-0000</v>
      </c>
      <c r="O321" s="77"/>
      <c r="P321" s="32"/>
      <c r="Q321" s="32"/>
      <c r="R321" s="32"/>
      <c r="S321" s="32"/>
    </row>
    <row r="322" spans="3:19" x14ac:dyDescent="0.3">
      <c r="C322" s="11"/>
      <c r="D322" s="32"/>
      <c r="E322" s="11"/>
      <c r="F322" t="str">
        <f>_xlfn.TEXTJOIN(", ",TRUE, Tabla38[[#This Row],[Tipo de escalera]],Tabla38[[#This Row],[Longitud]],Tabla38[[#This Row],[Carga Maxima]])</f>
        <v/>
      </c>
      <c r="G322" s="15"/>
      <c r="J322" s="15"/>
      <c r="K322" s="47"/>
      <c r="L322" s="76"/>
      <c r="M322" s="76"/>
      <c r="N322" s="78" t="str">
        <f>_xlfn.LET(
    _xlpm.itemBuscado, B322,
    _xlpm.areaBuscada, C322,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TEXT(COUNTIF($C$2:C322, _xlpm.areaBuscada), "0000"),
    _xlpm.codItem &amp; "-" &amp; _xlpm.codArea &amp; "-" &amp; _xlpm.secuencia
)</f>
        <v>-SinArea-0000</v>
      </c>
      <c r="O322" s="77"/>
      <c r="P322" s="32"/>
      <c r="Q322" s="32"/>
      <c r="R322" s="32"/>
      <c r="S322" s="32"/>
    </row>
    <row r="323" spans="3:19" x14ac:dyDescent="0.3">
      <c r="C323" s="11"/>
      <c r="D323" s="32"/>
      <c r="E323" s="11"/>
      <c r="F323" t="str">
        <f>_xlfn.TEXTJOIN(", ",TRUE, Tabla38[[#This Row],[Tipo de escalera]],Tabla38[[#This Row],[Longitud]],Tabla38[[#This Row],[Carga Maxima]])</f>
        <v/>
      </c>
      <c r="G323" s="15"/>
      <c r="J323" s="15"/>
      <c r="K323" s="47"/>
      <c r="L323" s="76"/>
      <c r="M323" s="76"/>
      <c r="N323" s="78" t="str">
        <f>_xlfn.LET(
    _xlpm.itemBuscado, B323,
    _xlpm.areaBuscada, C323,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TEXT(COUNTIF($C$2:C323, _xlpm.areaBuscada), "0000"),
    _xlpm.codItem &amp; "-" &amp; _xlpm.codArea &amp; "-" &amp; _xlpm.secuencia
)</f>
        <v>-SinArea-0000</v>
      </c>
      <c r="O323" s="77"/>
      <c r="P323" s="32"/>
      <c r="Q323" s="32"/>
      <c r="R323" s="32"/>
      <c r="S323" s="32"/>
    </row>
    <row r="324" spans="3:19" x14ac:dyDescent="0.3">
      <c r="C324" s="11"/>
      <c r="D324" s="32"/>
      <c r="E324" s="11"/>
      <c r="F324" t="str">
        <f>_xlfn.TEXTJOIN(", ",TRUE, Tabla38[[#This Row],[Tipo de escalera]],Tabla38[[#This Row],[Longitud]],Tabla38[[#This Row],[Carga Maxima]])</f>
        <v/>
      </c>
      <c r="G324" s="15"/>
      <c r="J324" s="15"/>
      <c r="K324" s="47"/>
      <c r="L324" s="76"/>
      <c r="M324" s="76"/>
      <c r="N324" s="78" t="str">
        <f>_xlfn.LET(
    _xlpm.itemBuscado, B324,
    _xlpm.areaBuscada, C324,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TEXT(COUNTIF($C$2:C324, _xlpm.areaBuscada), "0000"),
    _xlpm.codItem &amp; "-" &amp; _xlpm.codArea &amp; "-" &amp; _xlpm.secuencia
)</f>
        <v>-SinArea-0000</v>
      </c>
      <c r="O324" s="77"/>
      <c r="P324" s="32"/>
      <c r="Q324" s="32"/>
      <c r="R324" s="32"/>
      <c r="S324" s="32"/>
    </row>
    <row r="325" spans="3:19" x14ac:dyDescent="0.3">
      <c r="C325" s="11"/>
      <c r="D325" s="32"/>
      <c r="E325" s="11"/>
      <c r="F325" t="str">
        <f>_xlfn.TEXTJOIN(", ",TRUE, Tabla38[[#This Row],[Tipo de escalera]],Tabla38[[#This Row],[Longitud]],Tabla38[[#This Row],[Carga Maxima]])</f>
        <v/>
      </c>
      <c r="G325" s="15"/>
      <c r="J325" s="15"/>
      <c r="K325" s="47"/>
      <c r="L325" s="76"/>
      <c r="M325" s="76"/>
      <c r="N325" s="78" t="str">
        <f>_xlfn.LET(
    _xlpm.itemBuscado, B325,
    _xlpm.areaBuscada, C325,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TEXT(COUNTIF($C$2:C325, _xlpm.areaBuscada), "0000"),
    _xlpm.codItem &amp; "-" &amp; _xlpm.codArea &amp; "-" &amp; _xlpm.secuencia
)</f>
        <v>-SinArea-0000</v>
      </c>
      <c r="O325" s="77"/>
      <c r="P325" s="32"/>
      <c r="Q325" s="32"/>
      <c r="R325" s="32"/>
      <c r="S325" s="32"/>
    </row>
    <row r="326" spans="3:19" x14ac:dyDescent="0.3">
      <c r="C326" s="11"/>
      <c r="D326" s="32"/>
      <c r="E326" s="11"/>
      <c r="F326" t="str">
        <f>_xlfn.TEXTJOIN(", ",TRUE, Tabla38[[#This Row],[Tipo de escalera]],Tabla38[[#This Row],[Longitud]],Tabla38[[#This Row],[Carga Maxima]])</f>
        <v/>
      </c>
      <c r="G326" s="15"/>
      <c r="J326" s="15"/>
      <c r="K326" s="47"/>
      <c r="L326" s="76"/>
      <c r="M326" s="76"/>
      <c r="N326" s="78" t="str">
        <f>_xlfn.LET(
    _xlpm.itemBuscado, B326,
    _xlpm.areaBuscada, C326,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TEXT(COUNTIF($C$2:C326, _xlpm.areaBuscada), "0000"),
    _xlpm.codItem &amp; "-" &amp; _xlpm.codArea &amp; "-" &amp; _xlpm.secuencia
)</f>
        <v>-SinArea-0000</v>
      </c>
      <c r="O326" s="77"/>
      <c r="P326" s="32"/>
      <c r="Q326" s="32"/>
      <c r="R326" s="32"/>
      <c r="S326" s="32"/>
    </row>
    <row r="327" spans="3:19" x14ac:dyDescent="0.3">
      <c r="C327" s="11"/>
      <c r="D327" s="32"/>
      <c r="E327" s="11"/>
      <c r="F327" t="str">
        <f>_xlfn.TEXTJOIN(", ",TRUE, Tabla38[[#This Row],[Tipo de escalera]],Tabla38[[#This Row],[Longitud]],Tabla38[[#This Row],[Carga Maxima]])</f>
        <v/>
      </c>
      <c r="G327" s="15"/>
      <c r="J327" s="15"/>
      <c r="K327" s="47"/>
      <c r="L327" s="76"/>
      <c r="M327" s="76"/>
      <c r="N327" s="78" t="str">
        <f>_xlfn.LET(
    _xlpm.itemBuscado, B327,
    _xlpm.areaBuscada, C327,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TEXT(COUNTIF($C$2:C327, _xlpm.areaBuscada), "0000"),
    _xlpm.codItem &amp; "-" &amp; _xlpm.codArea &amp; "-" &amp; _xlpm.secuencia
)</f>
        <v>-SinArea-0000</v>
      </c>
      <c r="O327" s="77"/>
      <c r="P327" s="32"/>
      <c r="Q327" s="32"/>
      <c r="R327" s="32"/>
      <c r="S327" s="32"/>
    </row>
    <row r="328" spans="3:19" x14ac:dyDescent="0.3">
      <c r="C328" s="11"/>
      <c r="D328" s="32"/>
      <c r="E328" s="11"/>
      <c r="F328" t="str">
        <f>_xlfn.TEXTJOIN(", ",TRUE, Tabla38[[#This Row],[Tipo de escalera]],Tabla38[[#This Row],[Longitud]],Tabla38[[#This Row],[Carga Maxima]])</f>
        <v/>
      </c>
      <c r="G328" s="15"/>
      <c r="J328" s="15"/>
      <c r="K328" s="47"/>
      <c r="L328" s="76"/>
      <c r="M328" s="76"/>
      <c r="N328" s="78" t="str">
        <f>_xlfn.LET(
    _xlpm.itemBuscado, B328,
    _xlpm.areaBuscada, C328,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TEXT(COUNTIF($C$2:C328, _xlpm.areaBuscada), "0000"),
    _xlpm.codItem &amp; "-" &amp; _xlpm.codArea &amp; "-" &amp; _xlpm.secuencia
)</f>
        <v>-SinArea-0000</v>
      </c>
      <c r="O328" s="77"/>
      <c r="P328" s="32"/>
      <c r="Q328" s="32"/>
      <c r="R328" s="32"/>
      <c r="S328" s="32"/>
    </row>
    <row r="329" spans="3:19" x14ac:dyDescent="0.3">
      <c r="C329" s="11"/>
      <c r="D329" s="32"/>
      <c r="E329" s="11"/>
      <c r="F329" t="str">
        <f>_xlfn.TEXTJOIN(", ",TRUE, Tabla38[[#This Row],[Tipo de escalera]],Tabla38[[#This Row],[Longitud]],Tabla38[[#This Row],[Carga Maxima]])</f>
        <v/>
      </c>
      <c r="G329" s="15"/>
      <c r="J329" s="15"/>
      <c r="K329" s="47"/>
      <c r="L329" s="76"/>
      <c r="M329" s="76"/>
      <c r="N329" s="78" t="str">
        <f>_xlfn.LET(
    _xlpm.itemBuscado, B329,
    _xlpm.areaBuscada, C329,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TEXT(COUNTIF($C$2:C329, _xlpm.areaBuscada), "0000"),
    _xlpm.codItem &amp; "-" &amp; _xlpm.codArea &amp; "-" &amp; _xlpm.secuencia
)</f>
        <v>-SinArea-0000</v>
      </c>
      <c r="O329" s="77"/>
      <c r="P329" s="32"/>
      <c r="Q329" s="32"/>
      <c r="R329" s="32"/>
      <c r="S329" s="32"/>
    </row>
    <row r="330" spans="3:19" x14ac:dyDescent="0.3">
      <c r="C330" s="11"/>
      <c r="D330" s="32"/>
      <c r="E330" s="11"/>
      <c r="F330" t="str">
        <f>_xlfn.TEXTJOIN(", ",TRUE, Tabla38[[#This Row],[Tipo de escalera]],Tabla38[[#This Row],[Longitud]],Tabla38[[#This Row],[Carga Maxima]])</f>
        <v/>
      </c>
      <c r="G330" s="15"/>
      <c r="J330" s="15"/>
      <c r="K330" s="47"/>
      <c r="L330" s="76"/>
      <c r="M330" s="76"/>
      <c r="N330" s="78" t="str">
        <f>_xlfn.LET(
    _xlpm.itemBuscado, B330,
    _xlpm.areaBuscada, C330,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TEXT(COUNTIF($C$2:C330, _xlpm.areaBuscada), "0000"),
    _xlpm.codItem &amp; "-" &amp; _xlpm.codArea &amp; "-" &amp; _xlpm.secuencia
)</f>
        <v>-SinArea-0000</v>
      </c>
      <c r="O330" s="77"/>
      <c r="P330" s="32"/>
      <c r="Q330" s="32"/>
      <c r="R330" s="32"/>
      <c r="S330" s="32"/>
    </row>
    <row r="331" spans="3:19" x14ac:dyDescent="0.3">
      <c r="C331" s="11"/>
      <c r="D331" s="32"/>
      <c r="E331" s="11"/>
      <c r="F331" t="str">
        <f>_xlfn.TEXTJOIN(", ",TRUE, Tabla38[[#This Row],[Tipo de escalera]],Tabla38[[#This Row],[Longitud]],Tabla38[[#This Row],[Carga Maxima]])</f>
        <v/>
      </c>
      <c r="G331" s="15"/>
      <c r="J331" s="15"/>
      <c r="K331" s="47"/>
      <c r="L331" s="76"/>
      <c r="M331" s="76"/>
      <c r="N331" s="78" t="str">
        <f>_xlfn.LET(
    _xlpm.itemBuscado, B331,
    _xlpm.areaBuscada, C331,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TEXT(COUNTIF($C$2:C331, _xlpm.areaBuscada), "0000"),
    _xlpm.codItem &amp; "-" &amp; _xlpm.codArea &amp; "-" &amp; _xlpm.secuencia
)</f>
        <v>-SinArea-0000</v>
      </c>
      <c r="O331" s="77"/>
      <c r="P331" s="32"/>
      <c r="Q331" s="32"/>
      <c r="R331" s="32"/>
      <c r="S331" s="32"/>
    </row>
    <row r="332" spans="3:19" x14ac:dyDescent="0.3">
      <c r="C332" s="11"/>
      <c r="D332" s="32"/>
      <c r="E332" s="11"/>
      <c r="F332" t="str">
        <f>_xlfn.TEXTJOIN(", ",TRUE, Tabla38[[#This Row],[Tipo de escalera]],Tabla38[[#This Row],[Longitud]],Tabla38[[#This Row],[Carga Maxima]])</f>
        <v/>
      </c>
      <c r="G332" s="15"/>
      <c r="J332" s="15"/>
      <c r="K332" s="47"/>
      <c r="L332" s="76"/>
      <c r="M332" s="76"/>
      <c r="N332" s="78" t="str">
        <f>_xlfn.LET(
    _xlpm.itemBuscado, B332,
    _xlpm.areaBuscada, C332,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TEXT(COUNTIF($C$2:C332, _xlpm.areaBuscada), "0000"),
    _xlpm.codItem &amp; "-" &amp; _xlpm.codArea &amp; "-" &amp; _xlpm.secuencia
)</f>
        <v>-SinArea-0000</v>
      </c>
      <c r="O332" s="77"/>
      <c r="P332" s="32"/>
      <c r="Q332" s="32"/>
      <c r="R332" s="32"/>
      <c r="S332" s="32"/>
    </row>
    <row r="333" spans="3:19" x14ac:dyDescent="0.3">
      <c r="C333" s="11"/>
      <c r="D333" s="32"/>
      <c r="E333" s="11"/>
      <c r="F333" t="str">
        <f>_xlfn.TEXTJOIN(", ",TRUE, Tabla38[[#This Row],[Tipo de escalera]],Tabla38[[#This Row],[Longitud]],Tabla38[[#This Row],[Carga Maxima]])</f>
        <v/>
      </c>
      <c r="G333" s="15"/>
      <c r="J333" s="15"/>
      <c r="K333" s="47"/>
      <c r="L333" s="76"/>
      <c r="M333" s="76"/>
      <c r="N333" s="78" t="str">
        <f>_xlfn.LET(
    _xlpm.itemBuscado, B333,
    _xlpm.areaBuscada, C333,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TEXT(COUNTIF($C$2:C333, _xlpm.areaBuscada), "0000"),
    _xlpm.codItem &amp; "-" &amp; _xlpm.codArea &amp; "-" &amp; _xlpm.secuencia
)</f>
        <v>-SinArea-0000</v>
      </c>
      <c r="O333" s="77"/>
      <c r="P333" s="32"/>
      <c r="Q333" s="32"/>
      <c r="R333" s="32"/>
      <c r="S333" s="32"/>
    </row>
    <row r="334" spans="3:19" x14ac:dyDescent="0.3">
      <c r="C334" s="11"/>
      <c r="D334" s="32"/>
      <c r="E334" s="11"/>
      <c r="F334" t="str">
        <f>_xlfn.TEXTJOIN(", ",TRUE, Tabla38[[#This Row],[Tipo de escalera]],Tabla38[[#This Row],[Longitud]],Tabla38[[#This Row],[Carga Maxima]])</f>
        <v/>
      </c>
      <c r="G334" s="15"/>
      <c r="J334" s="15"/>
      <c r="K334" s="47"/>
      <c r="L334" s="76"/>
      <c r="M334" s="76"/>
      <c r="N334" s="78" t="str">
        <f>_xlfn.LET(
    _xlpm.itemBuscado, B334,
    _xlpm.areaBuscada, C334,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TEXT(COUNTIF($C$2:C334, _xlpm.areaBuscada), "0000"),
    _xlpm.codItem &amp; "-" &amp; _xlpm.codArea &amp; "-" &amp; _xlpm.secuencia
)</f>
        <v>-SinArea-0000</v>
      </c>
      <c r="O334" s="77"/>
      <c r="P334" s="32"/>
      <c r="Q334" s="32"/>
      <c r="R334" s="32"/>
      <c r="S334" s="32"/>
    </row>
    <row r="335" spans="3:19" x14ac:dyDescent="0.3">
      <c r="C335" s="11"/>
      <c r="D335" s="32"/>
      <c r="E335" s="11"/>
      <c r="F335" t="str">
        <f>_xlfn.TEXTJOIN(", ",TRUE, Tabla38[[#This Row],[Tipo de escalera]],Tabla38[[#This Row],[Longitud]],Tabla38[[#This Row],[Carga Maxima]])</f>
        <v/>
      </c>
      <c r="G335" s="15"/>
      <c r="J335" s="15"/>
      <c r="K335" s="47"/>
      <c r="L335" s="76"/>
      <c r="M335" s="76"/>
      <c r="N335" s="78" t="str">
        <f>_xlfn.LET(
    _xlpm.itemBuscado, B335,
    _xlpm.areaBuscada, C335,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TEXT(COUNTIF($C$2:C335, _xlpm.areaBuscada), "0000"),
    _xlpm.codItem &amp; "-" &amp; _xlpm.codArea &amp; "-" &amp; _xlpm.secuencia
)</f>
        <v>-SinArea-0000</v>
      </c>
      <c r="O335" s="77"/>
      <c r="P335" s="32"/>
      <c r="Q335" s="32"/>
      <c r="R335" s="32"/>
      <c r="S335" s="32"/>
    </row>
    <row r="336" spans="3:19" x14ac:dyDescent="0.3">
      <c r="C336" s="11"/>
      <c r="D336" s="32"/>
      <c r="E336" s="11"/>
      <c r="F336" t="str">
        <f>_xlfn.TEXTJOIN(", ",TRUE, Tabla38[[#This Row],[Tipo de escalera]],Tabla38[[#This Row],[Longitud]],Tabla38[[#This Row],[Carga Maxima]])</f>
        <v/>
      </c>
      <c r="G336" s="15"/>
      <c r="J336" s="15"/>
      <c r="K336" s="47"/>
      <c r="L336" s="76"/>
      <c r="M336" s="76"/>
      <c r="N336" s="78" t="str">
        <f>_xlfn.LET(
    _xlpm.itemBuscado, B336,
    _xlpm.areaBuscada, C336,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TEXT(COUNTIF($C$2:C336, _xlpm.areaBuscada), "0000"),
    _xlpm.codItem &amp; "-" &amp; _xlpm.codArea &amp; "-" &amp; _xlpm.secuencia
)</f>
        <v>-SinArea-0000</v>
      </c>
      <c r="O336" s="77"/>
      <c r="P336" s="32"/>
      <c r="Q336" s="32"/>
      <c r="R336" s="32"/>
      <c r="S336" s="32"/>
    </row>
    <row r="337" spans="3:19" x14ac:dyDescent="0.3">
      <c r="C337" s="11"/>
      <c r="D337" s="32"/>
      <c r="E337" s="11"/>
      <c r="F337" t="str">
        <f>_xlfn.TEXTJOIN(", ",TRUE, Tabla38[[#This Row],[Tipo de escalera]],Tabla38[[#This Row],[Longitud]],Tabla38[[#This Row],[Carga Maxima]])</f>
        <v/>
      </c>
      <c r="G337" s="15"/>
      <c r="J337" s="15"/>
      <c r="K337" s="47"/>
      <c r="L337" s="76"/>
      <c r="M337" s="76"/>
      <c r="N337" s="78" t="str">
        <f>_xlfn.LET(
    _xlpm.itemBuscado, B337,
    _xlpm.areaBuscada, C337,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TEXT(COUNTIF($C$2:C337, _xlpm.areaBuscada), "0000"),
    _xlpm.codItem &amp; "-" &amp; _xlpm.codArea &amp; "-" &amp; _xlpm.secuencia
)</f>
        <v>-SinArea-0000</v>
      </c>
      <c r="O337" s="77"/>
      <c r="P337" s="32"/>
      <c r="Q337" s="32"/>
      <c r="R337" s="32"/>
      <c r="S337" s="32"/>
    </row>
    <row r="338" spans="3:19" x14ac:dyDescent="0.3">
      <c r="C338" s="11"/>
      <c r="D338" s="32"/>
      <c r="E338" s="11"/>
      <c r="F338" t="str">
        <f>_xlfn.TEXTJOIN(", ",TRUE, Tabla38[[#This Row],[Tipo de escalera]],Tabla38[[#This Row],[Longitud]],Tabla38[[#This Row],[Carga Maxima]])</f>
        <v/>
      </c>
      <c r="G338" s="15"/>
      <c r="J338" s="15"/>
      <c r="K338" s="47"/>
      <c r="L338" s="76"/>
      <c r="M338" s="76"/>
      <c r="N338" s="78" t="str">
        <f>_xlfn.LET(
    _xlpm.itemBuscado, B338,
    _xlpm.areaBuscada, C338,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TEXT(COUNTIF($C$2:C338, _xlpm.areaBuscada), "0000"),
    _xlpm.codItem &amp; "-" &amp; _xlpm.codArea &amp; "-" &amp; _xlpm.secuencia
)</f>
        <v>-SinArea-0000</v>
      </c>
      <c r="O338" s="77"/>
      <c r="P338" s="32"/>
      <c r="Q338" s="32"/>
      <c r="R338" s="32"/>
      <c r="S338" s="32"/>
    </row>
    <row r="339" spans="3:19" x14ac:dyDescent="0.3">
      <c r="C339" s="11"/>
      <c r="D339" s="32"/>
      <c r="E339" s="11"/>
      <c r="F339" t="str">
        <f>_xlfn.TEXTJOIN(", ",TRUE, Tabla38[[#This Row],[Tipo de escalera]],Tabla38[[#This Row],[Longitud]],Tabla38[[#This Row],[Carga Maxima]])</f>
        <v/>
      </c>
      <c r="G339" s="15"/>
      <c r="J339" s="15"/>
      <c r="K339" s="47"/>
      <c r="L339" s="76"/>
      <c r="M339" s="76"/>
      <c r="N339" s="78" t="str">
        <f>_xlfn.LET(
    _xlpm.itemBuscado, B339,
    _xlpm.areaBuscada, C339,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TEXT(COUNTIF($C$2:C339, _xlpm.areaBuscada), "0000"),
    _xlpm.codItem &amp; "-" &amp; _xlpm.codArea &amp; "-" &amp; _xlpm.secuencia
)</f>
        <v>-SinArea-0000</v>
      </c>
      <c r="O339" s="77"/>
      <c r="P339" s="32"/>
      <c r="Q339" s="32"/>
      <c r="R339" s="32"/>
      <c r="S339" s="32"/>
    </row>
    <row r="340" spans="3:19" x14ac:dyDescent="0.3">
      <c r="C340" s="11"/>
      <c r="D340" s="32"/>
      <c r="E340" s="11"/>
      <c r="F340" t="str">
        <f>_xlfn.TEXTJOIN(", ",TRUE, Tabla38[[#This Row],[Tipo de escalera]],Tabla38[[#This Row],[Longitud]],Tabla38[[#This Row],[Carga Maxima]])</f>
        <v/>
      </c>
      <c r="G340" s="15"/>
      <c r="J340" s="15"/>
      <c r="K340" s="47"/>
      <c r="L340" s="76"/>
      <c r="M340" s="76"/>
      <c r="N340" s="78" t="str">
        <f>_xlfn.LET(
    _xlpm.itemBuscado, B340,
    _xlpm.areaBuscada, C340,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TEXT(COUNTIF($C$2:C340, _xlpm.areaBuscada), "0000"),
    _xlpm.codItem &amp; "-" &amp; _xlpm.codArea &amp; "-" &amp; _xlpm.secuencia
)</f>
        <v>-SinArea-0000</v>
      </c>
      <c r="O340" s="77"/>
      <c r="P340" s="32"/>
      <c r="Q340" s="32"/>
      <c r="R340" s="32"/>
      <c r="S340" s="32"/>
    </row>
    <row r="341" spans="3:19" x14ac:dyDescent="0.3">
      <c r="C341" s="11"/>
      <c r="D341" s="32"/>
      <c r="E341" s="11"/>
      <c r="F341" t="str">
        <f>_xlfn.TEXTJOIN(", ",TRUE, Tabla38[[#This Row],[Tipo de escalera]],Tabla38[[#This Row],[Longitud]],Tabla38[[#This Row],[Carga Maxima]])</f>
        <v/>
      </c>
      <c r="G341" s="15"/>
      <c r="J341" s="15"/>
      <c r="K341" s="47"/>
      <c r="L341" s="76"/>
      <c r="M341" s="76"/>
      <c r="N341" s="78" t="str">
        <f>_xlfn.LET(
    _xlpm.itemBuscado, B341,
    _xlpm.areaBuscada, C341,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TEXT(COUNTIF($C$2:C341, _xlpm.areaBuscada), "0000"),
    _xlpm.codItem &amp; "-" &amp; _xlpm.codArea &amp; "-" &amp; _xlpm.secuencia
)</f>
        <v>-SinArea-0000</v>
      </c>
      <c r="O341" s="77"/>
      <c r="P341" s="32"/>
      <c r="Q341" s="32"/>
      <c r="R341" s="32"/>
      <c r="S341" s="32"/>
    </row>
    <row r="342" spans="3:19" x14ac:dyDescent="0.3">
      <c r="C342" s="11"/>
      <c r="D342" s="32"/>
      <c r="E342" s="11"/>
      <c r="F342" t="str">
        <f>_xlfn.TEXTJOIN(", ",TRUE, Tabla38[[#This Row],[Tipo de escalera]],Tabla38[[#This Row],[Longitud]],Tabla38[[#This Row],[Carga Maxima]])</f>
        <v/>
      </c>
      <c r="G342" s="15"/>
      <c r="J342" s="15"/>
      <c r="K342" s="47"/>
      <c r="L342" s="76"/>
      <c r="M342" s="76"/>
      <c r="N342" s="78" t="str">
        <f>_xlfn.LET(
    _xlpm.itemBuscado, B342,
    _xlpm.areaBuscada, C342,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TEXT(COUNTIF($C$2:C342, _xlpm.areaBuscada), "0000"),
    _xlpm.codItem &amp; "-" &amp; _xlpm.codArea &amp; "-" &amp; _xlpm.secuencia
)</f>
        <v>-SinArea-0000</v>
      </c>
      <c r="O342" s="77"/>
      <c r="P342" s="32"/>
      <c r="Q342" s="32"/>
      <c r="R342" s="32"/>
      <c r="S342" s="32"/>
    </row>
    <row r="343" spans="3:19" x14ac:dyDescent="0.3">
      <c r="C343" s="11"/>
      <c r="D343" s="32"/>
      <c r="E343" s="11"/>
      <c r="F343" t="str">
        <f>_xlfn.TEXTJOIN(", ",TRUE, Tabla38[[#This Row],[Tipo de escalera]],Tabla38[[#This Row],[Longitud]],Tabla38[[#This Row],[Carga Maxima]])</f>
        <v/>
      </c>
      <c r="G343" s="15"/>
      <c r="J343" s="15"/>
      <c r="K343" s="47"/>
      <c r="L343" s="76"/>
      <c r="M343" s="76"/>
      <c r="N343" s="78" t="str">
        <f>_xlfn.LET(
    _xlpm.itemBuscado, B343,
    _xlpm.areaBuscada, C343,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TEXT(COUNTIF($C$2:C343, _xlpm.areaBuscada), "0000"),
    _xlpm.codItem &amp; "-" &amp; _xlpm.codArea &amp; "-" &amp; _xlpm.secuencia
)</f>
        <v>-SinArea-0000</v>
      </c>
      <c r="O343" s="77"/>
      <c r="P343" s="32"/>
      <c r="Q343" s="32"/>
      <c r="R343" s="32"/>
      <c r="S343" s="32"/>
    </row>
    <row r="344" spans="3:19" x14ac:dyDescent="0.3">
      <c r="C344" s="11"/>
      <c r="D344" s="32"/>
      <c r="E344" s="11"/>
      <c r="F344" t="str">
        <f>_xlfn.TEXTJOIN(", ",TRUE, Tabla38[[#This Row],[Tipo de escalera]],Tabla38[[#This Row],[Longitud]],Tabla38[[#This Row],[Carga Maxima]])</f>
        <v/>
      </c>
      <c r="G344" s="15"/>
      <c r="J344" s="15"/>
      <c r="K344" s="47"/>
      <c r="L344" s="76"/>
      <c r="M344" s="76"/>
      <c r="N344" s="78" t="str">
        <f>_xlfn.LET(
    _xlpm.itemBuscado, B344,
    _xlpm.areaBuscada, C344,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TEXT(COUNTIF($C$2:C344, _xlpm.areaBuscada), "0000"),
    _xlpm.codItem &amp; "-" &amp; _xlpm.codArea &amp; "-" &amp; _xlpm.secuencia
)</f>
        <v>-SinArea-0000</v>
      </c>
      <c r="O344" s="77"/>
      <c r="P344" s="32"/>
      <c r="Q344" s="32"/>
      <c r="R344" s="32"/>
      <c r="S344" s="32"/>
    </row>
    <row r="345" spans="3:19" x14ac:dyDescent="0.3">
      <c r="C345" s="11"/>
      <c r="D345" s="32"/>
      <c r="E345" s="11"/>
      <c r="F345" t="str">
        <f>_xlfn.TEXTJOIN(", ",TRUE, Tabla38[[#This Row],[Tipo de escalera]],Tabla38[[#This Row],[Longitud]],Tabla38[[#This Row],[Carga Maxima]])</f>
        <v/>
      </c>
      <c r="G345" s="15"/>
      <c r="J345" s="15"/>
      <c r="K345" s="47"/>
      <c r="L345" s="76"/>
      <c r="M345" s="76"/>
      <c r="N345" s="78" t="str">
        <f>_xlfn.LET(
    _xlpm.itemBuscado, B345,
    _xlpm.areaBuscada, C345,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TEXT(COUNTIF($C$2:C345, _xlpm.areaBuscada), "0000"),
    _xlpm.codItem &amp; "-" &amp; _xlpm.codArea &amp; "-" &amp; _xlpm.secuencia
)</f>
        <v>-SinArea-0000</v>
      </c>
      <c r="O345" s="77"/>
      <c r="P345" s="32"/>
      <c r="Q345" s="32"/>
      <c r="R345" s="32"/>
      <c r="S345" s="32"/>
    </row>
    <row r="346" spans="3:19" x14ac:dyDescent="0.3">
      <c r="C346" s="11"/>
      <c r="D346" s="32"/>
      <c r="E346" s="11"/>
      <c r="F346" t="str">
        <f>_xlfn.TEXTJOIN(", ",TRUE, Tabla38[[#This Row],[Tipo de escalera]],Tabla38[[#This Row],[Longitud]],Tabla38[[#This Row],[Carga Maxima]])</f>
        <v/>
      </c>
      <c r="G346" s="15"/>
      <c r="J346" s="15"/>
      <c r="K346" s="47"/>
      <c r="L346" s="76"/>
      <c r="M346" s="76"/>
      <c r="N346" s="78" t="str">
        <f>_xlfn.LET(
    _xlpm.itemBuscado, B346,
    _xlpm.areaBuscada, C346,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TEXT(COUNTIF($C$2:C346, _xlpm.areaBuscada), "0000"),
    _xlpm.codItem &amp; "-" &amp; _xlpm.codArea &amp; "-" &amp; _xlpm.secuencia
)</f>
        <v>-SinArea-0000</v>
      </c>
      <c r="O346" s="77"/>
      <c r="P346" s="32"/>
      <c r="Q346" s="32"/>
      <c r="R346" s="32"/>
      <c r="S346" s="32"/>
    </row>
    <row r="347" spans="3:19" x14ac:dyDescent="0.3">
      <c r="C347" s="11"/>
      <c r="D347" s="32"/>
      <c r="E347" s="11"/>
      <c r="F347" t="str">
        <f>_xlfn.TEXTJOIN(", ",TRUE, Tabla38[[#This Row],[Tipo de escalera]],Tabla38[[#This Row],[Longitud]],Tabla38[[#This Row],[Carga Maxima]])</f>
        <v/>
      </c>
      <c r="G347" s="15"/>
      <c r="J347" s="15"/>
      <c r="K347" s="47"/>
      <c r="L347" s="76"/>
      <c r="M347" s="76"/>
      <c r="N347" s="78" t="str">
        <f>_xlfn.LET(
    _xlpm.itemBuscado, B347,
    _xlpm.areaBuscada, C347,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TEXT(COUNTIF($C$2:C347, _xlpm.areaBuscada), "0000"),
    _xlpm.codItem &amp; "-" &amp; _xlpm.codArea &amp; "-" &amp; _xlpm.secuencia
)</f>
        <v>-SinArea-0000</v>
      </c>
      <c r="O347" s="77"/>
      <c r="P347" s="32"/>
      <c r="Q347" s="32"/>
      <c r="R347" s="32"/>
      <c r="S347" s="32"/>
    </row>
    <row r="348" spans="3:19" x14ac:dyDescent="0.3">
      <c r="C348" s="11"/>
      <c r="D348" s="32"/>
      <c r="E348" s="11"/>
      <c r="F348" t="str">
        <f>_xlfn.TEXTJOIN(", ",TRUE, Tabla38[[#This Row],[Tipo de escalera]],Tabla38[[#This Row],[Longitud]],Tabla38[[#This Row],[Carga Maxima]])</f>
        <v/>
      </c>
      <c r="G348" s="15"/>
      <c r="J348" s="15"/>
      <c r="K348" s="47"/>
      <c r="L348" s="76"/>
      <c r="M348" s="76"/>
      <c r="N348" s="78" t="str">
        <f>_xlfn.LET(
    _xlpm.itemBuscado, B348,
    _xlpm.areaBuscada, C348,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TEXT(COUNTIF($C$2:C348, _xlpm.areaBuscada), "0000"),
    _xlpm.codItem &amp; "-" &amp; _xlpm.codArea &amp; "-" &amp; _xlpm.secuencia
)</f>
        <v>-SinArea-0000</v>
      </c>
      <c r="O348" s="77"/>
      <c r="P348" s="32"/>
      <c r="Q348" s="32"/>
      <c r="R348" s="32"/>
      <c r="S348" s="32"/>
    </row>
    <row r="349" spans="3:19" x14ac:dyDescent="0.3">
      <c r="C349" s="11"/>
      <c r="D349" s="32"/>
      <c r="E349" s="11"/>
      <c r="F349" t="str">
        <f>_xlfn.TEXTJOIN(", ",TRUE, Tabla38[[#This Row],[Tipo de escalera]],Tabla38[[#This Row],[Longitud]],Tabla38[[#This Row],[Carga Maxima]])</f>
        <v/>
      </c>
      <c r="G349" s="15"/>
      <c r="J349" s="15"/>
      <c r="K349" s="47"/>
      <c r="L349" s="76"/>
      <c r="M349" s="76"/>
      <c r="N349" s="78" t="str">
        <f>_xlfn.LET(
    _xlpm.itemBuscado, B349,
    _xlpm.areaBuscada, C349,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TEXT(COUNTIF($C$2:C349, _xlpm.areaBuscada), "0000"),
    _xlpm.codItem &amp; "-" &amp; _xlpm.codArea &amp; "-" &amp; _xlpm.secuencia
)</f>
        <v>-SinArea-0000</v>
      </c>
      <c r="O349" s="77"/>
      <c r="P349" s="32"/>
      <c r="Q349" s="32"/>
      <c r="R349" s="32"/>
      <c r="S349" s="32"/>
    </row>
    <row r="350" spans="3:19" x14ac:dyDescent="0.3">
      <c r="C350" s="11"/>
      <c r="D350" s="32"/>
      <c r="E350" s="11"/>
      <c r="F350" t="str">
        <f>_xlfn.TEXTJOIN(", ",TRUE, Tabla38[[#This Row],[Tipo de escalera]],Tabla38[[#This Row],[Longitud]],Tabla38[[#This Row],[Carga Maxima]])</f>
        <v/>
      </c>
      <c r="G350" s="15"/>
      <c r="J350" s="15"/>
      <c r="K350" s="47"/>
      <c r="L350" s="76"/>
      <c r="M350" s="76"/>
      <c r="N350" s="78" t="str">
        <f>_xlfn.LET(
    _xlpm.itemBuscado, B350,
    _xlpm.areaBuscada, C350,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TEXT(COUNTIF($C$2:C350, _xlpm.areaBuscada), "0000"),
    _xlpm.codItem &amp; "-" &amp; _xlpm.codArea &amp; "-" &amp; _xlpm.secuencia
)</f>
        <v>-SinArea-0000</v>
      </c>
      <c r="O350" s="77"/>
      <c r="P350" s="32"/>
      <c r="Q350" s="32"/>
      <c r="R350" s="32"/>
      <c r="S350" s="32"/>
    </row>
    <row r="351" spans="3:19" x14ac:dyDescent="0.3">
      <c r="C351" s="11"/>
      <c r="D351" s="32"/>
      <c r="E351" s="11"/>
      <c r="F351" t="str">
        <f>_xlfn.TEXTJOIN(", ",TRUE, Tabla38[[#This Row],[Tipo de escalera]],Tabla38[[#This Row],[Longitud]],Tabla38[[#This Row],[Carga Maxima]])</f>
        <v/>
      </c>
      <c r="G351" s="15"/>
      <c r="J351" s="15"/>
      <c r="K351" s="47"/>
      <c r="L351" s="76"/>
      <c r="M351" s="76"/>
      <c r="N351" s="78" t="str">
        <f>_xlfn.LET(
    _xlpm.itemBuscado, B351,
    _xlpm.areaBuscada, C351,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TEXT(COUNTIF($C$2:C351, _xlpm.areaBuscada), "0000"),
    _xlpm.codItem &amp; "-" &amp; _xlpm.codArea &amp; "-" &amp; _xlpm.secuencia
)</f>
        <v>-SinArea-0000</v>
      </c>
      <c r="O351" s="77"/>
      <c r="P351" s="32"/>
      <c r="Q351" s="32"/>
      <c r="R351" s="32"/>
      <c r="S351" s="32"/>
    </row>
    <row r="352" spans="3:19" x14ac:dyDescent="0.3">
      <c r="C352" s="11"/>
      <c r="D352" s="32"/>
      <c r="E352" s="11"/>
      <c r="F352" t="str">
        <f>_xlfn.TEXTJOIN(", ",TRUE, Tabla38[[#This Row],[Tipo de escalera]],Tabla38[[#This Row],[Longitud]],Tabla38[[#This Row],[Carga Maxima]])</f>
        <v/>
      </c>
      <c r="G352" s="15"/>
      <c r="J352" s="15"/>
      <c r="K352" s="47"/>
      <c r="L352" s="76"/>
      <c r="M352" s="76"/>
      <c r="N352" s="78" t="str">
        <f>_xlfn.LET(
    _xlpm.itemBuscado, B352,
    _xlpm.areaBuscada, C352,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TEXT(COUNTIF($C$2:C352, _xlpm.areaBuscada), "0000"),
    _xlpm.codItem &amp; "-" &amp; _xlpm.codArea &amp; "-" &amp; _xlpm.secuencia
)</f>
        <v>-SinArea-0000</v>
      </c>
      <c r="O352" s="77"/>
      <c r="P352" s="32"/>
      <c r="Q352" s="32"/>
      <c r="R352" s="32"/>
      <c r="S352" s="32"/>
    </row>
    <row r="353" spans="3:19" x14ac:dyDescent="0.3">
      <c r="C353" s="11"/>
      <c r="D353" s="32"/>
      <c r="E353" s="11"/>
      <c r="F353" t="str">
        <f>_xlfn.TEXTJOIN(", ",TRUE, Tabla38[[#This Row],[Tipo de escalera]],Tabla38[[#This Row],[Longitud]],Tabla38[[#This Row],[Carga Maxima]])</f>
        <v/>
      </c>
      <c r="G353" s="15"/>
      <c r="J353" s="15"/>
      <c r="K353" s="47"/>
      <c r="L353" s="76"/>
      <c r="M353" s="76"/>
      <c r="N353" s="78" t="str">
        <f>_xlfn.LET(
    _xlpm.itemBuscado, B353,
    _xlpm.areaBuscada, C353,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TEXT(COUNTIF($C$2:C353, _xlpm.areaBuscada), "0000"),
    _xlpm.codItem &amp; "-" &amp; _xlpm.codArea &amp; "-" &amp; _xlpm.secuencia
)</f>
        <v>-SinArea-0000</v>
      </c>
      <c r="O353" s="77"/>
      <c r="P353" s="32"/>
      <c r="Q353" s="32"/>
      <c r="R353" s="32"/>
      <c r="S353" s="32"/>
    </row>
    <row r="354" spans="3:19" x14ac:dyDescent="0.3">
      <c r="C354" s="11"/>
      <c r="D354" s="32"/>
      <c r="E354" s="11"/>
      <c r="F354" t="str">
        <f>_xlfn.TEXTJOIN(", ",TRUE, Tabla38[[#This Row],[Tipo de escalera]],Tabla38[[#This Row],[Longitud]],Tabla38[[#This Row],[Carga Maxima]])</f>
        <v/>
      </c>
      <c r="G354" s="15"/>
      <c r="J354" s="15"/>
      <c r="K354" s="47"/>
      <c r="L354" s="76"/>
      <c r="M354" s="76"/>
      <c r="N354" s="78" t="str">
        <f>_xlfn.LET(
    _xlpm.itemBuscado, B354,
    _xlpm.areaBuscada, C354,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TEXT(COUNTIF($C$2:C354, _xlpm.areaBuscada), "0000"),
    _xlpm.codItem &amp; "-" &amp; _xlpm.codArea &amp; "-" &amp; _xlpm.secuencia
)</f>
        <v>-SinArea-0000</v>
      </c>
      <c r="O354" s="77"/>
      <c r="P354" s="32"/>
      <c r="Q354" s="32"/>
      <c r="R354" s="32"/>
      <c r="S354" s="32"/>
    </row>
    <row r="355" spans="3:19" x14ac:dyDescent="0.3">
      <c r="C355" s="11"/>
      <c r="D355" s="32"/>
      <c r="E355" s="11"/>
      <c r="F355" t="str">
        <f>_xlfn.TEXTJOIN(", ",TRUE, Tabla38[[#This Row],[Tipo de escalera]],Tabla38[[#This Row],[Longitud]],Tabla38[[#This Row],[Carga Maxima]])</f>
        <v/>
      </c>
      <c r="G355" s="15"/>
      <c r="J355" s="15"/>
      <c r="K355" s="47"/>
      <c r="L355" s="76"/>
      <c r="M355" s="76"/>
      <c r="N355" s="78" t="str">
        <f>_xlfn.LET(
    _xlpm.itemBuscado, B355,
    _xlpm.areaBuscada, C355,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TEXT(COUNTIF($C$2:C355, _xlpm.areaBuscada), "0000"),
    _xlpm.codItem &amp; "-" &amp; _xlpm.codArea &amp; "-" &amp; _xlpm.secuencia
)</f>
        <v>-SinArea-0000</v>
      </c>
      <c r="O355" s="77"/>
      <c r="P355" s="32"/>
      <c r="Q355" s="32"/>
      <c r="R355" s="32"/>
      <c r="S355" s="32"/>
    </row>
    <row r="356" spans="3:19" x14ac:dyDescent="0.3">
      <c r="C356" s="11"/>
      <c r="D356" s="32"/>
      <c r="E356" s="11"/>
      <c r="F356" t="str">
        <f>_xlfn.TEXTJOIN(", ",TRUE, Tabla38[[#This Row],[Tipo de escalera]],Tabla38[[#This Row],[Longitud]],Tabla38[[#This Row],[Carga Maxima]])</f>
        <v/>
      </c>
      <c r="G356" s="15"/>
      <c r="J356" s="15"/>
      <c r="K356" s="47"/>
      <c r="L356" s="76"/>
      <c r="M356" s="76"/>
      <c r="N356" s="78" t="str">
        <f>_xlfn.LET(
    _xlpm.itemBuscado, B356,
    _xlpm.areaBuscada, C356,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TEXT(COUNTIF($C$2:C356, _xlpm.areaBuscada), "0000"),
    _xlpm.codItem &amp; "-" &amp; _xlpm.codArea &amp; "-" &amp; _xlpm.secuencia
)</f>
        <v>-SinArea-0000</v>
      </c>
      <c r="O356" s="77"/>
      <c r="P356" s="32"/>
      <c r="Q356" s="32"/>
      <c r="R356" s="32"/>
      <c r="S356" s="32"/>
    </row>
    <row r="357" spans="3:19" x14ac:dyDescent="0.3">
      <c r="C357" s="11"/>
      <c r="D357" s="32"/>
      <c r="E357" s="11"/>
      <c r="F357" t="str">
        <f>_xlfn.TEXTJOIN(", ",TRUE, Tabla38[[#This Row],[Tipo de escalera]],Tabla38[[#This Row],[Longitud]],Tabla38[[#This Row],[Carga Maxima]])</f>
        <v/>
      </c>
      <c r="G357" s="15"/>
      <c r="J357" s="15"/>
      <c r="K357" s="47"/>
      <c r="L357" s="76"/>
      <c r="M357" s="76"/>
      <c r="N357" s="78" t="str">
        <f>_xlfn.LET(
    _xlpm.itemBuscado, B357,
    _xlpm.areaBuscada, C357,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TEXT(COUNTIF($C$2:C357, _xlpm.areaBuscada), "0000"),
    _xlpm.codItem &amp; "-" &amp; _xlpm.codArea &amp; "-" &amp; _xlpm.secuencia
)</f>
        <v>-SinArea-0000</v>
      </c>
      <c r="O357" s="77"/>
      <c r="P357" s="32"/>
      <c r="Q357" s="32"/>
      <c r="R357" s="32"/>
      <c r="S357" s="32"/>
    </row>
    <row r="358" spans="3:19" x14ac:dyDescent="0.3">
      <c r="C358" s="11"/>
      <c r="D358" s="32"/>
      <c r="E358" s="11"/>
      <c r="F358" t="str">
        <f>_xlfn.TEXTJOIN(", ",TRUE, Tabla38[[#This Row],[Tipo de escalera]],Tabla38[[#This Row],[Longitud]],Tabla38[[#This Row],[Carga Maxima]])</f>
        <v/>
      </c>
      <c r="G358" s="15"/>
      <c r="J358" s="15"/>
      <c r="K358" s="47"/>
      <c r="L358" s="76"/>
      <c r="M358" s="76"/>
      <c r="N358" s="78" t="str">
        <f>_xlfn.LET(
    _xlpm.itemBuscado, B358,
    _xlpm.areaBuscada, C358,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TEXT(COUNTIF($C$2:C358, _xlpm.areaBuscada), "0000"),
    _xlpm.codItem &amp; "-" &amp; _xlpm.codArea &amp; "-" &amp; _xlpm.secuencia
)</f>
        <v>-SinArea-0000</v>
      </c>
      <c r="O358" s="77"/>
      <c r="P358" s="32"/>
      <c r="Q358" s="32"/>
      <c r="R358" s="32"/>
      <c r="S358" s="32"/>
    </row>
    <row r="359" spans="3:19" x14ac:dyDescent="0.3">
      <c r="C359" s="11"/>
      <c r="D359" s="32"/>
      <c r="E359" s="11"/>
      <c r="F359" t="str">
        <f>_xlfn.TEXTJOIN(", ",TRUE, Tabla38[[#This Row],[Tipo de escalera]],Tabla38[[#This Row],[Longitud]],Tabla38[[#This Row],[Carga Maxima]])</f>
        <v/>
      </c>
      <c r="G359" s="15"/>
      <c r="J359" s="15"/>
      <c r="K359" s="47"/>
      <c r="L359" s="76"/>
      <c r="M359" s="76"/>
      <c r="N359" s="78" t="str">
        <f>_xlfn.LET(
    _xlpm.itemBuscado, B359,
    _xlpm.areaBuscada, C359,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TEXT(COUNTIF($C$2:C359, _xlpm.areaBuscada), "0000"),
    _xlpm.codItem &amp; "-" &amp; _xlpm.codArea &amp; "-" &amp; _xlpm.secuencia
)</f>
        <v>-SinArea-0000</v>
      </c>
      <c r="O359" s="77"/>
      <c r="P359" s="32"/>
      <c r="Q359" s="32"/>
      <c r="R359" s="32"/>
      <c r="S359" s="32"/>
    </row>
    <row r="360" spans="3:19" x14ac:dyDescent="0.3">
      <c r="C360" s="11"/>
      <c r="D360" s="32"/>
      <c r="E360" s="11"/>
      <c r="F360" t="str">
        <f>_xlfn.TEXTJOIN(", ",TRUE, Tabla38[[#This Row],[Tipo de escalera]],Tabla38[[#This Row],[Longitud]],Tabla38[[#This Row],[Carga Maxima]])</f>
        <v/>
      </c>
      <c r="G360" s="15"/>
      <c r="J360" s="15"/>
      <c r="K360" s="47"/>
      <c r="L360" s="76"/>
      <c r="M360" s="76"/>
      <c r="N360" s="78" t="str">
        <f>_xlfn.LET(
    _xlpm.itemBuscado, B360,
    _xlpm.areaBuscada, C360,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TEXT(COUNTIF($C$2:C360, _xlpm.areaBuscada), "0000"),
    _xlpm.codItem &amp; "-" &amp; _xlpm.codArea &amp; "-" &amp; _xlpm.secuencia
)</f>
        <v>-SinArea-0000</v>
      </c>
      <c r="O360" s="77"/>
      <c r="P360" s="32"/>
      <c r="Q360" s="32"/>
      <c r="R360" s="32"/>
      <c r="S360" s="32"/>
    </row>
    <row r="361" spans="3:19" x14ac:dyDescent="0.3">
      <c r="C361" s="11"/>
      <c r="D361" s="32"/>
      <c r="E361" s="11"/>
      <c r="F361" t="str">
        <f>_xlfn.TEXTJOIN(", ",TRUE, Tabla38[[#This Row],[Tipo de escalera]],Tabla38[[#This Row],[Longitud]],Tabla38[[#This Row],[Carga Maxima]])</f>
        <v/>
      </c>
      <c r="G361" s="15"/>
      <c r="J361" s="15"/>
      <c r="K361" s="47"/>
      <c r="L361" s="76"/>
      <c r="M361" s="76"/>
      <c r="N361" s="78" t="str">
        <f>_xlfn.LET(
    _xlpm.itemBuscado, B361,
    _xlpm.areaBuscada, C361,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TEXT(COUNTIF($C$2:C361, _xlpm.areaBuscada), "0000"),
    _xlpm.codItem &amp; "-" &amp; _xlpm.codArea &amp; "-" &amp; _xlpm.secuencia
)</f>
        <v>-SinArea-0000</v>
      </c>
      <c r="O361" s="77"/>
      <c r="P361" s="32"/>
      <c r="Q361" s="32"/>
      <c r="R361" s="32"/>
      <c r="S361" s="32"/>
    </row>
    <row r="362" spans="3:19" x14ac:dyDescent="0.3">
      <c r="C362" s="11"/>
      <c r="D362" s="32"/>
      <c r="E362" s="11"/>
      <c r="F362" t="str">
        <f>_xlfn.TEXTJOIN(", ",TRUE, Tabla38[[#This Row],[Tipo de escalera]],Tabla38[[#This Row],[Longitud]],Tabla38[[#This Row],[Carga Maxima]])</f>
        <v/>
      </c>
      <c r="G362" s="15"/>
      <c r="J362" s="15"/>
      <c r="K362" s="47"/>
      <c r="L362" s="76"/>
      <c r="M362" s="76"/>
      <c r="N362" s="78" t="str">
        <f>_xlfn.LET(
    _xlpm.itemBuscado, B362,
    _xlpm.areaBuscada, C362,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TEXT(COUNTIF($C$2:C362, _xlpm.areaBuscada), "0000"),
    _xlpm.codItem &amp; "-" &amp; _xlpm.codArea &amp; "-" &amp; _xlpm.secuencia
)</f>
        <v>-SinArea-0000</v>
      </c>
      <c r="O362" s="77"/>
      <c r="P362" s="32"/>
      <c r="Q362" s="32"/>
      <c r="R362" s="32"/>
      <c r="S362" s="32"/>
    </row>
    <row r="363" spans="3:19" x14ac:dyDescent="0.3">
      <c r="C363" s="11"/>
      <c r="D363" s="32"/>
      <c r="E363" s="11"/>
      <c r="F363" t="str">
        <f>_xlfn.TEXTJOIN(", ",TRUE, Tabla38[[#This Row],[Tipo de escalera]],Tabla38[[#This Row],[Longitud]],Tabla38[[#This Row],[Carga Maxima]])</f>
        <v/>
      </c>
      <c r="G363" s="15"/>
      <c r="J363" s="15"/>
      <c r="K363" s="47"/>
      <c r="L363" s="76"/>
      <c r="M363" s="76"/>
      <c r="N363" s="78" t="str">
        <f>_xlfn.LET(
    _xlpm.itemBuscado, B363,
    _xlpm.areaBuscada, C363,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TEXT(COUNTIF($C$2:C363, _xlpm.areaBuscada), "0000"),
    _xlpm.codItem &amp; "-" &amp; _xlpm.codArea &amp; "-" &amp; _xlpm.secuencia
)</f>
        <v>-SinArea-0000</v>
      </c>
      <c r="O363" s="77"/>
      <c r="P363" s="32"/>
      <c r="Q363" s="32"/>
      <c r="R363" s="32"/>
      <c r="S363" s="32"/>
    </row>
    <row r="364" spans="3:19" x14ac:dyDescent="0.3">
      <c r="C364" s="11"/>
      <c r="D364" s="32"/>
      <c r="E364" s="11"/>
      <c r="F364" t="str">
        <f>_xlfn.TEXTJOIN(", ",TRUE, Tabla38[[#This Row],[Tipo de escalera]],Tabla38[[#This Row],[Longitud]],Tabla38[[#This Row],[Carga Maxima]])</f>
        <v/>
      </c>
      <c r="G364" s="15"/>
      <c r="J364" s="15"/>
      <c r="K364" s="47"/>
      <c r="L364" s="76"/>
      <c r="M364" s="76"/>
      <c r="N364" s="78" t="str">
        <f>_xlfn.LET(
    _xlpm.itemBuscado, B364,
    _xlpm.areaBuscada, C364,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TEXT(COUNTIF($C$2:C364, _xlpm.areaBuscada), "0000"),
    _xlpm.codItem &amp; "-" &amp; _xlpm.codArea &amp; "-" &amp; _xlpm.secuencia
)</f>
        <v>-SinArea-0000</v>
      </c>
      <c r="O364" s="77"/>
      <c r="P364" s="32"/>
      <c r="Q364" s="32"/>
      <c r="R364" s="32"/>
      <c r="S364" s="32"/>
    </row>
    <row r="365" spans="3:19" x14ac:dyDescent="0.3">
      <c r="C365" s="11"/>
      <c r="D365" s="32"/>
      <c r="E365" s="11"/>
      <c r="F365" t="str">
        <f>_xlfn.TEXTJOIN(", ",TRUE, Tabla38[[#This Row],[Tipo de escalera]],Tabla38[[#This Row],[Longitud]],Tabla38[[#This Row],[Carga Maxima]])</f>
        <v/>
      </c>
      <c r="G365" s="15"/>
      <c r="J365" s="15"/>
      <c r="K365" s="47"/>
      <c r="L365" s="76"/>
      <c r="M365" s="76"/>
      <c r="N365" s="78" t="str">
        <f>_xlfn.LET(
    _xlpm.itemBuscado, B365,
    _xlpm.areaBuscada, C365,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TEXT(COUNTIF($C$2:C365, _xlpm.areaBuscada), "0000"),
    _xlpm.codItem &amp; "-" &amp; _xlpm.codArea &amp; "-" &amp; _xlpm.secuencia
)</f>
        <v>-SinArea-0000</v>
      </c>
      <c r="O365" s="77"/>
      <c r="P365" s="32"/>
      <c r="Q365" s="32"/>
      <c r="R365" s="32"/>
      <c r="S365" s="32"/>
    </row>
    <row r="366" spans="3:19" x14ac:dyDescent="0.3">
      <c r="C366" s="11"/>
      <c r="D366" s="32"/>
      <c r="E366" s="11"/>
      <c r="F366" t="str">
        <f>_xlfn.TEXTJOIN(", ",TRUE, Tabla38[[#This Row],[Tipo de escalera]],Tabla38[[#This Row],[Longitud]],Tabla38[[#This Row],[Carga Maxima]])</f>
        <v/>
      </c>
      <c r="G366" s="15"/>
      <c r="J366" s="15"/>
      <c r="K366" s="47"/>
      <c r="L366" s="76"/>
      <c r="M366" s="76"/>
      <c r="N366" s="78" t="str">
        <f>_xlfn.LET(
    _xlpm.itemBuscado, B366,
    _xlpm.areaBuscada, C366,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TEXT(COUNTIF($C$2:C366, _xlpm.areaBuscada), "0000"),
    _xlpm.codItem &amp; "-" &amp; _xlpm.codArea &amp; "-" &amp; _xlpm.secuencia
)</f>
        <v>-SinArea-0000</v>
      </c>
      <c r="O366" s="77"/>
      <c r="P366" s="32"/>
      <c r="Q366" s="32"/>
      <c r="R366" s="32"/>
      <c r="S366" s="32"/>
    </row>
    <row r="367" spans="3:19" x14ac:dyDescent="0.3">
      <c r="C367" s="11"/>
      <c r="D367" s="32"/>
      <c r="E367" s="11"/>
      <c r="F367" t="str">
        <f>_xlfn.TEXTJOIN(", ",TRUE, Tabla38[[#This Row],[Tipo de escalera]],Tabla38[[#This Row],[Longitud]],Tabla38[[#This Row],[Carga Maxima]])</f>
        <v/>
      </c>
      <c r="G367" s="15"/>
      <c r="J367" s="15"/>
      <c r="K367" s="47"/>
      <c r="L367" s="76"/>
      <c r="M367" s="76"/>
      <c r="N367" s="78" t="str">
        <f>_xlfn.LET(
    _xlpm.itemBuscado, B367,
    _xlpm.areaBuscada, C367,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TEXT(COUNTIF($C$2:C367, _xlpm.areaBuscada), "0000"),
    _xlpm.codItem &amp; "-" &amp; _xlpm.codArea &amp; "-" &amp; _xlpm.secuencia
)</f>
        <v>-SinArea-0000</v>
      </c>
      <c r="O367" s="77"/>
      <c r="P367" s="32"/>
      <c r="Q367" s="32"/>
      <c r="R367" s="32"/>
      <c r="S367" s="32"/>
    </row>
    <row r="368" spans="3:19" x14ac:dyDescent="0.3">
      <c r="C368" s="11"/>
      <c r="D368" s="32"/>
      <c r="E368" s="11"/>
      <c r="F368" t="str">
        <f>_xlfn.TEXTJOIN(", ",TRUE, Tabla38[[#This Row],[Tipo de escalera]],Tabla38[[#This Row],[Longitud]],Tabla38[[#This Row],[Carga Maxima]])</f>
        <v/>
      </c>
      <c r="G368" s="15"/>
      <c r="J368" s="15"/>
      <c r="K368" s="47"/>
      <c r="L368" s="76"/>
      <c r="M368" s="76"/>
      <c r="N368" s="78" t="str">
        <f>_xlfn.LET(
    _xlpm.itemBuscado, B368,
    _xlpm.areaBuscada, C368,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TEXT(COUNTIF($C$2:C368, _xlpm.areaBuscada), "0000"),
    _xlpm.codItem &amp; "-" &amp; _xlpm.codArea &amp; "-" &amp; _xlpm.secuencia
)</f>
        <v>-SinArea-0000</v>
      </c>
      <c r="O368" s="77"/>
      <c r="P368" s="32"/>
      <c r="Q368" s="32"/>
      <c r="R368" s="32"/>
      <c r="S368" s="32"/>
    </row>
    <row r="369" spans="3:19" x14ac:dyDescent="0.3">
      <c r="C369" s="11"/>
      <c r="D369" s="32"/>
      <c r="E369" s="11"/>
      <c r="F369" t="str">
        <f>_xlfn.TEXTJOIN(", ",TRUE, Tabla38[[#This Row],[Tipo de escalera]],Tabla38[[#This Row],[Longitud]],Tabla38[[#This Row],[Carga Maxima]])</f>
        <v/>
      </c>
      <c r="G369" s="15"/>
      <c r="J369" s="15"/>
      <c r="K369" s="47"/>
      <c r="L369" s="76"/>
      <c r="M369" s="76"/>
      <c r="N369" s="78" t="str">
        <f>_xlfn.LET(
    _xlpm.itemBuscado, B369,
    _xlpm.areaBuscada, C369,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TEXT(COUNTIF($C$2:C369, _xlpm.areaBuscada), "0000"),
    _xlpm.codItem &amp; "-" &amp; _xlpm.codArea &amp; "-" &amp; _xlpm.secuencia
)</f>
        <v>-SinArea-0000</v>
      </c>
      <c r="O369" s="77"/>
      <c r="P369" s="32"/>
      <c r="Q369" s="32"/>
      <c r="R369" s="32"/>
      <c r="S369" s="32"/>
    </row>
    <row r="370" spans="3:19" x14ac:dyDescent="0.3">
      <c r="C370" s="11"/>
      <c r="D370" s="32"/>
      <c r="E370" s="11"/>
      <c r="F370" t="str">
        <f>_xlfn.TEXTJOIN(", ",TRUE, Tabla38[[#This Row],[Tipo de escalera]],Tabla38[[#This Row],[Longitud]],Tabla38[[#This Row],[Carga Maxima]])</f>
        <v/>
      </c>
      <c r="G370" s="15"/>
      <c r="J370" s="15"/>
      <c r="K370" s="47"/>
      <c r="L370" s="76"/>
      <c r="M370" s="76"/>
      <c r="N370" s="78" t="str">
        <f>_xlfn.LET(
    _xlpm.itemBuscado, B370,
    _xlpm.areaBuscada, C370,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TEXT(COUNTIF($C$2:C370, _xlpm.areaBuscada), "0000"),
    _xlpm.codItem &amp; "-" &amp; _xlpm.codArea &amp; "-" &amp; _xlpm.secuencia
)</f>
        <v>-SinArea-0000</v>
      </c>
      <c r="O370" s="77"/>
      <c r="P370" s="32"/>
      <c r="Q370" s="32"/>
      <c r="R370" s="32"/>
      <c r="S370" s="32"/>
    </row>
    <row r="371" spans="3:19" x14ac:dyDescent="0.3">
      <c r="C371" s="11"/>
      <c r="D371" s="32"/>
      <c r="E371" s="11"/>
      <c r="F371" t="str">
        <f>_xlfn.TEXTJOIN(", ",TRUE, Tabla38[[#This Row],[Tipo de escalera]],Tabla38[[#This Row],[Longitud]],Tabla38[[#This Row],[Carga Maxima]])</f>
        <v/>
      </c>
      <c r="G371" s="15"/>
      <c r="J371" s="15"/>
      <c r="K371" s="47"/>
      <c r="L371" s="76"/>
      <c r="M371" s="76"/>
      <c r="N371" s="78" t="str">
        <f>_xlfn.LET(
    _xlpm.itemBuscado, B371,
    _xlpm.areaBuscada, C371,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TEXT(COUNTIF($C$2:C371, _xlpm.areaBuscada), "0000"),
    _xlpm.codItem &amp; "-" &amp; _xlpm.codArea &amp; "-" &amp; _xlpm.secuencia
)</f>
        <v>-SinArea-0000</v>
      </c>
      <c r="O371" s="77"/>
      <c r="P371" s="32"/>
      <c r="Q371" s="32"/>
      <c r="R371" s="32"/>
      <c r="S371" s="32"/>
    </row>
    <row r="372" spans="3:19" x14ac:dyDescent="0.3">
      <c r="C372" s="11"/>
      <c r="D372" s="32"/>
      <c r="E372" s="11"/>
      <c r="F372" t="str">
        <f>_xlfn.TEXTJOIN(", ",TRUE, Tabla38[[#This Row],[Tipo de escalera]],Tabla38[[#This Row],[Longitud]],Tabla38[[#This Row],[Carga Maxima]])</f>
        <v/>
      </c>
      <c r="G372" s="15"/>
      <c r="J372" s="15"/>
      <c r="K372" s="47"/>
      <c r="L372" s="76"/>
      <c r="M372" s="76"/>
      <c r="N372" s="78" t="str">
        <f>_xlfn.LET(
    _xlpm.itemBuscado, B372,
    _xlpm.areaBuscada, C372,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TEXT(COUNTIF($C$2:C372, _xlpm.areaBuscada), "0000"),
    _xlpm.codItem &amp; "-" &amp; _xlpm.codArea &amp; "-" &amp; _xlpm.secuencia
)</f>
        <v>-SinArea-0000</v>
      </c>
      <c r="O372" s="77"/>
      <c r="P372" s="32"/>
      <c r="Q372" s="32"/>
      <c r="R372" s="32"/>
      <c r="S372" s="32"/>
    </row>
    <row r="373" spans="3:19" x14ac:dyDescent="0.3">
      <c r="C373" s="11"/>
      <c r="D373" s="32"/>
      <c r="E373" s="11"/>
      <c r="F373" t="str">
        <f>_xlfn.TEXTJOIN(", ",TRUE, Tabla38[[#This Row],[Tipo de escalera]],Tabla38[[#This Row],[Longitud]],Tabla38[[#This Row],[Carga Maxima]])</f>
        <v/>
      </c>
      <c r="G373" s="15"/>
      <c r="J373" s="15"/>
      <c r="K373" s="47"/>
      <c r="L373" s="76"/>
      <c r="M373" s="76"/>
      <c r="N373" s="78" t="str">
        <f>_xlfn.LET(
    _xlpm.itemBuscado, B373,
    _xlpm.areaBuscada, C373,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TEXT(COUNTIF($C$2:C373, _xlpm.areaBuscada), "0000"),
    _xlpm.codItem &amp; "-" &amp; _xlpm.codArea &amp; "-" &amp; _xlpm.secuencia
)</f>
        <v>-SinArea-0000</v>
      </c>
      <c r="O373" s="77"/>
      <c r="P373" s="32"/>
      <c r="Q373" s="32"/>
      <c r="R373" s="32"/>
      <c r="S373" s="32"/>
    </row>
    <row r="374" spans="3:19" x14ac:dyDescent="0.3">
      <c r="C374" s="11"/>
      <c r="D374" s="32"/>
      <c r="E374" s="11"/>
      <c r="F374" t="str">
        <f>_xlfn.TEXTJOIN(", ",TRUE, Tabla38[[#This Row],[Tipo de escalera]],Tabla38[[#This Row],[Longitud]],Tabla38[[#This Row],[Carga Maxima]])</f>
        <v/>
      </c>
      <c r="G374" s="15"/>
      <c r="J374" s="15"/>
      <c r="K374" s="47"/>
      <c r="L374" s="76"/>
      <c r="M374" s="76"/>
      <c r="N374" s="78" t="str">
        <f>_xlfn.LET(
    _xlpm.itemBuscado, B374,
    _xlpm.areaBuscada, C374,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TEXT(COUNTIF($C$2:C374, _xlpm.areaBuscada), "0000"),
    _xlpm.codItem &amp; "-" &amp; _xlpm.codArea &amp; "-" &amp; _xlpm.secuencia
)</f>
        <v>-SinArea-0000</v>
      </c>
      <c r="O374" s="77"/>
      <c r="P374" s="32"/>
      <c r="Q374" s="32"/>
      <c r="R374" s="32"/>
      <c r="S374" s="32"/>
    </row>
    <row r="375" spans="3:19" x14ac:dyDescent="0.3">
      <c r="C375" s="11"/>
      <c r="D375" s="32"/>
      <c r="E375" s="11"/>
      <c r="F375" t="str">
        <f>_xlfn.TEXTJOIN(", ",TRUE, Tabla38[[#This Row],[Tipo de escalera]],Tabla38[[#This Row],[Longitud]],Tabla38[[#This Row],[Carga Maxima]])</f>
        <v/>
      </c>
      <c r="G375" s="15"/>
      <c r="J375" s="15"/>
      <c r="K375" s="47"/>
      <c r="L375" s="76"/>
      <c r="M375" s="76"/>
      <c r="N375" s="78" t="str">
        <f>_xlfn.LET(
    _xlpm.itemBuscado, B375,
    _xlpm.areaBuscada, C375,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TEXT(COUNTIF($C$2:C375, _xlpm.areaBuscada), "0000"),
    _xlpm.codItem &amp; "-" &amp; _xlpm.codArea &amp; "-" &amp; _xlpm.secuencia
)</f>
        <v>-SinArea-0000</v>
      </c>
      <c r="O375" s="77"/>
      <c r="P375" s="32"/>
      <c r="Q375" s="32"/>
      <c r="R375" s="32"/>
      <c r="S375" s="32"/>
    </row>
    <row r="376" spans="3:19" x14ac:dyDescent="0.3">
      <c r="C376" s="11"/>
      <c r="D376" s="32"/>
      <c r="E376" s="11"/>
      <c r="F376" t="str">
        <f>_xlfn.TEXTJOIN(", ",TRUE, Tabla38[[#This Row],[Tipo de escalera]],Tabla38[[#This Row],[Longitud]],Tabla38[[#This Row],[Carga Maxima]])</f>
        <v/>
      </c>
      <c r="G376" s="15"/>
      <c r="J376" s="15"/>
      <c r="K376" s="47"/>
      <c r="L376" s="76"/>
      <c r="M376" s="76"/>
      <c r="N376" s="78" t="str">
        <f>_xlfn.LET(
    _xlpm.itemBuscado, B376,
    _xlpm.areaBuscada, C376,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TEXT(COUNTIF($C$2:C376, _xlpm.areaBuscada), "0000"),
    _xlpm.codItem &amp; "-" &amp; _xlpm.codArea &amp; "-" &amp; _xlpm.secuencia
)</f>
        <v>-SinArea-0000</v>
      </c>
      <c r="O376" s="77"/>
      <c r="P376" s="32"/>
      <c r="Q376" s="32"/>
      <c r="R376" s="32"/>
      <c r="S376" s="32"/>
    </row>
    <row r="377" spans="3:19" x14ac:dyDescent="0.3">
      <c r="C377" s="11"/>
      <c r="D377" s="32"/>
      <c r="E377" s="11"/>
      <c r="F377" t="str">
        <f>_xlfn.TEXTJOIN(", ",TRUE, Tabla38[[#This Row],[Tipo de escalera]],Tabla38[[#This Row],[Longitud]],Tabla38[[#This Row],[Carga Maxima]])</f>
        <v/>
      </c>
      <c r="G377" s="15"/>
      <c r="J377" s="15"/>
      <c r="K377" s="47"/>
      <c r="L377" s="76"/>
      <c r="M377" s="76"/>
      <c r="N377" s="78" t="str">
        <f>_xlfn.LET(
    _xlpm.itemBuscado, B377,
    _xlpm.areaBuscada, C377,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TEXT(COUNTIF($C$2:C377, _xlpm.areaBuscada), "0000"),
    _xlpm.codItem &amp; "-" &amp; _xlpm.codArea &amp; "-" &amp; _xlpm.secuencia
)</f>
        <v>-SinArea-0000</v>
      </c>
      <c r="O377" s="77"/>
      <c r="P377" s="32"/>
      <c r="Q377" s="32"/>
      <c r="R377" s="32"/>
      <c r="S377" s="32"/>
    </row>
    <row r="378" spans="3:19" x14ac:dyDescent="0.3">
      <c r="C378" s="11"/>
      <c r="D378" s="32"/>
      <c r="E378" s="11"/>
      <c r="F378" t="str">
        <f>_xlfn.TEXTJOIN(", ",TRUE, Tabla38[[#This Row],[Tipo de escalera]],Tabla38[[#This Row],[Longitud]],Tabla38[[#This Row],[Carga Maxima]])</f>
        <v/>
      </c>
      <c r="G378" s="15"/>
      <c r="J378" s="15"/>
      <c r="K378" s="47"/>
      <c r="L378" s="76"/>
      <c r="M378" s="76"/>
      <c r="N378" s="78" t="str">
        <f>_xlfn.LET(
    _xlpm.itemBuscado, B378,
    _xlpm.areaBuscada, C378,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TEXT(COUNTIF($C$2:C378, _xlpm.areaBuscada), "0000"),
    _xlpm.codItem &amp; "-" &amp; _xlpm.codArea &amp; "-" &amp; _xlpm.secuencia
)</f>
        <v>-SinArea-0000</v>
      </c>
      <c r="O378" s="77"/>
      <c r="P378" s="32"/>
      <c r="Q378" s="32"/>
      <c r="R378" s="32"/>
      <c r="S378" s="32"/>
    </row>
    <row r="379" spans="3:19" x14ac:dyDescent="0.3">
      <c r="C379" s="11"/>
      <c r="D379" s="32"/>
      <c r="E379" s="11"/>
      <c r="F379" t="str">
        <f>_xlfn.TEXTJOIN(", ",TRUE, Tabla38[[#This Row],[Tipo de escalera]],Tabla38[[#This Row],[Longitud]],Tabla38[[#This Row],[Carga Maxima]])</f>
        <v/>
      </c>
      <c r="G379" s="15"/>
      <c r="J379" s="15"/>
      <c r="K379" s="47"/>
      <c r="L379" s="76"/>
      <c r="M379" s="76"/>
      <c r="N379" s="78" t="str">
        <f>_xlfn.LET(
    _xlpm.itemBuscado, B379,
    _xlpm.areaBuscada, C379,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TEXT(COUNTIF($C$2:C379, _xlpm.areaBuscada), "0000"),
    _xlpm.codItem &amp; "-" &amp; _xlpm.codArea &amp; "-" &amp; _xlpm.secuencia
)</f>
        <v>-SinArea-0000</v>
      </c>
      <c r="O379" s="77"/>
      <c r="P379" s="32"/>
      <c r="Q379" s="32"/>
      <c r="R379" s="32"/>
      <c r="S379" s="32"/>
    </row>
    <row r="380" spans="3:19" x14ac:dyDescent="0.3">
      <c r="C380" s="11"/>
      <c r="D380" s="32"/>
      <c r="E380" s="11"/>
      <c r="F380" t="str">
        <f>_xlfn.TEXTJOIN(", ",TRUE, Tabla38[[#This Row],[Tipo de escalera]],Tabla38[[#This Row],[Longitud]],Tabla38[[#This Row],[Carga Maxima]])</f>
        <v/>
      </c>
      <c r="G380" s="15"/>
      <c r="J380" s="15"/>
      <c r="K380" s="47"/>
      <c r="L380" s="76"/>
      <c r="M380" s="76"/>
      <c r="N380" s="78" t="str">
        <f>_xlfn.LET(
    _xlpm.itemBuscado, B380,
    _xlpm.areaBuscada, C380,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TEXT(COUNTIF($C$2:C380, _xlpm.areaBuscada), "0000"),
    _xlpm.codItem &amp; "-" &amp; _xlpm.codArea &amp; "-" &amp; _xlpm.secuencia
)</f>
        <v>-SinArea-0000</v>
      </c>
      <c r="O380" s="77"/>
      <c r="P380" s="32"/>
      <c r="Q380" s="32"/>
      <c r="R380" s="32"/>
      <c r="S380" s="32"/>
    </row>
    <row r="381" spans="3:19" x14ac:dyDescent="0.3">
      <c r="C381" s="11"/>
      <c r="D381" s="32"/>
      <c r="E381" s="11"/>
      <c r="F381" t="str">
        <f>_xlfn.TEXTJOIN(", ",TRUE, Tabla38[[#This Row],[Tipo de escalera]],Tabla38[[#This Row],[Longitud]],Tabla38[[#This Row],[Carga Maxima]])</f>
        <v/>
      </c>
      <c r="G381" s="15"/>
      <c r="J381" s="15"/>
      <c r="K381" s="47"/>
      <c r="L381" s="76"/>
      <c r="M381" s="76"/>
      <c r="N381" s="78" t="str">
        <f>_xlfn.LET(
    _xlpm.itemBuscado, B381,
    _xlpm.areaBuscada, C381,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TEXT(COUNTIF($C$2:C381, _xlpm.areaBuscada), "0000"),
    _xlpm.codItem &amp; "-" &amp; _xlpm.codArea &amp; "-" &amp; _xlpm.secuencia
)</f>
        <v>-SinArea-0000</v>
      </c>
      <c r="O381" s="77"/>
      <c r="P381" s="32"/>
      <c r="Q381" s="32"/>
      <c r="R381" s="32"/>
      <c r="S381" s="32"/>
    </row>
    <row r="382" spans="3:19" x14ac:dyDescent="0.3">
      <c r="C382" s="11"/>
      <c r="D382" s="32"/>
      <c r="E382" s="11"/>
      <c r="F382" t="str">
        <f>_xlfn.TEXTJOIN(", ",TRUE, Tabla38[[#This Row],[Tipo de escalera]],Tabla38[[#This Row],[Longitud]],Tabla38[[#This Row],[Carga Maxima]])</f>
        <v/>
      </c>
      <c r="G382" s="15"/>
      <c r="J382" s="15"/>
      <c r="K382" s="47"/>
      <c r="L382" s="76"/>
      <c r="M382" s="76"/>
      <c r="N382" s="78" t="str">
        <f>_xlfn.LET(
    _xlpm.itemBuscado, B382,
    _xlpm.areaBuscada, C382,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TEXT(COUNTIF($C$2:C382, _xlpm.areaBuscada), "0000"),
    _xlpm.codItem &amp; "-" &amp; _xlpm.codArea &amp; "-" &amp; _xlpm.secuencia
)</f>
        <v>-SinArea-0000</v>
      </c>
      <c r="O382" s="77"/>
      <c r="P382" s="32"/>
      <c r="Q382" s="32"/>
      <c r="R382" s="32"/>
      <c r="S382" s="32"/>
    </row>
    <row r="383" spans="3:19" x14ac:dyDescent="0.3">
      <c r="C383" s="11"/>
      <c r="D383" s="32"/>
      <c r="E383" s="11"/>
      <c r="F383" t="str">
        <f>_xlfn.TEXTJOIN(", ",TRUE, Tabla38[[#This Row],[Tipo de escalera]],Tabla38[[#This Row],[Longitud]],Tabla38[[#This Row],[Carga Maxima]])</f>
        <v/>
      </c>
      <c r="G383" s="15"/>
      <c r="J383" s="15"/>
      <c r="K383" s="47"/>
      <c r="L383" s="76"/>
      <c r="M383" s="76"/>
      <c r="N383" s="78" t="str">
        <f>_xlfn.LET(
    _xlpm.itemBuscado, B383,
    _xlpm.areaBuscada, C383,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TEXT(COUNTIF($C$2:C383, _xlpm.areaBuscada), "0000"),
    _xlpm.codItem &amp; "-" &amp; _xlpm.codArea &amp; "-" &amp; _xlpm.secuencia
)</f>
        <v>-SinArea-0000</v>
      </c>
      <c r="O383" s="77"/>
      <c r="P383" s="32"/>
      <c r="Q383" s="32"/>
      <c r="R383" s="32"/>
      <c r="S383" s="32"/>
    </row>
    <row r="384" spans="3:19" x14ac:dyDescent="0.3">
      <c r="C384" s="11"/>
      <c r="D384" s="32"/>
      <c r="E384" s="11"/>
      <c r="F384" t="str">
        <f>_xlfn.TEXTJOIN(", ",TRUE, Tabla38[[#This Row],[Tipo de escalera]],Tabla38[[#This Row],[Longitud]],Tabla38[[#This Row],[Carga Maxima]])</f>
        <v/>
      </c>
      <c r="G384" s="15"/>
      <c r="J384" s="15"/>
      <c r="K384" s="47"/>
      <c r="L384" s="76"/>
      <c r="M384" s="76"/>
      <c r="N384" s="78" t="str">
        <f>_xlfn.LET(
    _xlpm.itemBuscado, B384,
    _xlpm.areaBuscada, C384,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TEXT(COUNTIF($C$2:C384, _xlpm.areaBuscada), "0000"),
    _xlpm.codItem &amp; "-" &amp; _xlpm.codArea &amp; "-" &amp; _xlpm.secuencia
)</f>
        <v>-SinArea-0000</v>
      </c>
      <c r="O384" s="77"/>
      <c r="P384" s="32"/>
      <c r="Q384" s="32"/>
      <c r="R384" s="32"/>
      <c r="S384" s="32"/>
    </row>
    <row r="385" spans="3:19" x14ac:dyDescent="0.3">
      <c r="C385" s="11"/>
      <c r="D385" s="32"/>
      <c r="E385" s="11"/>
      <c r="F385" t="str">
        <f>_xlfn.TEXTJOIN(", ",TRUE, Tabla38[[#This Row],[Tipo de escalera]],Tabla38[[#This Row],[Longitud]],Tabla38[[#This Row],[Carga Maxima]])</f>
        <v/>
      </c>
      <c r="G385" s="15"/>
      <c r="J385" s="15"/>
      <c r="K385" s="47"/>
      <c r="L385" s="76"/>
      <c r="M385" s="76"/>
      <c r="N385" s="78" t="str">
        <f>_xlfn.LET(
    _xlpm.itemBuscado, B385,
    _xlpm.areaBuscada, C385,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TEXT(COUNTIF($C$2:C385, _xlpm.areaBuscada), "0000"),
    _xlpm.codItem &amp; "-" &amp; _xlpm.codArea &amp; "-" &amp; _xlpm.secuencia
)</f>
        <v>-SinArea-0000</v>
      </c>
      <c r="O385" s="77"/>
      <c r="P385" s="32"/>
      <c r="Q385" s="32"/>
      <c r="R385" s="32"/>
      <c r="S385" s="32"/>
    </row>
    <row r="386" spans="3:19" x14ac:dyDescent="0.3">
      <c r="C386" s="11"/>
      <c r="D386" s="32"/>
      <c r="E386" s="11"/>
      <c r="F386" t="str">
        <f>_xlfn.TEXTJOIN(", ",TRUE, Tabla38[[#This Row],[Tipo de escalera]],Tabla38[[#This Row],[Longitud]],Tabla38[[#This Row],[Carga Maxima]])</f>
        <v/>
      </c>
      <c r="G386" s="15"/>
      <c r="J386" s="15"/>
      <c r="K386" s="47"/>
      <c r="L386" s="76"/>
      <c r="M386" s="76"/>
      <c r="N386" s="78" t="str">
        <f>_xlfn.LET(
    _xlpm.itemBuscado, B386,
    _xlpm.areaBuscada, C386,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TEXT(COUNTIF($C$2:C386, _xlpm.areaBuscada), "0000"),
    _xlpm.codItem &amp; "-" &amp; _xlpm.codArea &amp; "-" &amp; _xlpm.secuencia
)</f>
        <v>-SinArea-0000</v>
      </c>
      <c r="O386" s="77"/>
      <c r="P386" s="32"/>
      <c r="Q386" s="32"/>
      <c r="R386" s="32"/>
      <c r="S386" s="32"/>
    </row>
    <row r="387" spans="3:19" x14ac:dyDescent="0.3">
      <c r="C387" s="11"/>
      <c r="D387" s="32"/>
      <c r="E387" s="11"/>
      <c r="F387" t="str">
        <f>_xlfn.TEXTJOIN(", ",TRUE, Tabla38[[#This Row],[Tipo de escalera]],Tabla38[[#This Row],[Longitud]],Tabla38[[#This Row],[Carga Maxima]])</f>
        <v/>
      </c>
      <c r="G387" s="15"/>
      <c r="J387" s="15"/>
      <c r="K387" s="47"/>
      <c r="L387" s="76"/>
      <c r="M387" s="76"/>
      <c r="N387" s="78" t="str">
        <f>_xlfn.LET(
    _xlpm.itemBuscado, B387,
    _xlpm.areaBuscada, C387,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TEXT(COUNTIF($C$2:C387, _xlpm.areaBuscada), "0000"),
    _xlpm.codItem &amp; "-" &amp; _xlpm.codArea &amp; "-" &amp; _xlpm.secuencia
)</f>
        <v>-SinArea-0000</v>
      </c>
      <c r="O387" s="77"/>
      <c r="P387" s="32"/>
      <c r="Q387" s="32"/>
      <c r="R387" s="32"/>
      <c r="S387" s="32"/>
    </row>
    <row r="388" spans="3:19" x14ac:dyDescent="0.3">
      <c r="C388" s="11"/>
      <c r="D388" s="32"/>
      <c r="E388" s="11"/>
      <c r="F388" t="str">
        <f>_xlfn.TEXTJOIN(", ",TRUE, Tabla38[[#This Row],[Tipo de escalera]],Tabla38[[#This Row],[Longitud]],Tabla38[[#This Row],[Carga Maxima]])</f>
        <v/>
      </c>
      <c r="G388" s="15"/>
      <c r="J388" s="15"/>
      <c r="K388" s="47"/>
      <c r="L388" s="76"/>
      <c r="M388" s="76"/>
      <c r="N388" s="78" t="str">
        <f>_xlfn.LET(
    _xlpm.itemBuscado, B388,
    _xlpm.areaBuscada, C388,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TEXT(COUNTIF($C$2:C388, _xlpm.areaBuscada), "0000"),
    _xlpm.codItem &amp; "-" &amp; _xlpm.codArea &amp; "-" &amp; _xlpm.secuencia
)</f>
        <v>-SinArea-0000</v>
      </c>
      <c r="O388" s="77"/>
      <c r="P388" s="32"/>
      <c r="Q388" s="32"/>
      <c r="R388" s="32"/>
      <c r="S388" s="32"/>
    </row>
    <row r="389" spans="3:19" x14ac:dyDescent="0.3">
      <c r="C389" s="11"/>
      <c r="D389" s="32"/>
      <c r="E389" s="11"/>
      <c r="F389" t="str">
        <f>_xlfn.TEXTJOIN(", ",TRUE, Tabla38[[#This Row],[Tipo de escalera]],Tabla38[[#This Row],[Longitud]],Tabla38[[#This Row],[Carga Maxima]])</f>
        <v/>
      </c>
      <c r="G389" s="15"/>
      <c r="J389" s="15"/>
      <c r="K389" s="47"/>
      <c r="L389" s="76"/>
      <c r="M389" s="76"/>
      <c r="N389" s="78" t="str">
        <f>_xlfn.LET(
    _xlpm.itemBuscado, B389,
    _xlpm.areaBuscada, C389,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TEXT(COUNTIF($C$2:C389, _xlpm.areaBuscada), "0000"),
    _xlpm.codItem &amp; "-" &amp; _xlpm.codArea &amp; "-" &amp; _xlpm.secuencia
)</f>
        <v>-SinArea-0000</v>
      </c>
      <c r="O389" s="77"/>
      <c r="P389" s="32"/>
      <c r="Q389" s="32"/>
      <c r="R389" s="32"/>
      <c r="S389" s="32"/>
    </row>
    <row r="390" spans="3:19" x14ac:dyDescent="0.3">
      <c r="C390" s="11"/>
      <c r="D390" s="32"/>
      <c r="E390" s="11"/>
      <c r="F390" t="str">
        <f>_xlfn.TEXTJOIN(", ",TRUE, Tabla38[[#This Row],[Tipo de escalera]],Tabla38[[#This Row],[Longitud]],Tabla38[[#This Row],[Carga Maxima]])</f>
        <v/>
      </c>
      <c r="G390" s="15"/>
      <c r="J390" s="15"/>
      <c r="K390" s="47"/>
      <c r="L390" s="76"/>
      <c r="M390" s="76"/>
      <c r="N390" s="78" t="str">
        <f>_xlfn.LET(
    _xlpm.itemBuscado, B390,
    _xlpm.areaBuscada, C390,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TEXT(COUNTIF($C$2:C390, _xlpm.areaBuscada), "0000"),
    _xlpm.codItem &amp; "-" &amp; _xlpm.codArea &amp; "-" &amp; _xlpm.secuencia
)</f>
        <v>-SinArea-0000</v>
      </c>
      <c r="O390" s="77"/>
      <c r="P390" s="32"/>
      <c r="Q390" s="32"/>
      <c r="R390" s="32"/>
      <c r="S390" s="32"/>
    </row>
    <row r="391" spans="3:19" x14ac:dyDescent="0.3">
      <c r="C391" s="11"/>
      <c r="D391" s="32"/>
      <c r="E391" s="11"/>
      <c r="F391" t="str">
        <f>_xlfn.TEXTJOIN(", ",TRUE, Tabla38[[#This Row],[Tipo de escalera]],Tabla38[[#This Row],[Longitud]],Tabla38[[#This Row],[Carga Maxima]])</f>
        <v/>
      </c>
      <c r="G391" s="15"/>
      <c r="J391" s="15"/>
      <c r="K391" s="47"/>
      <c r="L391" s="76"/>
      <c r="M391" s="76"/>
      <c r="N391" s="78" t="str">
        <f>_xlfn.LET(
    _xlpm.itemBuscado, B391,
    _xlpm.areaBuscada, C391,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TEXT(COUNTIF($C$2:C391, _xlpm.areaBuscada), "0000"),
    _xlpm.codItem &amp; "-" &amp; _xlpm.codArea &amp; "-" &amp; _xlpm.secuencia
)</f>
        <v>-SinArea-0000</v>
      </c>
      <c r="O391" s="77"/>
      <c r="P391" s="32"/>
      <c r="Q391" s="32"/>
      <c r="R391" s="32"/>
      <c r="S391" s="32"/>
    </row>
    <row r="392" spans="3:19" x14ac:dyDescent="0.3">
      <c r="C392" s="11"/>
      <c r="D392" s="32"/>
      <c r="E392" s="11"/>
      <c r="F392" t="str">
        <f>_xlfn.TEXTJOIN(", ",TRUE, Tabla38[[#This Row],[Tipo de escalera]],Tabla38[[#This Row],[Longitud]],Tabla38[[#This Row],[Carga Maxima]])</f>
        <v/>
      </c>
      <c r="G392" s="15"/>
      <c r="J392" s="15"/>
      <c r="K392" s="47"/>
      <c r="L392" s="76"/>
      <c r="M392" s="76"/>
      <c r="N392" s="78" t="str">
        <f>_xlfn.LET(
    _xlpm.itemBuscado, B392,
    _xlpm.areaBuscada, C392,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TEXT(COUNTIF($C$2:C392, _xlpm.areaBuscada), "0000"),
    _xlpm.codItem &amp; "-" &amp; _xlpm.codArea &amp; "-" &amp; _xlpm.secuencia
)</f>
        <v>-SinArea-0000</v>
      </c>
      <c r="O392" s="77"/>
      <c r="P392" s="32"/>
      <c r="Q392" s="32"/>
      <c r="R392" s="32"/>
      <c r="S392" s="32"/>
    </row>
    <row r="393" spans="3:19" x14ac:dyDescent="0.3">
      <c r="C393" s="11"/>
      <c r="D393" s="32"/>
      <c r="E393" s="11"/>
      <c r="F393" t="str">
        <f>_xlfn.TEXTJOIN(", ",TRUE, Tabla38[[#This Row],[Tipo de escalera]],Tabla38[[#This Row],[Longitud]],Tabla38[[#This Row],[Carga Maxima]])</f>
        <v/>
      </c>
      <c r="G393" s="15"/>
      <c r="J393" s="15"/>
      <c r="K393" s="47"/>
      <c r="L393" s="76"/>
      <c r="M393" s="76"/>
      <c r="N393" s="78" t="str">
        <f>_xlfn.LET(
    _xlpm.itemBuscado, B393,
    _xlpm.areaBuscada, C393,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TEXT(COUNTIF($C$2:C393, _xlpm.areaBuscada), "0000"),
    _xlpm.codItem &amp; "-" &amp; _xlpm.codArea &amp; "-" &amp; _xlpm.secuencia
)</f>
        <v>-SinArea-0000</v>
      </c>
      <c r="O393" s="77"/>
      <c r="P393" s="32"/>
      <c r="Q393" s="32"/>
      <c r="R393" s="32"/>
      <c r="S393" s="32"/>
    </row>
    <row r="394" spans="3:19" x14ac:dyDescent="0.3">
      <c r="C394" s="11"/>
      <c r="D394" s="32"/>
      <c r="E394" s="11"/>
      <c r="F394" t="str">
        <f>_xlfn.TEXTJOIN(", ",TRUE, Tabla38[[#This Row],[Tipo de escalera]],Tabla38[[#This Row],[Longitud]],Tabla38[[#This Row],[Carga Maxima]])</f>
        <v/>
      </c>
      <c r="G394" s="15"/>
      <c r="J394" s="15"/>
      <c r="K394" s="47"/>
      <c r="L394" s="76"/>
      <c r="M394" s="76"/>
      <c r="N394" s="78" t="str">
        <f>_xlfn.LET(
    _xlpm.itemBuscado, B394,
    _xlpm.areaBuscada, C394,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TEXT(COUNTIF($C$2:C394, _xlpm.areaBuscada), "0000"),
    _xlpm.codItem &amp; "-" &amp; _xlpm.codArea &amp; "-" &amp; _xlpm.secuencia
)</f>
        <v>-SinArea-0000</v>
      </c>
      <c r="O394" s="77"/>
      <c r="P394" s="32"/>
      <c r="Q394" s="32"/>
      <c r="R394" s="32"/>
      <c r="S394" s="32"/>
    </row>
    <row r="395" spans="3:19" x14ac:dyDescent="0.3">
      <c r="C395" s="11"/>
      <c r="D395" s="32"/>
      <c r="E395" s="11"/>
      <c r="F395" t="str">
        <f>_xlfn.TEXTJOIN(", ",TRUE, Tabla38[[#This Row],[Tipo de escalera]],Tabla38[[#This Row],[Longitud]],Tabla38[[#This Row],[Carga Maxima]])</f>
        <v/>
      </c>
      <c r="G395" s="15"/>
      <c r="J395" s="15"/>
      <c r="K395" s="47"/>
      <c r="L395" s="76"/>
      <c r="M395" s="76"/>
      <c r="N395" s="78" t="str">
        <f>_xlfn.LET(
    _xlpm.itemBuscado, B395,
    _xlpm.areaBuscada, C395,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TEXT(COUNTIF($C$2:C395, _xlpm.areaBuscada), "0000"),
    _xlpm.codItem &amp; "-" &amp; _xlpm.codArea &amp; "-" &amp; _xlpm.secuencia
)</f>
        <v>-SinArea-0000</v>
      </c>
      <c r="O395" s="77"/>
      <c r="P395" s="32"/>
      <c r="Q395" s="32"/>
      <c r="R395" s="32"/>
      <c r="S395" s="32"/>
    </row>
    <row r="396" spans="3:19" x14ac:dyDescent="0.3">
      <c r="C396" s="11"/>
      <c r="D396" s="32"/>
      <c r="E396" s="11"/>
      <c r="F396" t="str">
        <f>_xlfn.TEXTJOIN(", ",TRUE, Tabla38[[#This Row],[Tipo de escalera]],Tabla38[[#This Row],[Longitud]],Tabla38[[#This Row],[Carga Maxima]])</f>
        <v/>
      </c>
      <c r="G396" s="15"/>
      <c r="J396" s="15"/>
      <c r="K396" s="47"/>
      <c r="L396" s="76"/>
      <c r="M396" s="76"/>
      <c r="N396" s="78" t="str">
        <f>_xlfn.LET(
    _xlpm.itemBuscado, B396,
    _xlpm.areaBuscada, C396,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TEXT(COUNTIF($C$2:C396, _xlpm.areaBuscada), "0000"),
    _xlpm.codItem &amp; "-" &amp; _xlpm.codArea &amp; "-" &amp; _xlpm.secuencia
)</f>
        <v>-SinArea-0000</v>
      </c>
      <c r="O396" s="77"/>
      <c r="P396" s="32"/>
      <c r="Q396" s="32"/>
      <c r="R396" s="32"/>
      <c r="S396" s="32"/>
    </row>
    <row r="397" spans="3:19" x14ac:dyDescent="0.3">
      <c r="C397" s="11"/>
      <c r="D397" s="32"/>
      <c r="E397" s="11"/>
      <c r="F397" t="str">
        <f>_xlfn.TEXTJOIN(", ",TRUE, Tabla38[[#This Row],[Tipo de escalera]],Tabla38[[#This Row],[Longitud]],Tabla38[[#This Row],[Carga Maxima]])</f>
        <v/>
      </c>
      <c r="G397" s="15"/>
      <c r="J397" s="15"/>
      <c r="K397" s="47"/>
      <c r="L397" s="76"/>
      <c r="M397" s="76"/>
      <c r="N397" s="78" t="str">
        <f>_xlfn.LET(
    _xlpm.itemBuscado, B397,
    _xlpm.areaBuscada, C397,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TEXT(COUNTIF($C$2:C397, _xlpm.areaBuscada), "0000"),
    _xlpm.codItem &amp; "-" &amp; _xlpm.codArea &amp; "-" &amp; _xlpm.secuencia
)</f>
        <v>-SinArea-0000</v>
      </c>
      <c r="O397" s="77"/>
      <c r="P397" s="32"/>
      <c r="Q397" s="32"/>
      <c r="R397" s="32"/>
      <c r="S397" s="32"/>
    </row>
    <row r="398" spans="3:19" x14ac:dyDescent="0.3">
      <c r="C398" s="11"/>
      <c r="D398" s="32"/>
      <c r="E398" s="11"/>
      <c r="F398" t="str">
        <f>_xlfn.TEXTJOIN(", ",TRUE, Tabla38[[#This Row],[Tipo de escalera]],Tabla38[[#This Row],[Longitud]],Tabla38[[#This Row],[Carga Maxima]])</f>
        <v/>
      </c>
      <c r="G398" s="15"/>
      <c r="J398" s="15"/>
      <c r="K398" s="47"/>
      <c r="L398" s="76"/>
      <c r="M398" s="76"/>
      <c r="N398" s="78" t="str">
        <f>_xlfn.LET(
    _xlpm.itemBuscado, B398,
    _xlpm.areaBuscada, C398,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TEXT(COUNTIF($C$2:C398, _xlpm.areaBuscada), "0000"),
    _xlpm.codItem &amp; "-" &amp; _xlpm.codArea &amp; "-" &amp; _xlpm.secuencia
)</f>
        <v>-SinArea-0000</v>
      </c>
      <c r="O398" s="77"/>
      <c r="P398" s="32"/>
      <c r="Q398" s="32"/>
      <c r="R398" s="32"/>
      <c r="S398" s="32"/>
    </row>
    <row r="399" spans="3:19" x14ac:dyDescent="0.3">
      <c r="C399" s="11"/>
      <c r="D399" s="32"/>
      <c r="E399" s="11"/>
      <c r="F399" t="str">
        <f>_xlfn.TEXTJOIN(", ",TRUE, Tabla38[[#This Row],[Tipo de escalera]],Tabla38[[#This Row],[Longitud]],Tabla38[[#This Row],[Carga Maxima]])</f>
        <v/>
      </c>
      <c r="G399" s="15"/>
      <c r="J399" s="15"/>
      <c r="K399" s="47"/>
      <c r="L399" s="76"/>
      <c r="M399" s="76"/>
      <c r="N399" s="78" t="str">
        <f>_xlfn.LET(
    _xlpm.itemBuscado, B399,
    _xlpm.areaBuscada, C399,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TEXT(COUNTIF($C$2:C399, _xlpm.areaBuscada), "0000"),
    _xlpm.codItem &amp; "-" &amp; _xlpm.codArea &amp; "-" &amp; _xlpm.secuencia
)</f>
        <v>-SinArea-0000</v>
      </c>
      <c r="O399" s="77"/>
      <c r="P399" s="32"/>
      <c r="Q399" s="32"/>
      <c r="R399" s="32"/>
      <c r="S399" s="32"/>
    </row>
    <row r="400" spans="3:19" x14ac:dyDescent="0.3">
      <c r="C400" s="11"/>
      <c r="D400" s="32"/>
      <c r="E400" s="11"/>
      <c r="F400" t="str">
        <f>_xlfn.TEXTJOIN(", ",TRUE, Tabla38[[#This Row],[Tipo de escalera]],Tabla38[[#This Row],[Longitud]],Tabla38[[#This Row],[Carga Maxima]])</f>
        <v/>
      </c>
      <c r="G400" s="15"/>
      <c r="J400" s="15"/>
      <c r="K400" s="47"/>
      <c r="L400" s="76"/>
      <c r="M400" s="76"/>
      <c r="N400" s="78" t="str">
        <f>_xlfn.LET(
    _xlpm.itemBuscado, B400,
    _xlpm.areaBuscada, C400,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TEXT(COUNTIF($C$2:C400, _xlpm.areaBuscada), "0000"),
    _xlpm.codItem &amp; "-" &amp; _xlpm.codArea &amp; "-" &amp; _xlpm.secuencia
)</f>
        <v>-SinArea-0000</v>
      </c>
      <c r="O400" s="77"/>
      <c r="P400" s="32"/>
      <c r="Q400" s="32"/>
      <c r="R400" s="32"/>
      <c r="S400" s="32"/>
    </row>
    <row r="401" spans="3:19" x14ac:dyDescent="0.3">
      <c r="C401" s="11"/>
      <c r="D401" s="32"/>
      <c r="E401" s="11"/>
      <c r="F401" t="str">
        <f>_xlfn.TEXTJOIN(", ",TRUE, Tabla38[[#This Row],[Tipo de escalera]],Tabla38[[#This Row],[Longitud]],Tabla38[[#This Row],[Carga Maxima]])</f>
        <v/>
      </c>
      <c r="G401" s="15"/>
      <c r="J401" s="15"/>
      <c r="K401" s="47"/>
      <c r="L401" s="76"/>
      <c r="M401" s="76"/>
      <c r="N401" s="78" t="str">
        <f>_xlfn.LET(
    _xlpm.itemBuscado, B401,
    _xlpm.areaBuscada, C401,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TEXT(COUNTIF($C$2:C401, _xlpm.areaBuscada), "0000"),
    _xlpm.codItem &amp; "-" &amp; _xlpm.codArea &amp; "-" &amp; _xlpm.secuencia
)</f>
        <v>-SinArea-0000</v>
      </c>
      <c r="O401" s="77"/>
      <c r="P401" s="32"/>
      <c r="Q401" s="32"/>
      <c r="R401" s="32"/>
      <c r="S401" s="32"/>
    </row>
    <row r="402" spans="3:19" x14ac:dyDescent="0.3">
      <c r="C402" s="11"/>
      <c r="D402" s="32"/>
      <c r="E402" s="11"/>
      <c r="F402" t="str">
        <f>_xlfn.TEXTJOIN(", ",TRUE, Tabla38[[#This Row],[Tipo de escalera]],Tabla38[[#This Row],[Longitud]],Tabla38[[#This Row],[Carga Maxima]])</f>
        <v/>
      </c>
      <c r="G402" s="15"/>
      <c r="J402" s="15"/>
      <c r="K402" s="47"/>
      <c r="L402" s="76"/>
      <c r="M402" s="76"/>
      <c r="N402" s="78" t="str">
        <f>_xlfn.LET(
    _xlpm.itemBuscado, B402,
    _xlpm.areaBuscada, C402,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TEXT(COUNTIF($C$2:C402, _xlpm.areaBuscada), "0000"),
    _xlpm.codItem &amp; "-" &amp; _xlpm.codArea &amp; "-" &amp; _xlpm.secuencia
)</f>
        <v>-SinArea-0000</v>
      </c>
      <c r="O402" s="77"/>
      <c r="P402" s="32"/>
      <c r="Q402" s="32"/>
      <c r="R402" s="32"/>
      <c r="S402" s="32"/>
    </row>
    <row r="403" spans="3:19" x14ac:dyDescent="0.3">
      <c r="C403" s="11"/>
      <c r="D403" s="32"/>
      <c r="E403" s="11"/>
      <c r="F403" t="str">
        <f>_xlfn.TEXTJOIN(", ",TRUE, Tabla38[[#This Row],[Tipo de escalera]],Tabla38[[#This Row],[Longitud]],Tabla38[[#This Row],[Carga Maxima]])</f>
        <v/>
      </c>
      <c r="G403" s="15"/>
      <c r="J403" s="15"/>
      <c r="K403" s="47"/>
      <c r="L403" s="76"/>
      <c r="M403" s="76"/>
      <c r="N403" s="78" t="str">
        <f>_xlfn.LET(
    _xlpm.itemBuscado, B403,
    _xlpm.areaBuscada, C403,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TEXT(COUNTIF($C$2:C403, _xlpm.areaBuscada), "0000"),
    _xlpm.codItem &amp; "-" &amp; _xlpm.codArea &amp; "-" &amp; _xlpm.secuencia
)</f>
        <v>-SinArea-0000</v>
      </c>
      <c r="O403" s="77"/>
      <c r="P403" s="32"/>
      <c r="Q403" s="32"/>
      <c r="R403" s="32"/>
      <c r="S403" s="32"/>
    </row>
    <row r="404" spans="3:19" x14ac:dyDescent="0.3">
      <c r="C404" s="11"/>
      <c r="D404" s="32"/>
      <c r="E404" s="11"/>
      <c r="F404" t="str">
        <f>_xlfn.TEXTJOIN(", ",TRUE, Tabla38[[#This Row],[Tipo de escalera]],Tabla38[[#This Row],[Longitud]],Tabla38[[#This Row],[Carga Maxima]])</f>
        <v/>
      </c>
      <c r="G404" s="15"/>
      <c r="J404" s="15"/>
      <c r="K404" s="47"/>
      <c r="L404" s="76"/>
      <c r="M404" s="76"/>
      <c r="N404" s="78" t="str">
        <f>_xlfn.LET(
    _xlpm.itemBuscado, B404,
    _xlpm.areaBuscada, C404,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TEXT(COUNTIF($C$2:C404, _xlpm.areaBuscada), "0000"),
    _xlpm.codItem &amp; "-" &amp; _xlpm.codArea &amp; "-" &amp; _xlpm.secuencia
)</f>
        <v>-SinArea-0000</v>
      </c>
      <c r="O404" s="77"/>
      <c r="P404" s="32"/>
      <c r="Q404" s="32"/>
      <c r="R404" s="32"/>
      <c r="S404" s="32"/>
    </row>
    <row r="405" spans="3:19" x14ac:dyDescent="0.3">
      <c r="C405" s="11"/>
      <c r="D405" s="32"/>
      <c r="E405" s="11"/>
      <c r="F405" t="str">
        <f>_xlfn.TEXTJOIN(", ",TRUE, Tabla38[[#This Row],[Tipo de escalera]],Tabla38[[#This Row],[Longitud]],Tabla38[[#This Row],[Carga Maxima]])</f>
        <v/>
      </c>
      <c r="G405" s="15"/>
      <c r="J405" s="15"/>
      <c r="K405" s="47"/>
      <c r="L405" s="76"/>
      <c r="M405" s="76"/>
      <c r="N405" s="78" t="str">
        <f>_xlfn.LET(
    _xlpm.itemBuscado, B405,
    _xlpm.areaBuscada, C405,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TEXT(COUNTIF($C$2:C405, _xlpm.areaBuscada), "0000"),
    _xlpm.codItem &amp; "-" &amp; _xlpm.codArea &amp; "-" &amp; _xlpm.secuencia
)</f>
        <v>-SinArea-0000</v>
      </c>
      <c r="O405" s="77"/>
      <c r="P405" s="32"/>
      <c r="Q405" s="32"/>
      <c r="R405" s="32"/>
      <c r="S405" s="32"/>
    </row>
    <row r="406" spans="3:19" x14ac:dyDescent="0.3">
      <c r="C406" s="11"/>
      <c r="D406" s="32"/>
      <c r="E406" s="11"/>
      <c r="F406" t="str">
        <f>_xlfn.TEXTJOIN(", ",TRUE, Tabla38[[#This Row],[Tipo de escalera]],Tabla38[[#This Row],[Longitud]],Tabla38[[#This Row],[Carga Maxima]])</f>
        <v/>
      </c>
      <c r="G406" s="15"/>
      <c r="J406" s="15"/>
      <c r="K406" s="47"/>
      <c r="L406" s="76"/>
      <c r="M406" s="76"/>
      <c r="N406" s="78" t="str">
        <f>_xlfn.LET(
    _xlpm.itemBuscado, B406,
    _xlpm.areaBuscada, C406,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TEXT(COUNTIF($C$2:C406, _xlpm.areaBuscada), "0000"),
    _xlpm.codItem &amp; "-" &amp; _xlpm.codArea &amp; "-" &amp; _xlpm.secuencia
)</f>
        <v>-SinArea-0000</v>
      </c>
      <c r="O406" s="77"/>
      <c r="P406" s="32"/>
      <c r="Q406" s="32"/>
      <c r="R406" s="32"/>
      <c r="S406" s="32"/>
    </row>
    <row r="407" spans="3:19" x14ac:dyDescent="0.3">
      <c r="C407" s="11"/>
      <c r="D407" s="32"/>
      <c r="E407" s="11"/>
      <c r="F407" t="str">
        <f>_xlfn.TEXTJOIN(", ",TRUE, Tabla38[[#This Row],[Tipo de escalera]],Tabla38[[#This Row],[Longitud]],Tabla38[[#This Row],[Carga Maxima]])</f>
        <v/>
      </c>
      <c r="G407" s="15"/>
      <c r="J407" s="15"/>
      <c r="K407" s="47"/>
      <c r="L407" s="76"/>
      <c r="M407" s="76"/>
      <c r="N407" s="78" t="str">
        <f>_xlfn.LET(
    _xlpm.itemBuscado, B407,
    _xlpm.areaBuscada, C407,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TEXT(COUNTIF($C$2:C407, _xlpm.areaBuscada), "0000"),
    _xlpm.codItem &amp; "-" &amp; _xlpm.codArea &amp; "-" &amp; _xlpm.secuencia
)</f>
        <v>-SinArea-0000</v>
      </c>
      <c r="O407" s="77"/>
      <c r="P407" s="32"/>
      <c r="Q407" s="32"/>
      <c r="R407" s="32"/>
      <c r="S407" s="32"/>
    </row>
    <row r="408" spans="3:19" x14ac:dyDescent="0.3">
      <c r="C408" s="11"/>
      <c r="D408" s="32"/>
      <c r="E408" s="11"/>
      <c r="F408" t="str">
        <f>_xlfn.TEXTJOIN(", ",TRUE, Tabla38[[#This Row],[Tipo de escalera]],Tabla38[[#This Row],[Longitud]],Tabla38[[#This Row],[Carga Maxima]])</f>
        <v/>
      </c>
      <c r="G408" s="15"/>
      <c r="J408" s="15"/>
      <c r="K408" s="47"/>
      <c r="L408" s="76"/>
      <c r="M408" s="76"/>
      <c r="N408" s="78" t="str">
        <f>_xlfn.LET(
    _xlpm.itemBuscado, B408,
    _xlpm.areaBuscada, C408,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TEXT(COUNTIF($C$2:C408, _xlpm.areaBuscada), "0000"),
    _xlpm.codItem &amp; "-" &amp; _xlpm.codArea &amp; "-" &amp; _xlpm.secuencia
)</f>
        <v>-SinArea-0000</v>
      </c>
      <c r="O408" s="77"/>
      <c r="P408" s="32"/>
      <c r="Q408" s="32"/>
      <c r="R408" s="32"/>
      <c r="S408" s="32"/>
    </row>
    <row r="409" spans="3:19" x14ac:dyDescent="0.3">
      <c r="C409" s="11"/>
      <c r="D409" s="32"/>
      <c r="E409" s="11"/>
      <c r="F409" t="str">
        <f>_xlfn.TEXTJOIN(", ",TRUE, Tabla38[[#This Row],[Tipo de escalera]],Tabla38[[#This Row],[Longitud]],Tabla38[[#This Row],[Carga Maxima]])</f>
        <v/>
      </c>
      <c r="G409" s="15"/>
      <c r="J409" s="15"/>
      <c r="K409" s="47"/>
      <c r="L409" s="76"/>
      <c r="M409" s="76"/>
      <c r="N409" s="78" t="str">
        <f>_xlfn.LET(
    _xlpm.itemBuscado, B409,
    _xlpm.areaBuscada, C409,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TEXT(COUNTIF($C$2:C409, _xlpm.areaBuscada), "0000"),
    _xlpm.codItem &amp; "-" &amp; _xlpm.codArea &amp; "-" &amp; _xlpm.secuencia
)</f>
        <v>-SinArea-0000</v>
      </c>
      <c r="O409" s="77"/>
      <c r="P409" s="32"/>
      <c r="Q409" s="32"/>
      <c r="R409" s="32"/>
      <c r="S409" s="32"/>
    </row>
    <row r="410" spans="3:19" x14ac:dyDescent="0.3">
      <c r="C410" s="11"/>
      <c r="D410" s="32"/>
      <c r="E410" s="11"/>
      <c r="F410" t="str">
        <f>_xlfn.TEXTJOIN(", ",TRUE, Tabla38[[#This Row],[Tipo de escalera]],Tabla38[[#This Row],[Longitud]],Tabla38[[#This Row],[Carga Maxima]])</f>
        <v/>
      </c>
      <c r="G410" s="15"/>
      <c r="J410" s="15"/>
      <c r="K410" s="47"/>
      <c r="L410" s="76"/>
      <c r="M410" s="76"/>
      <c r="N410" s="78" t="str">
        <f>_xlfn.LET(
    _xlpm.itemBuscado, B410,
    _xlpm.areaBuscada, C410,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TEXT(COUNTIF($C$2:C410, _xlpm.areaBuscada), "0000"),
    _xlpm.codItem &amp; "-" &amp; _xlpm.codArea &amp; "-" &amp; _xlpm.secuencia
)</f>
        <v>-SinArea-0000</v>
      </c>
      <c r="O410" s="77"/>
      <c r="P410" s="32"/>
      <c r="Q410" s="32"/>
      <c r="R410" s="32"/>
      <c r="S410" s="32"/>
    </row>
    <row r="411" spans="3:19" x14ac:dyDescent="0.3">
      <c r="C411" s="11"/>
      <c r="D411" s="32"/>
      <c r="E411" s="11"/>
      <c r="F411" t="str">
        <f>_xlfn.TEXTJOIN(", ",TRUE, Tabla38[[#This Row],[Tipo de escalera]],Tabla38[[#This Row],[Longitud]],Tabla38[[#This Row],[Carga Maxima]])</f>
        <v/>
      </c>
      <c r="G411" s="15"/>
      <c r="J411" s="15"/>
      <c r="K411" s="47"/>
      <c r="L411" s="76"/>
      <c r="M411" s="76"/>
      <c r="N411" s="78" t="str">
        <f>_xlfn.LET(
    _xlpm.itemBuscado, B411,
    _xlpm.areaBuscada, C411,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TEXT(COUNTIF($C$2:C411, _xlpm.areaBuscada), "0000"),
    _xlpm.codItem &amp; "-" &amp; _xlpm.codArea &amp; "-" &amp; _xlpm.secuencia
)</f>
        <v>-SinArea-0000</v>
      </c>
      <c r="O411" s="77"/>
      <c r="P411" s="32"/>
      <c r="Q411" s="32"/>
      <c r="R411" s="32"/>
      <c r="S411" s="32"/>
    </row>
    <row r="412" spans="3:19" x14ac:dyDescent="0.3">
      <c r="C412" s="11"/>
      <c r="D412" s="32"/>
      <c r="E412" s="11"/>
      <c r="F412" t="str">
        <f>_xlfn.TEXTJOIN(", ",TRUE, Tabla38[[#This Row],[Tipo de escalera]],Tabla38[[#This Row],[Longitud]],Tabla38[[#This Row],[Carga Maxima]])</f>
        <v/>
      </c>
      <c r="G412" s="15"/>
      <c r="J412" s="15"/>
      <c r="K412" s="47"/>
      <c r="L412" s="76"/>
      <c r="M412" s="76"/>
      <c r="N412" s="78" t="str">
        <f>_xlfn.LET(
    _xlpm.itemBuscado, B412,
    _xlpm.areaBuscada, C412,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TEXT(COUNTIF($C$2:C412, _xlpm.areaBuscada), "0000"),
    _xlpm.codItem &amp; "-" &amp; _xlpm.codArea &amp; "-" &amp; _xlpm.secuencia
)</f>
        <v>-SinArea-0000</v>
      </c>
      <c r="O412" s="77"/>
      <c r="P412" s="32"/>
      <c r="Q412" s="32"/>
      <c r="R412" s="32"/>
      <c r="S412" s="32"/>
    </row>
    <row r="413" spans="3:19" x14ac:dyDescent="0.3">
      <c r="C413" s="11"/>
      <c r="D413" s="32"/>
      <c r="E413" s="11"/>
      <c r="F413" t="str">
        <f>_xlfn.TEXTJOIN(", ",TRUE, Tabla38[[#This Row],[Tipo de escalera]],Tabla38[[#This Row],[Longitud]],Tabla38[[#This Row],[Carga Maxima]])</f>
        <v/>
      </c>
      <c r="G413" s="15"/>
      <c r="J413" s="15"/>
      <c r="K413" s="47"/>
      <c r="L413" s="76"/>
      <c r="M413" s="76"/>
      <c r="N413" s="78" t="str">
        <f>_xlfn.LET(
    _xlpm.itemBuscado, B413,
    _xlpm.areaBuscada, C413,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TEXT(COUNTIF($C$2:C413, _xlpm.areaBuscada), "0000"),
    _xlpm.codItem &amp; "-" &amp; _xlpm.codArea &amp; "-" &amp; _xlpm.secuencia
)</f>
        <v>-SinArea-0000</v>
      </c>
      <c r="O413" s="77"/>
      <c r="P413" s="32"/>
      <c r="Q413" s="32"/>
      <c r="R413" s="32"/>
      <c r="S413" s="32"/>
    </row>
    <row r="414" spans="3:19" x14ac:dyDescent="0.3">
      <c r="C414" s="11"/>
      <c r="D414" s="32"/>
      <c r="E414" s="11"/>
      <c r="F414" t="str">
        <f>_xlfn.TEXTJOIN(", ",TRUE, Tabla38[[#This Row],[Tipo de escalera]],Tabla38[[#This Row],[Longitud]],Tabla38[[#This Row],[Carga Maxima]])</f>
        <v/>
      </c>
      <c r="G414" s="15"/>
      <c r="J414" s="15"/>
      <c r="K414" s="47"/>
      <c r="L414" s="76"/>
      <c r="M414" s="76"/>
      <c r="N414" s="78" t="str">
        <f>_xlfn.LET(
    _xlpm.itemBuscado, B414,
    _xlpm.areaBuscada, C414,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TEXT(COUNTIF($C$2:C414, _xlpm.areaBuscada), "0000"),
    _xlpm.codItem &amp; "-" &amp; _xlpm.codArea &amp; "-" &amp; _xlpm.secuencia
)</f>
        <v>-SinArea-0000</v>
      </c>
      <c r="O414" s="77"/>
      <c r="P414" s="32"/>
      <c r="Q414" s="32"/>
      <c r="R414" s="32"/>
      <c r="S414" s="32"/>
    </row>
    <row r="415" spans="3:19" x14ac:dyDescent="0.3">
      <c r="C415" s="11"/>
      <c r="D415" s="32"/>
      <c r="E415" s="11"/>
      <c r="F415" t="str">
        <f>_xlfn.TEXTJOIN(", ",TRUE, Tabla38[[#This Row],[Tipo de escalera]],Tabla38[[#This Row],[Longitud]],Tabla38[[#This Row],[Carga Maxima]])</f>
        <v/>
      </c>
      <c r="G415" s="15"/>
      <c r="J415" s="15"/>
      <c r="K415" s="47"/>
      <c r="L415" s="76"/>
      <c r="M415" s="76"/>
      <c r="N415" s="78" t="str">
        <f>_xlfn.LET(
    _xlpm.itemBuscado, B415,
    _xlpm.areaBuscada, C415,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TEXT(COUNTIF($C$2:C415, _xlpm.areaBuscada), "0000"),
    _xlpm.codItem &amp; "-" &amp; _xlpm.codArea &amp; "-" &amp; _xlpm.secuencia
)</f>
        <v>-SinArea-0000</v>
      </c>
      <c r="O415" s="77"/>
      <c r="P415" s="32"/>
      <c r="Q415" s="32"/>
      <c r="R415" s="32"/>
      <c r="S415" s="32"/>
    </row>
    <row r="416" spans="3:19" x14ac:dyDescent="0.3">
      <c r="C416" s="11"/>
      <c r="D416" s="32"/>
      <c r="E416" s="11"/>
      <c r="F416" t="str">
        <f>_xlfn.TEXTJOIN(", ",TRUE, Tabla38[[#This Row],[Tipo de escalera]],Tabla38[[#This Row],[Longitud]],Tabla38[[#This Row],[Carga Maxima]])</f>
        <v/>
      </c>
      <c r="G416" s="15"/>
      <c r="J416" s="15"/>
      <c r="K416" s="47"/>
      <c r="L416" s="76"/>
      <c r="M416" s="76"/>
      <c r="N416" s="78" t="str">
        <f>_xlfn.LET(
    _xlpm.itemBuscado, B416,
    _xlpm.areaBuscada, C416,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TEXT(COUNTIF($C$2:C416, _xlpm.areaBuscada), "0000"),
    _xlpm.codItem &amp; "-" &amp; _xlpm.codArea &amp; "-" &amp; _xlpm.secuencia
)</f>
        <v>-SinArea-0000</v>
      </c>
      <c r="O416" s="77"/>
      <c r="P416" s="32"/>
      <c r="Q416" s="32"/>
      <c r="R416" s="32"/>
      <c r="S416" s="32"/>
    </row>
    <row r="417" spans="3:19" x14ac:dyDescent="0.3">
      <c r="C417" s="11"/>
      <c r="D417" s="32"/>
      <c r="E417" s="11"/>
      <c r="F417" t="str">
        <f>_xlfn.TEXTJOIN(", ",TRUE, Tabla38[[#This Row],[Tipo de escalera]],Tabla38[[#This Row],[Longitud]],Tabla38[[#This Row],[Carga Maxima]])</f>
        <v/>
      </c>
      <c r="G417" s="15"/>
      <c r="J417" s="15"/>
      <c r="K417" s="47"/>
      <c r="L417" s="76"/>
      <c r="M417" s="76"/>
      <c r="N417" s="78" t="str">
        <f>_xlfn.LET(
    _xlpm.itemBuscado, B417,
    _xlpm.areaBuscada, C417,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TEXT(COUNTIF($C$2:C417, _xlpm.areaBuscada), "0000"),
    _xlpm.codItem &amp; "-" &amp; _xlpm.codArea &amp; "-" &amp; _xlpm.secuencia
)</f>
        <v>-SinArea-0000</v>
      </c>
      <c r="O417" s="77"/>
      <c r="P417" s="32"/>
      <c r="Q417" s="32"/>
      <c r="R417" s="32"/>
      <c r="S417" s="32"/>
    </row>
    <row r="418" spans="3:19" x14ac:dyDescent="0.3">
      <c r="C418" s="11"/>
      <c r="D418" s="32"/>
      <c r="E418" s="11"/>
      <c r="F418" t="str">
        <f>_xlfn.TEXTJOIN(", ",TRUE, Tabla38[[#This Row],[Tipo de escalera]],Tabla38[[#This Row],[Longitud]],Tabla38[[#This Row],[Carga Maxima]])</f>
        <v/>
      </c>
      <c r="G418" s="15"/>
      <c r="J418" s="15"/>
      <c r="K418" s="47"/>
      <c r="L418" s="76"/>
      <c r="M418" s="76"/>
      <c r="N418" s="78" t="str">
        <f>_xlfn.LET(
    _xlpm.itemBuscado, B418,
    _xlpm.areaBuscada, C418,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TEXT(COUNTIF($C$2:C418, _xlpm.areaBuscada), "0000"),
    _xlpm.codItem &amp; "-" &amp; _xlpm.codArea &amp; "-" &amp; _xlpm.secuencia
)</f>
        <v>-SinArea-0000</v>
      </c>
      <c r="O418" s="77"/>
      <c r="P418" s="32"/>
      <c r="Q418" s="32"/>
      <c r="R418" s="32"/>
      <c r="S418" s="32"/>
    </row>
    <row r="419" spans="3:19" x14ac:dyDescent="0.3">
      <c r="C419" s="11"/>
      <c r="D419" s="32"/>
      <c r="E419" s="11"/>
      <c r="F419" t="str">
        <f>_xlfn.TEXTJOIN(", ",TRUE, Tabla38[[#This Row],[Tipo de escalera]],Tabla38[[#This Row],[Longitud]],Tabla38[[#This Row],[Carga Maxima]])</f>
        <v/>
      </c>
      <c r="G419" s="15"/>
      <c r="J419" s="15"/>
      <c r="K419" s="47"/>
      <c r="L419" s="76"/>
      <c r="M419" s="76"/>
      <c r="N419" s="78" t="str">
        <f>_xlfn.LET(
    _xlpm.itemBuscado, B419,
    _xlpm.areaBuscada, C419,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TEXT(COUNTIF($C$2:C419, _xlpm.areaBuscada), "0000"),
    _xlpm.codItem &amp; "-" &amp; _xlpm.codArea &amp; "-" &amp; _xlpm.secuencia
)</f>
        <v>-SinArea-0000</v>
      </c>
      <c r="O419" s="77"/>
      <c r="P419" s="32"/>
      <c r="Q419" s="32"/>
      <c r="R419" s="32"/>
      <c r="S419" s="32"/>
    </row>
    <row r="420" spans="3:19" x14ac:dyDescent="0.3">
      <c r="C420" s="11"/>
      <c r="D420" s="32"/>
      <c r="E420" s="11"/>
      <c r="F420" t="str">
        <f>_xlfn.TEXTJOIN(", ",TRUE, Tabla38[[#This Row],[Tipo de escalera]],Tabla38[[#This Row],[Longitud]],Tabla38[[#This Row],[Carga Maxima]])</f>
        <v/>
      </c>
      <c r="G420" s="15"/>
      <c r="J420" s="15"/>
      <c r="K420" s="47"/>
      <c r="L420" s="76"/>
      <c r="M420" s="76"/>
      <c r="N420" s="78" t="str">
        <f>_xlfn.LET(
    _xlpm.itemBuscado, B420,
    _xlpm.areaBuscada, C420,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TEXT(COUNTIF($C$2:C420, _xlpm.areaBuscada), "0000"),
    _xlpm.codItem &amp; "-" &amp; _xlpm.codArea &amp; "-" &amp; _xlpm.secuencia
)</f>
        <v>-SinArea-0000</v>
      </c>
      <c r="O420" s="77"/>
      <c r="P420" s="32"/>
      <c r="Q420" s="32"/>
      <c r="R420" s="32"/>
      <c r="S420" s="32"/>
    </row>
    <row r="421" spans="3:19" x14ac:dyDescent="0.3">
      <c r="C421" s="11"/>
      <c r="D421" s="32"/>
      <c r="E421" s="11"/>
      <c r="F421" t="str">
        <f>_xlfn.TEXTJOIN(", ",TRUE, Tabla38[[#This Row],[Tipo de escalera]],Tabla38[[#This Row],[Longitud]],Tabla38[[#This Row],[Carga Maxima]])</f>
        <v/>
      </c>
      <c r="G421" s="15"/>
      <c r="J421" s="15"/>
      <c r="K421" s="47"/>
      <c r="L421" s="76"/>
      <c r="M421" s="76"/>
      <c r="N421" s="78" t="str">
        <f>_xlfn.LET(
    _xlpm.itemBuscado, B421,
    _xlpm.areaBuscada, C421,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TEXT(COUNTIF($C$2:C421, _xlpm.areaBuscada), "0000"),
    _xlpm.codItem &amp; "-" &amp; _xlpm.codArea &amp; "-" &amp; _xlpm.secuencia
)</f>
        <v>-SinArea-0000</v>
      </c>
      <c r="O421" s="77"/>
      <c r="P421" s="32"/>
      <c r="Q421" s="32"/>
      <c r="R421" s="32"/>
      <c r="S421" s="32"/>
    </row>
    <row r="422" spans="3:19" x14ac:dyDescent="0.3">
      <c r="C422" s="11"/>
      <c r="D422" s="32"/>
      <c r="E422" s="11"/>
      <c r="F422" t="str">
        <f>_xlfn.TEXTJOIN(", ",TRUE, Tabla38[[#This Row],[Tipo de escalera]],Tabla38[[#This Row],[Longitud]],Tabla38[[#This Row],[Carga Maxima]])</f>
        <v/>
      </c>
      <c r="G422" s="15"/>
      <c r="J422" s="15"/>
      <c r="K422" s="47"/>
      <c r="L422" s="76"/>
      <c r="M422" s="76"/>
      <c r="N422" s="78" t="str">
        <f>_xlfn.LET(
    _xlpm.itemBuscado, B422,
    _xlpm.areaBuscada, C422,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TEXT(COUNTIF($C$2:C422, _xlpm.areaBuscada), "0000"),
    _xlpm.codItem &amp; "-" &amp; _xlpm.codArea &amp; "-" &amp; _xlpm.secuencia
)</f>
        <v>-SinArea-0000</v>
      </c>
      <c r="O422" s="77"/>
      <c r="P422" s="32"/>
      <c r="Q422" s="32"/>
      <c r="R422" s="32"/>
      <c r="S422" s="32"/>
    </row>
    <row r="423" spans="3:19" x14ac:dyDescent="0.3">
      <c r="C423" s="11"/>
      <c r="D423" s="32"/>
      <c r="E423" s="11"/>
      <c r="F423" t="str">
        <f>_xlfn.TEXTJOIN(", ",TRUE, Tabla38[[#This Row],[Tipo de escalera]],Tabla38[[#This Row],[Longitud]],Tabla38[[#This Row],[Carga Maxima]])</f>
        <v/>
      </c>
      <c r="G423" s="15"/>
      <c r="J423" s="15"/>
      <c r="K423" s="47"/>
      <c r="L423" s="76"/>
      <c r="M423" s="76"/>
      <c r="N423" s="78" t="str">
        <f>_xlfn.LET(
    _xlpm.itemBuscado, B423,
    _xlpm.areaBuscada, C423,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TEXT(COUNTIF($C$2:C423, _xlpm.areaBuscada), "0000"),
    _xlpm.codItem &amp; "-" &amp; _xlpm.codArea &amp; "-" &amp; _xlpm.secuencia
)</f>
        <v>-SinArea-0000</v>
      </c>
      <c r="O423" s="77"/>
      <c r="P423" s="32"/>
      <c r="Q423" s="32"/>
      <c r="R423" s="32"/>
      <c r="S423" s="32"/>
    </row>
    <row r="424" spans="3:19" x14ac:dyDescent="0.3">
      <c r="C424" s="11"/>
      <c r="D424" s="32"/>
      <c r="E424" s="11"/>
      <c r="F424" t="str">
        <f>_xlfn.TEXTJOIN(", ",TRUE, Tabla38[[#This Row],[Tipo de escalera]],Tabla38[[#This Row],[Longitud]],Tabla38[[#This Row],[Carga Maxima]])</f>
        <v/>
      </c>
      <c r="G424" s="15"/>
      <c r="J424" s="15"/>
      <c r="K424" s="47"/>
      <c r="L424" s="76"/>
      <c r="M424" s="76"/>
      <c r="N424" s="78" t="str">
        <f>_xlfn.LET(
    _xlpm.itemBuscado, B424,
    _xlpm.areaBuscada, C424,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TEXT(COUNTIF($C$2:C424, _xlpm.areaBuscada), "0000"),
    _xlpm.codItem &amp; "-" &amp; _xlpm.codArea &amp; "-" &amp; _xlpm.secuencia
)</f>
        <v>-SinArea-0000</v>
      </c>
      <c r="O424" s="77"/>
      <c r="P424" s="32"/>
      <c r="Q424" s="32"/>
      <c r="R424" s="32"/>
      <c r="S424" s="32"/>
    </row>
    <row r="425" spans="3:19" x14ac:dyDescent="0.3">
      <c r="C425" s="11"/>
      <c r="D425" s="32"/>
      <c r="E425" s="11"/>
      <c r="F425" t="str">
        <f>_xlfn.TEXTJOIN(", ",TRUE, Tabla38[[#This Row],[Tipo de escalera]],Tabla38[[#This Row],[Longitud]],Tabla38[[#This Row],[Carga Maxima]])</f>
        <v/>
      </c>
      <c r="G425" s="15"/>
      <c r="J425" s="15"/>
      <c r="K425" s="47"/>
      <c r="L425" s="76"/>
      <c r="M425" s="76"/>
      <c r="N425" s="78" t="str">
        <f>_xlfn.LET(
    _xlpm.itemBuscado, B425,
    _xlpm.areaBuscada, C425,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TEXT(COUNTIF($C$2:C425, _xlpm.areaBuscada), "0000"),
    _xlpm.codItem &amp; "-" &amp; _xlpm.codArea &amp; "-" &amp; _xlpm.secuencia
)</f>
        <v>-SinArea-0000</v>
      </c>
      <c r="O425" s="77"/>
      <c r="P425" s="32"/>
      <c r="Q425" s="32"/>
      <c r="R425" s="32"/>
      <c r="S425" s="32"/>
    </row>
    <row r="426" spans="3:19" x14ac:dyDescent="0.3">
      <c r="C426" s="11"/>
      <c r="D426" s="32"/>
      <c r="E426" s="11"/>
      <c r="F426" t="str">
        <f>_xlfn.TEXTJOIN(", ",TRUE, Tabla38[[#This Row],[Tipo de escalera]],Tabla38[[#This Row],[Longitud]],Tabla38[[#This Row],[Carga Maxima]])</f>
        <v/>
      </c>
      <c r="G426" s="15"/>
      <c r="J426" s="15"/>
      <c r="K426" s="47"/>
      <c r="L426" s="76"/>
      <c r="M426" s="76"/>
      <c r="N426" s="78" t="str">
        <f>_xlfn.LET(
    _xlpm.itemBuscado, B426,
    _xlpm.areaBuscada, C426,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TEXT(COUNTIF($C$2:C426, _xlpm.areaBuscada), "0000"),
    _xlpm.codItem &amp; "-" &amp; _xlpm.codArea &amp; "-" &amp; _xlpm.secuencia
)</f>
        <v>-SinArea-0000</v>
      </c>
      <c r="O426" s="77"/>
      <c r="P426" s="32"/>
      <c r="Q426" s="32"/>
      <c r="R426" s="32"/>
      <c r="S426" s="32"/>
    </row>
    <row r="427" spans="3:19" x14ac:dyDescent="0.3">
      <c r="C427" s="11"/>
      <c r="D427" s="32"/>
      <c r="E427" s="11"/>
      <c r="F427" t="str">
        <f>_xlfn.TEXTJOIN(", ",TRUE, Tabla38[[#This Row],[Tipo de escalera]],Tabla38[[#This Row],[Longitud]],Tabla38[[#This Row],[Carga Maxima]])</f>
        <v/>
      </c>
      <c r="G427" s="15"/>
      <c r="J427" s="15"/>
      <c r="K427" s="47"/>
      <c r="L427" s="76"/>
      <c r="M427" s="76"/>
      <c r="N427" s="78" t="str">
        <f>_xlfn.LET(
    _xlpm.itemBuscado, B427,
    _xlpm.areaBuscada, C427,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TEXT(COUNTIF($C$2:C427, _xlpm.areaBuscada), "0000"),
    _xlpm.codItem &amp; "-" &amp; _xlpm.codArea &amp; "-" &amp; _xlpm.secuencia
)</f>
        <v>-SinArea-0000</v>
      </c>
      <c r="O427" s="77"/>
      <c r="P427" s="32"/>
      <c r="Q427" s="32"/>
      <c r="R427" s="32"/>
      <c r="S427" s="32"/>
    </row>
    <row r="428" spans="3:19" x14ac:dyDescent="0.3">
      <c r="C428" s="11"/>
      <c r="D428" s="32"/>
      <c r="E428" s="11"/>
      <c r="F428" t="str">
        <f>_xlfn.TEXTJOIN(", ",TRUE, Tabla38[[#This Row],[Tipo de escalera]],Tabla38[[#This Row],[Longitud]],Tabla38[[#This Row],[Carga Maxima]])</f>
        <v/>
      </c>
      <c r="G428" s="15"/>
      <c r="J428" s="15"/>
      <c r="K428" s="47"/>
      <c r="L428" s="76"/>
      <c r="M428" s="76"/>
      <c r="N428" s="78" t="str">
        <f>_xlfn.LET(
    _xlpm.itemBuscado, B428,
    _xlpm.areaBuscada, C428,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TEXT(COUNTIF($C$2:C428, _xlpm.areaBuscada), "0000"),
    _xlpm.codItem &amp; "-" &amp; _xlpm.codArea &amp; "-" &amp; _xlpm.secuencia
)</f>
        <v>-SinArea-0000</v>
      </c>
      <c r="O428" s="77"/>
      <c r="P428" s="32"/>
      <c r="Q428" s="32"/>
      <c r="R428" s="32"/>
      <c r="S428" s="32"/>
    </row>
    <row r="429" spans="3:19" x14ac:dyDescent="0.3">
      <c r="C429" s="11"/>
      <c r="D429" s="32"/>
      <c r="E429" s="11"/>
      <c r="F429" t="str">
        <f>_xlfn.TEXTJOIN(", ",TRUE, Tabla38[[#This Row],[Tipo de escalera]],Tabla38[[#This Row],[Longitud]],Tabla38[[#This Row],[Carga Maxima]])</f>
        <v/>
      </c>
      <c r="G429" s="15"/>
      <c r="J429" s="15"/>
      <c r="K429" s="47"/>
      <c r="L429" s="76"/>
      <c r="M429" s="76"/>
      <c r="N429" s="78" t="str">
        <f>_xlfn.LET(
    _xlpm.itemBuscado, B429,
    _xlpm.areaBuscada, C429,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TEXT(COUNTIF($C$2:C429, _xlpm.areaBuscada), "0000"),
    _xlpm.codItem &amp; "-" &amp; _xlpm.codArea &amp; "-" &amp; _xlpm.secuencia
)</f>
        <v>-SinArea-0000</v>
      </c>
      <c r="O429" s="77"/>
      <c r="P429" s="32"/>
      <c r="Q429" s="32"/>
      <c r="R429" s="32"/>
      <c r="S429" s="32"/>
    </row>
    <row r="430" spans="3:19" x14ac:dyDescent="0.3">
      <c r="C430" s="11"/>
      <c r="D430" s="32"/>
      <c r="E430" s="11"/>
      <c r="F430" t="str">
        <f>_xlfn.TEXTJOIN(", ",TRUE, Tabla38[[#This Row],[Tipo de escalera]],Tabla38[[#This Row],[Longitud]],Tabla38[[#This Row],[Carga Maxima]])</f>
        <v/>
      </c>
      <c r="G430" s="15"/>
      <c r="J430" s="15"/>
      <c r="K430" s="47"/>
      <c r="L430" s="76"/>
      <c r="M430" s="76"/>
      <c r="N430" s="78" t="str">
        <f>_xlfn.LET(
    _xlpm.itemBuscado, B430,
    _xlpm.areaBuscada, C430,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TEXT(COUNTIF($C$2:C430, _xlpm.areaBuscada), "0000"),
    _xlpm.codItem &amp; "-" &amp; _xlpm.codArea &amp; "-" &amp; _xlpm.secuencia
)</f>
        <v>-SinArea-0000</v>
      </c>
      <c r="O430" s="77"/>
      <c r="P430" s="32"/>
      <c r="Q430" s="32"/>
      <c r="R430" s="32"/>
      <c r="S430" s="32"/>
    </row>
    <row r="431" spans="3:19" x14ac:dyDescent="0.3">
      <c r="C431" s="11"/>
      <c r="D431" s="32"/>
      <c r="E431" s="11"/>
      <c r="F431" t="str">
        <f>_xlfn.TEXTJOIN(", ",TRUE, Tabla38[[#This Row],[Tipo de escalera]],Tabla38[[#This Row],[Longitud]],Tabla38[[#This Row],[Carga Maxima]])</f>
        <v/>
      </c>
      <c r="G431" s="15"/>
      <c r="J431" s="15"/>
      <c r="K431" s="47"/>
      <c r="L431" s="76"/>
      <c r="M431" s="76"/>
      <c r="N431" s="78" t="str">
        <f>_xlfn.LET(
    _xlpm.itemBuscado, B431,
    _xlpm.areaBuscada, C431,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TEXT(COUNTIF($C$2:C431, _xlpm.areaBuscada), "0000"),
    _xlpm.codItem &amp; "-" &amp; _xlpm.codArea &amp; "-" &amp; _xlpm.secuencia
)</f>
        <v>-SinArea-0000</v>
      </c>
      <c r="O431" s="77"/>
      <c r="P431" s="32"/>
      <c r="Q431" s="32"/>
      <c r="R431" s="32"/>
      <c r="S431" s="32"/>
    </row>
    <row r="432" spans="3:19" x14ac:dyDescent="0.3">
      <c r="C432" s="11"/>
      <c r="D432" s="32"/>
      <c r="E432" s="11"/>
      <c r="F432" t="str">
        <f>_xlfn.TEXTJOIN(", ",TRUE, Tabla38[[#This Row],[Tipo de escalera]],Tabla38[[#This Row],[Longitud]],Tabla38[[#This Row],[Carga Maxima]])</f>
        <v/>
      </c>
      <c r="G432" s="15"/>
      <c r="J432" s="15"/>
      <c r="K432" s="47"/>
      <c r="L432" s="76"/>
      <c r="M432" s="76"/>
      <c r="N432" s="78" t="str">
        <f>_xlfn.LET(
    _xlpm.itemBuscado, B432,
    _xlpm.areaBuscada, C432,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TEXT(COUNTIF($C$2:C432, _xlpm.areaBuscada), "0000"),
    _xlpm.codItem &amp; "-" &amp; _xlpm.codArea &amp; "-" &amp; _xlpm.secuencia
)</f>
        <v>-SinArea-0000</v>
      </c>
      <c r="O432" s="77"/>
      <c r="P432" s="32"/>
      <c r="Q432" s="32"/>
      <c r="R432" s="32"/>
      <c r="S432" s="32"/>
    </row>
    <row r="433" spans="3:19" x14ac:dyDescent="0.3">
      <c r="C433" s="11"/>
      <c r="D433" s="32"/>
      <c r="E433" s="11"/>
      <c r="F433" t="str">
        <f>_xlfn.TEXTJOIN(", ",TRUE, Tabla38[[#This Row],[Tipo de escalera]],Tabla38[[#This Row],[Longitud]],Tabla38[[#This Row],[Carga Maxima]])</f>
        <v/>
      </c>
      <c r="G433" s="15"/>
      <c r="J433" s="15"/>
      <c r="K433" s="47"/>
      <c r="L433" s="76"/>
      <c r="M433" s="76"/>
      <c r="N433" s="78" t="str">
        <f>_xlfn.LET(
    _xlpm.itemBuscado, B433,
    _xlpm.areaBuscada, C433,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TEXT(COUNTIF($C$2:C433, _xlpm.areaBuscada), "0000"),
    _xlpm.codItem &amp; "-" &amp; _xlpm.codArea &amp; "-" &amp; _xlpm.secuencia
)</f>
        <v>-SinArea-0000</v>
      </c>
      <c r="O433" s="77"/>
      <c r="P433" s="32"/>
      <c r="Q433" s="32"/>
      <c r="R433" s="32"/>
      <c r="S433" s="32"/>
    </row>
    <row r="434" spans="3:19" x14ac:dyDescent="0.3">
      <c r="C434" s="11"/>
      <c r="D434" s="32"/>
      <c r="E434" s="11"/>
      <c r="F434" t="str">
        <f>_xlfn.TEXTJOIN(", ",TRUE, Tabla38[[#This Row],[Tipo de escalera]],Tabla38[[#This Row],[Longitud]],Tabla38[[#This Row],[Carga Maxima]])</f>
        <v/>
      </c>
      <c r="G434" s="15"/>
      <c r="J434" s="15"/>
      <c r="K434" s="47"/>
      <c r="L434" s="76"/>
      <c r="M434" s="76"/>
      <c r="N434" s="78" t="str">
        <f>_xlfn.LET(
    _xlpm.itemBuscado, B434,
    _xlpm.areaBuscada, C434,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TEXT(COUNTIF($C$2:C434, _xlpm.areaBuscada), "0000"),
    _xlpm.codItem &amp; "-" &amp; _xlpm.codArea &amp; "-" &amp; _xlpm.secuencia
)</f>
        <v>-SinArea-0000</v>
      </c>
      <c r="O434" s="77"/>
      <c r="P434" s="32"/>
      <c r="Q434" s="32"/>
      <c r="R434" s="32"/>
      <c r="S434" s="32"/>
    </row>
    <row r="435" spans="3:19" x14ac:dyDescent="0.3">
      <c r="C435" s="11"/>
      <c r="D435" s="32"/>
      <c r="E435" s="11"/>
      <c r="F435" t="str">
        <f>_xlfn.TEXTJOIN(", ",TRUE, Tabla38[[#This Row],[Tipo de escalera]],Tabla38[[#This Row],[Longitud]],Tabla38[[#This Row],[Carga Maxima]])</f>
        <v/>
      </c>
      <c r="G435" s="15"/>
      <c r="J435" s="15"/>
      <c r="K435" s="47"/>
      <c r="L435" s="76"/>
      <c r="M435" s="76"/>
      <c r="N435" s="78" t="str">
        <f>_xlfn.LET(
    _xlpm.itemBuscado, B435,
    _xlpm.areaBuscada, C435,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TEXT(COUNTIF($C$2:C435, _xlpm.areaBuscada), "0000"),
    _xlpm.codItem &amp; "-" &amp; _xlpm.codArea &amp; "-" &amp; _xlpm.secuencia
)</f>
        <v>-SinArea-0000</v>
      </c>
      <c r="O435" s="77"/>
      <c r="P435" s="32"/>
      <c r="Q435" s="32"/>
      <c r="R435" s="32"/>
      <c r="S435" s="32"/>
    </row>
    <row r="436" spans="3:19" x14ac:dyDescent="0.3">
      <c r="C436" s="11"/>
      <c r="D436" s="32"/>
      <c r="E436" s="11"/>
      <c r="F436" t="str">
        <f>_xlfn.TEXTJOIN(", ",TRUE, Tabla38[[#This Row],[Tipo de escalera]],Tabla38[[#This Row],[Longitud]],Tabla38[[#This Row],[Carga Maxima]])</f>
        <v/>
      </c>
      <c r="G436" s="15"/>
      <c r="J436" s="15"/>
      <c r="K436" s="47"/>
      <c r="L436" s="76"/>
      <c r="M436" s="76"/>
      <c r="N436" s="78" t="str">
        <f>_xlfn.LET(
    _xlpm.itemBuscado, B436,
    _xlpm.areaBuscada, C436,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TEXT(COUNTIF($C$2:C436, _xlpm.areaBuscada), "0000"),
    _xlpm.codItem &amp; "-" &amp; _xlpm.codArea &amp; "-" &amp; _xlpm.secuencia
)</f>
        <v>-SinArea-0000</v>
      </c>
      <c r="O436" s="77"/>
      <c r="P436" s="32"/>
      <c r="Q436" s="32"/>
      <c r="R436" s="32"/>
      <c r="S436" s="32"/>
    </row>
    <row r="437" spans="3:19" x14ac:dyDescent="0.3">
      <c r="C437" s="11"/>
      <c r="D437" s="32"/>
      <c r="E437" s="11"/>
      <c r="F437" t="str">
        <f>_xlfn.TEXTJOIN(", ",TRUE, Tabla38[[#This Row],[Tipo de escalera]],Tabla38[[#This Row],[Longitud]],Tabla38[[#This Row],[Carga Maxima]])</f>
        <v/>
      </c>
      <c r="G437" s="15"/>
      <c r="J437" s="15"/>
      <c r="K437" s="47"/>
      <c r="L437" s="76"/>
      <c r="M437" s="76"/>
      <c r="N437" s="78" t="str">
        <f>_xlfn.LET(
    _xlpm.itemBuscado, B437,
    _xlpm.areaBuscada, C437,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TEXT(COUNTIF($C$2:C437, _xlpm.areaBuscada), "0000"),
    _xlpm.codItem &amp; "-" &amp; _xlpm.codArea &amp; "-" &amp; _xlpm.secuencia
)</f>
        <v>-SinArea-0000</v>
      </c>
      <c r="O437" s="77"/>
      <c r="P437" s="32"/>
      <c r="Q437" s="32"/>
      <c r="R437" s="32"/>
      <c r="S437" s="32"/>
    </row>
    <row r="438" spans="3:19" x14ac:dyDescent="0.3">
      <c r="C438" s="11"/>
      <c r="D438" s="32"/>
      <c r="E438" s="11"/>
      <c r="F438" t="str">
        <f>_xlfn.TEXTJOIN(", ",TRUE, Tabla38[[#This Row],[Tipo de escalera]],Tabla38[[#This Row],[Longitud]],Tabla38[[#This Row],[Carga Maxima]])</f>
        <v/>
      </c>
      <c r="G438" s="15"/>
      <c r="J438" s="15"/>
      <c r="K438" s="47"/>
      <c r="L438" s="76"/>
      <c r="M438" s="76"/>
      <c r="N438" s="78" t="str">
        <f>_xlfn.LET(
    _xlpm.itemBuscado, B438,
    _xlpm.areaBuscada, C438,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TEXT(COUNTIF($C$2:C438, _xlpm.areaBuscada), "0000"),
    _xlpm.codItem &amp; "-" &amp; _xlpm.codArea &amp; "-" &amp; _xlpm.secuencia
)</f>
        <v>-SinArea-0000</v>
      </c>
      <c r="O438" s="77"/>
      <c r="P438" s="32"/>
      <c r="Q438" s="32"/>
      <c r="R438" s="32"/>
      <c r="S438" s="32"/>
    </row>
    <row r="439" spans="3:19" x14ac:dyDescent="0.3">
      <c r="C439" s="11"/>
      <c r="D439" s="32"/>
      <c r="E439" s="11"/>
      <c r="F439" t="str">
        <f>_xlfn.TEXTJOIN(", ",TRUE, Tabla38[[#This Row],[Tipo de escalera]],Tabla38[[#This Row],[Longitud]],Tabla38[[#This Row],[Carga Maxima]])</f>
        <v/>
      </c>
      <c r="G439" s="15"/>
      <c r="J439" s="15"/>
      <c r="K439" s="47"/>
      <c r="L439" s="76"/>
      <c r="M439" s="76"/>
      <c r="N439" s="78" t="str">
        <f>_xlfn.LET(
    _xlpm.itemBuscado, B439,
    _xlpm.areaBuscada, C439,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TEXT(COUNTIF($C$2:C439, _xlpm.areaBuscada), "0000"),
    _xlpm.codItem &amp; "-" &amp; _xlpm.codArea &amp; "-" &amp; _xlpm.secuencia
)</f>
        <v>-SinArea-0000</v>
      </c>
      <c r="O439" s="77"/>
      <c r="P439" s="32"/>
      <c r="Q439" s="32"/>
      <c r="R439" s="32"/>
      <c r="S439" s="32"/>
    </row>
    <row r="440" spans="3:19" x14ac:dyDescent="0.3">
      <c r="C440" s="11"/>
      <c r="D440" s="32"/>
      <c r="E440" s="11"/>
      <c r="F440" t="str">
        <f>_xlfn.TEXTJOIN(", ",TRUE, Tabla38[[#This Row],[Tipo de escalera]],Tabla38[[#This Row],[Longitud]],Tabla38[[#This Row],[Carga Maxima]])</f>
        <v/>
      </c>
      <c r="G440" s="15"/>
      <c r="J440" s="15"/>
      <c r="K440" s="47"/>
      <c r="L440" s="76"/>
      <c r="M440" s="76"/>
      <c r="N440" s="78" t="str">
        <f>_xlfn.LET(
    _xlpm.itemBuscado, B440,
    _xlpm.areaBuscada, C440,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TEXT(COUNTIF($C$2:C440, _xlpm.areaBuscada), "0000"),
    _xlpm.codItem &amp; "-" &amp; _xlpm.codArea &amp; "-" &amp; _xlpm.secuencia
)</f>
        <v>-SinArea-0000</v>
      </c>
      <c r="O440" s="77"/>
      <c r="P440" s="32"/>
      <c r="Q440" s="32"/>
      <c r="R440" s="32"/>
      <c r="S440" s="32"/>
    </row>
    <row r="441" spans="3:19" x14ac:dyDescent="0.3">
      <c r="C441" s="11"/>
      <c r="D441" s="32"/>
      <c r="E441" s="11"/>
      <c r="F441" t="str">
        <f>_xlfn.TEXTJOIN(", ",TRUE, Tabla38[[#This Row],[Tipo de escalera]],Tabla38[[#This Row],[Longitud]],Tabla38[[#This Row],[Carga Maxima]])</f>
        <v/>
      </c>
      <c r="G441" s="15"/>
      <c r="J441" s="15"/>
      <c r="K441" s="47"/>
      <c r="L441" s="76"/>
      <c r="M441" s="76"/>
      <c r="N441" s="78" t="str">
        <f>_xlfn.LET(
    _xlpm.itemBuscado, B441,
    _xlpm.areaBuscada, C441,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TEXT(COUNTIF($C$2:C441, _xlpm.areaBuscada), "0000"),
    _xlpm.codItem &amp; "-" &amp; _xlpm.codArea &amp; "-" &amp; _xlpm.secuencia
)</f>
        <v>-SinArea-0000</v>
      </c>
      <c r="O441" s="77"/>
      <c r="P441" s="32"/>
      <c r="Q441" s="32"/>
      <c r="R441" s="32"/>
      <c r="S441" s="32"/>
    </row>
    <row r="442" spans="3:19" x14ac:dyDescent="0.3">
      <c r="C442" s="11"/>
      <c r="D442" s="32"/>
      <c r="E442" s="11"/>
      <c r="F442" t="str">
        <f>_xlfn.TEXTJOIN(", ",TRUE, Tabla38[[#This Row],[Tipo de escalera]],Tabla38[[#This Row],[Longitud]],Tabla38[[#This Row],[Carga Maxima]])</f>
        <v/>
      </c>
      <c r="G442" s="15"/>
      <c r="J442" s="15"/>
      <c r="K442" s="47"/>
      <c r="L442" s="76"/>
      <c r="M442" s="76"/>
      <c r="N442" s="78" t="str">
        <f>_xlfn.LET(
    _xlpm.itemBuscado, B442,
    _xlpm.areaBuscada, C442,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TEXT(COUNTIF($C$2:C442, _xlpm.areaBuscada), "0000"),
    _xlpm.codItem &amp; "-" &amp; _xlpm.codArea &amp; "-" &amp; _xlpm.secuencia
)</f>
        <v>-SinArea-0000</v>
      </c>
      <c r="O442" s="77"/>
      <c r="P442" s="32"/>
      <c r="Q442" s="32"/>
      <c r="R442" s="32"/>
      <c r="S442" s="32"/>
    </row>
    <row r="443" spans="3:19" x14ac:dyDescent="0.3">
      <c r="C443" s="11"/>
      <c r="D443" s="32"/>
      <c r="E443" s="11"/>
      <c r="F443" t="str">
        <f>_xlfn.TEXTJOIN(", ",TRUE, Tabla38[[#This Row],[Tipo de escalera]],Tabla38[[#This Row],[Longitud]],Tabla38[[#This Row],[Carga Maxima]])</f>
        <v/>
      </c>
      <c r="G443" s="15"/>
      <c r="J443" s="15"/>
      <c r="K443" s="47"/>
      <c r="L443" s="76"/>
      <c r="M443" s="76"/>
      <c r="N443" s="78" t="str">
        <f>_xlfn.LET(
    _xlpm.itemBuscado, B443,
    _xlpm.areaBuscada, C443,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TEXT(COUNTIF($C$2:C443, _xlpm.areaBuscada), "0000"),
    _xlpm.codItem &amp; "-" &amp; _xlpm.codArea &amp; "-" &amp; _xlpm.secuencia
)</f>
        <v>-SinArea-0000</v>
      </c>
      <c r="O443" s="77"/>
      <c r="P443" s="32"/>
      <c r="Q443" s="32"/>
      <c r="R443" s="32"/>
      <c r="S443" s="32"/>
    </row>
    <row r="444" spans="3:19" x14ac:dyDescent="0.3">
      <c r="C444" s="11"/>
      <c r="D444" s="32"/>
      <c r="E444" s="11"/>
      <c r="F444" t="str">
        <f>_xlfn.TEXTJOIN(", ",TRUE, Tabla38[[#This Row],[Tipo de escalera]],Tabla38[[#This Row],[Longitud]],Tabla38[[#This Row],[Carga Maxima]])</f>
        <v/>
      </c>
      <c r="G444" s="15"/>
      <c r="J444" s="15"/>
      <c r="K444" s="47"/>
      <c r="L444" s="76"/>
      <c r="M444" s="76"/>
      <c r="N444" s="78" t="str">
        <f>_xlfn.LET(
    _xlpm.itemBuscado, B444,
    _xlpm.areaBuscada, C444,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TEXT(COUNTIF($C$2:C444, _xlpm.areaBuscada), "0000"),
    _xlpm.codItem &amp; "-" &amp; _xlpm.codArea &amp; "-" &amp; _xlpm.secuencia
)</f>
        <v>-SinArea-0000</v>
      </c>
      <c r="O444" s="77"/>
      <c r="P444" s="32"/>
      <c r="Q444" s="32"/>
      <c r="R444" s="32"/>
      <c r="S444" s="32"/>
    </row>
    <row r="445" spans="3:19" x14ac:dyDescent="0.3">
      <c r="C445" s="11"/>
      <c r="D445" s="32"/>
      <c r="E445" s="11"/>
      <c r="F445" t="str">
        <f>_xlfn.TEXTJOIN(", ",TRUE, Tabla38[[#This Row],[Tipo de escalera]],Tabla38[[#This Row],[Longitud]],Tabla38[[#This Row],[Carga Maxima]])</f>
        <v/>
      </c>
      <c r="G445" s="15"/>
      <c r="J445" s="15"/>
      <c r="K445" s="47"/>
      <c r="L445" s="76"/>
      <c r="M445" s="76"/>
      <c r="N445" s="78" t="str">
        <f>_xlfn.LET(
    _xlpm.itemBuscado, B445,
    _xlpm.areaBuscada, C445,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TEXT(COUNTIF($C$2:C445, _xlpm.areaBuscada), "0000"),
    _xlpm.codItem &amp; "-" &amp; _xlpm.codArea &amp; "-" &amp; _xlpm.secuencia
)</f>
        <v>-SinArea-0000</v>
      </c>
      <c r="O445" s="77"/>
      <c r="P445" s="32"/>
      <c r="Q445" s="32"/>
      <c r="R445" s="32"/>
      <c r="S445" s="32"/>
    </row>
    <row r="446" spans="3:19" x14ac:dyDescent="0.3">
      <c r="C446" s="11"/>
      <c r="D446" s="32"/>
      <c r="E446" s="11"/>
      <c r="F446" t="str">
        <f>_xlfn.TEXTJOIN(", ",TRUE, Tabla38[[#This Row],[Tipo de escalera]],Tabla38[[#This Row],[Longitud]],Tabla38[[#This Row],[Carga Maxima]])</f>
        <v/>
      </c>
      <c r="G446" s="15"/>
      <c r="J446" s="15"/>
      <c r="K446" s="47"/>
      <c r="L446" s="76"/>
      <c r="M446" s="76"/>
      <c r="N446" s="78" t="str">
        <f>_xlfn.LET(
    _xlpm.itemBuscado, B446,
    _xlpm.areaBuscada, C446,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TEXT(COUNTIF($C$2:C446, _xlpm.areaBuscada), "0000"),
    _xlpm.codItem &amp; "-" &amp; _xlpm.codArea &amp; "-" &amp; _xlpm.secuencia
)</f>
        <v>-SinArea-0000</v>
      </c>
      <c r="O446" s="77"/>
      <c r="P446" s="32"/>
      <c r="Q446" s="32"/>
      <c r="R446" s="32"/>
      <c r="S446" s="32"/>
    </row>
    <row r="447" spans="3:19" x14ac:dyDescent="0.3">
      <c r="C447" s="11"/>
      <c r="D447" s="32"/>
      <c r="E447" s="11"/>
      <c r="F447" t="str">
        <f>_xlfn.TEXTJOIN(", ",TRUE, Tabla38[[#This Row],[Tipo de escalera]],Tabla38[[#This Row],[Longitud]],Tabla38[[#This Row],[Carga Maxima]])</f>
        <v/>
      </c>
      <c r="G447" s="15"/>
      <c r="J447" s="15"/>
      <c r="K447" s="47"/>
      <c r="L447" s="76"/>
      <c r="M447" s="76"/>
      <c r="N447" s="78" t="str">
        <f>_xlfn.LET(
    _xlpm.itemBuscado, B447,
    _xlpm.areaBuscada, C447,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TEXT(COUNTIF($C$2:C447, _xlpm.areaBuscada), "0000"),
    _xlpm.codItem &amp; "-" &amp; _xlpm.codArea &amp; "-" &amp; _xlpm.secuencia
)</f>
        <v>-SinArea-0000</v>
      </c>
      <c r="O447" s="77"/>
      <c r="P447" s="32"/>
      <c r="Q447" s="32"/>
      <c r="R447" s="32"/>
      <c r="S447" s="32"/>
    </row>
    <row r="448" spans="3:19" x14ac:dyDescent="0.3">
      <c r="C448" s="11"/>
      <c r="D448" s="32"/>
      <c r="E448" s="11"/>
      <c r="F448" t="str">
        <f>_xlfn.TEXTJOIN(", ",TRUE, Tabla38[[#This Row],[Tipo de escalera]],Tabla38[[#This Row],[Longitud]],Tabla38[[#This Row],[Carga Maxima]])</f>
        <v/>
      </c>
      <c r="G448" s="15"/>
      <c r="J448" s="15"/>
      <c r="K448" s="47"/>
      <c r="L448" s="76"/>
      <c r="M448" s="76"/>
      <c r="N448" s="78" t="str">
        <f>_xlfn.LET(
    _xlpm.itemBuscado, B448,
    _xlpm.areaBuscada, C448,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TEXT(COUNTIF($C$2:C448, _xlpm.areaBuscada), "0000"),
    _xlpm.codItem &amp; "-" &amp; _xlpm.codArea &amp; "-" &amp; _xlpm.secuencia
)</f>
        <v>-SinArea-0000</v>
      </c>
      <c r="O448" s="77"/>
      <c r="P448" s="32"/>
      <c r="Q448" s="32"/>
      <c r="R448" s="32"/>
      <c r="S448" s="32"/>
    </row>
    <row r="449" spans="3:19" x14ac:dyDescent="0.3">
      <c r="C449" s="11"/>
      <c r="D449" s="32"/>
      <c r="E449" s="11"/>
      <c r="F449" t="str">
        <f>_xlfn.TEXTJOIN(", ",TRUE, Tabla38[[#This Row],[Tipo de escalera]],Tabla38[[#This Row],[Longitud]],Tabla38[[#This Row],[Carga Maxima]])</f>
        <v/>
      </c>
      <c r="G449" s="15"/>
      <c r="J449" s="15"/>
      <c r="K449" s="47"/>
      <c r="L449" s="76"/>
      <c r="M449" s="76"/>
      <c r="N449" s="78" t="str">
        <f>_xlfn.LET(
    _xlpm.itemBuscado, B449,
    _xlpm.areaBuscada, C449,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TEXT(COUNTIF($C$2:C449, _xlpm.areaBuscada), "0000"),
    _xlpm.codItem &amp; "-" &amp; _xlpm.codArea &amp; "-" &amp; _xlpm.secuencia
)</f>
        <v>-SinArea-0000</v>
      </c>
      <c r="O449" s="77"/>
      <c r="P449" s="32"/>
      <c r="Q449" s="32"/>
      <c r="R449" s="32"/>
      <c r="S449" s="32"/>
    </row>
    <row r="450" spans="3:19" x14ac:dyDescent="0.3">
      <c r="C450" s="11"/>
      <c r="D450" s="32"/>
      <c r="E450" s="11"/>
      <c r="F450" t="str">
        <f>_xlfn.TEXTJOIN(", ",TRUE, Tabla38[[#This Row],[Tipo de escalera]],Tabla38[[#This Row],[Longitud]],Tabla38[[#This Row],[Carga Maxima]])</f>
        <v/>
      </c>
      <c r="G450" s="15"/>
      <c r="J450" s="15"/>
      <c r="K450" s="47"/>
      <c r="L450" s="76"/>
      <c r="M450" s="76"/>
      <c r="N450" s="78" t="str">
        <f>_xlfn.LET(
    _xlpm.itemBuscado, B450,
    _xlpm.areaBuscada, C450,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TEXT(COUNTIF($C$2:C450, _xlpm.areaBuscada), "0000"),
    _xlpm.codItem &amp; "-" &amp; _xlpm.codArea &amp; "-" &amp; _xlpm.secuencia
)</f>
        <v>-SinArea-0000</v>
      </c>
      <c r="O450" s="77"/>
      <c r="P450" s="32"/>
      <c r="Q450" s="32"/>
      <c r="R450" s="32"/>
      <c r="S450" s="32"/>
    </row>
    <row r="451" spans="3:19" x14ac:dyDescent="0.3">
      <c r="C451" s="11"/>
      <c r="D451" s="32"/>
      <c r="E451" s="11"/>
      <c r="F451" t="str">
        <f>_xlfn.TEXTJOIN(", ",TRUE, Tabla38[[#This Row],[Tipo de escalera]],Tabla38[[#This Row],[Longitud]],Tabla38[[#This Row],[Carga Maxima]])</f>
        <v/>
      </c>
      <c r="G451" s="15"/>
      <c r="J451" s="15"/>
      <c r="K451" s="47"/>
      <c r="L451" s="76"/>
      <c r="M451" s="76"/>
      <c r="N451" s="78" t="str">
        <f>_xlfn.LET(
    _xlpm.itemBuscado, B451,
    _xlpm.areaBuscada, C451,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TEXT(COUNTIF($C$2:C451, _xlpm.areaBuscada), "0000"),
    _xlpm.codItem &amp; "-" &amp; _xlpm.codArea &amp; "-" &amp; _xlpm.secuencia
)</f>
        <v>-SinArea-0000</v>
      </c>
      <c r="O451" s="77"/>
      <c r="P451" s="32"/>
      <c r="Q451" s="32"/>
      <c r="R451" s="32"/>
      <c r="S451" s="32"/>
    </row>
    <row r="452" spans="3:19" x14ac:dyDescent="0.3">
      <c r="C452" s="11"/>
      <c r="D452" s="32"/>
      <c r="E452" s="11"/>
      <c r="F452" t="str">
        <f>_xlfn.TEXTJOIN(", ",TRUE, Tabla38[[#This Row],[Tipo de escalera]],Tabla38[[#This Row],[Longitud]],Tabla38[[#This Row],[Carga Maxima]])</f>
        <v/>
      </c>
      <c r="G452" s="15"/>
      <c r="J452" s="15"/>
      <c r="K452" s="47"/>
      <c r="L452" s="76"/>
      <c r="M452" s="76"/>
      <c r="N452" s="78" t="str">
        <f>_xlfn.LET(
    _xlpm.itemBuscado, B452,
    _xlpm.areaBuscada, C452,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TEXT(COUNTIF($C$2:C452, _xlpm.areaBuscada), "0000"),
    _xlpm.codItem &amp; "-" &amp; _xlpm.codArea &amp; "-" &amp; _xlpm.secuencia
)</f>
        <v>-SinArea-0000</v>
      </c>
      <c r="O452" s="77"/>
      <c r="P452" s="32"/>
      <c r="Q452" s="32"/>
      <c r="R452" s="32"/>
      <c r="S452" s="32"/>
    </row>
    <row r="453" spans="3:19" x14ac:dyDescent="0.3">
      <c r="C453" s="11"/>
      <c r="D453" s="32"/>
      <c r="E453" s="11"/>
      <c r="F453" t="str">
        <f>_xlfn.TEXTJOIN(", ",TRUE, Tabla38[[#This Row],[Tipo de escalera]],Tabla38[[#This Row],[Longitud]],Tabla38[[#This Row],[Carga Maxima]])</f>
        <v/>
      </c>
      <c r="G453" s="15"/>
      <c r="J453" s="15"/>
      <c r="K453" s="47"/>
      <c r="L453" s="76"/>
      <c r="M453" s="76"/>
      <c r="N453" s="78" t="str">
        <f>_xlfn.LET(
    _xlpm.itemBuscado, B453,
    _xlpm.areaBuscada, C453,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TEXT(COUNTIF($C$2:C453, _xlpm.areaBuscada), "0000"),
    _xlpm.codItem &amp; "-" &amp; _xlpm.codArea &amp; "-" &amp; _xlpm.secuencia
)</f>
        <v>-SinArea-0000</v>
      </c>
      <c r="O453" s="77"/>
      <c r="P453" s="32"/>
      <c r="Q453" s="32"/>
      <c r="R453" s="32"/>
      <c r="S453" s="32"/>
    </row>
    <row r="454" spans="3:19" x14ac:dyDescent="0.3">
      <c r="C454" s="11"/>
      <c r="D454" s="32"/>
      <c r="E454" s="11"/>
      <c r="F454" t="str">
        <f>_xlfn.TEXTJOIN(", ",TRUE, Tabla38[[#This Row],[Tipo de escalera]],Tabla38[[#This Row],[Longitud]],Tabla38[[#This Row],[Carga Maxima]])</f>
        <v/>
      </c>
      <c r="G454" s="15"/>
      <c r="J454" s="15"/>
      <c r="K454" s="47"/>
      <c r="L454" s="76"/>
      <c r="M454" s="76"/>
      <c r="N454" s="78" t="str">
        <f>_xlfn.LET(
    _xlpm.itemBuscado, B454,
    _xlpm.areaBuscada, C454,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TEXT(COUNTIF($C$2:C454, _xlpm.areaBuscada), "0000"),
    _xlpm.codItem &amp; "-" &amp; _xlpm.codArea &amp; "-" &amp; _xlpm.secuencia
)</f>
        <v>-SinArea-0000</v>
      </c>
      <c r="O454" s="77"/>
      <c r="P454" s="32"/>
      <c r="Q454" s="32"/>
      <c r="R454" s="32"/>
      <c r="S454" s="32"/>
    </row>
    <row r="455" spans="3:19" x14ac:dyDescent="0.3">
      <c r="C455" s="11"/>
      <c r="D455" s="32"/>
      <c r="E455" s="11"/>
      <c r="F455" t="str">
        <f>_xlfn.TEXTJOIN(", ",TRUE, Tabla38[[#This Row],[Tipo de escalera]],Tabla38[[#This Row],[Longitud]],Tabla38[[#This Row],[Carga Maxima]])</f>
        <v/>
      </c>
      <c r="G455" s="15"/>
      <c r="J455" s="15"/>
      <c r="K455" s="47"/>
      <c r="L455" s="76"/>
      <c r="M455" s="76"/>
      <c r="N455" s="78" t="str">
        <f>_xlfn.LET(
    _xlpm.itemBuscado, B455,
    _xlpm.areaBuscada, C455,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TEXT(COUNTIF($C$2:C455, _xlpm.areaBuscada), "0000"),
    _xlpm.codItem &amp; "-" &amp; _xlpm.codArea &amp; "-" &amp; _xlpm.secuencia
)</f>
        <v>-SinArea-0000</v>
      </c>
      <c r="O455" s="77"/>
      <c r="P455" s="32"/>
      <c r="Q455" s="32"/>
      <c r="R455" s="32"/>
      <c r="S455" s="32"/>
    </row>
    <row r="456" spans="3:19" x14ac:dyDescent="0.3">
      <c r="C456" s="11"/>
      <c r="D456" s="32"/>
      <c r="E456" s="11"/>
      <c r="F456" t="str">
        <f>_xlfn.TEXTJOIN(", ",TRUE, Tabla38[[#This Row],[Tipo de escalera]],Tabla38[[#This Row],[Longitud]],Tabla38[[#This Row],[Carga Maxima]])</f>
        <v/>
      </c>
      <c r="G456" s="15"/>
      <c r="J456" s="15"/>
      <c r="K456" s="47"/>
      <c r="L456" s="76"/>
      <c r="M456" s="76"/>
      <c r="N456" s="78" t="str">
        <f>_xlfn.LET(
    _xlpm.itemBuscado, B456,
    _xlpm.areaBuscada, C456,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TEXT(COUNTIF($C$2:C456, _xlpm.areaBuscada), "0000"),
    _xlpm.codItem &amp; "-" &amp; _xlpm.codArea &amp; "-" &amp; _xlpm.secuencia
)</f>
        <v>-SinArea-0000</v>
      </c>
      <c r="O456" s="77"/>
      <c r="P456" s="32"/>
      <c r="Q456" s="32"/>
      <c r="R456" s="32"/>
      <c r="S456" s="32"/>
    </row>
    <row r="457" spans="3:19" x14ac:dyDescent="0.3">
      <c r="C457" s="11"/>
      <c r="D457" s="32"/>
      <c r="E457" s="11"/>
      <c r="F457" t="str">
        <f>_xlfn.TEXTJOIN(", ",TRUE, Tabla38[[#This Row],[Tipo de escalera]],Tabla38[[#This Row],[Longitud]],Tabla38[[#This Row],[Carga Maxima]])</f>
        <v/>
      </c>
      <c r="G457" s="15"/>
      <c r="J457" s="15"/>
      <c r="K457" s="47"/>
      <c r="L457" s="76"/>
      <c r="M457" s="76"/>
      <c r="N457" s="78" t="str">
        <f>_xlfn.LET(
    _xlpm.itemBuscado, B457,
    _xlpm.areaBuscada, C457,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TEXT(COUNTIF($C$2:C457, _xlpm.areaBuscada), "0000"),
    _xlpm.codItem &amp; "-" &amp; _xlpm.codArea &amp; "-" &amp; _xlpm.secuencia
)</f>
        <v>-SinArea-0000</v>
      </c>
      <c r="O457" s="77"/>
      <c r="P457" s="32"/>
      <c r="Q457" s="32"/>
      <c r="R457" s="32"/>
      <c r="S457" s="32"/>
    </row>
    <row r="458" spans="3:19" x14ac:dyDescent="0.3">
      <c r="C458" s="11"/>
      <c r="D458" s="32"/>
      <c r="E458" s="11"/>
      <c r="F458" t="str">
        <f>_xlfn.TEXTJOIN(", ",TRUE, Tabla38[[#This Row],[Tipo de escalera]],Tabla38[[#This Row],[Longitud]],Tabla38[[#This Row],[Carga Maxima]])</f>
        <v/>
      </c>
      <c r="G458" s="15"/>
      <c r="J458" s="15"/>
      <c r="K458" s="47"/>
      <c r="L458" s="76"/>
      <c r="M458" s="76"/>
      <c r="N458" s="78" t="str">
        <f>_xlfn.LET(
    _xlpm.itemBuscado, B458,
    _xlpm.areaBuscada, C458,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TEXT(COUNTIF($C$2:C458, _xlpm.areaBuscada), "0000"),
    _xlpm.codItem &amp; "-" &amp; _xlpm.codArea &amp; "-" &amp; _xlpm.secuencia
)</f>
        <v>-SinArea-0000</v>
      </c>
      <c r="O458" s="77"/>
      <c r="P458" s="32"/>
      <c r="Q458" s="32"/>
      <c r="R458" s="32"/>
      <c r="S458" s="32"/>
    </row>
    <row r="459" spans="3:19" x14ac:dyDescent="0.3">
      <c r="C459" s="11"/>
      <c r="D459" s="32"/>
      <c r="E459" s="11"/>
      <c r="F459" t="str">
        <f>_xlfn.TEXTJOIN(", ",TRUE, Tabla38[[#This Row],[Tipo de escalera]],Tabla38[[#This Row],[Longitud]],Tabla38[[#This Row],[Carga Maxima]])</f>
        <v/>
      </c>
      <c r="G459" s="15"/>
      <c r="J459" s="15"/>
      <c r="K459" s="47"/>
      <c r="L459" s="76"/>
      <c r="M459" s="76"/>
      <c r="N459" s="78" t="str">
        <f>_xlfn.LET(
    _xlpm.itemBuscado, B459,
    _xlpm.areaBuscada, C459,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TEXT(COUNTIF($C$2:C459, _xlpm.areaBuscada), "0000"),
    _xlpm.codItem &amp; "-" &amp; _xlpm.codArea &amp; "-" &amp; _xlpm.secuencia
)</f>
        <v>-SinArea-0000</v>
      </c>
      <c r="O459" s="77"/>
      <c r="P459" s="32"/>
      <c r="Q459" s="32"/>
      <c r="R459" s="32"/>
      <c r="S459" s="32"/>
    </row>
    <row r="460" spans="3:19" x14ac:dyDescent="0.3">
      <c r="C460" s="11"/>
      <c r="D460" s="32"/>
      <c r="E460" s="11"/>
      <c r="F460" t="str">
        <f>_xlfn.TEXTJOIN(", ",TRUE, Tabla38[[#This Row],[Tipo de escalera]],Tabla38[[#This Row],[Longitud]],Tabla38[[#This Row],[Carga Maxima]])</f>
        <v/>
      </c>
      <c r="G460" s="15"/>
      <c r="J460" s="15"/>
      <c r="K460" s="47"/>
      <c r="L460" s="76"/>
      <c r="M460" s="76"/>
      <c r="N460" s="78" t="str">
        <f>_xlfn.LET(
    _xlpm.itemBuscado, B460,
    _xlpm.areaBuscada, C460,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TEXT(COUNTIF($C$2:C460, _xlpm.areaBuscada), "0000"),
    _xlpm.codItem &amp; "-" &amp; _xlpm.codArea &amp; "-" &amp; _xlpm.secuencia
)</f>
        <v>-SinArea-0000</v>
      </c>
      <c r="O460" s="77"/>
      <c r="P460" s="32"/>
      <c r="Q460" s="32"/>
      <c r="R460" s="32"/>
      <c r="S460" s="32"/>
    </row>
    <row r="461" spans="3:19" x14ac:dyDescent="0.3">
      <c r="C461" s="11"/>
      <c r="D461" s="32"/>
      <c r="E461" s="11"/>
      <c r="F461" t="str">
        <f>_xlfn.TEXTJOIN(", ",TRUE, Tabla38[[#This Row],[Tipo de escalera]],Tabla38[[#This Row],[Longitud]],Tabla38[[#This Row],[Carga Maxima]])</f>
        <v/>
      </c>
      <c r="G461" s="15"/>
      <c r="J461" s="15"/>
      <c r="K461" s="47"/>
      <c r="L461" s="76"/>
      <c r="M461" s="76"/>
      <c r="N461" s="78" t="str">
        <f>_xlfn.LET(
    _xlpm.itemBuscado, B461,
    _xlpm.areaBuscada, C461,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TEXT(COUNTIF($C$2:C461, _xlpm.areaBuscada), "0000"),
    _xlpm.codItem &amp; "-" &amp; _xlpm.codArea &amp; "-" &amp; _xlpm.secuencia
)</f>
        <v>-SinArea-0000</v>
      </c>
      <c r="O461" s="77"/>
      <c r="P461" s="32"/>
      <c r="Q461" s="32"/>
      <c r="R461" s="32"/>
      <c r="S461" s="32"/>
    </row>
    <row r="462" spans="3:19" x14ac:dyDescent="0.3">
      <c r="C462" s="11"/>
      <c r="D462" s="32"/>
      <c r="E462" s="11"/>
      <c r="F462" t="str">
        <f>_xlfn.TEXTJOIN(", ",TRUE, Tabla38[[#This Row],[Tipo de escalera]],Tabla38[[#This Row],[Longitud]],Tabla38[[#This Row],[Carga Maxima]])</f>
        <v/>
      </c>
      <c r="G462" s="15"/>
      <c r="J462" s="15"/>
      <c r="K462" s="47"/>
      <c r="L462" s="76"/>
      <c r="M462" s="76"/>
      <c r="N462" s="78" t="str">
        <f>_xlfn.LET(
    _xlpm.itemBuscado, B462,
    _xlpm.areaBuscada, C462,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TEXT(COUNTIF($C$2:C462, _xlpm.areaBuscada), "0000"),
    _xlpm.codItem &amp; "-" &amp; _xlpm.codArea &amp; "-" &amp; _xlpm.secuencia
)</f>
        <v>-SinArea-0000</v>
      </c>
      <c r="O462" s="77"/>
      <c r="P462" s="32"/>
      <c r="Q462" s="32"/>
      <c r="R462" s="32"/>
      <c r="S462" s="32"/>
    </row>
    <row r="463" spans="3:19" x14ac:dyDescent="0.3">
      <c r="C463" s="11"/>
      <c r="D463" s="32"/>
      <c r="E463" s="11"/>
      <c r="F463" t="str">
        <f>_xlfn.TEXTJOIN(", ",TRUE, Tabla38[[#This Row],[Tipo de escalera]],Tabla38[[#This Row],[Longitud]],Tabla38[[#This Row],[Carga Maxima]])</f>
        <v/>
      </c>
      <c r="G463" s="15"/>
      <c r="J463" s="15"/>
      <c r="K463" s="47"/>
      <c r="L463" s="76"/>
      <c r="M463" s="76"/>
      <c r="N463" s="78" t="str">
        <f>_xlfn.LET(
    _xlpm.itemBuscado, B463,
    _xlpm.areaBuscada, C463,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TEXT(COUNTIF($C$2:C463, _xlpm.areaBuscada), "0000"),
    _xlpm.codItem &amp; "-" &amp; _xlpm.codArea &amp; "-" &amp; _xlpm.secuencia
)</f>
        <v>-SinArea-0000</v>
      </c>
      <c r="O463" s="77"/>
      <c r="P463" s="32"/>
      <c r="Q463" s="32"/>
      <c r="R463" s="32"/>
      <c r="S463" s="32"/>
    </row>
    <row r="464" spans="3:19" x14ac:dyDescent="0.3">
      <c r="C464" s="11"/>
      <c r="D464" s="32"/>
      <c r="E464" s="11"/>
      <c r="F464" t="str">
        <f>_xlfn.TEXTJOIN(", ",TRUE, Tabla38[[#This Row],[Tipo de escalera]],Tabla38[[#This Row],[Longitud]],Tabla38[[#This Row],[Carga Maxima]])</f>
        <v/>
      </c>
      <c r="G464" s="15"/>
      <c r="J464" s="15"/>
      <c r="K464" s="47"/>
      <c r="L464" s="76"/>
      <c r="M464" s="76"/>
      <c r="N464" s="78" t="str">
        <f>_xlfn.LET(
    _xlpm.itemBuscado, B464,
    _xlpm.areaBuscada, C464,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TEXT(COUNTIF($C$2:C464, _xlpm.areaBuscada), "0000"),
    _xlpm.codItem &amp; "-" &amp; _xlpm.codArea &amp; "-" &amp; _xlpm.secuencia
)</f>
        <v>-SinArea-0000</v>
      </c>
      <c r="O464" s="77"/>
      <c r="P464" s="32"/>
      <c r="Q464" s="32"/>
      <c r="R464" s="32"/>
      <c r="S464" s="32"/>
    </row>
    <row r="465" spans="3:19" x14ac:dyDescent="0.3">
      <c r="C465" s="11"/>
      <c r="D465" s="32"/>
      <c r="E465" s="11"/>
      <c r="F465" t="str">
        <f>_xlfn.TEXTJOIN(", ",TRUE, Tabla38[[#This Row],[Tipo de escalera]],Tabla38[[#This Row],[Longitud]],Tabla38[[#This Row],[Carga Maxima]])</f>
        <v/>
      </c>
      <c r="G465" s="15"/>
      <c r="J465" s="15"/>
      <c r="K465" s="47"/>
      <c r="L465" s="76"/>
      <c r="M465" s="76"/>
      <c r="N465" s="78" t="str">
        <f>_xlfn.LET(
    _xlpm.itemBuscado, B465,
    _xlpm.areaBuscada, C465,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TEXT(COUNTIF($C$2:C465, _xlpm.areaBuscada), "0000"),
    _xlpm.codItem &amp; "-" &amp; _xlpm.codArea &amp; "-" &amp; _xlpm.secuencia
)</f>
        <v>-SinArea-0000</v>
      </c>
      <c r="O465" s="77"/>
      <c r="P465" s="32"/>
      <c r="Q465" s="32"/>
      <c r="R465" s="32"/>
      <c r="S465" s="32"/>
    </row>
    <row r="466" spans="3:19" x14ac:dyDescent="0.3">
      <c r="C466" s="11"/>
      <c r="D466" s="32"/>
      <c r="E466" s="11"/>
      <c r="F466" t="str">
        <f>_xlfn.TEXTJOIN(", ",TRUE, Tabla38[[#This Row],[Tipo de escalera]],Tabla38[[#This Row],[Longitud]],Tabla38[[#This Row],[Carga Maxima]])</f>
        <v/>
      </c>
      <c r="G466" s="15"/>
      <c r="J466" s="15"/>
      <c r="K466" s="47"/>
      <c r="L466" s="76"/>
      <c r="M466" s="76"/>
      <c r="N466" s="78" t="str">
        <f>_xlfn.LET(
    _xlpm.itemBuscado, B466,
    _xlpm.areaBuscada, C466,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TEXT(COUNTIF($C$2:C466, _xlpm.areaBuscada), "0000"),
    _xlpm.codItem &amp; "-" &amp; _xlpm.codArea &amp; "-" &amp; _xlpm.secuencia
)</f>
        <v>-SinArea-0000</v>
      </c>
      <c r="O466" s="77"/>
      <c r="P466" s="32"/>
      <c r="Q466" s="32"/>
      <c r="R466" s="32"/>
      <c r="S466" s="32"/>
    </row>
    <row r="467" spans="3:19" x14ac:dyDescent="0.3">
      <c r="C467" s="11"/>
      <c r="D467" s="32"/>
      <c r="E467" s="11"/>
      <c r="F467" t="str">
        <f>_xlfn.TEXTJOIN(", ",TRUE, Tabla38[[#This Row],[Tipo de escalera]],Tabla38[[#This Row],[Longitud]],Tabla38[[#This Row],[Carga Maxima]])</f>
        <v/>
      </c>
      <c r="G467" s="15"/>
      <c r="J467" s="15"/>
      <c r="K467" s="47"/>
      <c r="L467" s="76"/>
      <c r="M467" s="76"/>
      <c r="N467" s="78" t="str">
        <f>_xlfn.LET(
    _xlpm.itemBuscado, B467,
    _xlpm.areaBuscada, C467,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TEXT(COUNTIF($C$2:C467, _xlpm.areaBuscada), "0000"),
    _xlpm.codItem &amp; "-" &amp; _xlpm.codArea &amp; "-" &amp; _xlpm.secuencia
)</f>
        <v>-SinArea-0000</v>
      </c>
      <c r="O467" s="77"/>
      <c r="P467" s="32"/>
      <c r="Q467" s="32"/>
      <c r="R467" s="32"/>
      <c r="S467" s="32"/>
    </row>
    <row r="468" spans="3:19" x14ac:dyDescent="0.3">
      <c r="C468" s="11"/>
      <c r="D468" s="32"/>
      <c r="E468" s="11"/>
      <c r="F468" t="str">
        <f>_xlfn.TEXTJOIN(", ",TRUE, Tabla38[[#This Row],[Tipo de escalera]],Tabla38[[#This Row],[Longitud]],Tabla38[[#This Row],[Carga Maxima]])</f>
        <v/>
      </c>
      <c r="G468" s="15"/>
      <c r="J468" s="15"/>
      <c r="K468" s="47"/>
      <c r="L468" s="76"/>
      <c r="M468" s="76"/>
      <c r="N468" s="78" t="str">
        <f>_xlfn.LET(
    _xlpm.itemBuscado, B468,
    _xlpm.areaBuscada, C468,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TEXT(COUNTIF($C$2:C468, _xlpm.areaBuscada), "0000"),
    _xlpm.codItem &amp; "-" &amp; _xlpm.codArea &amp; "-" &amp; _xlpm.secuencia
)</f>
        <v>-SinArea-0000</v>
      </c>
      <c r="O468" s="77"/>
      <c r="P468" s="32"/>
      <c r="Q468" s="32"/>
      <c r="R468" s="32"/>
      <c r="S468" s="32"/>
    </row>
    <row r="469" spans="3:19" x14ac:dyDescent="0.3">
      <c r="C469" s="11"/>
      <c r="D469" s="32"/>
      <c r="E469" s="11"/>
      <c r="F469" t="str">
        <f>_xlfn.TEXTJOIN(", ",TRUE, Tabla38[[#This Row],[Tipo de escalera]],Tabla38[[#This Row],[Longitud]],Tabla38[[#This Row],[Carga Maxima]])</f>
        <v/>
      </c>
      <c r="G469" s="15"/>
      <c r="J469" s="15"/>
      <c r="K469" s="47"/>
      <c r="L469" s="76"/>
      <c r="M469" s="76"/>
      <c r="N469" s="78" t="str">
        <f>_xlfn.LET(
    _xlpm.itemBuscado, B469,
    _xlpm.areaBuscada, C469,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TEXT(COUNTIF($C$2:C469, _xlpm.areaBuscada), "0000"),
    _xlpm.codItem &amp; "-" &amp; _xlpm.codArea &amp; "-" &amp; _xlpm.secuencia
)</f>
        <v>-SinArea-0000</v>
      </c>
      <c r="O469" s="77"/>
      <c r="P469" s="32"/>
      <c r="Q469" s="32"/>
      <c r="R469" s="32"/>
      <c r="S469" s="32"/>
    </row>
    <row r="470" spans="3:19" x14ac:dyDescent="0.3">
      <c r="C470" s="11"/>
      <c r="D470" s="32"/>
      <c r="E470" s="11"/>
      <c r="F470" t="str">
        <f>_xlfn.TEXTJOIN(", ",TRUE, Tabla38[[#This Row],[Tipo de escalera]],Tabla38[[#This Row],[Longitud]],Tabla38[[#This Row],[Carga Maxima]])</f>
        <v/>
      </c>
      <c r="G470" s="15"/>
      <c r="J470" s="15"/>
      <c r="K470" s="47"/>
      <c r="L470" s="76"/>
      <c r="M470" s="76"/>
      <c r="N470" s="78" t="str">
        <f>_xlfn.LET(
    _xlpm.itemBuscado, B470,
    _xlpm.areaBuscada, C470,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TEXT(COUNTIF($C$2:C470, _xlpm.areaBuscada), "0000"),
    _xlpm.codItem &amp; "-" &amp; _xlpm.codArea &amp; "-" &amp; _xlpm.secuencia
)</f>
        <v>-SinArea-0000</v>
      </c>
      <c r="O470" s="77"/>
      <c r="P470" s="32"/>
      <c r="Q470" s="32"/>
      <c r="R470" s="32"/>
      <c r="S470" s="32"/>
    </row>
    <row r="471" spans="3:19" x14ac:dyDescent="0.3">
      <c r="C471" s="11"/>
      <c r="D471" s="32"/>
      <c r="E471" s="11"/>
      <c r="F471" t="str">
        <f>_xlfn.TEXTJOIN(", ",TRUE, Tabla38[[#This Row],[Tipo de escalera]],Tabla38[[#This Row],[Longitud]],Tabla38[[#This Row],[Carga Maxima]])</f>
        <v/>
      </c>
      <c r="G471" s="15"/>
      <c r="J471" s="15"/>
      <c r="K471" s="47"/>
      <c r="L471" s="76"/>
      <c r="M471" s="76"/>
      <c r="N471" s="78" t="str">
        <f>_xlfn.LET(
    _xlpm.itemBuscado, B471,
    _xlpm.areaBuscada, C471,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TEXT(COUNTIF($C$2:C471, _xlpm.areaBuscada), "0000"),
    _xlpm.codItem &amp; "-" &amp; _xlpm.codArea &amp; "-" &amp; _xlpm.secuencia
)</f>
        <v>-SinArea-0000</v>
      </c>
      <c r="O471" s="77"/>
      <c r="P471" s="32"/>
      <c r="Q471" s="32"/>
      <c r="R471" s="32"/>
      <c r="S471" s="32"/>
    </row>
    <row r="472" spans="3:19" x14ac:dyDescent="0.3">
      <c r="C472" s="11"/>
      <c r="D472" s="32"/>
      <c r="E472" s="11"/>
      <c r="F472" t="str">
        <f>_xlfn.TEXTJOIN(", ",TRUE, Tabla38[[#This Row],[Tipo de escalera]],Tabla38[[#This Row],[Longitud]],Tabla38[[#This Row],[Carga Maxima]])</f>
        <v/>
      </c>
      <c r="G472" s="15"/>
      <c r="J472" s="15"/>
      <c r="K472" s="47"/>
      <c r="L472" s="76"/>
      <c r="M472" s="76"/>
      <c r="N472" s="78" t="str">
        <f>_xlfn.LET(
    _xlpm.itemBuscado, B472,
    _xlpm.areaBuscada, C472,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TEXT(COUNTIF($C$2:C472, _xlpm.areaBuscada), "0000"),
    _xlpm.codItem &amp; "-" &amp; _xlpm.codArea &amp; "-" &amp; _xlpm.secuencia
)</f>
        <v>-SinArea-0000</v>
      </c>
      <c r="O472" s="77"/>
      <c r="P472" s="32"/>
      <c r="Q472" s="32"/>
      <c r="R472" s="32"/>
      <c r="S472" s="32"/>
    </row>
    <row r="473" spans="3:19" x14ac:dyDescent="0.3">
      <c r="C473" s="11"/>
      <c r="D473" s="32"/>
      <c r="E473" s="11"/>
      <c r="F473" t="str">
        <f>_xlfn.TEXTJOIN(", ",TRUE, Tabla38[[#This Row],[Tipo de escalera]],Tabla38[[#This Row],[Longitud]],Tabla38[[#This Row],[Carga Maxima]])</f>
        <v/>
      </c>
      <c r="G473" s="15"/>
      <c r="J473" s="15"/>
      <c r="K473" s="47"/>
      <c r="L473" s="76"/>
      <c r="M473" s="76"/>
      <c r="N473" s="78" t="str">
        <f>_xlfn.LET(
    _xlpm.itemBuscado, B473,
    _xlpm.areaBuscada, C473,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TEXT(COUNTIF($C$2:C473, _xlpm.areaBuscada), "0000"),
    _xlpm.codItem &amp; "-" &amp; _xlpm.codArea &amp; "-" &amp; _xlpm.secuencia
)</f>
        <v>-SinArea-0000</v>
      </c>
      <c r="O473" s="77"/>
      <c r="P473" s="32"/>
      <c r="Q473" s="32"/>
      <c r="R473" s="32"/>
      <c r="S473" s="32"/>
    </row>
    <row r="474" spans="3:19" x14ac:dyDescent="0.3">
      <c r="C474" s="11"/>
      <c r="D474" s="32"/>
      <c r="E474" s="11"/>
      <c r="F474" t="str">
        <f>_xlfn.TEXTJOIN(", ",TRUE, Tabla38[[#This Row],[Tipo de escalera]],Tabla38[[#This Row],[Longitud]],Tabla38[[#This Row],[Carga Maxima]])</f>
        <v/>
      </c>
      <c r="G474" s="15"/>
      <c r="J474" s="15"/>
      <c r="K474" s="47"/>
      <c r="L474" s="76"/>
      <c r="M474" s="76"/>
      <c r="N474" s="78" t="str">
        <f>_xlfn.LET(
    _xlpm.itemBuscado, B474,
    _xlpm.areaBuscada, C474,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TEXT(COUNTIF($C$2:C474, _xlpm.areaBuscada), "0000"),
    _xlpm.codItem &amp; "-" &amp; _xlpm.codArea &amp; "-" &amp; _xlpm.secuencia
)</f>
        <v>-SinArea-0000</v>
      </c>
      <c r="O474" s="77"/>
      <c r="P474" s="32"/>
      <c r="Q474" s="32"/>
      <c r="R474" s="32"/>
      <c r="S474" s="32"/>
    </row>
    <row r="475" spans="3:19" x14ac:dyDescent="0.3">
      <c r="C475" s="11"/>
      <c r="D475" s="32"/>
      <c r="E475" s="11"/>
      <c r="F475" t="str">
        <f>_xlfn.TEXTJOIN(", ",TRUE, Tabla38[[#This Row],[Tipo de escalera]],Tabla38[[#This Row],[Longitud]],Tabla38[[#This Row],[Carga Maxima]])</f>
        <v/>
      </c>
      <c r="G475" s="15"/>
      <c r="J475" s="15"/>
      <c r="K475" s="47"/>
      <c r="L475" s="76"/>
      <c r="M475" s="76"/>
      <c r="N475" s="78" t="str">
        <f>_xlfn.LET(
    _xlpm.itemBuscado, B475,
    _xlpm.areaBuscada, C475,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TEXT(COUNTIF($C$2:C475, _xlpm.areaBuscada), "0000"),
    _xlpm.codItem &amp; "-" &amp; _xlpm.codArea &amp; "-" &amp; _xlpm.secuencia
)</f>
        <v>-SinArea-0000</v>
      </c>
      <c r="O475" s="77"/>
      <c r="P475" s="32"/>
      <c r="Q475" s="32"/>
      <c r="R475" s="32"/>
      <c r="S475" s="32"/>
    </row>
    <row r="476" spans="3:19" x14ac:dyDescent="0.3">
      <c r="C476" s="11"/>
      <c r="D476" s="32"/>
      <c r="E476" s="11"/>
      <c r="F476" t="str">
        <f>_xlfn.TEXTJOIN(", ",TRUE, Tabla38[[#This Row],[Tipo de escalera]],Tabla38[[#This Row],[Longitud]],Tabla38[[#This Row],[Carga Maxima]])</f>
        <v/>
      </c>
      <c r="G476" s="15"/>
      <c r="J476" s="15"/>
      <c r="K476" s="47"/>
      <c r="L476" s="76"/>
      <c r="M476" s="76"/>
      <c r="N476" s="78" t="str">
        <f>_xlfn.LET(
    _xlpm.itemBuscado, B476,
    _xlpm.areaBuscada, C476,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TEXT(COUNTIF($C$2:C476, _xlpm.areaBuscada), "0000"),
    _xlpm.codItem &amp; "-" &amp; _xlpm.codArea &amp; "-" &amp; _xlpm.secuencia
)</f>
        <v>-SinArea-0000</v>
      </c>
      <c r="O476" s="77"/>
      <c r="P476" s="32"/>
      <c r="Q476" s="32"/>
      <c r="R476" s="32"/>
      <c r="S476" s="32"/>
    </row>
    <row r="477" spans="3:19" x14ac:dyDescent="0.3">
      <c r="C477" s="11"/>
      <c r="D477" s="32"/>
      <c r="E477" s="11"/>
      <c r="F477" t="str">
        <f>_xlfn.TEXTJOIN(", ",TRUE, Tabla38[[#This Row],[Tipo de escalera]],Tabla38[[#This Row],[Longitud]],Tabla38[[#This Row],[Carga Maxima]])</f>
        <v/>
      </c>
      <c r="G477" s="15"/>
      <c r="J477" s="15"/>
      <c r="K477" s="47"/>
      <c r="L477" s="76"/>
      <c r="M477" s="76"/>
      <c r="N477" s="78" t="str">
        <f>_xlfn.LET(
    _xlpm.itemBuscado, B477,
    _xlpm.areaBuscada, C477,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TEXT(COUNTIF($C$2:C477, _xlpm.areaBuscada), "0000"),
    _xlpm.codItem &amp; "-" &amp; _xlpm.codArea &amp; "-" &amp; _xlpm.secuencia
)</f>
        <v>-SinArea-0000</v>
      </c>
      <c r="O477" s="77"/>
      <c r="P477" s="32"/>
      <c r="Q477" s="32"/>
      <c r="R477" s="32"/>
      <c r="S477" s="32"/>
    </row>
    <row r="478" spans="3:19" x14ac:dyDescent="0.3">
      <c r="C478" s="11"/>
      <c r="D478" s="32"/>
      <c r="E478" s="11"/>
      <c r="F478" t="str">
        <f>_xlfn.TEXTJOIN(", ",TRUE, Tabla38[[#This Row],[Tipo de escalera]],Tabla38[[#This Row],[Longitud]],Tabla38[[#This Row],[Carga Maxima]])</f>
        <v/>
      </c>
      <c r="G478" s="15"/>
      <c r="J478" s="15"/>
      <c r="K478" s="47"/>
      <c r="L478" s="76"/>
      <c r="M478" s="76"/>
      <c r="N478" s="78" t="str">
        <f>_xlfn.LET(
    _xlpm.itemBuscado, B478,
    _xlpm.areaBuscada, C478,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TEXT(COUNTIF($C$2:C478, _xlpm.areaBuscada), "0000"),
    _xlpm.codItem &amp; "-" &amp; _xlpm.codArea &amp; "-" &amp; _xlpm.secuencia
)</f>
        <v>-SinArea-0000</v>
      </c>
      <c r="O478" s="77"/>
      <c r="P478" s="32"/>
      <c r="Q478" s="32"/>
      <c r="R478" s="32"/>
      <c r="S478" s="32"/>
    </row>
    <row r="479" spans="3:19" x14ac:dyDescent="0.3">
      <c r="C479" s="11"/>
      <c r="D479" s="32"/>
      <c r="E479" s="11"/>
      <c r="F479" t="str">
        <f>_xlfn.TEXTJOIN(", ",TRUE, Tabla38[[#This Row],[Tipo de escalera]],Tabla38[[#This Row],[Longitud]],Tabla38[[#This Row],[Carga Maxima]])</f>
        <v/>
      </c>
      <c r="G479" s="15"/>
      <c r="J479" s="15"/>
      <c r="K479" s="47"/>
      <c r="L479" s="76"/>
      <c r="M479" s="76"/>
      <c r="N479" s="78" t="str">
        <f>_xlfn.LET(
    _xlpm.itemBuscado, B479,
    _xlpm.areaBuscada, C479,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TEXT(COUNTIF($C$2:C479, _xlpm.areaBuscada), "0000"),
    _xlpm.codItem &amp; "-" &amp; _xlpm.codArea &amp; "-" &amp; _xlpm.secuencia
)</f>
        <v>-SinArea-0000</v>
      </c>
      <c r="O479" s="77"/>
      <c r="P479" s="32"/>
      <c r="Q479" s="32"/>
      <c r="R479" s="32"/>
      <c r="S479" s="32"/>
    </row>
    <row r="480" spans="3:19" x14ac:dyDescent="0.3">
      <c r="C480" s="11"/>
      <c r="D480" s="32"/>
      <c r="E480" s="11"/>
      <c r="F480" t="str">
        <f>_xlfn.TEXTJOIN(", ",TRUE, Tabla38[[#This Row],[Tipo de escalera]],Tabla38[[#This Row],[Longitud]],Tabla38[[#This Row],[Carga Maxima]])</f>
        <v/>
      </c>
      <c r="G480" s="15"/>
      <c r="J480" s="15"/>
      <c r="K480" s="47"/>
      <c r="L480" s="76"/>
      <c r="M480" s="76"/>
      <c r="N480" s="78" t="str">
        <f>_xlfn.LET(
    _xlpm.itemBuscado, B480,
    _xlpm.areaBuscada, C480,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TEXT(COUNTIF($C$2:C480, _xlpm.areaBuscada), "0000"),
    _xlpm.codItem &amp; "-" &amp; _xlpm.codArea &amp; "-" &amp; _xlpm.secuencia
)</f>
        <v>-SinArea-0000</v>
      </c>
      <c r="O480" s="77"/>
      <c r="P480" s="32"/>
      <c r="Q480" s="32"/>
      <c r="R480" s="32"/>
      <c r="S480" s="32"/>
    </row>
    <row r="481" spans="3:19" x14ac:dyDescent="0.3">
      <c r="C481" s="11"/>
      <c r="D481" s="32"/>
      <c r="E481" s="11"/>
      <c r="F481" t="str">
        <f>_xlfn.TEXTJOIN(", ",TRUE, Tabla38[[#This Row],[Tipo de escalera]],Tabla38[[#This Row],[Longitud]],Tabla38[[#This Row],[Carga Maxima]])</f>
        <v/>
      </c>
      <c r="G481" s="15"/>
      <c r="J481" s="15"/>
      <c r="K481" s="47"/>
      <c r="L481" s="76"/>
      <c r="M481" s="76"/>
      <c r="N481" s="78" t="str">
        <f>_xlfn.LET(
    _xlpm.itemBuscado, B481,
    _xlpm.areaBuscada, C481,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TEXT(COUNTIF($C$2:C481, _xlpm.areaBuscada), "0000"),
    _xlpm.codItem &amp; "-" &amp; _xlpm.codArea &amp; "-" &amp; _xlpm.secuencia
)</f>
        <v>-SinArea-0000</v>
      </c>
      <c r="O481" s="77"/>
      <c r="P481" s="32"/>
      <c r="Q481" s="32"/>
      <c r="R481" s="32"/>
      <c r="S481" s="32"/>
    </row>
    <row r="482" spans="3:19" x14ac:dyDescent="0.3">
      <c r="C482" s="11"/>
      <c r="D482" s="32"/>
      <c r="E482" s="11"/>
      <c r="F482" t="str">
        <f>_xlfn.TEXTJOIN(", ",TRUE, Tabla38[[#This Row],[Tipo de escalera]],Tabla38[[#This Row],[Longitud]],Tabla38[[#This Row],[Carga Maxima]])</f>
        <v/>
      </c>
      <c r="G482" s="15"/>
      <c r="J482" s="15"/>
      <c r="K482" s="47"/>
      <c r="L482" s="76"/>
      <c r="M482" s="76"/>
      <c r="N482" s="78" t="str">
        <f>_xlfn.LET(
    _xlpm.itemBuscado, B482,
    _xlpm.areaBuscada, C482,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TEXT(COUNTIF($C$2:C482, _xlpm.areaBuscada), "0000"),
    _xlpm.codItem &amp; "-" &amp; _xlpm.codArea &amp; "-" &amp; _xlpm.secuencia
)</f>
        <v>-SinArea-0000</v>
      </c>
      <c r="O482" s="77"/>
      <c r="P482" s="32"/>
      <c r="Q482" s="32"/>
      <c r="R482" s="32"/>
      <c r="S482" s="32"/>
    </row>
    <row r="483" spans="3:19" x14ac:dyDescent="0.3">
      <c r="C483" s="11"/>
      <c r="D483" s="32"/>
      <c r="E483" s="11"/>
      <c r="F483" t="str">
        <f>_xlfn.TEXTJOIN(", ",TRUE, Tabla38[[#This Row],[Tipo de escalera]],Tabla38[[#This Row],[Longitud]],Tabla38[[#This Row],[Carga Maxima]])</f>
        <v/>
      </c>
      <c r="G483" s="15"/>
      <c r="J483" s="15"/>
      <c r="K483" s="47"/>
      <c r="L483" s="76"/>
      <c r="M483" s="76"/>
      <c r="N483" s="78" t="str">
        <f>_xlfn.LET(
    _xlpm.itemBuscado, B483,
    _xlpm.areaBuscada, C483,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TEXT(COUNTIF($C$2:C483, _xlpm.areaBuscada), "0000"),
    _xlpm.codItem &amp; "-" &amp; _xlpm.codArea &amp; "-" &amp; _xlpm.secuencia
)</f>
        <v>-SinArea-0000</v>
      </c>
      <c r="O483" s="77"/>
      <c r="P483" s="32"/>
      <c r="Q483" s="32"/>
      <c r="R483" s="32"/>
      <c r="S483" s="32"/>
    </row>
    <row r="484" spans="3:19" x14ac:dyDescent="0.3">
      <c r="C484" s="11"/>
      <c r="D484" s="32"/>
      <c r="E484" s="11"/>
      <c r="F484" t="str">
        <f>_xlfn.TEXTJOIN(", ",TRUE, Tabla38[[#This Row],[Tipo de escalera]],Tabla38[[#This Row],[Longitud]],Tabla38[[#This Row],[Carga Maxima]])</f>
        <v/>
      </c>
      <c r="G484" s="15"/>
      <c r="J484" s="15"/>
      <c r="K484" s="47"/>
      <c r="L484" s="76"/>
      <c r="M484" s="76"/>
      <c r="N484" s="78" t="str">
        <f>_xlfn.LET(
    _xlpm.itemBuscado, B484,
    _xlpm.areaBuscada, C484,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TEXT(COUNTIF($C$2:C484, _xlpm.areaBuscada), "0000"),
    _xlpm.codItem &amp; "-" &amp; _xlpm.codArea &amp; "-" &amp; _xlpm.secuencia
)</f>
        <v>-SinArea-0000</v>
      </c>
      <c r="O484" s="77"/>
      <c r="P484" s="32"/>
      <c r="Q484" s="32"/>
      <c r="R484" s="32"/>
      <c r="S484" s="32"/>
    </row>
    <row r="485" spans="3:19" x14ac:dyDescent="0.3">
      <c r="C485" s="11"/>
      <c r="D485" s="32"/>
      <c r="E485" s="11"/>
      <c r="F485" t="str">
        <f>_xlfn.TEXTJOIN(", ",TRUE, Tabla38[[#This Row],[Tipo de escalera]],Tabla38[[#This Row],[Longitud]],Tabla38[[#This Row],[Carga Maxima]])</f>
        <v/>
      </c>
      <c r="G485" s="15"/>
      <c r="J485" s="15"/>
      <c r="K485" s="47"/>
      <c r="L485" s="76"/>
      <c r="M485" s="76"/>
      <c r="N485" s="78" t="str">
        <f>_xlfn.LET(
    _xlpm.itemBuscado, B485,
    _xlpm.areaBuscada, C485,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TEXT(COUNTIF($C$2:C485, _xlpm.areaBuscada), "0000"),
    _xlpm.codItem &amp; "-" &amp; _xlpm.codArea &amp; "-" &amp; _xlpm.secuencia
)</f>
        <v>-SinArea-0000</v>
      </c>
      <c r="O485" s="77"/>
      <c r="P485" s="32"/>
      <c r="Q485" s="32"/>
      <c r="R485" s="32"/>
      <c r="S485" s="32"/>
    </row>
    <row r="486" spans="3:19" x14ac:dyDescent="0.3">
      <c r="C486" s="11"/>
      <c r="D486" s="32"/>
      <c r="E486" s="11"/>
      <c r="F486" t="str">
        <f>_xlfn.TEXTJOIN(", ",TRUE, Tabla38[[#This Row],[Tipo de escalera]],Tabla38[[#This Row],[Longitud]],Tabla38[[#This Row],[Carga Maxima]])</f>
        <v/>
      </c>
      <c r="G486" s="15"/>
      <c r="J486" s="15"/>
      <c r="K486" s="47"/>
      <c r="L486" s="76"/>
      <c r="M486" s="76"/>
      <c r="N486" s="78" t="str">
        <f>_xlfn.LET(
    _xlpm.itemBuscado, B486,
    _xlpm.areaBuscada, C486,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TEXT(COUNTIF($C$2:C486, _xlpm.areaBuscada), "0000"),
    _xlpm.codItem &amp; "-" &amp; _xlpm.codArea &amp; "-" &amp; _xlpm.secuencia
)</f>
        <v>-SinArea-0000</v>
      </c>
      <c r="O486" s="77"/>
      <c r="P486" s="32"/>
      <c r="Q486" s="32"/>
      <c r="R486" s="32"/>
      <c r="S486" s="32"/>
    </row>
    <row r="487" spans="3:19" x14ac:dyDescent="0.3">
      <c r="C487" s="11"/>
      <c r="D487" s="32"/>
      <c r="E487" s="11"/>
      <c r="F487" t="str">
        <f>_xlfn.TEXTJOIN(", ",TRUE, Tabla38[[#This Row],[Tipo de escalera]],Tabla38[[#This Row],[Longitud]],Tabla38[[#This Row],[Carga Maxima]])</f>
        <v/>
      </c>
      <c r="G487" s="15"/>
      <c r="J487" s="15"/>
      <c r="K487" s="47"/>
      <c r="L487" s="76"/>
      <c r="M487" s="76"/>
      <c r="N487" s="78" t="str">
        <f>_xlfn.LET(
    _xlpm.itemBuscado, B487,
    _xlpm.areaBuscada, C487,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TEXT(COUNTIF($C$2:C487, _xlpm.areaBuscada), "0000"),
    _xlpm.codItem &amp; "-" &amp; _xlpm.codArea &amp; "-" &amp; _xlpm.secuencia
)</f>
        <v>-SinArea-0000</v>
      </c>
      <c r="O487" s="77"/>
      <c r="P487" s="32"/>
      <c r="Q487" s="32"/>
      <c r="R487" s="32"/>
      <c r="S487" s="32"/>
    </row>
    <row r="488" spans="3:19" x14ac:dyDescent="0.3">
      <c r="C488" s="11"/>
      <c r="D488" s="32"/>
      <c r="E488" s="11"/>
      <c r="F488" t="str">
        <f>_xlfn.TEXTJOIN(", ",TRUE, Tabla38[[#This Row],[Tipo de escalera]],Tabla38[[#This Row],[Longitud]],Tabla38[[#This Row],[Carga Maxima]])</f>
        <v/>
      </c>
      <c r="G488" s="15"/>
      <c r="J488" s="15"/>
      <c r="K488" s="47"/>
      <c r="L488" s="76"/>
      <c r="M488" s="76"/>
      <c r="N488" s="78" t="str">
        <f>_xlfn.LET(
    _xlpm.itemBuscado, B488,
    _xlpm.areaBuscada, C488,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TEXT(COUNTIF($C$2:C488, _xlpm.areaBuscada), "0000"),
    _xlpm.codItem &amp; "-" &amp; _xlpm.codArea &amp; "-" &amp; _xlpm.secuencia
)</f>
        <v>-SinArea-0000</v>
      </c>
      <c r="O488" s="77"/>
      <c r="P488" s="32"/>
      <c r="Q488" s="32"/>
      <c r="R488" s="32"/>
      <c r="S488" s="32"/>
    </row>
    <row r="489" spans="3:19" x14ac:dyDescent="0.3">
      <c r="C489" s="11"/>
      <c r="D489" s="32"/>
      <c r="E489" s="11"/>
      <c r="F489" t="str">
        <f>_xlfn.TEXTJOIN(", ",TRUE, Tabla38[[#This Row],[Tipo de escalera]],Tabla38[[#This Row],[Longitud]],Tabla38[[#This Row],[Carga Maxima]])</f>
        <v/>
      </c>
      <c r="G489" s="15"/>
      <c r="J489" s="15"/>
      <c r="K489" s="47"/>
      <c r="L489" s="76"/>
      <c r="M489" s="76"/>
      <c r="N489" s="78" t="str">
        <f>_xlfn.LET(
    _xlpm.itemBuscado, B489,
    _xlpm.areaBuscada, C489,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TEXT(COUNTIF($C$2:C489, _xlpm.areaBuscada), "0000"),
    _xlpm.codItem &amp; "-" &amp; _xlpm.codArea &amp; "-" &amp; _xlpm.secuencia
)</f>
        <v>-SinArea-0000</v>
      </c>
      <c r="O489" s="77"/>
      <c r="P489" s="32"/>
      <c r="Q489" s="32"/>
      <c r="R489" s="32"/>
      <c r="S489" s="32"/>
    </row>
    <row r="490" spans="3:19" x14ac:dyDescent="0.3">
      <c r="C490" s="11"/>
      <c r="D490" s="32"/>
      <c r="E490" s="11"/>
      <c r="F490" t="str">
        <f>_xlfn.TEXTJOIN(", ",TRUE, Tabla38[[#This Row],[Tipo de escalera]],Tabla38[[#This Row],[Longitud]],Tabla38[[#This Row],[Carga Maxima]])</f>
        <v/>
      </c>
      <c r="G490" s="15"/>
      <c r="J490" s="15"/>
      <c r="K490" s="47"/>
      <c r="L490" s="76"/>
      <c r="M490" s="76"/>
      <c r="N490" s="78" t="str">
        <f>_xlfn.LET(
    _xlpm.itemBuscado, B490,
    _xlpm.areaBuscada, C490,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TEXT(COUNTIF($C$2:C490, _xlpm.areaBuscada), "0000"),
    _xlpm.codItem &amp; "-" &amp; _xlpm.codArea &amp; "-" &amp; _xlpm.secuencia
)</f>
        <v>-SinArea-0000</v>
      </c>
      <c r="O490" s="77"/>
      <c r="P490" s="32"/>
      <c r="Q490" s="32"/>
      <c r="R490" s="32"/>
      <c r="S490" s="32"/>
    </row>
    <row r="491" spans="3:19" x14ac:dyDescent="0.3">
      <c r="C491" s="11"/>
      <c r="D491" s="32"/>
      <c r="E491" s="11"/>
      <c r="F491" t="str">
        <f>_xlfn.TEXTJOIN(", ",TRUE, Tabla38[[#This Row],[Tipo de escalera]],Tabla38[[#This Row],[Longitud]],Tabla38[[#This Row],[Carga Maxima]])</f>
        <v/>
      </c>
      <c r="G491" s="15"/>
      <c r="J491" s="15"/>
      <c r="K491" s="47"/>
      <c r="L491" s="76"/>
      <c r="M491" s="76"/>
      <c r="N491" s="78" t="str">
        <f>_xlfn.LET(
    _xlpm.itemBuscado, B491,
    _xlpm.areaBuscada, C491,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TEXT(COUNTIF($C$2:C491, _xlpm.areaBuscada), "0000"),
    _xlpm.codItem &amp; "-" &amp; _xlpm.codArea &amp; "-" &amp; _xlpm.secuencia
)</f>
        <v>-SinArea-0000</v>
      </c>
      <c r="O491" s="77"/>
      <c r="P491" s="32"/>
      <c r="Q491" s="32"/>
      <c r="R491" s="32"/>
      <c r="S491" s="32"/>
    </row>
    <row r="492" spans="3:19" x14ac:dyDescent="0.3">
      <c r="C492" s="11"/>
      <c r="D492" s="32"/>
      <c r="E492" s="11"/>
      <c r="F492" t="str">
        <f>_xlfn.TEXTJOIN(", ",TRUE, Tabla38[[#This Row],[Tipo de escalera]],Tabla38[[#This Row],[Longitud]],Tabla38[[#This Row],[Carga Maxima]])</f>
        <v/>
      </c>
      <c r="G492" s="15"/>
      <c r="J492" s="15"/>
      <c r="K492" s="47"/>
      <c r="L492" s="76"/>
      <c r="M492" s="76"/>
      <c r="N492" s="78" t="str">
        <f>_xlfn.LET(
    _xlpm.itemBuscado, B492,
    _xlpm.areaBuscada, C492,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TEXT(COUNTIF($C$2:C492, _xlpm.areaBuscada), "0000"),
    _xlpm.codItem &amp; "-" &amp; _xlpm.codArea &amp; "-" &amp; _xlpm.secuencia
)</f>
        <v>-SinArea-0000</v>
      </c>
      <c r="O492" s="77"/>
      <c r="P492" s="32"/>
      <c r="Q492" s="32"/>
      <c r="R492" s="32"/>
      <c r="S492" s="32"/>
    </row>
    <row r="493" spans="3:19" x14ac:dyDescent="0.3">
      <c r="C493" s="11"/>
      <c r="D493" s="32"/>
      <c r="E493" s="11"/>
      <c r="F493" t="str">
        <f>_xlfn.TEXTJOIN(", ",TRUE, Tabla38[[#This Row],[Tipo de escalera]],Tabla38[[#This Row],[Longitud]],Tabla38[[#This Row],[Carga Maxima]])</f>
        <v/>
      </c>
      <c r="G493" s="15"/>
      <c r="J493" s="15"/>
      <c r="K493" s="47"/>
      <c r="L493" s="76"/>
      <c r="M493" s="76"/>
      <c r="N493" s="78" t="str">
        <f>_xlfn.LET(
    _xlpm.itemBuscado, B493,
    _xlpm.areaBuscada, C493,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TEXT(COUNTIF($C$2:C493, _xlpm.areaBuscada), "0000"),
    _xlpm.codItem &amp; "-" &amp; _xlpm.codArea &amp; "-" &amp; _xlpm.secuencia
)</f>
        <v>-SinArea-0000</v>
      </c>
      <c r="O493" s="77"/>
      <c r="P493" s="32"/>
      <c r="Q493" s="32"/>
      <c r="R493" s="32"/>
      <c r="S493" s="32"/>
    </row>
    <row r="494" spans="3:19" x14ac:dyDescent="0.3">
      <c r="C494" s="11"/>
      <c r="D494" s="32"/>
      <c r="E494" s="11"/>
      <c r="F494" t="str">
        <f>_xlfn.TEXTJOIN(", ",TRUE, Tabla38[[#This Row],[Tipo de escalera]],Tabla38[[#This Row],[Longitud]],Tabla38[[#This Row],[Carga Maxima]])</f>
        <v/>
      </c>
      <c r="G494" s="15"/>
      <c r="J494" s="15"/>
      <c r="K494" s="47"/>
      <c r="L494" s="76"/>
      <c r="M494" s="76"/>
      <c r="N494" s="78" t="str">
        <f>_xlfn.LET(
    _xlpm.itemBuscado, B494,
    _xlpm.areaBuscada, C494,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TEXT(COUNTIF($C$2:C494, _xlpm.areaBuscada), "0000"),
    _xlpm.codItem &amp; "-" &amp; _xlpm.codArea &amp; "-" &amp; _xlpm.secuencia
)</f>
        <v>-SinArea-0000</v>
      </c>
      <c r="O494" s="77"/>
      <c r="P494" s="32"/>
      <c r="Q494" s="32"/>
      <c r="R494" s="32"/>
      <c r="S494" s="32"/>
    </row>
    <row r="495" spans="3:19" x14ac:dyDescent="0.3">
      <c r="C495" s="11"/>
      <c r="D495" s="32"/>
      <c r="E495" s="11"/>
      <c r="F495" t="str">
        <f>_xlfn.TEXTJOIN(", ",TRUE, Tabla38[[#This Row],[Tipo de escalera]],Tabla38[[#This Row],[Longitud]],Tabla38[[#This Row],[Carga Maxima]])</f>
        <v/>
      </c>
      <c r="G495" s="15"/>
      <c r="J495" s="15"/>
      <c r="K495" s="47"/>
      <c r="L495" s="76"/>
      <c r="M495" s="76"/>
      <c r="N495" s="78" t="str">
        <f>_xlfn.LET(
    _xlpm.itemBuscado, B495,
    _xlpm.areaBuscada, C495,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TEXT(COUNTIF($C$2:C495, _xlpm.areaBuscada), "0000"),
    _xlpm.codItem &amp; "-" &amp; _xlpm.codArea &amp; "-" &amp; _xlpm.secuencia
)</f>
        <v>-SinArea-0000</v>
      </c>
      <c r="O495" s="77"/>
      <c r="P495" s="32"/>
      <c r="Q495" s="32"/>
      <c r="R495" s="32"/>
      <c r="S495" s="32"/>
    </row>
    <row r="496" spans="3:19" x14ac:dyDescent="0.3">
      <c r="C496" s="11"/>
      <c r="D496" s="32"/>
      <c r="E496" s="11"/>
      <c r="F496" t="str">
        <f>_xlfn.TEXTJOIN(", ",TRUE, Tabla38[[#This Row],[Tipo de escalera]],Tabla38[[#This Row],[Longitud]],Tabla38[[#This Row],[Carga Maxima]])</f>
        <v/>
      </c>
      <c r="G496" s="15"/>
      <c r="J496" s="15"/>
      <c r="K496" s="47"/>
      <c r="L496" s="76"/>
      <c r="M496" s="76"/>
      <c r="N496" s="78" t="str">
        <f>_xlfn.LET(
    _xlpm.itemBuscado, B496,
    _xlpm.areaBuscada, C496,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TEXT(COUNTIF($C$2:C496, _xlpm.areaBuscada), "0000"),
    _xlpm.codItem &amp; "-" &amp; _xlpm.codArea &amp; "-" &amp; _xlpm.secuencia
)</f>
        <v>-SinArea-0000</v>
      </c>
      <c r="O496" s="77"/>
      <c r="P496" s="32"/>
      <c r="Q496" s="32"/>
      <c r="R496" s="32"/>
      <c r="S496" s="32"/>
    </row>
    <row r="497" spans="3:19" x14ac:dyDescent="0.3">
      <c r="C497" s="11"/>
      <c r="D497" s="32"/>
      <c r="E497" s="11"/>
      <c r="F497" t="str">
        <f>_xlfn.TEXTJOIN(", ",TRUE, Tabla38[[#This Row],[Tipo de escalera]],Tabla38[[#This Row],[Longitud]],Tabla38[[#This Row],[Carga Maxima]])</f>
        <v/>
      </c>
      <c r="G497" s="15"/>
      <c r="J497" s="15"/>
      <c r="K497" s="47"/>
      <c r="L497" s="76"/>
      <c r="M497" s="76"/>
      <c r="N497" s="78" t="str">
        <f>_xlfn.LET(
    _xlpm.itemBuscado, B497,
    _xlpm.areaBuscada, C497,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TEXT(COUNTIF($C$2:C497, _xlpm.areaBuscada), "0000"),
    _xlpm.codItem &amp; "-" &amp; _xlpm.codArea &amp; "-" &amp; _xlpm.secuencia
)</f>
        <v>-SinArea-0000</v>
      </c>
      <c r="O497" s="77"/>
      <c r="P497" s="32"/>
      <c r="Q497" s="32"/>
      <c r="R497" s="32"/>
      <c r="S497" s="32"/>
    </row>
    <row r="498" spans="3:19" x14ac:dyDescent="0.3">
      <c r="C498" s="11"/>
      <c r="D498" s="32"/>
      <c r="E498" s="11"/>
      <c r="F498" t="str">
        <f>_xlfn.TEXTJOIN(", ",TRUE, Tabla38[[#This Row],[Tipo de escalera]],Tabla38[[#This Row],[Longitud]],Tabla38[[#This Row],[Carga Maxima]])</f>
        <v/>
      </c>
      <c r="G498" s="15"/>
      <c r="J498" s="15"/>
      <c r="K498" s="47"/>
      <c r="L498" s="76"/>
      <c r="M498" s="76"/>
      <c r="N498" s="78" t="str">
        <f>_xlfn.LET(
    _xlpm.itemBuscado, B498,
    _xlpm.areaBuscada, C498,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TEXT(COUNTIF($C$2:C498, _xlpm.areaBuscada), "0000"),
    _xlpm.codItem &amp; "-" &amp; _xlpm.codArea &amp; "-" &amp; _xlpm.secuencia
)</f>
        <v>-SinArea-0000</v>
      </c>
      <c r="O498" s="77"/>
      <c r="P498" s="32"/>
      <c r="Q498" s="32"/>
      <c r="R498" s="32"/>
      <c r="S498" s="32"/>
    </row>
    <row r="499" spans="3:19" x14ac:dyDescent="0.3">
      <c r="C499" s="11"/>
      <c r="D499" s="32"/>
      <c r="E499" s="11"/>
      <c r="F499" t="str">
        <f>_xlfn.TEXTJOIN(", ",TRUE, Tabla38[[#This Row],[Tipo de escalera]],Tabla38[[#This Row],[Longitud]],Tabla38[[#This Row],[Carga Maxima]])</f>
        <v/>
      </c>
      <c r="G499" s="15"/>
      <c r="J499" s="15"/>
      <c r="K499" s="47"/>
      <c r="L499" s="76"/>
      <c r="M499" s="76"/>
      <c r="N499" s="78" t="str">
        <f>_xlfn.LET(
    _xlpm.itemBuscado, B499,
    _xlpm.areaBuscada, C499,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TEXT(COUNTIF($C$2:C499, _xlpm.areaBuscada), "0000"),
    _xlpm.codItem &amp; "-" &amp; _xlpm.codArea &amp; "-" &amp; _xlpm.secuencia
)</f>
        <v>-SinArea-0000</v>
      </c>
      <c r="O499" s="77"/>
      <c r="P499" s="32"/>
      <c r="Q499" s="32"/>
      <c r="R499" s="32"/>
      <c r="S499" s="32"/>
    </row>
    <row r="500" spans="3:19" x14ac:dyDescent="0.3">
      <c r="C500" s="11"/>
      <c r="D500" s="32"/>
      <c r="E500" s="11"/>
      <c r="F500" t="str">
        <f>_xlfn.TEXTJOIN(", ",TRUE, Tabla38[[#This Row],[Tipo de escalera]],Tabla38[[#This Row],[Longitud]],Tabla38[[#This Row],[Carga Maxima]])</f>
        <v/>
      </c>
      <c r="G500" s="15"/>
      <c r="J500" s="15"/>
      <c r="K500" s="47"/>
      <c r="L500" s="76"/>
      <c r="M500" s="76"/>
      <c r="N500" s="78" t="str">
        <f>_xlfn.LET(
    _xlpm.itemBuscado, B500,
    _xlpm.areaBuscada, C500,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TEXT(COUNTIF($C$2:C500, _xlpm.areaBuscada), "0000"),
    _xlpm.codItem &amp; "-" &amp; _xlpm.codArea &amp; "-" &amp; _xlpm.secuencia
)</f>
        <v>-SinArea-0000</v>
      </c>
      <c r="O500" s="77"/>
      <c r="P500" s="32"/>
      <c r="Q500" s="32"/>
      <c r="R500" s="32"/>
      <c r="S500" s="32"/>
    </row>
    <row r="501" spans="3:19" x14ac:dyDescent="0.3">
      <c r="C501" s="11"/>
      <c r="D501" s="32"/>
      <c r="E501" s="11"/>
      <c r="F501" t="str">
        <f>_xlfn.TEXTJOIN(", ",TRUE, Tabla38[[#This Row],[Tipo de escalera]],Tabla38[[#This Row],[Longitud]],Tabla38[[#This Row],[Carga Maxima]])</f>
        <v/>
      </c>
      <c r="G501" s="15"/>
      <c r="J501" s="15"/>
      <c r="K501" s="47"/>
      <c r="L501" s="76"/>
      <c r="M501" s="76"/>
      <c r="N501" s="78" t="str">
        <f>_xlfn.LET(
    _xlpm.itemBuscado, B501,
    _xlpm.areaBuscada, C501,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TEXT(COUNTIF($C$2:C501, _xlpm.areaBuscada), "0000"),
    _xlpm.codItem &amp; "-" &amp; _xlpm.codArea &amp; "-" &amp; _xlpm.secuencia
)</f>
        <v>-SinArea-0000</v>
      </c>
      <c r="O501" s="77"/>
      <c r="P501" s="32"/>
      <c r="Q501" s="32"/>
      <c r="R501" s="32"/>
      <c r="S501" s="32"/>
    </row>
    <row r="502" spans="3:19" x14ac:dyDescent="0.3">
      <c r="C502" s="11"/>
      <c r="D502" s="32"/>
      <c r="E502" s="11"/>
      <c r="F502" t="str">
        <f>_xlfn.TEXTJOIN(", ",TRUE, Tabla38[[#This Row],[Tipo de escalera]],Tabla38[[#This Row],[Longitud]],Tabla38[[#This Row],[Carga Maxima]])</f>
        <v/>
      </c>
      <c r="G502" s="15"/>
      <c r="J502" s="15"/>
      <c r="K502" s="47"/>
      <c r="L502" s="76"/>
      <c r="M502" s="76"/>
      <c r="N502" s="78" t="str">
        <f>_xlfn.LET(
    _xlpm.itemBuscado, B502,
    _xlpm.areaBuscada, C502,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TEXT(COUNTIF($C$2:C502, _xlpm.areaBuscada), "0000"),
    _xlpm.codItem &amp; "-" &amp; _xlpm.codArea &amp; "-" &amp; _xlpm.secuencia
)</f>
        <v>-SinArea-0000</v>
      </c>
      <c r="O502" s="77"/>
      <c r="P502" s="32"/>
      <c r="Q502" s="32"/>
      <c r="R502" s="32"/>
      <c r="S502" s="32"/>
    </row>
    <row r="503" spans="3:19" x14ac:dyDescent="0.3">
      <c r="C503" s="11"/>
      <c r="D503" s="32"/>
      <c r="E503" s="11"/>
      <c r="F503" t="str">
        <f>_xlfn.TEXTJOIN(", ",TRUE, Tabla38[[#This Row],[Tipo de escalera]],Tabla38[[#This Row],[Longitud]],Tabla38[[#This Row],[Carga Maxima]])</f>
        <v/>
      </c>
      <c r="G503" s="15"/>
      <c r="J503" s="15"/>
      <c r="K503" s="47"/>
      <c r="L503" s="76"/>
      <c r="M503" s="76"/>
      <c r="N503" s="78" t="str">
        <f>_xlfn.LET(
    _xlpm.itemBuscado, B503,
    _xlpm.areaBuscada, C503,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TEXT(COUNTIF($C$2:C503, _xlpm.areaBuscada), "0000"),
    _xlpm.codItem &amp; "-" &amp; _xlpm.codArea &amp; "-" &amp; _xlpm.secuencia
)</f>
        <v>-SinArea-0000</v>
      </c>
      <c r="O503" s="77"/>
      <c r="P503" s="32"/>
      <c r="Q503" s="32"/>
      <c r="R503" s="32"/>
      <c r="S503" s="32"/>
    </row>
    <row r="504" spans="3:19" x14ac:dyDescent="0.3">
      <c r="C504" s="11"/>
      <c r="D504" s="32"/>
      <c r="E504" s="11"/>
      <c r="F504" t="str">
        <f>_xlfn.TEXTJOIN(", ",TRUE, Tabla38[[#This Row],[Tipo de escalera]],Tabla38[[#This Row],[Longitud]],Tabla38[[#This Row],[Carga Maxima]])</f>
        <v/>
      </c>
      <c r="G504" s="15"/>
      <c r="J504" s="15"/>
      <c r="K504" s="47"/>
      <c r="L504" s="76"/>
      <c r="M504" s="76"/>
      <c r="N504" s="78" t="str">
        <f>_xlfn.LET(
    _xlpm.itemBuscado, B504,
    _xlpm.areaBuscada, C504,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TEXT(COUNTIF($C$2:C504, _xlpm.areaBuscada), "0000"),
    _xlpm.codItem &amp; "-" &amp; _xlpm.codArea &amp; "-" &amp; _xlpm.secuencia
)</f>
        <v>-SinArea-0000</v>
      </c>
      <c r="O504" s="77"/>
      <c r="P504" s="32"/>
      <c r="Q504" s="32"/>
      <c r="R504" s="32"/>
      <c r="S504" s="32"/>
    </row>
    <row r="505" spans="3:19" x14ac:dyDescent="0.3">
      <c r="C505" s="11"/>
      <c r="D505" s="32"/>
      <c r="E505" s="11"/>
      <c r="F505" t="str">
        <f>_xlfn.TEXTJOIN(", ",TRUE, Tabla38[[#This Row],[Tipo de escalera]],Tabla38[[#This Row],[Longitud]],Tabla38[[#This Row],[Carga Maxima]])</f>
        <v/>
      </c>
      <c r="G505" s="15"/>
      <c r="J505" s="15"/>
      <c r="K505" s="47"/>
      <c r="L505" s="76"/>
      <c r="M505" s="76"/>
      <c r="N505" s="78" t="str">
        <f>_xlfn.LET(
    _xlpm.itemBuscado, B505,
    _xlpm.areaBuscada, C505,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TEXT(COUNTIF($C$2:C505, _xlpm.areaBuscada), "0000"),
    _xlpm.codItem &amp; "-" &amp; _xlpm.codArea &amp; "-" &amp; _xlpm.secuencia
)</f>
        <v>-SinArea-0000</v>
      </c>
      <c r="O505" s="77"/>
      <c r="P505" s="32"/>
      <c r="Q505" s="32"/>
      <c r="R505" s="32"/>
      <c r="S505" s="32"/>
    </row>
    <row r="506" spans="3:19" x14ac:dyDescent="0.3">
      <c r="C506" s="11"/>
      <c r="D506" s="32"/>
      <c r="E506" s="11"/>
      <c r="F506" t="str">
        <f>_xlfn.TEXTJOIN(", ",TRUE, Tabla38[[#This Row],[Tipo de escalera]],Tabla38[[#This Row],[Longitud]],Tabla38[[#This Row],[Carga Maxima]])</f>
        <v/>
      </c>
      <c r="G506" s="15"/>
      <c r="J506" s="15"/>
      <c r="K506" s="47"/>
      <c r="L506" s="76"/>
      <c r="M506" s="76"/>
      <c r="N506" s="78" t="str">
        <f>_xlfn.LET(
    _xlpm.itemBuscado, B506,
    _xlpm.areaBuscada, C506,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TEXT(COUNTIF($C$2:C506, _xlpm.areaBuscada), "0000"),
    _xlpm.codItem &amp; "-" &amp; _xlpm.codArea &amp; "-" &amp; _xlpm.secuencia
)</f>
        <v>-SinArea-0000</v>
      </c>
      <c r="O506" s="77"/>
      <c r="P506" s="32"/>
      <c r="Q506" s="32"/>
      <c r="R506" s="32"/>
      <c r="S506" s="32"/>
    </row>
    <row r="507" spans="3:19" x14ac:dyDescent="0.3">
      <c r="C507" s="11"/>
      <c r="D507" s="32"/>
      <c r="E507" s="11"/>
      <c r="F507" t="str">
        <f>_xlfn.TEXTJOIN(", ",TRUE, Tabla38[[#This Row],[Tipo de escalera]],Tabla38[[#This Row],[Longitud]],Tabla38[[#This Row],[Carga Maxima]])</f>
        <v/>
      </c>
      <c r="G507" s="15"/>
      <c r="J507" s="15"/>
      <c r="K507" s="47"/>
      <c r="L507" s="76"/>
      <c r="M507" s="76"/>
      <c r="N507" s="78" t="str">
        <f>_xlfn.LET(
    _xlpm.itemBuscado, B507,
    _xlpm.areaBuscada, C507,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TEXT(COUNTIF($C$2:C507, _xlpm.areaBuscada), "0000"),
    _xlpm.codItem &amp; "-" &amp; _xlpm.codArea &amp; "-" &amp; _xlpm.secuencia
)</f>
        <v>-SinArea-0000</v>
      </c>
      <c r="O507" s="77"/>
      <c r="P507" s="32"/>
      <c r="Q507" s="32"/>
      <c r="R507" s="32"/>
      <c r="S507" s="32"/>
    </row>
    <row r="508" spans="3:19" x14ac:dyDescent="0.3">
      <c r="C508" s="11"/>
      <c r="D508" s="32"/>
      <c r="E508" s="11"/>
      <c r="F508" t="str">
        <f>_xlfn.TEXTJOIN(", ",TRUE, Tabla38[[#This Row],[Tipo de escalera]],Tabla38[[#This Row],[Longitud]],Tabla38[[#This Row],[Carga Maxima]])</f>
        <v/>
      </c>
      <c r="G508" s="15"/>
      <c r="J508" s="15"/>
      <c r="K508" s="47"/>
      <c r="L508" s="76"/>
      <c r="M508" s="76"/>
      <c r="N508" s="78" t="str">
        <f>_xlfn.LET(
    _xlpm.itemBuscado, B508,
    _xlpm.areaBuscada, C508,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TEXT(COUNTIF($C$2:C508, _xlpm.areaBuscada), "0000"),
    _xlpm.codItem &amp; "-" &amp; _xlpm.codArea &amp; "-" &amp; _xlpm.secuencia
)</f>
        <v>-SinArea-0000</v>
      </c>
      <c r="O508" s="77"/>
      <c r="P508" s="32"/>
      <c r="Q508" s="32"/>
      <c r="R508" s="32"/>
      <c r="S508" s="32"/>
    </row>
    <row r="509" spans="3:19" x14ac:dyDescent="0.3">
      <c r="C509" s="11"/>
      <c r="D509" s="32"/>
      <c r="E509" s="11"/>
      <c r="F509" t="str">
        <f>_xlfn.TEXTJOIN(", ",TRUE, Tabla38[[#This Row],[Tipo de escalera]],Tabla38[[#This Row],[Longitud]],Tabla38[[#This Row],[Carga Maxima]])</f>
        <v/>
      </c>
      <c r="G509" s="15"/>
      <c r="J509" s="15"/>
      <c r="K509" s="47"/>
      <c r="L509" s="76"/>
      <c r="M509" s="76"/>
      <c r="N509" s="78" t="str">
        <f>_xlfn.LET(
    _xlpm.itemBuscado, B509,
    _xlpm.areaBuscada, C509,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TEXT(COUNTIF($C$2:C509, _xlpm.areaBuscada), "0000"),
    _xlpm.codItem &amp; "-" &amp; _xlpm.codArea &amp; "-" &amp; _xlpm.secuencia
)</f>
        <v>-SinArea-0000</v>
      </c>
      <c r="O509" s="77"/>
      <c r="P509" s="32"/>
      <c r="Q509" s="32"/>
      <c r="R509" s="32"/>
      <c r="S509" s="32"/>
    </row>
    <row r="510" spans="3:19" x14ac:dyDescent="0.3">
      <c r="C510" s="11"/>
      <c r="D510" s="32"/>
      <c r="E510" s="11"/>
      <c r="F510" t="str">
        <f>_xlfn.TEXTJOIN(", ",TRUE, Tabla38[[#This Row],[Tipo de escalera]],Tabla38[[#This Row],[Longitud]],Tabla38[[#This Row],[Carga Maxima]])</f>
        <v/>
      </c>
      <c r="G510" s="15"/>
      <c r="J510" s="15"/>
      <c r="K510" s="47"/>
      <c r="L510" s="76"/>
      <c r="M510" s="76"/>
      <c r="N510" s="78" t="str">
        <f>_xlfn.LET(
    _xlpm.itemBuscado, B510,
    _xlpm.areaBuscada, C510,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TEXT(COUNTIF($C$2:C510, _xlpm.areaBuscada), "0000"),
    _xlpm.codItem &amp; "-" &amp; _xlpm.codArea &amp; "-" &amp; _xlpm.secuencia
)</f>
        <v>-SinArea-0000</v>
      </c>
      <c r="O510" s="77"/>
      <c r="P510" s="32"/>
      <c r="Q510" s="32"/>
      <c r="R510" s="32"/>
      <c r="S510" s="32"/>
    </row>
    <row r="511" spans="3:19" x14ac:dyDescent="0.3">
      <c r="C511" s="11"/>
      <c r="D511" s="32"/>
      <c r="E511" s="11"/>
      <c r="F511" t="str">
        <f>_xlfn.TEXTJOIN(", ",TRUE, Tabla38[[#This Row],[Tipo de escalera]],Tabla38[[#This Row],[Longitud]],Tabla38[[#This Row],[Carga Maxima]])</f>
        <v/>
      </c>
      <c r="G511" s="15"/>
      <c r="J511" s="15"/>
      <c r="K511" s="47"/>
      <c r="L511" s="76"/>
      <c r="M511" s="76"/>
      <c r="N511" s="78" t="str">
        <f>_xlfn.LET(
    _xlpm.itemBuscado, B511,
    _xlpm.areaBuscada, C511,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TEXT(COUNTIF($C$2:C511, _xlpm.areaBuscada), "0000"),
    _xlpm.codItem &amp; "-" &amp; _xlpm.codArea &amp; "-" &amp; _xlpm.secuencia
)</f>
        <v>-SinArea-0000</v>
      </c>
      <c r="O511" s="77"/>
      <c r="P511" s="32"/>
      <c r="Q511" s="32"/>
      <c r="R511" s="32"/>
      <c r="S511" s="32"/>
    </row>
    <row r="512" spans="3:19" x14ac:dyDescent="0.3">
      <c r="C512" s="11"/>
      <c r="D512" s="32"/>
      <c r="E512" s="11"/>
      <c r="F512" t="str">
        <f>_xlfn.TEXTJOIN(", ",TRUE, Tabla38[[#This Row],[Tipo de escalera]],Tabla38[[#This Row],[Longitud]],Tabla38[[#This Row],[Carga Maxima]])</f>
        <v/>
      </c>
      <c r="G512" s="15"/>
      <c r="J512" s="15"/>
      <c r="K512" s="47"/>
      <c r="L512" s="76"/>
      <c r="M512" s="76"/>
      <c r="N512" s="78" t="str">
        <f>_xlfn.LET(
    _xlpm.itemBuscado, B512,
    _xlpm.areaBuscada, C512,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TEXT(COUNTIF($C$2:C512, _xlpm.areaBuscada), "0000"),
    _xlpm.codItem &amp; "-" &amp; _xlpm.codArea &amp; "-" &amp; _xlpm.secuencia
)</f>
        <v>-SinArea-0000</v>
      </c>
      <c r="O512" s="77"/>
      <c r="P512" s="32"/>
      <c r="Q512" s="32"/>
      <c r="R512" s="32"/>
      <c r="S512" s="32"/>
    </row>
    <row r="513" spans="3:19" x14ac:dyDescent="0.3">
      <c r="C513" s="11"/>
      <c r="D513" s="32"/>
      <c r="E513" s="11"/>
      <c r="F513" t="str">
        <f>_xlfn.TEXTJOIN(", ",TRUE, Tabla38[[#This Row],[Tipo de escalera]],Tabla38[[#This Row],[Longitud]],Tabla38[[#This Row],[Carga Maxima]])</f>
        <v/>
      </c>
      <c r="G513" s="15"/>
      <c r="J513" s="15"/>
      <c r="K513" s="47"/>
      <c r="L513" s="76"/>
      <c r="M513" s="76"/>
      <c r="N513" s="78" t="str">
        <f>_xlfn.LET(
    _xlpm.itemBuscado, B513,
    _xlpm.areaBuscada, C513,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TEXT(COUNTIF($C$2:C513, _xlpm.areaBuscada), "0000"),
    _xlpm.codItem &amp; "-" &amp; _xlpm.codArea &amp; "-" &amp; _xlpm.secuencia
)</f>
        <v>-SinArea-0000</v>
      </c>
      <c r="O513" s="77"/>
      <c r="P513" s="32"/>
      <c r="Q513" s="32"/>
      <c r="R513" s="32"/>
      <c r="S513" s="32"/>
    </row>
    <row r="514" spans="3:19" x14ac:dyDescent="0.3">
      <c r="C514" s="11"/>
      <c r="D514" s="32"/>
      <c r="E514" s="11"/>
      <c r="F514" t="str">
        <f>_xlfn.TEXTJOIN(", ",TRUE, Tabla38[[#This Row],[Tipo de escalera]],Tabla38[[#This Row],[Longitud]],Tabla38[[#This Row],[Carga Maxima]])</f>
        <v/>
      </c>
      <c r="G514" s="15"/>
      <c r="J514" s="15"/>
      <c r="K514" s="47"/>
      <c r="L514" s="76"/>
      <c r="M514" s="76"/>
      <c r="N514" s="78" t="str">
        <f>_xlfn.LET(
    _xlpm.itemBuscado, B514,
    _xlpm.areaBuscada, C514,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TEXT(COUNTIF($C$2:C514, _xlpm.areaBuscada), "0000"),
    _xlpm.codItem &amp; "-" &amp; _xlpm.codArea &amp; "-" &amp; _xlpm.secuencia
)</f>
        <v>-SinArea-0000</v>
      </c>
      <c r="O514" s="77"/>
      <c r="P514" s="32"/>
      <c r="Q514" s="32"/>
      <c r="R514" s="32"/>
      <c r="S514" s="32"/>
    </row>
    <row r="515" spans="3:19" x14ac:dyDescent="0.3">
      <c r="C515" s="11"/>
      <c r="D515" s="32"/>
      <c r="E515" s="11"/>
      <c r="F515" t="str">
        <f>_xlfn.TEXTJOIN(", ",TRUE, Tabla38[[#This Row],[Tipo de escalera]],Tabla38[[#This Row],[Longitud]],Tabla38[[#This Row],[Carga Maxima]])</f>
        <v/>
      </c>
      <c r="G515" s="15"/>
      <c r="J515" s="15"/>
      <c r="K515" s="47"/>
      <c r="L515" s="76"/>
      <c r="M515" s="76"/>
      <c r="N515" s="78" t="str">
        <f>_xlfn.LET(
    _xlpm.itemBuscado, B515,
    _xlpm.areaBuscada, C515,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TEXT(COUNTIF($C$2:C515, _xlpm.areaBuscada), "0000"),
    _xlpm.codItem &amp; "-" &amp; _xlpm.codArea &amp; "-" &amp; _xlpm.secuencia
)</f>
        <v>-SinArea-0000</v>
      </c>
      <c r="O515" s="77"/>
      <c r="P515" s="32"/>
      <c r="Q515" s="32"/>
      <c r="R515" s="32"/>
      <c r="S515" s="32"/>
    </row>
    <row r="516" spans="3:19" x14ac:dyDescent="0.3">
      <c r="C516" s="11"/>
      <c r="D516" s="32"/>
      <c r="E516" s="11"/>
      <c r="F516" t="str">
        <f>_xlfn.TEXTJOIN(", ",TRUE, Tabla38[[#This Row],[Tipo de escalera]],Tabla38[[#This Row],[Longitud]],Tabla38[[#This Row],[Carga Maxima]])</f>
        <v/>
      </c>
      <c r="G516" s="15"/>
      <c r="J516" s="15"/>
      <c r="K516" s="47"/>
      <c r="L516" s="76"/>
      <c r="M516" s="76"/>
      <c r="N516" s="78" t="str">
        <f>_xlfn.LET(
    _xlpm.itemBuscado, B516,
    _xlpm.areaBuscada, C516,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TEXT(COUNTIF($C$2:C516, _xlpm.areaBuscada), "0000"),
    _xlpm.codItem &amp; "-" &amp; _xlpm.codArea &amp; "-" &amp; _xlpm.secuencia
)</f>
        <v>-SinArea-0000</v>
      </c>
      <c r="O516" s="77"/>
      <c r="P516" s="32"/>
      <c r="Q516" s="32"/>
      <c r="R516" s="32"/>
      <c r="S516" s="32"/>
    </row>
    <row r="517" spans="3:19" x14ac:dyDescent="0.3">
      <c r="C517" s="11"/>
      <c r="D517" s="32"/>
      <c r="E517" s="11"/>
      <c r="F517" t="str">
        <f>_xlfn.TEXTJOIN(", ",TRUE, Tabla38[[#This Row],[Tipo de escalera]],Tabla38[[#This Row],[Longitud]],Tabla38[[#This Row],[Carga Maxima]])</f>
        <v/>
      </c>
      <c r="G517" s="15"/>
      <c r="J517" s="15"/>
      <c r="K517" s="47"/>
      <c r="L517" s="76"/>
      <c r="M517" s="76"/>
      <c r="N517" s="78" t="str">
        <f>_xlfn.LET(
    _xlpm.itemBuscado, B517,
    _xlpm.areaBuscada, C517,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TEXT(COUNTIF($C$2:C517, _xlpm.areaBuscada), "0000"),
    _xlpm.codItem &amp; "-" &amp; _xlpm.codArea &amp; "-" &amp; _xlpm.secuencia
)</f>
        <v>-SinArea-0000</v>
      </c>
      <c r="O517" s="77"/>
      <c r="P517" s="32"/>
      <c r="Q517" s="32"/>
      <c r="R517" s="32"/>
      <c r="S517" s="32"/>
    </row>
    <row r="518" spans="3:19" x14ac:dyDescent="0.3">
      <c r="C518" s="11"/>
      <c r="D518" s="32"/>
      <c r="E518" s="11"/>
      <c r="F518" t="str">
        <f>_xlfn.TEXTJOIN(", ",TRUE, Tabla38[[#This Row],[Tipo de escalera]],Tabla38[[#This Row],[Longitud]],Tabla38[[#This Row],[Carga Maxima]])</f>
        <v/>
      </c>
      <c r="G518" s="15"/>
      <c r="J518" s="15"/>
      <c r="K518" s="47"/>
      <c r="L518" s="76"/>
      <c r="M518" s="76"/>
      <c r="N518" s="78" t="str">
        <f>_xlfn.LET(
    _xlpm.itemBuscado, B518,
    _xlpm.areaBuscada, C518,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TEXT(COUNTIF($C$2:C518, _xlpm.areaBuscada), "0000"),
    _xlpm.codItem &amp; "-" &amp; _xlpm.codArea &amp; "-" &amp; _xlpm.secuencia
)</f>
        <v>-SinArea-0000</v>
      </c>
      <c r="O518" s="77"/>
      <c r="P518" s="32"/>
      <c r="Q518" s="32"/>
      <c r="R518" s="32"/>
      <c r="S518" s="32"/>
    </row>
    <row r="519" spans="3:19" x14ac:dyDescent="0.3">
      <c r="C519" s="11"/>
      <c r="D519" s="32"/>
      <c r="E519" s="11"/>
      <c r="F519" t="str">
        <f>_xlfn.TEXTJOIN(", ",TRUE, Tabla38[[#This Row],[Tipo de escalera]],Tabla38[[#This Row],[Longitud]],Tabla38[[#This Row],[Carga Maxima]])</f>
        <v/>
      </c>
      <c r="G519" s="15"/>
      <c r="J519" s="15"/>
      <c r="K519" s="47"/>
      <c r="L519" s="76"/>
      <c r="M519" s="76"/>
      <c r="N519" s="78" t="str">
        <f>_xlfn.LET(
    _xlpm.itemBuscado, B519,
    _xlpm.areaBuscada, C519,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TEXT(COUNTIF($C$2:C519, _xlpm.areaBuscada), "0000"),
    _xlpm.codItem &amp; "-" &amp; _xlpm.codArea &amp; "-" &amp; _xlpm.secuencia
)</f>
        <v>-SinArea-0000</v>
      </c>
      <c r="O519" s="77"/>
      <c r="P519" s="32"/>
      <c r="Q519" s="32"/>
      <c r="R519" s="32"/>
      <c r="S519" s="32"/>
    </row>
    <row r="520" spans="3:19" x14ac:dyDescent="0.3">
      <c r="C520" s="11"/>
      <c r="D520" s="32"/>
      <c r="E520" s="11"/>
      <c r="F520" t="str">
        <f>_xlfn.TEXTJOIN(", ",TRUE, Tabla38[[#This Row],[Tipo de escalera]],Tabla38[[#This Row],[Longitud]],Tabla38[[#This Row],[Carga Maxima]])</f>
        <v/>
      </c>
      <c r="G520" s="15"/>
      <c r="J520" s="15"/>
      <c r="K520" s="47"/>
      <c r="L520" s="76"/>
      <c r="M520" s="76"/>
      <c r="N520" s="78" t="str">
        <f>_xlfn.LET(
    _xlpm.itemBuscado, B520,
    _xlpm.areaBuscada, C520,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TEXT(COUNTIF($C$2:C520, _xlpm.areaBuscada), "0000"),
    _xlpm.codItem &amp; "-" &amp; _xlpm.codArea &amp; "-" &amp; _xlpm.secuencia
)</f>
        <v>-SinArea-0000</v>
      </c>
      <c r="O520" s="77"/>
      <c r="P520" s="32"/>
      <c r="Q520" s="32"/>
      <c r="R520" s="32"/>
      <c r="S520" s="32"/>
    </row>
    <row r="521" spans="3:19" x14ac:dyDescent="0.3">
      <c r="C521" s="11"/>
      <c r="D521" s="32"/>
      <c r="E521" s="11"/>
      <c r="F521" t="str">
        <f>_xlfn.TEXTJOIN(", ",TRUE, Tabla38[[#This Row],[Tipo de escalera]],Tabla38[[#This Row],[Longitud]],Tabla38[[#This Row],[Carga Maxima]])</f>
        <v/>
      </c>
      <c r="G521" s="15"/>
      <c r="J521" s="15"/>
      <c r="K521" s="47"/>
      <c r="L521" s="76"/>
      <c r="M521" s="76"/>
      <c r="N521" s="78" t="str">
        <f>_xlfn.LET(
    _xlpm.itemBuscado, B521,
    _xlpm.areaBuscada, C521,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TEXT(COUNTIF($C$2:C521, _xlpm.areaBuscada), "0000"),
    _xlpm.codItem &amp; "-" &amp; _xlpm.codArea &amp; "-" &amp; _xlpm.secuencia
)</f>
        <v>-SinArea-0000</v>
      </c>
      <c r="O521" s="77"/>
      <c r="P521" s="32"/>
      <c r="Q521" s="32"/>
      <c r="R521" s="32"/>
      <c r="S521" s="32"/>
    </row>
    <row r="522" spans="3:19" x14ac:dyDescent="0.3">
      <c r="C522" s="11"/>
      <c r="D522" s="32"/>
      <c r="E522" s="11"/>
      <c r="F522" t="str">
        <f>_xlfn.TEXTJOIN(", ",TRUE, Tabla38[[#This Row],[Tipo de escalera]],Tabla38[[#This Row],[Longitud]],Tabla38[[#This Row],[Carga Maxima]])</f>
        <v/>
      </c>
      <c r="G522" s="15"/>
      <c r="J522" s="15"/>
      <c r="K522" s="47"/>
      <c r="L522" s="76"/>
      <c r="M522" s="76"/>
      <c r="N522" s="78" t="str">
        <f>_xlfn.LET(
    _xlpm.itemBuscado, B522,
    _xlpm.areaBuscada, C522,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TEXT(COUNTIF($C$2:C522, _xlpm.areaBuscada), "0000"),
    _xlpm.codItem &amp; "-" &amp; _xlpm.codArea &amp; "-" &amp; _xlpm.secuencia
)</f>
        <v>-SinArea-0000</v>
      </c>
      <c r="O522" s="77"/>
      <c r="P522" s="32"/>
      <c r="Q522" s="32"/>
      <c r="R522" s="32"/>
      <c r="S522" s="32"/>
    </row>
    <row r="523" spans="3:19" x14ac:dyDescent="0.3">
      <c r="C523" s="11"/>
      <c r="D523" s="32"/>
      <c r="E523" s="11"/>
      <c r="F523" t="str">
        <f>_xlfn.TEXTJOIN(", ",TRUE, Tabla38[[#This Row],[Tipo de escalera]],Tabla38[[#This Row],[Longitud]],Tabla38[[#This Row],[Carga Maxima]])</f>
        <v/>
      </c>
      <c r="G523" s="15"/>
      <c r="J523" s="15"/>
      <c r="K523" s="47"/>
      <c r="L523" s="76"/>
      <c r="M523" s="76"/>
      <c r="N523" s="78" t="str">
        <f>_xlfn.LET(
    _xlpm.itemBuscado, B523,
    _xlpm.areaBuscada, C523,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TEXT(COUNTIF($C$2:C523, _xlpm.areaBuscada), "0000"),
    _xlpm.codItem &amp; "-" &amp; _xlpm.codArea &amp; "-" &amp; _xlpm.secuencia
)</f>
        <v>-SinArea-0000</v>
      </c>
      <c r="O523" s="77"/>
      <c r="P523" s="32"/>
      <c r="Q523" s="32"/>
      <c r="R523" s="32"/>
      <c r="S523" s="32"/>
    </row>
    <row r="524" spans="3:19" x14ac:dyDescent="0.3">
      <c r="C524" s="11"/>
      <c r="D524" s="32"/>
      <c r="E524" s="11"/>
      <c r="F524" t="str">
        <f>_xlfn.TEXTJOIN(", ",TRUE, Tabla38[[#This Row],[Tipo de escalera]],Tabla38[[#This Row],[Longitud]],Tabla38[[#This Row],[Carga Maxima]])</f>
        <v/>
      </c>
      <c r="G524" s="15"/>
      <c r="J524" s="15"/>
      <c r="K524" s="47"/>
      <c r="L524" s="76"/>
      <c r="M524" s="76"/>
      <c r="N524" s="78" t="str">
        <f>_xlfn.LET(
    _xlpm.itemBuscado, B524,
    _xlpm.areaBuscada, C524,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TEXT(COUNTIF($C$2:C524, _xlpm.areaBuscada), "0000"),
    _xlpm.codItem &amp; "-" &amp; _xlpm.codArea &amp; "-" &amp; _xlpm.secuencia
)</f>
        <v>-SinArea-0000</v>
      </c>
      <c r="O524" s="77"/>
      <c r="P524" s="32"/>
      <c r="Q524" s="32"/>
      <c r="R524" s="32"/>
      <c r="S524" s="32"/>
    </row>
    <row r="525" spans="3:19" x14ac:dyDescent="0.3">
      <c r="C525" s="11"/>
      <c r="D525" s="32"/>
      <c r="E525" s="11"/>
      <c r="F525" t="str">
        <f>_xlfn.TEXTJOIN(", ",TRUE, Tabla38[[#This Row],[Tipo de escalera]],Tabla38[[#This Row],[Longitud]],Tabla38[[#This Row],[Carga Maxima]])</f>
        <v/>
      </c>
      <c r="G525" s="15"/>
      <c r="J525" s="15"/>
      <c r="K525" s="47"/>
      <c r="L525" s="76"/>
      <c r="M525" s="76"/>
      <c r="N525" s="78" t="str">
        <f>_xlfn.LET(
    _xlpm.itemBuscado, B525,
    _xlpm.areaBuscada, C525,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TEXT(COUNTIF($C$2:C525, _xlpm.areaBuscada), "0000"),
    _xlpm.codItem &amp; "-" &amp; _xlpm.codArea &amp; "-" &amp; _xlpm.secuencia
)</f>
        <v>-SinArea-0000</v>
      </c>
      <c r="O525" s="77"/>
      <c r="P525" s="32"/>
      <c r="Q525" s="32"/>
      <c r="R525" s="32"/>
      <c r="S525" s="32"/>
    </row>
    <row r="526" spans="3:19" x14ac:dyDescent="0.3">
      <c r="C526" s="11"/>
      <c r="D526" s="32"/>
      <c r="E526" s="11"/>
      <c r="F526" t="str">
        <f>_xlfn.TEXTJOIN(", ",TRUE, Tabla38[[#This Row],[Tipo de escalera]],Tabla38[[#This Row],[Longitud]],Tabla38[[#This Row],[Carga Maxima]])</f>
        <v/>
      </c>
      <c r="G526" s="15"/>
      <c r="J526" s="15"/>
      <c r="K526" s="47"/>
      <c r="L526" s="76"/>
      <c r="M526" s="76"/>
      <c r="N526" s="78" t="str">
        <f>_xlfn.LET(
    _xlpm.itemBuscado, B526,
    _xlpm.areaBuscada, C526,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TEXT(COUNTIF($C$2:C526, _xlpm.areaBuscada), "0000"),
    _xlpm.codItem &amp; "-" &amp; _xlpm.codArea &amp; "-" &amp; _xlpm.secuencia
)</f>
        <v>-SinArea-0000</v>
      </c>
      <c r="O526" s="77"/>
      <c r="P526" s="32"/>
      <c r="Q526" s="32"/>
      <c r="R526" s="32"/>
      <c r="S526" s="32"/>
    </row>
    <row r="527" spans="3:19" x14ac:dyDescent="0.3">
      <c r="C527" s="11"/>
      <c r="D527" s="32"/>
      <c r="E527" s="11"/>
      <c r="F527" t="str">
        <f>_xlfn.TEXTJOIN(", ",TRUE, Tabla38[[#This Row],[Tipo de escalera]],Tabla38[[#This Row],[Longitud]],Tabla38[[#This Row],[Carga Maxima]])</f>
        <v/>
      </c>
      <c r="G527" s="15"/>
      <c r="J527" s="15"/>
      <c r="K527" s="47"/>
      <c r="L527" s="76"/>
      <c r="M527" s="76"/>
      <c r="N527" s="78" t="str">
        <f>_xlfn.LET(
    _xlpm.itemBuscado, B527,
    _xlpm.areaBuscada, C527,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TEXT(COUNTIF($C$2:C527, _xlpm.areaBuscada), "0000"),
    _xlpm.codItem &amp; "-" &amp; _xlpm.codArea &amp; "-" &amp; _xlpm.secuencia
)</f>
        <v>-SinArea-0000</v>
      </c>
      <c r="O527" s="77"/>
      <c r="P527" s="32"/>
      <c r="Q527" s="32"/>
      <c r="R527" s="32"/>
      <c r="S527" s="32"/>
    </row>
    <row r="528" spans="3:19" x14ac:dyDescent="0.3">
      <c r="C528" s="11"/>
      <c r="D528" s="32"/>
      <c r="E528" s="11"/>
      <c r="F528" t="str">
        <f>_xlfn.TEXTJOIN(", ",TRUE, Tabla38[[#This Row],[Tipo de escalera]],Tabla38[[#This Row],[Longitud]],Tabla38[[#This Row],[Carga Maxima]])</f>
        <v/>
      </c>
      <c r="G528" s="15"/>
      <c r="J528" s="15"/>
      <c r="K528" s="47"/>
      <c r="L528" s="76"/>
      <c r="M528" s="76"/>
      <c r="N528" s="78" t="str">
        <f>_xlfn.LET(
    _xlpm.itemBuscado, B528,
    _xlpm.areaBuscada, C528,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TEXT(COUNTIF($C$2:C528, _xlpm.areaBuscada), "0000"),
    _xlpm.codItem &amp; "-" &amp; _xlpm.codArea &amp; "-" &amp; _xlpm.secuencia
)</f>
        <v>-SinArea-0000</v>
      </c>
      <c r="O528" s="77"/>
      <c r="P528" s="32"/>
      <c r="Q528" s="32"/>
      <c r="R528" s="32"/>
      <c r="S528" s="32"/>
    </row>
    <row r="529" spans="3:19" x14ac:dyDescent="0.3">
      <c r="C529" s="11"/>
      <c r="D529" s="32"/>
      <c r="E529" s="11"/>
      <c r="F529" t="str">
        <f>_xlfn.TEXTJOIN(", ",TRUE, Tabla38[[#This Row],[Tipo de escalera]],Tabla38[[#This Row],[Longitud]],Tabla38[[#This Row],[Carga Maxima]])</f>
        <v/>
      </c>
      <c r="G529" s="15"/>
      <c r="J529" s="15"/>
      <c r="K529" s="47"/>
      <c r="L529" s="76"/>
      <c r="M529" s="76"/>
      <c r="N529" s="78" t="str">
        <f>_xlfn.LET(
    _xlpm.itemBuscado, B529,
    _xlpm.areaBuscada, C529,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TEXT(COUNTIF($C$2:C529, _xlpm.areaBuscada), "0000"),
    _xlpm.codItem &amp; "-" &amp; _xlpm.codArea &amp; "-" &amp; _xlpm.secuencia
)</f>
        <v>-SinArea-0000</v>
      </c>
      <c r="O529" s="77"/>
      <c r="P529" s="32"/>
      <c r="Q529" s="32"/>
      <c r="R529" s="32"/>
      <c r="S529" s="32"/>
    </row>
    <row r="530" spans="3:19" x14ac:dyDescent="0.3">
      <c r="C530" s="11"/>
      <c r="D530" s="32"/>
      <c r="E530" s="11"/>
      <c r="F530" t="str">
        <f>_xlfn.TEXTJOIN(", ",TRUE, Tabla38[[#This Row],[Tipo de escalera]],Tabla38[[#This Row],[Longitud]],Tabla38[[#This Row],[Carga Maxima]])</f>
        <v/>
      </c>
      <c r="G530" s="15"/>
      <c r="J530" s="15"/>
      <c r="K530" s="47"/>
      <c r="L530" s="76"/>
      <c r="M530" s="76"/>
      <c r="N530" s="78" t="str">
        <f>_xlfn.LET(
    _xlpm.itemBuscado, B530,
    _xlpm.areaBuscada, C530,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TEXT(COUNTIF($C$2:C530, _xlpm.areaBuscada), "0000"),
    _xlpm.codItem &amp; "-" &amp; _xlpm.codArea &amp; "-" &amp; _xlpm.secuencia
)</f>
        <v>-SinArea-0000</v>
      </c>
      <c r="O530" s="77"/>
      <c r="P530" s="32"/>
      <c r="Q530" s="32"/>
      <c r="R530" s="32"/>
      <c r="S530" s="32"/>
    </row>
    <row r="531" spans="3:19" x14ac:dyDescent="0.3">
      <c r="C531" s="11"/>
      <c r="D531" s="32"/>
      <c r="E531" s="11"/>
      <c r="F531" t="str">
        <f>_xlfn.TEXTJOIN(", ",TRUE, Tabla38[[#This Row],[Tipo de escalera]],Tabla38[[#This Row],[Longitud]],Tabla38[[#This Row],[Carga Maxima]])</f>
        <v/>
      </c>
      <c r="G531" s="15"/>
      <c r="J531" s="15"/>
      <c r="K531" s="47"/>
      <c r="L531" s="76"/>
      <c r="M531" s="76"/>
      <c r="N531" s="78" t="str">
        <f>_xlfn.LET(
    _xlpm.itemBuscado, B531,
    _xlpm.areaBuscada, C531,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TEXT(COUNTIF($C$2:C531, _xlpm.areaBuscada), "0000"),
    _xlpm.codItem &amp; "-" &amp; _xlpm.codArea &amp; "-" &amp; _xlpm.secuencia
)</f>
        <v>-SinArea-0000</v>
      </c>
      <c r="O531" s="77"/>
      <c r="P531" s="32"/>
      <c r="Q531" s="32"/>
      <c r="R531" s="32"/>
      <c r="S531" s="32"/>
    </row>
    <row r="532" spans="3:19" x14ac:dyDescent="0.3">
      <c r="C532" s="11"/>
      <c r="D532" s="32"/>
      <c r="E532" s="11"/>
      <c r="F532" t="str">
        <f>_xlfn.TEXTJOIN(", ",TRUE, Tabla38[[#This Row],[Tipo de escalera]],Tabla38[[#This Row],[Longitud]],Tabla38[[#This Row],[Carga Maxima]])</f>
        <v/>
      </c>
      <c r="G532" s="15"/>
      <c r="J532" s="15"/>
      <c r="K532" s="47"/>
      <c r="L532" s="76"/>
      <c r="M532" s="76"/>
      <c r="N532" s="78" t="str">
        <f>_xlfn.LET(
    _xlpm.itemBuscado, B532,
    _xlpm.areaBuscada, C532,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TEXT(COUNTIF($C$2:C532, _xlpm.areaBuscada), "0000"),
    _xlpm.codItem &amp; "-" &amp; _xlpm.codArea &amp; "-" &amp; _xlpm.secuencia
)</f>
        <v>-SinArea-0000</v>
      </c>
      <c r="O532" s="77"/>
      <c r="P532" s="32"/>
      <c r="Q532" s="32"/>
      <c r="R532" s="32"/>
      <c r="S532" s="32"/>
    </row>
    <row r="533" spans="3:19" x14ac:dyDescent="0.3">
      <c r="C533" s="11"/>
      <c r="D533" s="32"/>
      <c r="E533" s="11"/>
      <c r="F533" t="str">
        <f>_xlfn.TEXTJOIN(", ",TRUE, Tabla38[[#This Row],[Tipo de escalera]],Tabla38[[#This Row],[Longitud]],Tabla38[[#This Row],[Carga Maxima]])</f>
        <v/>
      </c>
      <c r="G533" s="15"/>
      <c r="J533" s="15"/>
      <c r="K533" s="47"/>
      <c r="L533" s="76"/>
      <c r="M533" s="76"/>
      <c r="N533" s="78" t="str">
        <f>_xlfn.LET(
    _xlpm.itemBuscado, B533,
    _xlpm.areaBuscada, C533,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TEXT(COUNTIF($C$2:C533, _xlpm.areaBuscada), "0000"),
    _xlpm.codItem &amp; "-" &amp; _xlpm.codArea &amp; "-" &amp; _xlpm.secuencia
)</f>
        <v>-SinArea-0000</v>
      </c>
      <c r="O533" s="77"/>
      <c r="P533" s="32"/>
      <c r="Q533" s="32"/>
      <c r="R533" s="32"/>
      <c r="S533" s="32"/>
    </row>
    <row r="534" spans="3:19" x14ac:dyDescent="0.3">
      <c r="C534" s="11"/>
      <c r="D534" s="32"/>
      <c r="E534" s="11"/>
      <c r="F534" t="str">
        <f>_xlfn.TEXTJOIN(", ",TRUE, Tabla38[[#This Row],[Tipo de escalera]],Tabla38[[#This Row],[Longitud]],Tabla38[[#This Row],[Carga Maxima]])</f>
        <v/>
      </c>
      <c r="G534" s="15"/>
      <c r="J534" s="15"/>
      <c r="K534" s="78"/>
      <c r="L534" s="76"/>
      <c r="M534" s="76"/>
      <c r="N534" s="78" t="str">
        <f>_xlfn.LET(
    _xlpm.itemBuscado, B534,
    _xlpm.areaBuscada, C534,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TEXT(COUNTIF($C$2:C534, _xlpm.areaBuscada), "0000"),
    _xlpm.codItem &amp; "-" &amp; _xlpm.codArea &amp; "-" &amp; _xlpm.secuencia
)</f>
        <v>-SinArea-0000</v>
      </c>
      <c r="O534" s="77"/>
      <c r="P534" s="32"/>
      <c r="Q534" s="32"/>
      <c r="R534" s="32"/>
      <c r="S534" s="32"/>
    </row>
    <row r="535" spans="3:19" x14ac:dyDescent="0.3">
      <c r="C535" s="11"/>
      <c r="D535" s="32"/>
      <c r="E535" s="11"/>
      <c r="F535" t="str">
        <f>_xlfn.TEXTJOIN(", ",TRUE, Tabla38[[#This Row],[Tipo de escalera]],Tabla38[[#This Row],[Longitud]],Tabla38[[#This Row],[Carga Maxima]])</f>
        <v/>
      </c>
      <c r="G535" s="15"/>
      <c r="J535" s="15"/>
      <c r="K535" s="47"/>
      <c r="L535" s="76"/>
      <c r="M535" s="76"/>
      <c r="N535" s="78" t="str">
        <f>_xlfn.LET(
    _xlpm.itemBuscado, B535,
    _xlpm.areaBuscada, C535,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TEXT(COUNTIF($C$2:C535, _xlpm.areaBuscada), "0000"),
    _xlpm.codItem &amp; "-" &amp; _xlpm.codArea &amp; "-" &amp; _xlpm.secuencia
)</f>
        <v>-SinArea-0000</v>
      </c>
      <c r="O535" s="77"/>
      <c r="P535" s="32"/>
      <c r="Q535" s="32"/>
      <c r="R535" s="32"/>
      <c r="S535" s="32"/>
    </row>
    <row r="536" spans="3:19" x14ac:dyDescent="0.3">
      <c r="C536" s="11"/>
      <c r="D536" s="32"/>
      <c r="E536" s="11"/>
      <c r="F536" t="str">
        <f>_xlfn.TEXTJOIN(", ",TRUE, Tabla38[[#This Row],[Tipo de escalera]],Tabla38[[#This Row],[Longitud]],Tabla38[[#This Row],[Carga Maxima]])</f>
        <v/>
      </c>
      <c r="G536" s="15"/>
      <c r="J536" s="15"/>
      <c r="K536" s="47"/>
      <c r="L536" s="76"/>
      <c r="M536" s="76"/>
      <c r="N536" s="78" t="str">
        <f>_xlfn.LET(
    _xlpm.itemBuscado, B536,
    _xlpm.areaBuscada, C536,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TEXT(COUNTIF($C$2:C536, _xlpm.areaBuscada), "0000"),
    _xlpm.codItem &amp; "-" &amp; _xlpm.codArea &amp; "-" &amp; _xlpm.secuencia
)</f>
        <v>-SinArea-0000</v>
      </c>
      <c r="O536" s="77"/>
      <c r="P536" s="32"/>
      <c r="Q536" s="32"/>
      <c r="R536" s="32"/>
      <c r="S536" s="32"/>
    </row>
    <row r="537" spans="3:19" x14ac:dyDescent="0.3">
      <c r="C537" s="11"/>
      <c r="D537" s="32"/>
      <c r="E537" s="11"/>
      <c r="F537" t="str">
        <f>_xlfn.TEXTJOIN(", ",TRUE, Tabla38[[#This Row],[Tipo de escalera]],Tabla38[[#This Row],[Longitud]],Tabla38[[#This Row],[Carga Maxima]])</f>
        <v/>
      </c>
      <c r="G537" s="15"/>
      <c r="J537" s="15"/>
      <c r="K537" s="47"/>
      <c r="L537" s="76"/>
      <c r="M537" s="76"/>
      <c r="N537" s="78" t="str">
        <f>_xlfn.LET(
    _xlpm.itemBuscado, B537,
    _xlpm.areaBuscada, C537,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TEXT(COUNTIF($C$2:C537, _xlpm.areaBuscada), "0000"),
    _xlpm.codItem &amp; "-" &amp; _xlpm.codArea &amp; "-" &amp; _xlpm.secuencia
)</f>
        <v>-SinArea-0000</v>
      </c>
      <c r="O537" s="77"/>
      <c r="P537" s="32"/>
      <c r="Q537" s="32"/>
      <c r="R537" s="32"/>
      <c r="S537" s="32"/>
    </row>
    <row r="538" spans="3:19" x14ac:dyDescent="0.3">
      <c r="C538" s="11"/>
      <c r="D538" s="32"/>
      <c r="E538" s="11"/>
      <c r="F538" t="str">
        <f>_xlfn.TEXTJOIN(", ",TRUE, Tabla38[[#This Row],[Tipo de escalera]],Tabla38[[#This Row],[Longitud]],Tabla38[[#This Row],[Carga Maxima]])</f>
        <v/>
      </c>
      <c r="G538" s="15"/>
      <c r="J538" s="15"/>
      <c r="K538" s="47"/>
      <c r="L538" s="76"/>
      <c r="M538" s="76"/>
      <c r="N538" s="78" t="str">
        <f>_xlfn.LET(
    _xlpm.itemBuscado, B538,
    _xlpm.areaBuscada, C538,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TEXT(COUNTIF($C$2:C538, _xlpm.areaBuscada), "0000"),
    _xlpm.codItem &amp; "-" &amp; _xlpm.codArea &amp; "-" &amp; _xlpm.secuencia
)</f>
        <v>-SinArea-0000</v>
      </c>
      <c r="O538" s="77"/>
      <c r="P538" s="32"/>
      <c r="Q538" s="32"/>
      <c r="R538" s="32"/>
      <c r="S538" s="32"/>
    </row>
    <row r="539" spans="3:19" x14ac:dyDescent="0.3">
      <c r="C539" s="11"/>
      <c r="D539" s="32"/>
      <c r="E539" s="11"/>
      <c r="F539" t="str">
        <f>_xlfn.TEXTJOIN(", ",TRUE, Tabla38[[#This Row],[Tipo de escalera]],Tabla38[[#This Row],[Longitud]],Tabla38[[#This Row],[Carga Maxima]])</f>
        <v/>
      </c>
      <c r="G539" s="15"/>
      <c r="J539" s="15"/>
      <c r="K539" s="47"/>
      <c r="L539" s="76"/>
      <c r="M539" s="76"/>
      <c r="N539" s="78" t="str">
        <f>_xlfn.LET(
    _xlpm.itemBuscado, B539,
    _xlpm.areaBuscada, C539,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TEXT(COUNTIF($C$2:C539, _xlpm.areaBuscada), "0000"),
    _xlpm.codItem &amp; "-" &amp; _xlpm.codArea &amp; "-" &amp; _xlpm.secuencia
)</f>
        <v>-SinArea-0000</v>
      </c>
      <c r="O539" s="77"/>
      <c r="P539" s="32"/>
      <c r="Q539" s="32"/>
      <c r="R539" s="32"/>
      <c r="S539" s="32"/>
    </row>
    <row r="540" spans="3:19" x14ac:dyDescent="0.3">
      <c r="C540" s="11"/>
      <c r="D540" s="32"/>
      <c r="E540" s="11"/>
      <c r="F540" t="str">
        <f>_xlfn.TEXTJOIN(", ",TRUE, Tabla38[[#This Row],[Tipo de escalera]],Tabla38[[#This Row],[Longitud]],Tabla38[[#This Row],[Carga Maxima]])</f>
        <v/>
      </c>
      <c r="G540" s="15"/>
      <c r="J540" s="15"/>
      <c r="K540" s="47"/>
      <c r="L540" s="76"/>
      <c r="M540" s="76"/>
      <c r="N540" s="78" t="str">
        <f>_xlfn.LET(
    _xlpm.itemBuscado, B540,
    _xlpm.areaBuscada, C540,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TEXT(COUNTIF($C$2:C540, _xlpm.areaBuscada), "0000"),
    _xlpm.codItem &amp; "-" &amp; _xlpm.codArea &amp; "-" &amp; _xlpm.secuencia
)</f>
        <v>-SinArea-0000</v>
      </c>
      <c r="O540" s="77"/>
      <c r="P540" s="32"/>
      <c r="Q540" s="32"/>
      <c r="R540" s="32"/>
      <c r="S540" s="32"/>
    </row>
    <row r="541" spans="3:19" x14ac:dyDescent="0.3">
      <c r="C541" s="11"/>
      <c r="D541" s="32"/>
      <c r="E541" s="11"/>
      <c r="F541" t="str">
        <f>_xlfn.TEXTJOIN(", ",TRUE, Tabla38[[#This Row],[Tipo de escalera]],Tabla38[[#This Row],[Longitud]],Tabla38[[#This Row],[Carga Maxima]])</f>
        <v/>
      </c>
      <c r="G541" s="15"/>
      <c r="J541" s="15"/>
      <c r="K541" s="47"/>
      <c r="L541" s="76"/>
      <c r="M541" s="76"/>
      <c r="N541" s="78" t="str">
        <f>_xlfn.LET(
    _xlpm.itemBuscado, B541,
    _xlpm.areaBuscada, C541,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TEXT(COUNTIF($C$2:C541, _xlpm.areaBuscada), "0000"),
    _xlpm.codItem &amp; "-" &amp; _xlpm.codArea &amp; "-" &amp; _xlpm.secuencia
)</f>
        <v>-SinArea-0000</v>
      </c>
      <c r="O541" s="77"/>
      <c r="P541" s="32"/>
      <c r="Q541" s="32"/>
      <c r="R541" s="32"/>
      <c r="S541" s="32"/>
    </row>
    <row r="542" spans="3:19" x14ac:dyDescent="0.3">
      <c r="C542" s="11"/>
      <c r="D542" s="32"/>
      <c r="E542" s="11"/>
      <c r="F542" t="str">
        <f>_xlfn.TEXTJOIN(", ",TRUE, Tabla38[[#This Row],[Tipo de escalera]],Tabla38[[#This Row],[Longitud]],Tabla38[[#This Row],[Carga Maxima]])</f>
        <v/>
      </c>
      <c r="G542" s="15"/>
      <c r="J542" s="15"/>
      <c r="K542" s="47"/>
      <c r="L542" s="76"/>
      <c r="M542" s="76"/>
      <c r="N542" s="78" t="str">
        <f>_xlfn.LET(
    _xlpm.itemBuscado, B542,
    _xlpm.areaBuscada, C542,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TEXT(COUNTIF($C$2:C542, _xlpm.areaBuscada), "0000"),
    _xlpm.codItem &amp; "-" &amp; _xlpm.codArea &amp; "-" &amp; _xlpm.secuencia
)</f>
        <v>-SinArea-0000</v>
      </c>
      <c r="O542" s="77"/>
      <c r="P542" s="32"/>
      <c r="Q542" s="32"/>
      <c r="R542" s="32"/>
      <c r="S542" s="32"/>
    </row>
    <row r="543" spans="3:19" x14ac:dyDescent="0.3">
      <c r="C543" s="11"/>
      <c r="D543" s="32"/>
      <c r="E543" s="11"/>
      <c r="F543" t="str">
        <f>_xlfn.TEXTJOIN(", ",TRUE, Tabla38[[#This Row],[Tipo de escalera]],Tabla38[[#This Row],[Longitud]],Tabla38[[#This Row],[Carga Maxima]])</f>
        <v/>
      </c>
      <c r="G543" s="15"/>
      <c r="J543" s="15"/>
      <c r="K543" s="47"/>
      <c r="L543" s="76"/>
      <c r="M543" s="76"/>
      <c r="N543" s="78" t="str">
        <f>_xlfn.LET(
    _xlpm.itemBuscado, B543,
    _xlpm.areaBuscada, C543,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TEXT(COUNTIF($C$2:C543, _xlpm.areaBuscada), "0000"),
    _xlpm.codItem &amp; "-" &amp; _xlpm.codArea &amp; "-" &amp; _xlpm.secuencia
)</f>
        <v>-SinArea-0000</v>
      </c>
      <c r="O543" s="77"/>
      <c r="P543" s="32"/>
      <c r="Q543" s="32"/>
      <c r="R543" s="32"/>
      <c r="S543" s="32"/>
    </row>
    <row r="544" spans="3:19" x14ac:dyDescent="0.3">
      <c r="C544" s="11"/>
      <c r="D544" s="32"/>
      <c r="E544" s="11"/>
      <c r="F544" t="str">
        <f>_xlfn.TEXTJOIN(", ",TRUE, Tabla38[[#This Row],[Tipo de escalera]],Tabla38[[#This Row],[Longitud]],Tabla38[[#This Row],[Carga Maxima]])</f>
        <v/>
      </c>
      <c r="G544" s="15"/>
      <c r="J544" s="15"/>
      <c r="K544" s="47"/>
      <c r="L544" s="76"/>
      <c r="M544" s="76"/>
      <c r="N544" s="78" t="str">
        <f>_xlfn.LET(
    _xlpm.itemBuscado, B544,
    _xlpm.areaBuscada, C544,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TEXT(COUNTIF($C$2:C544, _xlpm.areaBuscada), "0000"),
    _xlpm.codItem &amp; "-" &amp; _xlpm.codArea &amp; "-" &amp; _xlpm.secuencia
)</f>
        <v>-SinArea-0000</v>
      </c>
      <c r="O544" s="77"/>
      <c r="P544" s="32"/>
      <c r="Q544" s="32"/>
      <c r="R544" s="32"/>
      <c r="S544" s="32"/>
    </row>
    <row r="545" spans="3:19" x14ac:dyDescent="0.3">
      <c r="C545" s="11"/>
      <c r="D545" s="32"/>
      <c r="E545" s="11"/>
      <c r="F545" t="str">
        <f>_xlfn.TEXTJOIN(", ",TRUE, Tabla38[[#This Row],[Tipo de escalera]],Tabla38[[#This Row],[Longitud]],Tabla38[[#This Row],[Carga Maxima]])</f>
        <v/>
      </c>
      <c r="G545" s="15"/>
      <c r="J545" s="15"/>
      <c r="K545" s="47"/>
      <c r="L545" s="76"/>
      <c r="M545" s="76"/>
      <c r="N545" s="78" t="str">
        <f>_xlfn.LET(
    _xlpm.itemBuscado, B545,
    _xlpm.areaBuscada, C545,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TEXT(COUNTIF($C$2:C545, _xlpm.areaBuscada), "0000"),
    _xlpm.codItem &amp; "-" &amp; _xlpm.codArea &amp; "-" &amp; _xlpm.secuencia
)</f>
        <v>-SinArea-0000</v>
      </c>
      <c r="O545" s="77"/>
      <c r="P545" s="32"/>
      <c r="Q545" s="32"/>
      <c r="R545" s="32"/>
      <c r="S545" s="32"/>
    </row>
    <row r="546" spans="3:19" x14ac:dyDescent="0.3">
      <c r="C546" s="11"/>
      <c r="D546" s="32"/>
      <c r="E546" s="11"/>
      <c r="F546" t="str">
        <f>_xlfn.TEXTJOIN(", ",TRUE, Tabla38[[#This Row],[Tipo de escalera]],Tabla38[[#This Row],[Longitud]],Tabla38[[#This Row],[Carga Maxima]])</f>
        <v/>
      </c>
      <c r="G546" s="15"/>
      <c r="J546" s="15"/>
      <c r="K546" s="47"/>
      <c r="L546" s="76"/>
      <c r="M546" s="76"/>
      <c r="N546" s="78" t="str">
        <f>_xlfn.LET(
    _xlpm.itemBuscado, B546,
    _xlpm.areaBuscada, C546,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TEXT(COUNTIF($C$2:C546, _xlpm.areaBuscada), "0000"),
    _xlpm.codItem &amp; "-" &amp; _xlpm.codArea &amp; "-" &amp; _xlpm.secuencia
)</f>
        <v>-SinArea-0000</v>
      </c>
      <c r="O546" s="77"/>
      <c r="P546" s="32"/>
      <c r="Q546" s="32"/>
      <c r="R546" s="32"/>
      <c r="S546" s="32"/>
    </row>
    <row r="547" spans="3:19" x14ac:dyDescent="0.3">
      <c r="C547" s="11"/>
      <c r="D547" s="32"/>
      <c r="E547" s="11"/>
      <c r="F547" t="str">
        <f>_xlfn.TEXTJOIN(", ",TRUE, Tabla38[[#This Row],[Tipo de escalera]],Tabla38[[#This Row],[Longitud]],Tabla38[[#This Row],[Carga Maxima]])</f>
        <v/>
      </c>
      <c r="G547" s="15"/>
      <c r="J547" s="15"/>
      <c r="K547" s="47"/>
      <c r="L547" s="76"/>
      <c r="M547" s="76"/>
      <c r="N547" s="78" t="str">
        <f>_xlfn.LET(
    _xlpm.itemBuscado, B547,
    _xlpm.areaBuscada, C547,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TEXT(COUNTIF($C$2:C547, _xlpm.areaBuscada), "0000"),
    _xlpm.codItem &amp; "-" &amp; _xlpm.codArea &amp; "-" &amp; _xlpm.secuencia
)</f>
        <v>-SinArea-0000</v>
      </c>
      <c r="O547" s="77"/>
      <c r="P547" s="32"/>
      <c r="Q547" s="32"/>
      <c r="R547" s="32"/>
      <c r="S547" s="32"/>
    </row>
    <row r="548" spans="3:19" x14ac:dyDescent="0.3">
      <c r="C548" s="11"/>
      <c r="D548" s="32"/>
      <c r="E548" s="11"/>
      <c r="F548" t="str">
        <f>_xlfn.TEXTJOIN(", ",TRUE, Tabla38[[#This Row],[Tipo de escalera]],Tabla38[[#This Row],[Longitud]],Tabla38[[#This Row],[Carga Maxima]])</f>
        <v/>
      </c>
      <c r="G548" s="15"/>
      <c r="J548" s="15"/>
      <c r="K548" s="47"/>
      <c r="L548" s="76"/>
      <c r="M548" s="76"/>
      <c r="N548" s="78" t="str">
        <f>_xlfn.LET(
    _xlpm.itemBuscado, B548,
    _xlpm.areaBuscada, C548,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TEXT(COUNTIF($C$2:C548, _xlpm.areaBuscada), "0000"),
    _xlpm.codItem &amp; "-" &amp; _xlpm.codArea &amp; "-" &amp; _xlpm.secuencia
)</f>
        <v>-SinArea-0000</v>
      </c>
      <c r="O548" s="77"/>
      <c r="P548" s="32"/>
      <c r="Q548" s="32"/>
      <c r="R548" s="32"/>
      <c r="S548" s="32"/>
    </row>
    <row r="549" spans="3:19" x14ac:dyDescent="0.3">
      <c r="C549" s="11"/>
      <c r="D549" s="32"/>
      <c r="E549" s="11"/>
      <c r="F549" t="str">
        <f>_xlfn.TEXTJOIN(", ",TRUE, Tabla38[[#This Row],[Tipo de escalera]],Tabla38[[#This Row],[Longitud]],Tabla38[[#This Row],[Carga Maxima]])</f>
        <v/>
      </c>
      <c r="G549" s="15"/>
      <c r="J549" s="15"/>
      <c r="K549" s="47"/>
      <c r="L549" s="76"/>
      <c r="M549" s="76"/>
      <c r="N549" s="78" t="str">
        <f>_xlfn.LET(
    _xlpm.itemBuscado, B549,
    _xlpm.areaBuscada, C549,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TEXT(COUNTIF($C$2:C549, _xlpm.areaBuscada), "0000"),
    _xlpm.codItem &amp; "-" &amp; _xlpm.codArea &amp; "-" &amp; _xlpm.secuencia
)</f>
        <v>-SinArea-0000</v>
      </c>
      <c r="O549" s="77"/>
      <c r="P549" s="32"/>
      <c r="Q549" s="32"/>
      <c r="R549" s="32"/>
      <c r="S549" s="32"/>
    </row>
    <row r="550" spans="3:19" x14ac:dyDescent="0.3">
      <c r="C550" s="11"/>
      <c r="D550" s="32"/>
      <c r="E550" s="11"/>
      <c r="F550" t="str">
        <f>_xlfn.TEXTJOIN(", ",TRUE, Tabla38[[#This Row],[Tipo de escalera]],Tabla38[[#This Row],[Longitud]],Tabla38[[#This Row],[Carga Maxima]])</f>
        <v/>
      </c>
      <c r="G550" s="15"/>
      <c r="J550" s="15"/>
      <c r="K550" s="47"/>
      <c r="L550" s="76"/>
      <c r="M550" s="76"/>
      <c r="N550" s="78" t="str">
        <f>_xlfn.LET(
    _xlpm.itemBuscado, B550,
    _xlpm.areaBuscada, C550,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TEXT(COUNTIF($C$2:C550, _xlpm.areaBuscada), "0000"),
    _xlpm.codItem &amp; "-" &amp; _xlpm.codArea &amp; "-" &amp; _xlpm.secuencia
)</f>
        <v>-SinArea-0000</v>
      </c>
      <c r="O550" s="77"/>
      <c r="P550" s="32"/>
      <c r="Q550" s="32"/>
      <c r="R550" s="32"/>
      <c r="S550" s="32"/>
    </row>
    <row r="551" spans="3:19" x14ac:dyDescent="0.3">
      <c r="C551" s="11"/>
      <c r="D551" s="32"/>
      <c r="E551" s="11"/>
      <c r="F551" t="str">
        <f>_xlfn.TEXTJOIN(", ",TRUE, Tabla38[[#This Row],[Tipo de escalera]],Tabla38[[#This Row],[Longitud]],Tabla38[[#This Row],[Carga Maxima]])</f>
        <v/>
      </c>
      <c r="G551" s="15"/>
      <c r="J551" s="15"/>
      <c r="K551" s="47"/>
      <c r="L551" s="76"/>
      <c r="M551" s="76"/>
      <c r="N551" s="78" t="str">
        <f>_xlfn.LET(
    _xlpm.itemBuscado, B551,
    _xlpm.areaBuscada, C551,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TEXT(COUNTIF($C$2:C551, _xlpm.areaBuscada), "0000"),
    _xlpm.codItem &amp; "-" &amp; _xlpm.codArea &amp; "-" &amp; _xlpm.secuencia
)</f>
        <v>-SinArea-0000</v>
      </c>
      <c r="O551" s="77"/>
      <c r="P551" s="32"/>
      <c r="Q551" s="32"/>
      <c r="R551" s="32"/>
      <c r="S551" s="32"/>
    </row>
    <row r="552" spans="3:19" x14ac:dyDescent="0.3">
      <c r="C552" s="11"/>
      <c r="D552" s="32"/>
      <c r="E552" s="11"/>
      <c r="F552" t="str">
        <f>_xlfn.TEXTJOIN(", ",TRUE, Tabla38[[#This Row],[Tipo de escalera]],Tabla38[[#This Row],[Longitud]],Tabla38[[#This Row],[Carga Maxima]])</f>
        <v/>
      </c>
      <c r="G552" s="15"/>
      <c r="J552" s="15"/>
      <c r="K552" s="47"/>
      <c r="L552" s="76"/>
      <c r="M552" s="76"/>
      <c r="N552" s="78" t="str">
        <f>_xlfn.LET(
    _xlpm.itemBuscado, B552,
    _xlpm.areaBuscada, C552,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TEXT(COUNTIF($C$2:C552, _xlpm.areaBuscada), "0000"),
    _xlpm.codItem &amp; "-" &amp; _xlpm.codArea &amp; "-" &amp; _xlpm.secuencia
)</f>
        <v>-SinArea-0000</v>
      </c>
      <c r="O552" s="77"/>
      <c r="P552" s="32"/>
      <c r="Q552" s="32"/>
      <c r="R552" s="32"/>
      <c r="S552" s="32"/>
    </row>
    <row r="553" spans="3:19" x14ac:dyDescent="0.3">
      <c r="C553" s="11"/>
      <c r="D553" s="32"/>
      <c r="E553" s="11"/>
      <c r="F553" t="str">
        <f>_xlfn.TEXTJOIN(", ",TRUE, Tabla38[[#This Row],[Tipo de escalera]],Tabla38[[#This Row],[Longitud]],Tabla38[[#This Row],[Carga Maxima]])</f>
        <v/>
      </c>
      <c r="G553" s="15"/>
      <c r="J553" s="15"/>
      <c r="K553" s="47"/>
      <c r="L553" s="76"/>
      <c r="M553" s="76"/>
      <c r="N553" s="78" t="str">
        <f>_xlfn.LET(
    _xlpm.itemBuscado, B553,
    _xlpm.areaBuscada, C553,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TEXT(COUNTIF($C$2:C553, _xlpm.areaBuscada), "0000"),
    _xlpm.codItem &amp; "-" &amp; _xlpm.codArea &amp; "-" &amp; _xlpm.secuencia
)</f>
        <v>-SinArea-0000</v>
      </c>
      <c r="O553" s="77"/>
      <c r="P553" s="32"/>
      <c r="Q553" s="32"/>
      <c r="R553" s="32"/>
      <c r="S553" s="32"/>
    </row>
    <row r="554" spans="3:19" x14ac:dyDescent="0.3">
      <c r="C554" s="11"/>
      <c r="D554" s="32"/>
      <c r="E554" s="11"/>
      <c r="F554" t="str">
        <f>_xlfn.TEXTJOIN(", ",TRUE, Tabla38[[#This Row],[Tipo de escalera]],Tabla38[[#This Row],[Longitud]],Tabla38[[#This Row],[Carga Maxima]])</f>
        <v/>
      </c>
      <c r="G554" s="15"/>
      <c r="J554" s="15"/>
      <c r="K554" s="47"/>
      <c r="L554" s="76"/>
      <c r="M554" s="76"/>
      <c r="N554" s="78" t="str">
        <f>_xlfn.LET(
    _xlpm.itemBuscado, B554,
    _xlpm.areaBuscada, C554,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TEXT(COUNTIF($C$2:C554, _xlpm.areaBuscada), "0000"),
    _xlpm.codItem &amp; "-" &amp; _xlpm.codArea &amp; "-" &amp; _xlpm.secuencia
)</f>
        <v>-SinArea-0000</v>
      </c>
      <c r="O554" s="77"/>
      <c r="P554" s="32"/>
      <c r="Q554" s="32"/>
      <c r="R554" s="32"/>
      <c r="S554" s="32"/>
    </row>
    <row r="555" spans="3:19" x14ac:dyDescent="0.3">
      <c r="C555" s="11"/>
      <c r="D555" s="32"/>
      <c r="E555" s="11"/>
      <c r="F555" t="str">
        <f>_xlfn.TEXTJOIN(", ",TRUE, Tabla38[[#This Row],[Tipo de escalera]],Tabla38[[#This Row],[Longitud]],Tabla38[[#This Row],[Carga Maxima]])</f>
        <v/>
      </c>
      <c r="G555" s="15"/>
      <c r="J555" s="15"/>
      <c r="K555" s="47"/>
      <c r="L555" s="76"/>
      <c r="M555" s="76"/>
      <c r="N555" s="78" t="str">
        <f>_xlfn.LET(
    _xlpm.itemBuscado, B555,
    _xlpm.areaBuscada, C555,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TEXT(COUNTIF($C$2:C555, _xlpm.areaBuscada), "0000"),
    _xlpm.codItem &amp; "-" &amp; _xlpm.codArea &amp; "-" &amp; _xlpm.secuencia
)</f>
        <v>-SinArea-0000</v>
      </c>
      <c r="O555" s="77"/>
      <c r="P555" s="32"/>
      <c r="Q555" s="32"/>
      <c r="R555" s="32"/>
      <c r="S555" s="32"/>
    </row>
    <row r="556" spans="3:19" x14ac:dyDescent="0.3">
      <c r="C556" s="11"/>
      <c r="D556" s="32"/>
      <c r="E556" s="11"/>
      <c r="F556" t="str">
        <f>_xlfn.TEXTJOIN(", ",TRUE, Tabla38[[#This Row],[Tipo de escalera]],Tabla38[[#This Row],[Longitud]],Tabla38[[#This Row],[Carga Maxima]])</f>
        <v/>
      </c>
      <c r="G556" s="15"/>
      <c r="J556" s="15"/>
      <c r="K556" s="47"/>
      <c r="L556" s="76"/>
      <c r="M556" s="76"/>
      <c r="N556" s="78" t="str">
        <f>_xlfn.LET(
    _xlpm.itemBuscado, B556,
    _xlpm.areaBuscada, C556,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TEXT(COUNTIF($C$2:C556, _xlpm.areaBuscada), "0000"),
    _xlpm.codItem &amp; "-" &amp; _xlpm.codArea &amp; "-" &amp; _xlpm.secuencia
)</f>
        <v>-SinArea-0000</v>
      </c>
      <c r="O556" s="77"/>
      <c r="P556" s="32"/>
      <c r="Q556" s="32"/>
      <c r="R556" s="32"/>
      <c r="S556" s="32"/>
    </row>
    <row r="557" spans="3:19" x14ac:dyDescent="0.3">
      <c r="C557" s="11"/>
      <c r="D557" s="32"/>
      <c r="E557" s="11"/>
      <c r="F557" t="str">
        <f>_xlfn.TEXTJOIN(", ",TRUE, Tabla38[[#This Row],[Tipo de escalera]],Tabla38[[#This Row],[Longitud]],Tabla38[[#This Row],[Carga Maxima]])</f>
        <v/>
      </c>
      <c r="G557" s="15"/>
      <c r="J557" s="15"/>
      <c r="K557" s="47"/>
      <c r="L557" s="76"/>
      <c r="M557" s="76"/>
      <c r="N557" s="78" t="str">
        <f>_xlfn.LET(
    _xlpm.itemBuscado, B557,
    _xlpm.areaBuscada, C557,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TEXT(COUNTIF($C$2:C557, _xlpm.areaBuscada), "0000"),
    _xlpm.codItem &amp; "-" &amp; _xlpm.codArea &amp; "-" &amp; _xlpm.secuencia
)</f>
        <v>-SinArea-0000</v>
      </c>
      <c r="O557" s="77"/>
      <c r="P557" s="32"/>
      <c r="Q557" s="32"/>
      <c r="R557" s="32"/>
      <c r="S557" s="32"/>
    </row>
    <row r="558" spans="3:19" x14ac:dyDescent="0.3">
      <c r="C558" s="11"/>
      <c r="D558" s="32"/>
      <c r="E558" s="11"/>
      <c r="F558" t="str">
        <f>_xlfn.TEXTJOIN(", ",TRUE, Tabla38[[#This Row],[Tipo de escalera]],Tabla38[[#This Row],[Longitud]],Tabla38[[#This Row],[Carga Maxima]])</f>
        <v/>
      </c>
      <c r="G558" s="15"/>
      <c r="J558" s="15"/>
      <c r="K558" s="47"/>
      <c r="L558" s="76"/>
      <c r="M558" s="76"/>
      <c r="N558" s="78" t="str">
        <f>_xlfn.LET(
    _xlpm.itemBuscado, B558,
    _xlpm.areaBuscada, C558,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TEXT(COUNTIF($C$2:C558, _xlpm.areaBuscada), "0000"),
    _xlpm.codItem &amp; "-" &amp; _xlpm.codArea &amp; "-" &amp; _xlpm.secuencia
)</f>
        <v>-SinArea-0000</v>
      </c>
      <c r="O558" s="77"/>
      <c r="P558" s="32"/>
      <c r="Q558" s="32"/>
      <c r="R558" s="32"/>
      <c r="S558" s="32"/>
    </row>
    <row r="559" spans="3:19" x14ac:dyDescent="0.3">
      <c r="C559" s="11"/>
      <c r="D559" s="32"/>
      <c r="E559" s="11"/>
      <c r="F559" t="str">
        <f>_xlfn.TEXTJOIN(", ",TRUE, Tabla38[[#This Row],[Tipo de escalera]],Tabla38[[#This Row],[Longitud]],Tabla38[[#This Row],[Carga Maxima]])</f>
        <v/>
      </c>
      <c r="G559" s="15"/>
      <c r="J559" s="15"/>
      <c r="K559" s="47"/>
      <c r="L559" s="76"/>
      <c r="M559" s="76"/>
      <c r="N559" s="78" t="str">
        <f>_xlfn.LET(
    _xlpm.itemBuscado, B559,
    _xlpm.areaBuscada, C559,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TEXT(COUNTIF($C$2:C559, _xlpm.areaBuscada), "0000"),
    _xlpm.codItem &amp; "-" &amp; _xlpm.codArea &amp; "-" &amp; _xlpm.secuencia
)</f>
        <v>-SinArea-0000</v>
      </c>
      <c r="O559" s="77"/>
      <c r="P559" s="32"/>
      <c r="Q559" s="32"/>
      <c r="R559" s="32"/>
      <c r="S559" s="32"/>
    </row>
    <row r="560" spans="3:19" x14ac:dyDescent="0.3">
      <c r="C560" s="11"/>
      <c r="D560" s="32"/>
      <c r="E560" s="11"/>
      <c r="F560" t="str">
        <f>_xlfn.TEXTJOIN(", ",TRUE, Tabla38[[#This Row],[Tipo de escalera]],Tabla38[[#This Row],[Longitud]],Tabla38[[#This Row],[Carga Maxima]])</f>
        <v/>
      </c>
      <c r="G560" s="15"/>
      <c r="J560" s="15"/>
      <c r="K560" s="47"/>
      <c r="L560" s="76"/>
      <c r="M560" s="76"/>
      <c r="N560" s="78" t="str">
        <f>_xlfn.LET(
    _xlpm.itemBuscado, B560,
    _xlpm.areaBuscada, C560,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TEXT(COUNTIF($C$2:C560, _xlpm.areaBuscada), "0000"),
    _xlpm.codItem &amp; "-" &amp; _xlpm.codArea &amp; "-" &amp; _xlpm.secuencia
)</f>
        <v>-SinArea-0000</v>
      </c>
      <c r="O560" s="77"/>
      <c r="P560" s="32"/>
      <c r="Q560" s="32"/>
      <c r="R560" s="32"/>
      <c r="S560" s="32"/>
    </row>
    <row r="561" spans="3:19" x14ac:dyDescent="0.3">
      <c r="C561" s="11"/>
      <c r="D561" s="32"/>
      <c r="E561" s="11"/>
      <c r="F561" t="str">
        <f>_xlfn.TEXTJOIN(", ",TRUE, Tabla38[[#This Row],[Tipo de escalera]],Tabla38[[#This Row],[Longitud]],Tabla38[[#This Row],[Carga Maxima]])</f>
        <v/>
      </c>
      <c r="G561" s="15"/>
      <c r="J561" s="15"/>
      <c r="K561" s="47"/>
      <c r="L561" s="76"/>
      <c r="M561" s="76"/>
      <c r="N561" s="78" t="str">
        <f>_xlfn.LET(
    _xlpm.itemBuscado, B561,
    _xlpm.areaBuscada, C561,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TEXT(COUNTIF($C$2:C561, _xlpm.areaBuscada), "0000"),
    _xlpm.codItem &amp; "-" &amp; _xlpm.codArea &amp; "-" &amp; _xlpm.secuencia
)</f>
        <v>-SinArea-0000</v>
      </c>
      <c r="O561" s="77"/>
      <c r="P561" s="32"/>
      <c r="Q561" s="32"/>
      <c r="R561" s="32"/>
      <c r="S561" s="32"/>
    </row>
    <row r="562" spans="3:19" x14ac:dyDescent="0.3">
      <c r="C562" s="11"/>
      <c r="D562" s="32"/>
      <c r="E562" s="11"/>
      <c r="F562" t="str">
        <f>_xlfn.TEXTJOIN(", ",TRUE, Tabla38[[#This Row],[Tipo de escalera]],Tabla38[[#This Row],[Longitud]],Tabla38[[#This Row],[Carga Maxima]])</f>
        <v/>
      </c>
      <c r="G562" s="15"/>
      <c r="J562" s="15"/>
      <c r="K562" s="47"/>
      <c r="L562" s="76"/>
      <c r="M562" s="76"/>
      <c r="N562" s="78" t="str">
        <f>_xlfn.LET(
    _xlpm.itemBuscado, B562,
    _xlpm.areaBuscada, C562,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TEXT(COUNTIF($C$2:C562, _xlpm.areaBuscada), "0000"),
    _xlpm.codItem &amp; "-" &amp; _xlpm.codArea &amp; "-" &amp; _xlpm.secuencia
)</f>
        <v>-SinArea-0000</v>
      </c>
      <c r="O562" s="77"/>
      <c r="P562" s="32"/>
      <c r="Q562" s="32"/>
      <c r="R562" s="32"/>
      <c r="S562" s="32"/>
    </row>
    <row r="563" spans="3:19" x14ac:dyDescent="0.3">
      <c r="C563" s="11"/>
      <c r="D563" s="32"/>
      <c r="E563" s="11"/>
      <c r="F563" t="str">
        <f>_xlfn.TEXTJOIN(", ",TRUE, Tabla38[[#This Row],[Tipo de escalera]],Tabla38[[#This Row],[Longitud]],Tabla38[[#This Row],[Carga Maxima]])</f>
        <v/>
      </c>
      <c r="G563" s="15"/>
      <c r="J563" s="15"/>
      <c r="K563" s="47"/>
      <c r="L563" s="76"/>
      <c r="M563" s="76"/>
      <c r="N563" s="78" t="str">
        <f>_xlfn.LET(
    _xlpm.itemBuscado, B563,
    _xlpm.areaBuscada, C563,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TEXT(COUNTIF($C$2:C563, _xlpm.areaBuscada), "0000"),
    _xlpm.codItem &amp; "-" &amp; _xlpm.codArea &amp; "-" &amp; _xlpm.secuencia
)</f>
        <v>-SinArea-0000</v>
      </c>
      <c r="O563" s="77"/>
      <c r="P563" s="32"/>
      <c r="Q563" s="32"/>
      <c r="R563" s="32"/>
      <c r="S563" s="32"/>
    </row>
    <row r="564" spans="3:19" x14ac:dyDescent="0.3">
      <c r="C564" s="11"/>
      <c r="D564" s="32"/>
      <c r="E564" s="11"/>
      <c r="F564" t="str">
        <f>_xlfn.TEXTJOIN(", ",TRUE, Tabla38[[#This Row],[Tipo de escalera]],Tabla38[[#This Row],[Longitud]],Tabla38[[#This Row],[Carga Maxima]])</f>
        <v/>
      </c>
      <c r="G564" s="15"/>
      <c r="J564" s="15"/>
      <c r="K564" s="47"/>
      <c r="L564" s="76"/>
      <c r="M564" s="76"/>
      <c r="N564" s="78" t="str">
        <f>_xlfn.LET(
    _xlpm.itemBuscado, B564,
    _xlpm.areaBuscada, C564,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TEXT(COUNTIF($C$2:C564, _xlpm.areaBuscada), "0000"),
    _xlpm.codItem &amp; "-" &amp; _xlpm.codArea &amp; "-" &amp; _xlpm.secuencia
)</f>
        <v>-SinArea-0000</v>
      </c>
      <c r="O564" s="77"/>
      <c r="P564" s="32"/>
      <c r="Q564" s="32"/>
      <c r="R564" s="32"/>
      <c r="S564" s="32"/>
    </row>
    <row r="565" spans="3:19" x14ac:dyDescent="0.3">
      <c r="C565" s="11"/>
      <c r="D565" s="32"/>
      <c r="E565" s="11"/>
      <c r="F565" t="str">
        <f>_xlfn.TEXTJOIN(", ",TRUE, Tabla38[[#This Row],[Tipo de escalera]],Tabla38[[#This Row],[Longitud]],Tabla38[[#This Row],[Carga Maxima]])</f>
        <v/>
      </c>
      <c r="G565" s="15"/>
      <c r="J565" s="15"/>
      <c r="K565" s="47"/>
      <c r="L565" s="76"/>
      <c r="M565" s="76"/>
      <c r="N565" s="78" t="str">
        <f>_xlfn.LET(
    _xlpm.itemBuscado, B565,
    _xlpm.areaBuscada, C565,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TEXT(COUNTIF($C$2:C565, _xlpm.areaBuscada), "0000"),
    _xlpm.codItem &amp; "-" &amp; _xlpm.codArea &amp; "-" &amp; _xlpm.secuencia
)</f>
        <v>-SinArea-0000</v>
      </c>
      <c r="O565" s="77"/>
      <c r="P565" s="32"/>
      <c r="Q565" s="32"/>
      <c r="R565" s="32"/>
      <c r="S565" s="32"/>
    </row>
    <row r="566" spans="3:19" x14ac:dyDescent="0.3">
      <c r="C566" s="11"/>
      <c r="D566" s="32"/>
      <c r="E566" s="11"/>
      <c r="F566" t="str">
        <f>_xlfn.TEXTJOIN(", ",TRUE, Tabla38[[#This Row],[Tipo de escalera]],Tabla38[[#This Row],[Longitud]],Tabla38[[#This Row],[Carga Maxima]])</f>
        <v/>
      </c>
      <c r="G566" s="15"/>
      <c r="J566" s="15"/>
      <c r="K566" s="47"/>
      <c r="L566" s="76"/>
      <c r="M566" s="76"/>
      <c r="N566" s="78" t="str">
        <f>_xlfn.LET(
    _xlpm.itemBuscado, B566,
    _xlpm.areaBuscada, C566,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TEXT(COUNTIF($C$2:C566, _xlpm.areaBuscada), "0000"),
    _xlpm.codItem &amp; "-" &amp; _xlpm.codArea &amp; "-" &amp; _xlpm.secuencia
)</f>
        <v>-SinArea-0000</v>
      </c>
      <c r="O566" s="77"/>
      <c r="P566" s="32"/>
      <c r="Q566" s="32"/>
      <c r="R566" s="32"/>
      <c r="S566" s="32"/>
    </row>
    <row r="567" spans="3:19" x14ac:dyDescent="0.3">
      <c r="C567" s="11"/>
      <c r="D567" s="32"/>
      <c r="E567" s="11"/>
      <c r="F567" t="str">
        <f>_xlfn.TEXTJOIN(", ",TRUE, Tabla38[[#This Row],[Tipo de escalera]],Tabla38[[#This Row],[Longitud]],Tabla38[[#This Row],[Carga Maxima]])</f>
        <v/>
      </c>
      <c r="G567" s="15"/>
      <c r="J567" s="15"/>
      <c r="K567" s="47"/>
      <c r="L567" s="76"/>
      <c r="M567" s="76"/>
      <c r="N567" s="78" t="str">
        <f>_xlfn.LET(
    _xlpm.itemBuscado, B567,
    _xlpm.areaBuscada, C567,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TEXT(COUNTIF($C$2:C567, _xlpm.areaBuscada), "0000"),
    _xlpm.codItem &amp; "-" &amp; _xlpm.codArea &amp; "-" &amp; _xlpm.secuencia
)</f>
        <v>-SinArea-0000</v>
      </c>
      <c r="O567" s="77"/>
      <c r="P567" s="32"/>
      <c r="Q567" s="32"/>
      <c r="R567" s="32"/>
      <c r="S567" s="32"/>
    </row>
    <row r="568" spans="3:19" x14ac:dyDescent="0.3">
      <c r="C568" s="11"/>
      <c r="D568" s="32"/>
      <c r="E568" s="11"/>
      <c r="F568" t="str">
        <f>_xlfn.TEXTJOIN(", ",TRUE, Tabla38[[#This Row],[Tipo de escalera]],Tabla38[[#This Row],[Longitud]],Tabla38[[#This Row],[Carga Maxima]])</f>
        <v/>
      </c>
      <c r="G568" s="15"/>
      <c r="J568" s="15"/>
      <c r="K568" s="47"/>
      <c r="L568" s="76"/>
      <c r="M568" s="76"/>
      <c r="N568" s="78" t="str">
        <f>_xlfn.LET(
    _xlpm.itemBuscado, B568,
    _xlpm.areaBuscada, C568,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TEXT(COUNTIF($C$2:C568, _xlpm.areaBuscada), "0000"),
    _xlpm.codItem &amp; "-" &amp; _xlpm.codArea &amp; "-" &amp; _xlpm.secuencia
)</f>
        <v>-SinArea-0000</v>
      </c>
      <c r="O568" s="77"/>
      <c r="P568" s="32"/>
      <c r="Q568" s="32"/>
      <c r="R568" s="32"/>
      <c r="S568" s="32"/>
    </row>
    <row r="569" spans="3:19" x14ac:dyDescent="0.3">
      <c r="C569" s="11"/>
      <c r="D569" s="32"/>
      <c r="E569" s="11"/>
      <c r="F569" t="str">
        <f>_xlfn.TEXTJOIN(", ",TRUE, Tabla38[[#This Row],[Tipo de escalera]],Tabla38[[#This Row],[Longitud]],Tabla38[[#This Row],[Carga Maxima]])</f>
        <v/>
      </c>
      <c r="G569" s="15"/>
      <c r="J569" s="15"/>
      <c r="K569" s="47"/>
      <c r="L569" s="76"/>
      <c r="M569" s="76"/>
      <c r="N569" s="78" t="str">
        <f>_xlfn.LET(
    _xlpm.itemBuscado, B569,
    _xlpm.areaBuscada, C569,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TEXT(COUNTIF($C$2:C569, _xlpm.areaBuscada), "0000"),
    _xlpm.codItem &amp; "-" &amp; _xlpm.codArea &amp; "-" &amp; _xlpm.secuencia
)</f>
        <v>-SinArea-0000</v>
      </c>
      <c r="O569" s="77"/>
      <c r="P569" s="32"/>
      <c r="Q569" s="32"/>
      <c r="R569" s="32"/>
      <c r="S569" s="32"/>
    </row>
    <row r="570" spans="3:19" x14ac:dyDescent="0.3">
      <c r="C570" s="11"/>
      <c r="D570" s="32"/>
      <c r="E570" s="11"/>
      <c r="F570" t="str">
        <f>_xlfn.TEXTJOIN(", ",TRUE, Tabla38[[#This Row],[Tipo de escalera]],Tabla38[[#This Row],[Longitud]],Tabla38[[#This Row],[Carga Maxima]])</f>
        <v/>
      </c>
      <c r="G570" s="15"/>
      <c r="J570" s="15"/>
      <c r="K570" s="47"/>
      <c r="L570" s="76"/>
      <c r="M570" s="76"/>
      <c r="N570" s="78" t="str">
        <f>_xlfn.LET(
    _xlpm.itemBuscado, B570,
    _xlpm.areaBuscada, C570,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TEXT(COUNTIF($C$2:C570, _xlpm.areaBuscada), "0000"),
    _xlpm.codItem &amp; "-" &amp; _xlpm.codArea &amp; "-" &amp; _xlpm.secuencia
)</f>
        <v>-SinArea-0000</v>
      </c>
      <c r="O570" s="77"/>
      <c r="P570" s="32"/>
      <c r="Q570" s="32"/>
      <c r="R570" s="32"/>
      <c r="S570" s="32"/>
    </row>
    <row r="571" spans="3:19" x14ac:dyDescent="0.3">
      <c r="C571" s="11"/>
      <c r="D571" s="32"/>
      <c r="E571" s="11"/>
      <c r="F571" t="str">
        <f>_xlfn.TEXTJOIN(", ",TRUE, Tabla38[[#This Row],[Tipo de escalera]],Tabla38[[#This Row],[Longitud]],Tabla38[[#This Row],[Carga Maxima]])</f>
        <v/>
      </c>
      <c r="G571" s="15"/>
      <c r="J571" s="15"/>
      <c r="K571" s="47"/>
      <c r="L571" s="76"/>
      <c r="M571" s="76"/>
      <c r="N571" s="78" t="str">
        <f>_xlfn.LET(
    _xlpm.itemBuscado, B571,
    _xlpm.areaBuscada, C571,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TEXT(COUNTIF($C$2:C571, _xlpm.areaBuscada), "0000"),
    _xlpm.codItem &amp; "-" &amp; _xlpm.codArea &amp; "-" &amp; _xlpm.secuencia
)</f>
        <v>-SinArea-0000</v>
      </c>
      <c r="O571" s="77"/>
      <c r="P571" s="32"/>
      <c r="Q571" s="32"/>
      <c r="R571" s="32"/>
      <c r="S571" s="32"/>
    </row>
    <row r="572" spans="3:19" x14ac:dyDescent="0.3">
      <c r="C572" s="11"/>
      <c r="D572" s="32"/>
      <c r="E572" s="11"/>
      <c r="F572" t="str">
        <f>_xlfn.TEXTJOIN(", ",TRUE, Tabla38[[#This Row],[Tipo de escalera]],Tabla38[[#This Row],[Longitud]],Tabla38[[#This Row],[Carga Maxima]])</f>
        <v/>
      </c>
      <c r="G572" s="15"/>
      <c r="J572" s="15"/>
      <c r="K572" s="47"/>
      <c r="L572" s="76"/>
      <c r="M572" s="76"/>
      <c r="N572" s="78" t="str">
        <f>_xlfn.LET(
    _xlpm.itemBuscado, B572,
    _xlpm.areaBuscada, C572,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TEXT(COUNTIF($C$2:C572, _xlpm.areaBuscada), "0000"),
    _xlpm.codItem &amp; "-" &amp; _xlpm.codArea &amp; "-" &amp; _xlpm.secuencia
)</f>
        <v>-SinArea-0000</v>
      </c>
      <c r="O572" s="77"/>
      <c r="P572" s="32"/>
      <c r="Q572" s="32"/>
      <c r="R572" s="32"/>
      <c r="S572" s="32"/>
    </row>
    <row r="573" spans="3:19" x14ac:dyDescent="0.3">
      <c r="C573" s="11"/>
      <c r="D573" s="32"/>
      <c r="E573" s="11"/>
      <c r="F573" t="str">
        <f>_xlfn.TEXTJOIN(", ",TRUE, Tabla38[[#This Row],[Tipo de escalera]],Tabla38[[#This Row],[Longitud]],Tabla38[[#This Row],[Carga Maxima]])</f>
        <v/>
      </c>
      <c r="G573" s="15"/>
      <c r="J573" s="15"/>
      <c r="K573" s="47"/>
      <c r="L573" s="76"/>
      <c r="M573" s="76"/>
      <c r="N573" s="78" t="str">
        <f>_xlfn.LET(
    _xlpm.itemBuscado, B573,
    _xlpm.areaBuscada, C573,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TEXT(COUNTIF($C$2:C573, _xlpm.areaBuscada), "0000"),
    _xlpm.codItem &amp; "-" &amp; _xlpm.codArea &amp; "-" &amp; _xlpm.secuencia
)</f>
        <v>-SinArea-0000</v>
      </c>
      <c r="O573" s="77"/>
      <c r="P573" s="32"/>
      <c r="Q573" s="32"/>
      <c r="R573" s="32"/>
      <c r="S573" s="32"/>
    </row>
    <row r="574" spans="3:19" x14ac:dyDescent="0.3">
      <c r="C574" s="11"/>
      <c r="D574" s="32"/>
      <c r="E574" s="11"/>
      <c r="F574" t="str">
        <f>_xlfn.TEXTJOIN(", ",TRUE, Tabla38[[#This Row],[Tipo de escalera]],Tabla38[[#This Row],[Longitud]],Tabla38[[#This Row],[Carga Maxima]])</f>
        <v/>
      </c>
      <c r="G574" s="15"/>
      <c r="J574" s="15"/>
      <c r="K574" s="47"/>
      <c r="L574" s="76"/>
      <c r="M574" s="76"/>
      <c r="N574" s="78" t="str">
        <f>_xlfn.LET(
    _xlpm.itemBuscado, B574,
    _xlpm.areaBuscada, C574,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TEXT(COUNTIF($C$2:C574, _xlpm.areaBuscada), "0000"),
    _xlpm.codItem &amp; "-" &amp; _xlpm.codArea &amp; "-" &amp; _xlpm.secuencia
)</f>
        <v>-SinArea-0000</v>
      </c>
      <c r="O574" s="77"/>
      <c r="P574" s="32"/>
      <c r="Q574" s="32"/>
      <c r="R574" s="32"/>
      <c r="S574" s="32"/>
    </row>
    <row r="575" spans="3:19" x14ac:dyDescent="0.3">
      <c r="C575" s="11"/>
      <c r="D575" s="32"/>
      <c r="E575" s="11"/>
      <c r="F575" t="str">
        <f>_xlfn.TEXTJOIN(", ",TRUE, Tabla38[[#This Row],[Tipo de escalera]],Tabla38[[#This Row],[Longitud]],Tabla38[[#This Row],[Carga Maxima]])</f>
        <v/>
      </c>
      <c r="G575" s="15"/>
      <c r="J575" s="15"/>
      <c r="K575" s="47"/>
      <c r="L575" s="76"/>
      <c r="M575" s="76"/>
      <c r="N575" s="78" t="str">
        <f>_xlfn.LET(
    _xlpm.itemBuscado, B575,
    _xlpm.areaBuscada, C575,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TEXT(COUNTIF($C$2:C575, _xlpm.areaBuscada), "0000"),
    _xlpm.codItem &amp; "-" &amp; _xlpm.codArea &amp; "-" &amp; _xlpm.secuencia
)</f>
        <v>-SinArea-0000</v>
      </c>
      <c r="O575" s="77"/>
      <c r="P575" s="32"/>
      <c r="Q575" s="32"/>
      <c r="R575" s="32"/>
      <c r="S575" s="32"/>
    </row>
    <row r="576" spans="3:19" x14ac:dyDescent="0.3">
      <c r="C576" s="11"/>
      <c r="D576" s="32"/>
      <c r="E576" s="11"/>
      <c r="F576" t="str">
        <f>_xlfn.TEXTJOIN(", ",TRUE, Tabla38[[#This Row],[Tipo de escalera]],Tabla38[[#This Row],[Longitud]],Tabla38[[#This Row],[Carga Maxima]])</f>
        <v/>
      </c>
      <c r="G576" s="15"/>
      <c r="J576" s="15"/>
      <c r="K576" s="47"/>
      <c r="L576" s="76"/>
      <c r="M576" s="76"/>
      <c r="N576" s="78" t="str">
        <f>_xlfn.LET(
    _xlpm.itemBuscado, B576,
    _xlpm.areaBuscada, C576,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TEXT(COUNTIF($C$2:C576, _xlpm.areaBuscada), "0000"),
    _xlpm.codItem &amp; "-" &amp; _xlpm.codArea &amp; "-" &amp; _xlpm.secuencia
)</f>
        <v>-SinArea-0000</v>
      </c>
      <c r="O576" s="77"/>
      <c r="P576" s="32"/>
      <c r="Q576" s="32"/>
      <c r="R576" s="32"/>
      <c r="S576" s="32"/>
    </row>
    <row r="577" spans="3:19" x14ac:dyDescent="0.3">
      <c r="C577" s="11"/>
      <c r="D577" s="32"/>
      <c r="E577" s="11"/>
      <c r="F577" t="str">
        <f>_xlfn.TEXTJOIN(", ",TRUE, Tabla38[[#This Row],[Tipo de escalera]],Tabla38[[#This Row],[Longitud]],Tabla38[[#This Row],[Carga Maxima]])</f>
        <v/>
      </c>
      <c r="G577" s="15"/>
      <c r="J577" s="15"/>
      <c r="K577" s="47"/>
      <c r="L577" s="76"/>
      <c r="M577" s="76"/>
      <c r="N577" s="78" t="str">
        <f>_xlfn.LET(
    _xlpm.itemBuscado, B577,
    _xlpm.areaBuscada, C577,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TEXT(COUNTIF($C$2:C577, _xlpm.areaBuscada), "0000"),
    _xlpm.codItem &amp; "-" &amp; _xlpm.codArea &amp; "-" &amp; _xlpm.secuencia
)</f>
        <v>-SinArea-0000</v>
      </c>
      <c r="O577" s="77"/>
      <c r="P577" s="32"/>
      <c r="Q577" s="32"/>
      <c r="R577" s="32"/>
      <c r="S577" s="32"/>
    </row>
    <row r="578" spans="3:19" x14ac:dyDescent="0.3">
      <c r="C578" s="11"/>
      <c r="D578" s="32"/>
      <c r="E578" s="11"/>
      <c r="F578" t="str">
        <f>_xlfn.TEXTJOIN(", ",TRUE, Tabla38[[#This Row],[Tipo de escalera]],Tabla38[[#This Row],[Longitud]],Tabla38[[#This Row],[Carga Maxima]])</f>
        <v/>
      </c>
      <c r="G578" s="15"/>
      <c r="J578" s="15"/>
      <c r="K578" s="47"/>
      <c r="L578" s="76"/>
      <c r="M578" s="76"/>
      <c r="N578" s="78" t="str">
        <f>_xlfn.LET(
    _xlpm.itemBuscado, B578,
    _xlpm.areaBuscada, C578,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TEXT(COUNTIF($C$2:C578, _xlpm.areaBuscada), "0000"),
    _xlpm.codItem &amp; "-" &amp; _xlpm.codArea &amp; "-" &amp; _xlpm.secuencia
)</f>
        <v>-SinArea-0000</v>
      </c>
      <c r="O578" s="77"/>
      <c r="P578" s="32"/>
      <c r="Q578" s="32"/>
      <c r="R578" s="32"/>
      <c r="S578" s="32"/>
    </row>
    <row r="579" spans="3:19" x14ac:dyDescent="0.3">
      <c r="C579" s="11"/>
      <c r="D579" s="32"/>
      <c r="E579" s="11"/>
      <c r="F579" t="str">
        <f>_xlfn.TEXTJOIN(", ",TRUE, Tabla38[[#This Row],[Tipo de escalera]],Tabla38[[#This Row],[Longitud]],Tabla38[[#This Row],[Carga Maxima]])</f>
        <v/>
      </c>
      <c r="G579" s="15"/>
      <c r="J579" s="15"/>
      <c r="K579" s="47"/>
      <c r="L579" s="76"/>
      <c r="M579" s="76"/>
      <c r="N579" s="78" t="str">
        <f>_xlfn.LET(
    _xlpm.itemBuscado, B579,
    _xlpm.areaBuscada, C579,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TEXT(COUNTIF($C$2:C579, _xlpm.areaBuscada), "0000"),
    _xlpm.codItem &amp; "-" &amp; _xlpm.codArea &amp; "-" &amp; _xlpm.secuencia
)</f>
        <v>-SinArea-0000</v>
      </c>
      <c r="O579" s="77"/>
      <c r="P579" s="32"/>
      <c r="Q579" s="32"/>
      <c r="R579" s="32"/>
      <c r="S579" s="32"/>
    </row>
    <row r="580" spans="3:19" x14ac:dyDescent="0.3">
      <c r="C580" s="11"/>
      <c r="D580" s="32"/>
      <c r="E580" s="11"/>
      <c r="F580" t="str">
        <f>_xlfn.TEXTJOIN(", ",TRUE, Tabla38[[#This Row],[Tipo de escalera]],Tabla38[[#This Row],[Longitud]],Tabla38[[#This Row],[Carga Maxima]])</f>
        <v/>
      </c>
      <c r="G580" s="15"/>
      <c r="J580" s="15"/>
      <c r="K580" s="47"/>
      <c r="L580" s="76"/>
      <c r="M580" s="76"/>
      <c r="N580" s="78" t="str">
        <f>_xlfn.LET(
    _xlpm.itemBuscado, B580,
    _xlpm.areaBuscada, C580,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TEXT(COUNTIF($C$2:C580, _xlpm.areaBuscada), "0000"),
    _xlpm.codItem &amp; "-" &amp; _xlpm.codArea &amp; "-" &amp; _xlpm.secuencia
)</f>
        <v>-SinArea-0000</v>
      </c>
      <c r="O580" s="77"/>
      <c r="P580" s="32"/>
      <c r="Q580" s="32"/>
      <c r="R580" s="32"/>
      <c r="S580" s="32"/>
    </row>
    <row r="581" spans="3:19" x14ac:dyDescent="0.3">
      <c r="C581" s="11"/>
      <c r="D581" s="32"/>
      <c r="E581" s="11"/>
      <c r="F581" t="str">
        <f>_xlfn.TEXTJOIN(", ",TRUE, Tabla38[[#This Row],[Tipo de escalera]],Tabla38[[#This Row],[Longitud]],Tabla38[[#This Row],[Carga Maxima]])</f>
        <v/>
      </c>
      <c r="G581" s="15"/>
      <c r="J581" s="15"/>
      <c r="K581" s="47"/>
      <c r="L581" s="76"/>
      <c r="M581" s="76"/>
      <c r="N581" s="78" t="str">
        <f>_xlfn.LET(
    _xlpm.itemBuscado, B581,
    _xlpm.areaBuscada, C581,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TEXT(COUNTIF($C$2:C581, _xlpm.areaBuscada), "0000"),
    _xlpm.codItem &amp; "-" &amp; _xlpm.codArea &amp; "-" &amp; _xlpm.secuencia
)</f>
        <v>-SinArea-0000</v>
      </c>
      <c r="O581" s="77"/>
      <c r="P581" s="32"/>
      <c r="Q581" s="32"/>
      <c r="R581" s="32"/>
      <c r="S581" s="32"/>
    </row>
    <row r="582" spans="3:19" x14ac:dyDescent="0.3">
      <c r="C582" s="11"/>
      <c r="D582" s="32"/>
      <c r="E582" s="11"/>
      <c r="F582" t="str">
        <f>_xlfn.TEXTJOIN(", ",TRUE, Tabla38[[#This Row],[Tipo de escalera]],Tabla38[[#This Row],[Longitud]],Tabla38[[#This Row],[Carga Maxima]])</f>
        <v/>
      </c>
      <c r="G582" s="15"/>
      <c r="J582" s="15"/>
      <c r="K582" s="47"/>
      <c r="L582" s="76"/>
      <c r="M582" s="76"/>
      <c r="N582" s="78" t="str">
        <f>_xlfn.LET(
    _xlpm.itemBuscado, B582,
    _xlpm.areaBuscada, C582,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TEXT(COUNTIF($C$2:C582, _xlpm.areaBuscada), "0000"),
    _xlpm.codItem &amp; "-" &amp; _xlpm.codArea &amp; "-" &amp; _xlpm.secuencia
)</f>
        <v>-SinArea-0000</v>
      </c>
      <c r="O582" s="77"/>
      <c r="P582" s="32"/>
      <c r="Q582" s="32"/>
      <c r="R582" s="32"/>
      <c r="S582" s="32"/>
    </row>
    <row r="583" spans="3:19" x14ac:dyDescent="0.3">
      <c r="C583" s="11"/>
      <c r="D583" s="32"/>
      <c r="E583" s="11"/>
      <c r="F583" t="str">
        <f>_xlfn.TEXTJOIN(", ",TRUE, Tabla38[[#This Row],[Tipo de escalera]],Tabla38[[#This Row],[Longitud]],Tabla38[[#This Row],[Carga Maxima]])</f>
        <v/>
      </c>
      <c r="G583" s="15"/>
      <c r="J583" s="15"/>
      <c r="K583" s="47"/>
      <c r="L583" s="76"/>
      <c r="M583" s="76"/>
      <c r="N583" s="78" t="str">
        <f>_xlfn.LET(
    _xlpm.itemBuscado, B583,
    _xlpm.areaBuscada, C583,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TEXT(COUNTIF($C$2:C583, _xlpm.areaBuscada), "0000"),
    _xlpm.codItem &amp; "-" &amp; _xlpm.codArea &amp; "-" &amp; _xlpm.secuencia
)</f>
        <v>-SinArea-0000</v>
      </c>
      <c r="O583" s="77"/>
      <c r="P583" s="32"/>
      <c r="Q583" s="32"/>
      <c r="R583" s="32"/>
      <c r="S583" s="32"/>
    </row>
    <row r="584" spans="3:19" x14ac:dyDescent="0.3">
      <c r="C584" s="11"/>
      <c r="D584" s="32"/>
      <c r="E584" s="11"/>
      <c r="F584" t="str">
        <f>_xlfn.TEXTJOIN(", ",TRUE, Tabla38[[#This Row],[Tipo de escalera]],Tabla38[[#This Row],[Longitud]],Tabla38[[#This Row],[Carga Maxima]])</f>
        <v/>
      </c>
      <c r="G584" s="15"/>
      <c r="J584" s="15"/>
      <c r="K584" s="47"/>
      <c r="L584" s="76"/>
      <c r="M584" s="76"/>
      <c r="N584" s="78" t="str">
        <f>_xlfn.LET(
    _xlpm.itemBuscado, B584,
    _xlpm.areaBuscada, C584,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TEXT(COUNTIF($C$2:C584, _xlpm.areaBuscada), "0000"),
    _xlpm.codItem &amp; "-" &amp; _xlpm.codArea &amp; "-" &amp; _xlpm.secuencia
)</f>
        <v>-SinArea-0000</v>
      </c>
      <c r="O584" s="77"/>
      <c r="P584" s="32"/>
      <c r="Q584" s="32"/>
      <c r="R584" s="32"/>
      <c r="S584" s="32"/>
    </row>
    <row r="585" spans="3:19" x14ac:dyDescent="0.3">
      <c r="C585" s="11"/>
      <c r="D585" s="32"/>
      <c r="E585" s="11"/>
      <c r="F585" t="str">
        <f>_xlfn.TEXTJOIN(", ",TRUE, Tabla38[[#This Row],[Tipo de escalera]],Tabla38[[#This Row],[Longitud]],Tabla38[[#This Row],[Carga Maxima]])</f>
        <v/>
      </c>
      <c r="G585" s="15"/>
      <c r="J585" s="15"/>
      <c r="K585" s="47"/>
      <c r="L585" s="76"/>
      <c r="M585" s="76"/>
      <c r="N585" s="78" t="str">
        <f>_xlfn.LET(
    _xlpm.itemBuscado, B585,
    _xlpm.areaBuscada, C585,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TEXT(COUNTIF($C$2:C585, _xlpm.areaBuscada), "0000"),
    _xlpm.codItem &amp; "-" &amp; _xlpm.codArea &amp; "-" &amp; _xlpm.secuencia
)</f>
        <v>-SinArea-0000</v>
      </c>
      <c r="O585" s="77"/>
      <c r="P585" s="32"/>
      <c r="Q585" s="32"/>
      <c r="R585" s="32"/>
      <c r="S585" s="32"/>
    </row>
    <row r="586" spans="3:19" x14ac:dyDescent="0.3">
      <c r="C586" s="11"/>
      <c r="D586" s="32"/>
      <c r="E586" s="11"/>
      <c r="F586" t="str">
        <f>_xlfn.TEXTJOIN(", ",TRUE, Tabla38[[#This Row],[Tipo de escalera]],Tabla38[[#This Row],[Longitud]],Tabla38[[#This Row],[Carga Maxima]])</f>
        <v/>
      </c>
      <c r="G586" s="15"/>
      <c r="J586" s="15"/>
      <c r="K586" s="47"/>
      <c r="L586" s="76"/>
      <c r="M586" s="76"/>
      <c r="N586" s="78" t="str">
        <f>_xlfn.LET(
    _xlpm.itemBuscado, B586,
    _xlpm.areaBuscada, C586,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TEXT(COUNTIF($C$2:C586, _xlpm.areaBuscada), "0000"),
    _xlpm.codItem &amp; "-" &amp; _xlpm.codArea &amp; "-" &amp; _xlpm.secuencia
)</f>
        <v>-SinArea-0000</v>
      </c>
      <c r="O586" s="77"/>
      <c r="P586" s="32"/>
      <c r="Q586" s="32"/>
      <c r="R586" s="32"/>
      <c r="S586" s="32"/>
    </row>
    <row r="587" spans="3:19" x14ac:dyDescent="0.3">
      <c r="C587" s="11"/>
      <c r="D587" s="32"/>
      <c r="E587" s="11"/>
      <c r="F587" t="str">
        <f>_xlfn.TEXTJOIN(", ",TRUE, Tabla38[[#This Row],[Tipo de escalera]],Tabla38[[#This Row],[Longitud]],Tabla38[[#This Row],[Carga Maxima]])</f>
        <v/>
      </c>
      <c r="G587" s="15"/>
      <c r="J587" s="15"/>
      <c r="K587" s="47"/>
      <c r="L587" s="76"/>
      <c r="M587" s="76"/>
      <c r="N587" s="78" t="str">
        <f>_xlfn.LET(
    _xlpm.itemBuscado, B587,
    _xlpm.areaBuscada, C587,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TEXT(COUNTIF($C$2:C587, _xlpm.areaBuscada), "0000"),
    _xlpm.codItem &amp; "-" &amp; _xlpm.codArea &amp; "-" &amp; _xlpm.secuencia
)</f>
        <v>-SinArea-0000</v>
      </c>
      <c r="O587" s="77"/>
      <c r="P587" s="32"/>
      <c r="Q587" s="32"/>
      <c r="R587" s="32"/>
      <c r="S587" s="32"/>
    </row>
    <row r="588" spans="3:19" x14ac:dyDescent="0.3">
      <c r="C588" s="11"/>
      <c r="D588" s="32"/>
      <c r="E588" s="11"/>
      <c r="F588" t="str">
        <f>_xlfn.TEXTJOIN(", ",TRUE, Tabla38[[#This Row],[Tipo de escalera]],Tabla38[[#This Row],[Longitud]],Tabla38[[#This Row],[Carga Maxima]])</f>
        <v/>
      </c>
      <c r="G588" s="15"/>
      <c r="J588" s="15"/>
      <c r="K588" s="47"/>
      <c r="L588" s="76"/>
      <c r="M588" s="76"/>
      <c r="N588" s="78" t="str">
        <f>_xlfn.LET(
    _xlpm.itemBuscado, B588,
    _xlpm.areaBuscada, C588,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TEXT(COUNTIF($C$2:C588, _xlpm.areaBuscada), "0000"),
    _xlpm.codItem &amp; "-" &amp; _xlpm.codArea &amp; "-" &amp; _xlpm.secuencia
)</f>
        <v>-SinArea-0000</v>
      </c>
      <c r="O588" s="77"/>
      <c r="P588" s="32"/>
      <c r="Q588" s="32"/>
      <c r="R588" s="32"/>
      <c r="S588" s="32"/>
    </row>
    <row r="589" spans="3:19" x14ac:dyDescent="0.3">
      <c r="C589" s="11"/>
      <c r="D589" s="32"/>
      <c r="E589" s="11"/>
      <c r="F589" t="str">
        <f>_xlfn.TEXTJOIN(", ",TRUE, Tabla38[[#This Row],[Tipo de escalera]],Tabla38[[#This Row],[Longitud]],Tabla38[[#This Row],[Carga Maxima]])</f>
        <v/>
      </c>
      <c r="G589" s="15"/>
      <c r="J589" s="15"/>
      <c r="K589" s="47"/>
      <c r="L589" s="76"/>
      <c r="M589" s="76"/>
      <c r="N589" s="78" t="str">
        <f>_xlfn.LET(
    _xlpm.itemBuscado, B589,
    _xlpm.areaBuscada, C589,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TEXT(COUNTIF($C$2:C589, _xlpm.areaBuscada), "0000"),
    _xlpm.codItem &amp; "-" &amp; _xlpm.codArea &amp; "-" &amp; _xlpm.secuencia
)</f>
        <v>-SinArea-0000</v>
      </c>
      <c r="O589" s="77"/>
      <c r="P589" s="32"/>
      <c r="Q589" s="32"/>
      <c r="R589" s="32"/>
      <c r="S589" s="32"/>
    </row>
    <row r="590" spans="3:19" x14ac:dyDescent="0.3">
      <c r="C590" s="11"/>
      <c r="D590" s="32"/>
      <c r="E590" s="11"/>
      <c r="F590" t="str">
        <f>_xlfn.TEXTJOIN(", ",TRUE, Tabla38[[#This Row],[Tipo de escalera]],Tabla38[[#This Row],[Longitud]],Tabla38[[#This Row],[Carga Maxima]])</f>
        <v/>
      </c>
      <c r="G590" s="15"/>
      <c r="J590" s="15"/>
      <c r="K590" s="47"/>
      <c r="L590" s="76"/>
      <c r="M590" s="76"/>
      <c r="N590" s="78" t="str">
        <f>_xlfn.LET(
    _xlpm.itemBuscado, B590,
    _xlpm.areaBuscada, C590,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TEXT(COUNTIF($C$2:C590, _xlpm.areaBuscada), "0000"),
    _xlpm.codItem &amp; "-" &amp; _xlpm.codArea &amp; "-" &amp; _xlpm.secuencia
)</f>
        <v>-SinArea-0000</v>
      </c>
      <c r="O590" s="77"/>
      <c r="P590" s="32"/>
      <c r="Q590" s="32"/>
      <c r="R590" s="32"/>
      <c r="S590" s="32"/>
    </row>
    <row r="591" spans="3:19" x14ac:dyDescent="0.3">
      <c r="C591" s="11"/>
      <c r="D591" s="32"/>
      <c r="E591" s="11"/>
      <c r="F591" t="str">
        <f>_xlfn.TEXTJOIN(", ",TRUE, Tabla38[[#This Row],[Tipo de escalera]],Tabla38[[#This Row],[Longitud]],Tabla38[[#This Row],[Carga Maxima]])</f>
        <v/>
      </c>
      <c r="G591" s="15"/>
      <c r="J591" s="15"/>
      <c r="K591" s="47"/>
      <c r="L591" s="76"/>
      <c r="M591" s="76"/>
      <c r="N591" s="78" t="str">
        <f>_xlfn.LET(
    _xlpm.itemBuscado, B591,
    _xlpm.areaBuscada, C591,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TEXT(COUNTIF($C$2:C591, _xlpm.areaBuscada), "0000"),
    _xlpm.codItem &amp; "-" &amp; _xlpm.codArea &amp; "-" &amp; _xlpm.secuencia
)</f>
        <v>-SinArea-0000</v>
      </c>
      <c r="O591" s="77"/>
      <c r="P591" s="32"/>
      <c r="Q591" s="32"/>
      <c r="R591" s="32"/>
      <c r="S591" s="32"/>
    </row>
    <row r="592" spans="3:19" x14ac:dyDescent="0.3">
      <c r="C592" s="11"/>
      <c r="D592" s="32"/>
      <c r="E592" s="11"/>
      <c r="F592" t="str">
        <f>_xlfn.TEXTJOIN(", ",TRUE, Tabla38[[#This Row],[Tipo de escalera]],Tabla38[[#This Row],[Longitud]],Tabla38[[#This Row],[Carga Maxima]])</f>
        <v/>
      </c>
      <c r="G592" s="15"/>
      <c r="J592" s="15"/>
      <c r="K592" s="47"/>
      <c r="L592" s="76"/>
      <c r="M592" s="76"/>
      <c r="N592" s="78" t="str">
        <f>_xlfn.LET(
    _xlpm.itemBuscado, B592,
    _xlpm.areaBuscada, C592,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TEXT(COUNTIF($C$2:C592, _xlpm.areaBuscada), "0000"),
    _xlpm.codItem &amp; "-" &amp; _xlpm.codArea &amp; "-" &amp; _xlpm.secuencia
)</f>
        <v>-SinArea-0000</v>
      </c>
      <c r="O592" s="77"/>
      <c r="P592" s="32"/>
      <c r="Q592" s="32"/>
      <c r="R592" s="32"/>
      <c r="S592" s="32"/>
    </row>
    <row r="593" spans="3:19" x14ac:dyDescent="0.3">
      <c r="C593" s="11"/>
      <c r="D593" s="32"/>
      <c r="E593" s="11"/>
      <c r="F593" t="str">
        <f>_xlfn.TEXTJOIN(", ",TRUE, Tabla38[[#This Row],[Tipo de escalera]],Tabla38[[#This Row],[Longitud]],Tabla38[[#This Row],[Carga Maxima]])</f>
        <v/>
      </c>
      <c r="G593" s="15"/>
      <c r="J593" s="15"/>
      <c r="K593" s="47"/>
      <c r="L593" s="76"/>
      <c r="M593" s="76"/>
      <c r="N593" s="78" t="str">
        <f>_xlfn.LET(
    _xlpm.itemBuscado, B593,
    _xlpm.areaBuscada, C593,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TEXT(COUNTIF($C$2:C593, _xlpm.areaBuscada), "0000"),
    _xlpm.codItem &amp; "-" &amp; _xlpm.codArea &amp; "-" &amp; _xlpm.secuencia
)</f>
        <v>-SinArea-0000</v>
      </c>
      <c r="O593" s="77"/>
      <c r="P593" s="32"/>
      <c r="Q593" s="32"/>
      <c r="R593" s="32"/>
      <c r="S593" s="32"/>
    </row>
    <row r="594" spans="3:19" x14ac:dyDescent="0.3">
      <c r="C594" s="11"/>
      <c r="D594" s="32"/>
      <c r="E594" s="11"/>
      <c r="F594" t="str">
        <f>_xlfn.TEXTJOIN(", ",TRUE, Tabla38[[#This Row],[Tipo de escalera]],Tabla38[[#This Row],[Longitud]],Tabla38[[#This Row],[Carga Maxima]])</f>
        <v/>
      </c>
      <c r="G594" s="15"/>
      <c r="J594" s="15"/>
      <c r="K594" s="47"/>
      <c r="L594" s="76"/>
      <c r="M594" s="76"/>
      <c r="N594" s="78" t="str">
        <f>_xlfn.LET(
    _xlpm.itemBuscado, B594,
    _xlpm.areaBuscada, C594,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TEXT(COUNTIF($C$2:C594, _xlpm.areaBuscada), "0000"),
    _xlpm.codItem &amp; "-" &amp; _xlpm.codArea &amp; "-" &amp; _xlpm.secuencia
)</f>
        <v>-SinArea-0000</v>
      </c>
      <c r="O594" s="77"/>
      <c r="P594" s="32"/>
      <c r="Q594" s="32"/>
      <c r="R594" s="32"/>
      <c r="S594" s="32"/>
    </row>
    <row r="595" spans="3:19" x14ac:dyDescent="0.3">
      <c r="C595" s="11"/>
      <c r="D595" s="32"/>
      <c r="E595" s="11"/>
      <c r="F595" t="str">
        <f>_xlfn.TEXTJOIN(", ",TRUE, Tabla38[[#This Row],[Tipo de escalera]],Tabla38[[#This Row],[Longitud]],Tabla38[[#This Row],[Carga Maxima]])</f>
        <v/>
      </c>
      <c r="G595" s="15"/>
      <c r="J595" s="15"/>
      <c r="K595" s="47"/>
      <c r="L595" s="76"/>
      <c r="M595" s="76"/>
      <c r="N595" s="78" t="str">
        <f>_xlfn.LET(
    _xlpm.itemBuscado, B595,
    _xlpm.areaBuscada, C595,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TEXT(COUNTIF($C$2:C595, _xlpm.areaBuscada), "0000"),
    _xlpm.codItem &amp; "-" &amp; _xlpm.codArea &amp; "-" &amp; _xlpm.secuencia
)</f>
        <v>-SinArea-0000</v>
      </c>
      <c r="O595" s="77"/>
      <c r="P595" s="32"/>
      <c r="Q595" s="32"/>
      <c r="R595" s="32"/>
      <c r="S595" s="32"/>
    </row>
    <row r="596" spans="3:19" x14ac:dyDescent="0.3">
      <c r="C596" s="11"/>
      <c r="D596" s="32"/>
      <c r="E596" s="11"/>
      <c r="F596" t="str">
        <f>_xlfn.TEXTJOIN(", ",TRUE, Tabla38[[#This Row],[Tipo de escalera]],Tabla38[[#This Row],[Longitud]],Tabla38[[#This Row],[Carga Maxima]])</f>
        <v/>
      </c>
      <c r="G596" s="15"/>
      <c r="J596" s="15"/>
      <c r="K596" s="47"/>
      <c r="L596" s="76"/>
      <c r="M596" s="76"/>
      <c r="N596" s="78" t="str">
        <f>_xlfn.LET(
    _xlpm.itemBuscado, B596,
    _xlpm.areaBuscada, C596,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TEXT(COUNTIF($C$2:C596, _xlpm.areaBuscada), "0000"),
    _xlpm.codItem &amp; "-" &amp; _xlpm.codArea &amp; "-" &amp; _xlpm.secuencia
)</f>
        <v>-SinArea-0000</v>
      </c>
      <c r="O596" s="77"/>
      <c r="P596" s="32"/>
      <c r="Q596" s="32"/>
      <c r="R596" s="32"/>
      <c r="S596" s="32"/>
    </row>
    <row r="597" spans="3:19" x14ac:dyDescent="0.3">
      <c r="C597" s="11"/>
      <c r="D597" s="32"/>
      <c r="E597" s="11"/>
      <c r="F597" t="str">
        <f>_xlfn.TEXTJOIN(", ",TRUE, Tabla38[[#This Row],[Tipo de escalera]],Tabla38[[#This Row],[Longitud]],Tabla38[[#This Row],[Carga Maxima]])</f>
        <v/>
      </c>
      <c r="G597" s="15"/>
      <c r="J597" s="15"/>
      <c r="K597" s="47"/>
      <c r="L597" s="76"/>
      <c r="M597" s="76"/>
      <c r="N597" s="78" t="str">
        <f>_xlfn.LET(
    _xlpm.itemBuscado, B597,
    _xlpm.areaBuscada, C597,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TEXT(COUNTIF($C$2:C597, _xlpm.areaBuscada), "0000"),
    _xlpm.codItem &amp; "-" &amp; _xlpm.codArea &amp; "-" &amp; _xlpm.secuencia
)</f>
        <v>-SinArea-0000</v>
      </c>
      <c r="O597" s="77"/>
      <c r="P597" s="32"/>
      <c r="Q597" s="32"/>
      <c r="R597" s="32"/>
      <c r="S597" s="32"/>
    </row>
    <row r="598" spans="3:19" x14ac:dyDescent="0.3">
      <c r="C598" s="11"/>
      <c r="D598" s="32"/>
      <c r="E598" s="11"/>
      <c r="F598" t="str">
        <f>_xlfn.TEXTJOIN(", ",TRUE, Tabla38[[#This Row],[Tipo de escalera]],Tabla38[[#This Row],[Longitud]],Tabla38[[#This Row],[Carga Maxima]])</f>
        <v/>
      </c>
      <c r="G598" s="15"/>
      <c r="J598" s="15"/>
      <c r="K598" s="47"/>
      <c r="L598" s="76"/>
      <c r="M598" s="76"/>
      <c r="N598" s="78" t="str">
        <f>_xlfn.LET(
    _xlpm.itemBuscado, B598,
    _xlpm.areaBuscada, C598,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TEXT(COUNTIF($C$2:C598, _xlpm.areaBuscada), "0000"),
    _xlpm.codItem &amp; "-" &amp; _xlpm.codArea &amp; "-" &amp; _xlpm.secuencia
)</f>
        <v>-SinArea-0000</v>
      </c>
      <c r="O598" s="77"/>
      <c r="P598" s="32"/>
      <c r="Q598" s="32"/>
      <c r="R598" s="32"/>
      <c r="S598" s="32"/>
    </row>
    <row r="599" spans="3:19" x14ac:dyDescent="0.3">
      <c r="C599" s="11"/>
      <c r="D599" s="32"/>
      <c r="E599" s="11"/>
      <c r="F599" t="str">
        <f>_xlfn.TEXTJOIN(", ",TRUE, Tabla38[[#This Row],[Tipo de escalera]],Tabla38[[#This Row],[Longitud]],Tabla38[[#This Row],[Carga Maxima]])</f>
        <v/>
      </c>
      <c r="G599" s="15"/>
      <c r="J599" s="15"/>
      <c r="K599" s="47"/>
      <c r="L599" s="76"/>
      <c r="M599" s="76"/>
      <c r="N599" s="78" t="str">
        <f>_xlfn.LET(
    _xlpm.itemBuscado, B599,
    _xlpm.areaBuscada, C599,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TEXT(COUNTIF($C$2:C599, _xlpm.areaBuscada), "0000"),
    _xlpm.codItem &amp; "-" &amp; _xlpm.codArea &amp; "-" &amp; _xlpm.secuencia
)</f>
        <v>-SinArea-0000</v>
      </c>
      <c r="O599" s="77"/>
      <c r="P599" s="32"/>
      <c r="Q599" s="32"/>
      <c r="R599" s="32"/>
      <c r="S599" s="32"/>
    </row>
    <row r="600" spans="3:19" x14ac:dyDescent="0.3">
      <c r="C600" s="11"/>
      <c r="D600" s="32"/>
      <c r="E600" s="11"/>
      <c r="F600" t="str">
        <f>_xlfn.TEXTJOIN(", ",TRUE, Tabla38[[#This Row],[Tipo de escalera]],Tabla38[[#This Row],[Longitud]],Tabla38[[#This Row],[Carga Maxima]])</f>
        <v/>
      </c>
      <c r="G600" s="15"/>
      <c r="J600" s="15"/>
      <c r="K600" s="47"/>
      <c r="L600" s="76"/>
      <c r="M600" s="76"/>
      <c r="N600" s="78" t="str">
        <f>_xlfn.LET(
    _xlpm.itemBuscado, B600,
    _xlpm.areaBuscada, C600,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TEXT(COUNTIF($C$2:C600, _xlpm.areaBuscada), "0000"),
    _xlpm.codItem &amp; "-" &amp; _xlpm.codArea &amp; "-" &amp; _xlpm.secuencia
)</f>
        <v>-SinArea-0000</v>
      </c>
      <c r="O600" s="77"/>
      <c r="P600" s="32"/>
      <c r="Q600" s="32"/>
      <c r="R600" s="32"/>
      <c r="S600" s="32"/>
    </row>
    <row r="601" spans="3:19" x14ac:dyDescent="0.3">
      <c r="C601" s="11"/>
      <c r="D601" s="32"/>
      <c r="E601" s="11"/>
      <c r="F601" t="str">
        <f>_xlfn.TEXTJOIN(", ",TRUE, Tabla38[[#This Row],[Tipo de escalera]],Tabla38[[#This Row],[Longitud]],Tabla38[[#This Row],[Carga Maxima]])</f>
        <v/>
      </c>
      <c r="G601" s="15"/>
      <c r="J601" s="15"/>
      <c r="K601" s="47"/>
      <c r="L601" s="76"/>
      <c r="M601" s="76"/>
      <c r="N601" s="78" t="str">
        <f>_xlfn.LET(
    _xlpm.itemBuscado, B601,
    _xlpm.areaBuscada, C601,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TEXT(COUNTIF($C$2:C601, _xlpm.areaBuscada), "0000"),
    _xlpm.codItem &amp; "-" &amp; _xlpm.codArea &amp; "-" &amp; _xlpm.secuencia
)</f>
        <v>-SinArea-0000</v>
      </c>
      <c r="O601" s="77"/>
      <c r="P601" s="32"/>
      <c r="Q601" s="32"/>
      <c r="R601" s="32"/>
      <c r="S601" s="32"/>
    </row>
    <row r="602" spans="3:19" x14ac:dyDescent="0.3">
      <c r="C602" s="11"/>
      <c r="D602" s="32"/>
      <c r="E602" s="11"/>
      <c r="F602" t="str">
        <f>_xlfn.TEXTJOIN(", ",TRUE, Tabla38[[#This Row],[Tipo de escalera]],Tabla38[[#This Row],[Longitud]],Tabla38[[#This Row],[Carga Maxima]])</f>
        <v/>
      </c>
      <c r="G602" s="15"/>
      <c r="J602" s="15"/>
      <c r="K602" s="47"/>
      <c r="L602" s="76"/>
      <c r="M602" s="76"/>
      <c r="N602" s="78" t="str">
        <f>_xlfn.LET(
    _xlpm.itemBuscado, B602,
    _xlpm.areaBuscada, C602,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TEXT(COUNTIF($C$2:C602, _xlpm.areaBuscada), "0000"),
    _xlpm.codItem &amp; "-" &amp; _xlpm.codArea &amp; "-" &amp; _xlpm.secuencia
)</f>
        <v>-SinArea-0000</v>
      </c>
      <c r="O602" s="77"/>
      <c r="P602" s="32"/>
      <c r="Q602" s="32"/>
      <c r="R602" s="32"/>
      <c r="S602" s="32"/>
    </row>
    <row r="603" spans="3:19" x14ac:dyDescent="0.3">
      <c r="C603" s="11"/>
      <c r="D603" s="32"/>
      <c r="E603" s="11"/>
      <c r="F603" t="str">
        <f>_xlfn.TEXTJOIN(", ",TRUE, Tabla38[[#This Row],[Tipo de escalera]],Tabla38[[#This Row],[Longitud]],Tabla38[[#This Row],[Carga Maxima]])</f>
        <v/>
      </c>
      <c r="G603" s="15"/>
      <c r="J603" s="15"/>
      <c r="K603" s="47"/>
      <c r="L603" s="76"/>
      <c r="M603" s="76"/>
      <c r="N603" s="78" t="str">
        <f>_xlfn.LET(
    _xlpm.itemBuscado, B603,
    _xlpm.areaBuscada, C603,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TEXT(COUNTIF($C$2:C603, _xlpm.areaBuscada), "0000"),
    _xlpm.codItem &amp; "-" &amp; _xlpm.codArea &amp; "-" &amp; _xlpm.secuencia
)</f>
        <v>-SinArea-0000</v>
      </c>
      <c r="O603" s="77"/>
      <c r="P603" s="32"/>
      <c r="Q603" s="32"/>
      <c r="R603" s="32"/>
      <c r="S603" s="32"/>
    </row>
    <row r="604" spans="3:19" x14ac:dyDescent="0.3">
      <c r="C604" s="11"/>
      <c r="D604" s="32"/>
      <c r="E604" s="11"/>
      <c r="F604" t="str">
        <f>_xlfn.TEXTJOIN(", ",TRUE, Tabla38[[#This Row],[Tipo de escalera]],Tabla38[[#This Row],[Longitud]],Tabla38[[#This Row],[Carga Maxima]])</f>
        <v/>
      </c>
      <c r="G604" s="15"/>
      <c r="J604" s="15"/>
      <c r="K604" s="47"/>
      <c r="L604" s="76"/>
      <c r="M604" s="76"/>
      <c r="N604" s="78" t="str">
        <f>_xlfn.LET(
    _xlpm.itemBuscado, B604,
    _xlpm.areaBuscada, C604,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TEXT(COUNTIF($C$2:C604, _xlpm.areaBuscada), "0000"),
    _xlpm.codItem &amp; "-" &amp; _xlpm.codArea &amp; "-" &amp; _xlpm.secuencia
)</f>
        <v>-SinArea-0000</v>
      </c>
      <c r="O604" s="77"/>
      <c r="P604" s="32"/>
      <c r="Q604" s="32"/>
      <c r="R604" s="32"/>
      <c r="S604" s="32"/>
    </row>
    <row r="605" spans="3:19" x14ac:dyDescent="0.3">
      <c r="C605" s="11"/>
      <c r="D605" s="32"/>
      <c r="E605" s="11"/>
      <c r="F605" t="str">
        <f>_xlfn.TEXTJOIN(", ",TRUE, Tabla38[[#This Row],[Tipo de escalera]],Tabla38[[#This Row],[Longitud]],Tabla38[[#This Row],[Carga Maxima]])</f>
        <v/>
      </c>
      <c r="G605" s="15"/>
      <c r="J605" s="15"/>
      <c r="K605" s="47"/>
      <c r="L605" s="76"/>
      <c r="M605" s="76"/>
      <c r="N605" s="78" t="str">
        <f>_xlfn.LET(
    _xlpm.itemBuscado, B605,
    _xlpm.areaBuscada, C605,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TEXT(COUNTIF($C$2:C605, _xlpm.areaBuscada), "0000"),
    _xlpm.codItem &amp; "-" &amp; _xlpm.codArea &amp; "-" &amp; _xlpm.secuencia
)</f>
        <v>-SinArea-0000</v>
      </c>
      <c r="O605" s="77"/>
      <c r="P605" s="32"/>
      <c r="Q605" s="32"/>
      <c r="R605" s="32"/>
      <c r="S605" s="32"/>
    </row>
    <row r="606" spans="3:19" x14ac:dyDescent="0.3">
      <c r="C606" s="11"/>
      <c r="D606" s="32"/>
      <c r="E606" s="11"/>
      <c r="F606" t="str">
        <f>_xlfn.TEXTJOIN(", ",TRUE, Tabla38[[#This Row],[Tipo de escalera]],Tabla38[[#This Row],[Longitud]],Tabla38[[#This Row],[Carga Maxima]])</f>
        <v/>
      </c>
      <c r="G606" s="15"/>
      <c r="J606" s="15"/>
      <c r="K606" s="47"/>
      <c r="L606" s="76"/>
      <c r="M606" s="76"/>
      <c r="N606" s="78" t="str">
        <f>_xlfn.LET(
    _xlpm.itemBuscado, B606,
    _xlpm.areaBuscada, C606,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TEXT(COUNTIF($C$2:C606, _xlpm.areaBuscada), "0000"),
    _xlpm.codItem &amp; "-" &amp; _xlpm.codArea &amp; "-" &amp; _xlpm.secuencia
)</f>
        <v>-SinArea-0000</v>
      </c>
      <c r="O606" s="77"/>
      <c r="P606" s="32"/>
      <c r="Q606" s="32"/>
      <c r="R606" s="32"/>
      <c r="S606" s="32"/>
    </row>
    <row r="607" spans="3:19" x14ac:dyDescent="0.3">
      <c r="C607" s="11"/>
      <c r="D607" s="32"/>
      <c r="E607" s="11"/>
      <c r="F607" t="str">
        <f>_xlfn.TEXTJOIN(", ",TRUE, Tabla38[[#This Row],[Tipo de escalera]],Tabla38[[#This Row],[Longitud]],Tabla38[[#This Row],[Carga Maxima]])</f>
        <v/>
      </c>
      <c r="G607" s="15"/>
      <c r="J607" s="15"/>
      <c r="K607" s="47"/>
      <c r="L607" s="76"/>
      <c r="M607" s="76"/>
      <c r="N607" s="78" t="str">
        <f>_xlfn.LET(
    _xlpm.itemBuscado, B607,
    _xlpm.areaBuscada, C607,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TEXT(COUNTIF($C$2:C607, _xlpm.areaBuscada), "0000"),
    _xlpm.codItem &amp; "-" &amp; _xlpm.codArea &amp; "-" &amp; _xlpm.secuencia
)</f>
        <v>-SinArea-0000</v>
      </c>
      <c r="O607" s="77"/>
      <c r="P607" s="32"/>
      <c r="Q607" s="32"/>
      <c r="R607" s="32"/>
      <c r="S607" s="32"/>
    </row>
    <row r="608" spans="3:19" x14ac:dyDescent="0.3">
      <c r="C608" s="11"/>
      <c r="D608" s="32"/>
      <c r="E608" s="11"/>
      <c r="F608" t="str">
        <f>_xlfn.TEXTJOIN(", ",TRUE, Tabla38[[#This Row],[Tipo de escalera]],Tabla38[[#This Row],[Longitud]],Tabla38[[#This Row],[Carga Maxima]])</f>
        <v/>
      </c>
      <c r="G608" s="15"/>
      <c r="J608" s="15"/>
      <c r="K608" s="47"/>
      <c r="L608" s="76"/>
      <c r="M608" s="76"/>
      <c r="N608" s="78" t="str">
        <f>_xlfn.LET(
    _xlpm.itemBuscado, B608,
    _xlpm.areaBuscada, C608,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TEXT(COUNTIF($C$2:C608, _xlpm.areaBuscada), "0000"),
    _xlpm.codItem &amp; "-" &amp; _xlpm.codArea &amp; "-" &amp; _xlpm.secuencia
)</f>
        <v>-SinArea-0000</v>
      </c>
      <c r="O608" s="77"/>
      <c r="P608" s="32"/>
      <c r="Q608" s="32"/>
      <c r="R608" s="32"/>
      <c r="S608" s="32"/>
    </row>
    <row r="609" spans="3:19" x14ac:dyDescent="0.3">
      <c r="C609" s="11"/>
      <c r="D609" s="32"/>
      <c r="E609" s="11"/>
      <c r="F609" t="str">
        <f>_xlfn.TEXTJOIN(", ",TRUE, Tabla38[[#This Row],[Tipo de escalera]],Tabla38[[#This Row],[Longitud]],Tabla38[[#This Row],[Carga Maxima]])</f>
        <v/>
      </c>
      <c r="G609" s="15"/>
      <c r="J609" s="15"/>
      <c r="K609" s="47"/>
      <c r="L609" s="76"/>
      <c r="M609" s="76"/>
      <c r="N609" s="78" t="str">
        <f>_xlfn.LET(
    _xlpm.itemBuscado, B609,
    _xlpm.areaBuscada, C609,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TEXT(COUNTIF($C$2:C609, _xlpm.areaBuscada), "0000"),
    _xlpm.codItem &amp; "-" &amp; _xlpm.codArea &amp; "-" &amp; _xlpm.secuencia
)</f>
        <v>-SinArea-0000</v>
      </c>
      <c r="O609" s="77"/>
      <c r="P609" s="32"/>
      <c r="Q609" s="32"/>
      <c r="R609" s="32"/>
      <c r="S609" s="32"/>
    </row>
    <row r="610" spans="3:19" x14ac:dyDescent="0.3">
      <c r="C610" s="11"/>
      <c r="D610" s="32"/>
      <c r="E610" s="11"/>
      <c r="F610" t="str">
        <f>_xlfn.TEXTJOIN(", ",TRUE, Tabla38[[#This Row],[Tipo de escalera]],Tabla38[[#This Row],[Longitud]],Tabla38[[#This Row],[Carga Maxima]])</f>
        <v/>
      </c>
      <c r="G610" s="15"/>
      <c r="J610" s="15"/>
      <c r="K610" s="47"/>
      <c r="L610" s="76"/>
      <c r="M610" s="76"/>
      <c r="N610" s="78" t="str">
        <f>_xlfn.LET(
    _xlpm.itemBuscado, B610,
    _xlpm.areaBuscada, C610,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TEXT(COUNTIF($C$2:C610, _xlpm.areaBuscada), "0000"),
    _xlpm.codItem &amp; "-" &amp; _xlpm.codArea &amp; "-" &amp; _xlpm.secuencia
)</f>
        <v>-SinArea-0000</v>
      </c>
      <c r="O610" s="77"/>
      <c r="P610" s="32"/>
      <c r="Q610" s="32"/>
      <c r="R610" s="32"/>
      <c r="S610" s="32"/>
    </row>
    <row r="611" spans="3:19" x14ac:dyDescent="0.3">
      <c r="C611" s="11"/>
      <c r="D611" s="32"/>
      <c r="E611" s="11"/>
      <c r="F611" t="str">
        <f>_xlfn.TEXTJOIN(", ",TRUE, Tabla38[[#This Row],[Tipo de escalera]],Tabla38[[#This Row],[Longitud]],Tabla38[[#This Row],[Carga Maxima]])</f>
        <v/>
      </c>
      <c r="G611" s="15"/>
      <c r="J611" s="15"/>
      <c r="K611" s="47"/>
      <c r="L611" s="76"/>
      <c r="M611" s="76"/>
      <c r="N611" s="78" t="str">
        <f>_xlfn.LET(
    _xlpm.itemBuscado, B611,
    _xlpm.areaBuscada, C611,
    _xlpm.codItem, _xlfn.XLOOKUP(_xlpm.itemBuscado, Tabla12[Columna1], Tabla12[ZM ( MISC MECHANICALS ITEMS )],
             _xlfn.XLOOKUP(_xlpm.itemBuscado, Tabla12[Columna2], Tabla12[ZE (MISC ELECTRICAL ITEMS)],
             _xlfn.XLOOKUP(_xlpm.itemBuscado, Tabla12[Columna3], Tabla12[ZI (MISC INSTRUMENTATIONS ITEMS)],
             _xlfn.XLOOKUP(_xlpm.itemBuscado, Tabla12[Columna4], Tabla12[ZZ (MISCELANEOUS ITEMS)], "SinItem")))),
    _xlpm.codArea, _xlfn.XLOOKUP(_xlpm.areaBuscada, Tabla11[Areas], Tabla11[Codigo], "SinArea"),
    _xlpm.secuencia, TEXT(COUNTIF($C$2:C611, _xlpm.areaBuscada), "0000"),
    _xlpm.codItem &amp; "-" &amp; _xlpm.codArea &amp; "-" &amp; _xlpm.secuencia
)</f>
        <v>-SinArea-0000</v>
      </c>
      <c r="O611" s="77"/>
      <c r="P611" s="32"/>
      <c r="Q611" s="32"/>
      <c r="R611" s="32"/>
      <c r="S611" s="32"/>
    </row>
    <row r="612" spans="3:19" x14ac:dyDescent="0.3">
      <c r="C612" s="11"/>
    </row>
    <row r="613" spans="3:19" x14ac:dyDescent="0.3">
      <c r="C613" s="11"/>
    </row>
    <row r="614" spans="3:19" x14ac:dyDescent="0.3">
      <c r="C614" s="11"/>
    </row>
    <row r="615" spans="3:19" x14ac:dyDescent="0.3">
      <c r="C615" s="11"/>
    </row>
    <row r="616" spans="3:19" x14ac:dyDescent="0.3">
      <c r="C616" s="11"/>
    </row>
    <row r="617" spans="3:19" x14ac:dyDescent="0.3">
      <c r="C617" s="11"/>
    </row>
    <row r="618" spans="3:19" x14ac:dyDescent="0.3">
      <c r="C618" s="11"/>
    </row>
  </sheetData>
  <phoneticPr fontId="15" type="noConversion"/>
  <dataValidations xWindow="822" yWindow="576" count="10">
    <dataValidation type="list" allowBlank="1" showInputMessage="1" showErrorMessage="1" sqref="E2:E203" xr:uid="{3AE142A0-C753-4BAF-8434-F6C3CEB8C178}">
      <formula1>$AE$1:$AL$1</formula1>
    </dataValidation>
    <dataValidation type="list" allowBlank="1" showInputMessage="1" showErrorMessage="1" sqref="E204:E615" xr:uid="{8CC0321D-D6C2-473F-9FDC-97652290371B}">
      <formula1>$AB$2:$AB$7</formula1>
    </dataValidation>
    <dataValidation type="list" allowBlank="1" showInputMessage="1" showErrorMessage="1" sqref="C2:C618" xr:uid="{1977AD4C-1987-4BD5-9F0A-9BDCF4659F81}">
      <formula1>$V$2:$V$13</formula1>
    </dataValidation>
    <dataValidation type="list" allowBlank="1" showInputMessage="1" promptTitle="Guia" prompt="puede realizar Las siguientes opciones_x000a_si eligio electricos tiene las siguientes opciones de una posible sublista_x000a_" sqref="F140:F613 G612:G613 H142:I613" xr:uid="{26505D48-04FB-4B5B-902F-B5BA207110FA}">
      <formula1>INDIRECT($E$2:$E$611)</formula1>
    </dataValidation>
    <dataValidation allowBlank="1" showInputMessage="1" showErrorMessage="1" sqref="D140:D618" xr:uid="{3761962D-6344-4F68-BC5F-E230AF28AC07}"/>
    <dataValidation type="list" allowBlank="1" showInputMessage="1" showErrorMessage="1" sqref="Q2:Q611" xr:uid="{C86417F5-552B-45B4-95E2-36094E3BDFF9}">
      <formula1>$AA$10:$AA$12</formula1>
    </dataValidation>
    <dataValidation type="list" allowBlank="1" showInputMessage="1" promptTitle="Guia" prompt="Si tiene dudas sobre que dato colocar consulte las siguientes tablas y no olvide revisar los comentarios_x000a__x000a_" sqref="F2:F139 H2:I141" xr:uid="{76EA7047-BE13-48B6-B905-5449373BC8E4}">
      <formula1>INDIRECT($E$2:$E$611)</formula1>
    </dataValidation>
    <dataValidation type="whole" allowBlank="1" showInputMessage="1" showErrorMessage="1" sqref="D2:D139" xr:uid="{70A6D8BD-3F98-4C48-BB10-F3CDF9DE6D4A}">
      <formula1>1</formula1>
      <formula2>100</formula2>
    </dataValidation>
    <dataValidation type="list" allowBlank="1" showInputMessage="1" showErrorMessage="1" sqref="R2:R611" xr:uid="{60948A86-B661-43C1-9F21-0398B5B1C970}">
      <formula1>$Y$2:$Y$4</formula1>
    </dataValidation>
    <dataValidation type="list" allowBlank="1" showInputMessage="1" promptTitle="Guia" prompt="Si tiene dudas sobre que dato colocar consulte las siguientes tablas y no olvide revisar los comentarios_x000a__x000a_" sqref="G2:G611" xr:uid="{E25C4ABD-BC06-4F1C-8B19-73C9A77ACCA1}">
      <formula1>$V$16:$V$19</formula1>
    </dataValidation>
  </dataValidations>
  <pageMargins left="0.7" right="0.7" top="0.75" bottom="0.75" header="0.3" footer="0.3"/>
  <ignoredErrors>
    <ignoredError sqref="F54" listDataValidation="1"/>
    <ignoredError sqref="F57" calculatedColumn="1"/>
  </ignoredErrors>
  <legacyDrawing r:id="rId1"/>
  <tableParts count="4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</tableParts>
  <extLst>
    <ext xmlns:x14="http://schemas.microsoft.com/office/spreadsheetml/2009/9/main" uri="{CCE6A557-97BC-4b89-ADB6-D9C93CAAB3DF}">
      <x14:dataValidations xmlns:xm="http://schemas.microsoft.com/office/excel/2006/main" xWindow="822" yWindow="576" count="2">
        <x14:dataValidation type="list" allowBlank="1" showInputMessage="1" showErrorMessage="1" xr:uid="{8DFFD39D-6372-4CC4-B3A5-7378F634C3A5}">
          <x14:formula1>
            <xm:f>Hoja2!$B$3:$B$78</xm:f>
          </x14:formula1>
          <xm:sqref>B157:B611</xm:sqref>
        </x14:dataValidation>
        <x14:dataValidation type="list" allowBlank="1" showInputMessage="1" showErrorMessage="1" xr:uid="{EF003D7E-0D88-4174-881E-62DE297DD988}">
          <x14:formula1>
            <xm:f>Hoja2!$B$3:$B$79</xm:f>
          </x14:formula1>
          <xm:sqref>B2:B156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3C951-E272-4C1F-A40D-378B47AB2F4F}">
  <dimension ref="B2:W24"/>
  <sheetViews>
    <sheetView topLeftCell="H2" zoomScale="55" zoomScaleNormal="55" workbookViewId="0">
      <selection activeCell="W14" sqref="W14"/>
    </sheetView>
  </sheetViews>
  <sheetFormatPr baseColWidth="10" defaultColWidth="11.44140625" defaultRowHeight="14.4" x14ac:dyDescent="0.3"/>
  <cols>
    <col min="2" max="3" width="31.44140625" customWidth="1"/>
    <col min="4" max="5" width="27.33203125" customWidth="1"/>
    <col min="6" max="7" width="34.6640625" customWidth="1"/>
    <col min="8" max="9" width="26" customWidth="1"/>
    <col min="11" max="11" width="23.44140625" bestFit="1" customWidth="1"/>
    <col min="12" max="12" width="25.44140625" bestFit="1" customWidth="1"/>
    <col min="13" max="13" width="26.44140625" bestFit="1" customWidth="1"/>
    <col min="14" max="14" width="24.6640625" bestFit="1" customWidth="1"/>
    <col min="15" max="15" width="25" bestFit="1" customWidth="1"/>
    <col min="16" max="16" width="11.109375" bestFit="1" customWidth="1"/>
    <col min="17" max="17" width="22.44140625" bestFit="1" customWidth="1"/>
    <col min="18" max="18" width="8" bestFit="1" customWidth="1"/>
    <col min="19" max="19" width="20.33203125" bestFit="1" customWidth="1"/>
    <col min="20" max="20" width="18.44140625" bestFit="1" customWidth="1"/>
    <col min="22" max="22" width="11.33203125" bestFit="1" customWidth="1"/>
    <col min="23" max="23" width="9.109375" bestFit="1" customWidth="1"/>
  </cols>
  <sheetData>
    <row r="2" spans="2:23" x14ac:dyDescent="0.3">
      <c r="B2" s="90" t="s">
        <v>193</v>
      </c>
      <c r="C2" s="91"/>
      <c r="D2" s="91"/>
      <c r="E2" s="91"/>
      <c r="F2" s="91"/>
      <c r="G2" s="91"/>
      <c r="H2" s="92"/>
      <c r="I2" s="35"/>
      <c r="K2" s="1" t="s">
        <v>4</v>
      </c>
      <c r="L2" s="2" t="s">
        <v>5</v>
      </c>
      <c r="M2" s="3" t="s">
        <v>6</v>
      </c>
      <c r="N2" s="2" t="s">
        <v>7</v>
      </c>
      <c r="O2" s="3" t="s">
        <v>8</v>
      </c>
      <c r="P2" s="3" t="s">
        <v>160</v>
      </c>
      <c r="Q2" s="2" t="s">
        <v>9</v>
      </c>
      <c r="R2" s="4" t="s">
        <v>10</v>
      </c>
      <c r="S2" t="s">
        <v>11</v>
      </c>
      <c r="T2" t="s">
        <v>12</v>
      </c>
      <c r="V2" t="s">
        <v>170</v>
      </c>
      <c r="W2" t="s">
        <v>182</v>
      </c>
    </row>
    <row r="3" spans="2:23" x14ac:dyDescent="0.3">
      <c r="B3" s="32" t="s">
        <v>3</v>
      </c>
      <c r="C3" s="32" t="s">
        <v>194</v>
      </c>
      <c r="D3" s="32" t="s">
        <v>0</v>
      </c>
      <c r="E3" s="32" t="s">
        <v>195</v>
      </c>
      <c r="F3" s="32" t="s">
        <v>1</v>
      </c>
      <c r="G3" s="32" t="s">
        <v>196</v>
      </c>
      <c r="H3" s="32" t="s">
        <v>2</v>
      </c>
      <c r="I3" s="32" t="s">
        <v>197</v>
      </c>
      <c r="K3" s="5" t="s">
        <v>13</v>
      </c>
      <c r="L3" t="s">
        <v>14</v>
      </c>
      <c r="M3" t="s">
        <v>15</v>
      </c>
      <c r="N3" t="s">
        <v>16</v>
      </c>
      <c r="O3" s="6" t="s">
        <v>17</v>
      </c>
      <c r="P3" t="s">
        <v>18</v>
      </c>
      <c r="Q3" t="s">
        <v>19</v>
      </c>
      <c r="R3" s="6" t="s">
        <v>20</v>
      </c>
      <c r="S3" t="s">
        <v>21</v>
      </c>
      <c r="T3" s="7" t="s">
        <v>22</v>
      </c>
      <c r="V3" s="27" t="s">
        <v>171</v>
      </c>
      <c r="W3" s="31" t="s">
        <v>183</v>
      </c>
    </row>
    <row r="4" spans="2:23" x14ac:dyDescent="0.3">
      <c r="B4" s="32" t="s">
        <v>141</v>
      </c>
      <c r="C4" t="s">
        <v>16</v>
      </c>
      <c r="D4" s="32" t="s">
        <v>198</v>
      </c>
      <c r="E4" s="5" t="s">
        <v>13</v>
      </c>
      <c r="F4" s="32" t="s">
        <v>126</v>
      </c>
      <c r="G4" t="s">
        <v>15</v>
      </c>
      <c r="H4" s="32" t="s">
        <v>120</v>
      </c>
      <c r="I4" t="s">
        <v>14</v>
      </c>
      <c r="K4" s="6" t="s">
        <v>23</v>
      </c>
      <c r="L4" t="s">
        <v>24</v>
      </c>
      <c r="M4" t="s">
        <v>25</v>
      </c>
      <c r="N4" t="s">
        <v>26</v>
      </c>
      <c r="O4" s="6" t="s">
        <v>27</v>
      </c>
      <c r="P4" t="s">
        <v>28</v>
      </c>
      <c r="Q4" t="s">
        <v>29</v>
      </c>
      <c r="S4" s="8" t="s">
        <v>30</v>
      </c>
      <c r="T4" s="9" t="s">
        <v>31</v>
      </c>
      <c r="V4" s="27" t="s">
        <v>172</v>
      </c>
      <c r="W4" s="31" t="s">
        <v>189</v>
      </c>
    </row>
    <row r="5" spans="2:23" ht="28.8" x14ac:dyDescent="0.3">
      <c r="B5" s="32" t="s">
        <v>142</v>
      </c>
      <c r="C5" t="s">
        <v>26</v>
      </c>
      <c r="D5" s="32" t="s">
        <v>125</v>
      </c>
      <c r="E5" s="6" t="s">
        <v>23</v>
      </c>
      <c r="F5" s="32" t="s">
        <v>127</v>
      </c>
      <c r="G5" t="s">
        <v>25</v>
      </c>
      <c r="H5" s="32" t="s">
        <v>121</v>
      </c>
      <c r="I5" t="s">
        <v>24</v>
      </c>
      <c r="K5" s="10" t="s">
        <v>32</v>
      </c>
      <c r="L5" t="s">
        <v>33</v>
      </c>
      <c r="M5" t="s">
        <v>34</v>
      </c>
      <c r="N5" t="s">
        <v>35</v>
      </c>
      <c r="O5" s="5" t="s">
        <v>36</v>
      </c>
      <c r="P5" s="11" t="s">
        <v>37</v>
      </c>
      <c r="Q5" t="s">
        <v>38</v>
      </c>
      <c r="S5" s="11" t="s">
        <v>39</v>
      </c>
      <c r="T5" s="7" t="s">
        <v>40</v>
      </c>
      <c r="V5" s="27" t="s">
        <v>173</v>
      </c>
      <c r="W5" s="31" t="s">
        <v>184</v>
      </c>
    </row>
    <row r="6" spans="2:23" ht="28.8" x14ac:dyDescent="0.3">
      <c r="B6" s="32" t="s">
        <v>143</v>
      </c>
      <c r="C6" t="s">
        <v>35</v>
      </c>
      <c r="D6" s="32" t="s">
        <v>104</v>
      </c>
      <c r="E6" s="10" t="s">
        <v>32</v>
      </c>
      <c r="F6" s="32" t="s">
        <v>128</v>
      </c>
      <c r="G6" t="s">
        <v>34</v>
      </c>
      <c r="H6" s="32" t="s">
        <v>122</v>
      </c>
      <c r="I6" t="s">
        <v>33</v>
      </c>
      <c r="K6" t="s">
        <v>41</v>
      </c>
      <c r="L6" t="s">
        <v>42</v>
      </c>
      <c r="M6" t="s">
        <v>43</v>
      </c>
      <c r="N6" t="s">
        <v>44</v>
      </c>
      <c r="O6" s="5" t="s">
        <v>45</v>
      </c>
      <c r="P6" t="s">
        <v>19</v>
      </c>
      <c r="Q6" t="s">
        <v>46</v>
      </c>
      <c r="S6" s="12" t="s">
        <v>47</v>
      </c>
      <c r="T6" s="9" t="s">
        <v>48</v>
      </c>
      <c r="V6" s="27" t="s">
        <v>174</v>
      </c>
      <c r="W6" s="31" t="s">
        <v>185</v>
      </c>
    </row>
    <row r="7" spans="2:23" ht="28.8" x14ac:dyDescent="0.3">
      <c r="B7" s="32" t="s">
        <v>144</v>
      </c>
      <c r="C7" t="s">
        <v>44</v>
      </c>
      <c r="D7" s="32" t="s">
        <v>105</v>
      </c>
      <c r="E7" t="s">
        <v>41</v>
      </c>
      <c r="F7" s="32" t="s">
        <v>129</v>
      </c>
      <c r="G7" t="s">
        <v>43</v>
      </c>
      <c r="H7" s="32" t="s">
        <v>123</v>
      </c>
      <c r="I7" t="s">
        <v>42</v>
      </c>
      <c r="K7" t="s">
        <v>49</v>
      </c>
      <c r="L7" t="s">
        <v>36</v>
      </c>
      <c r="M7" t="s">
        <v>50</v>
      </c>
      <c r="N7" t="s">
        <v>51</v>
      </c>
      <c r="O7" s="5" t="s">
        <v>52</v>
      </c>
      <c r="P7" t="s">
        <v>29</v>
      </c>
      <c r="S7" t="s">
        <v>53</v>
      </c>
      <c r="T7" s="7" t="s">
        <v>54</v>
      </c>
      <c r="V7" s="27" t="s">
        <v>175</v>
      </c>
      <c r="W7" s="31" t="s">
        <v>186</v>
      </c>
    </row>
    <row r="8" spans="2:23" ht="28.8" x14ac:dyDescent="0.3">
      <c r="B8" s="32" t="s">
        <v>145</v>
      </c>
      <c r="C8" t="s">
        <v>51</v>
      </c>
      <c r="D8" s="32" t="s">
        <v>106</v>
      </c>
      <c r="E8" t="s">
        <v>49</v>
      </c>
      <c r="F8" s="32" t="s">
        <v>130</v>
      </c>
      <c r="G8" t="s">
        <v>50</v>
      </c>
      <c r="H8" s="32" t="s">
        <v>124</v>
      </c>
      <c r="I8" t="s">
        <v>36</v>
      </c>
      <c r="K8" t="s">
        <v>55</v>
      </c>
      <c r="M8" s="11" t="s">
        <v>56</v>
      </c>
      <c r="N8" s="5" t="s">
        <v>57</v>
      </c>
      <c r="O8" t="s">
        <v>58</v>
      </c>
      <c r="P8" t="s">
        <v>38</v>
      </c>
      <c r="T8" s="13" t="s">
        <v>59</v>
      </c>
      <c r="V8" s="27" t="s">
        <v>176</v>
      </c>
      <c r="W8" s="31" t="s">
        <v>190</v>
      </c>
    </row>
    <row r="9" spans="2:23" ht="28.8" x14ac:dyDescent="0.3">
      <c r="B9" s="32" t="s">
        <v>146</v>
      </c>
      <c r="C9" s="5" t="s">
        <v>57</v>
      </c>
      <c r="D9" s="32" t="s">
        <v>107</v>
      </c>
      <c r="E9" t="s">
        <v>55</v>
      </c>
      <c r="F9" s="32" t="s">
        <v>131</v>
      </c>
      <c r="G9" s="11" t="s">
        <v>56</v>
      </c>
      <c r="H9" s="32" t="s">
        <v>161</v>
      </c>
      <c r="I9" s="6" t="s">
        <v>27</v>
      </c>
      <c r="K9" t="s">
        <v>60</v>
      </c>
      <c r="M9" s="11" t="s">
        <v>61</v>
      </c>
      <c r="N9" t="s">
        <v>62</v>
      </c>
      <c r="O9" t="s">
        <v>35</v>
      </c>
      <c r="P9" t="s">
        <v>46</v>
      </c>
      <c r="T9" s="14" t="s">
        <v>63</v>
      </c>
      <c r="V9" s="27" t="s">
        <v>177</v>
      </c>
      <c r="W9" s="31" t="s">
        <v>191</v>
      </c>
    </row>
    <row r="10" spans="2:23" ht="28.8" x14ac:dyDescent="0.3">
      <c r="B10" s="32" t="s">
        <v>147</v>
      </c>
      <c r="C10" t="s">
        <v>62</v>
      </c>
      <c r="D10" s="32" t="s">
        <v>108</v>
      </c>
      <c r="E10" t="s">
        <v>60</v>
      </c>
      <c r="F10" s="32" t="s">
        <v>132</v>
      </c>
      <c r="G10" s="11" t="s">
        <v>61</v>
      </c>
      <c r="H10" s="32" t="s">
        <v>162</v>
      </c>
      <c r="I10" s="5" t="s">
        <v>45</v>
      </c>
      <c r="K10" t="s">
        <v>64</v>
      </c>
      <c r="M10" s="15" t="s">
        <v>65</v>
      </c>
      <c r="N10" t="s">
        <v>66</v>
      </c>
      <c r="O10" s="16"/>
      <c r="T10" s="9" t="s">
        <v>67</v>
      </c>
      <c r="V10" s="28" t="s">
        <v>178</v>
      </c>
      <c r="W10" s="31" t="s">
        <v>391</v>
      </c>
    </row>
    <row r="11" spans="2:23" ht="28.8" x14ac:dyDescent="0.3">
      <c r="B11" s="32" t="s">
        <v>148</v>
      </c>
      <c r="C11" t="s">
        <v>66</v>
      </c>
      <c r="D11" s="32" t="s">
        <v>109</v>
      </c>
      <c r="E11" t="s">
        <v>64</v>
      </c>
      <c r="F11" s="32" t="s">
        <v>133</v>
      </c>
      <c r="G11" s="15" t="s">
        <v>65</v>
      </c>
      <c r="H11" s="32" t="s">
        <v>163</v>
      </c>
      <c r="I11" s="5" t="s">
        <v>52</v>
      </c>
      <c r="K11" s="17" t="s">
        <v>68</v>
      </c>
      <c r="M11" s="15" t="s">
        <v>69</v>
      </c>
      <c r="N11" t="s">
        <v>70</v>
      </c>
      <c r="T11" s="18" t="s">
        <v>71</v>
      </c>
      <c r="V11" s="28" t="s">
        <v>179</v>
      </c>
      <c r="W11" s="31" t="s">
        <v>187</v>
      </c>
    </row>
    <row r="12" spans="2:23" ht="28.8" x14ac:dyDescent="0.3">
      <c r="B12" s="32" t="s">
        <v>149</v>
      </c>
      <c r="C12" t="s">
        <v>70</v>
      </c>
      <c r="D12" s="32" t="s">
        <v>110</v>
      </c>
      <c r="E12" s="17" t="s">
        <v>68</v>
      </c>
      <c r="F12" s="32" t="s">
        <v>134</v>
      </c>
      <c r="G12" s="15" t="s">
        <v>69</v>
      </c>
      <c r="H12" s="32" t="s">
        <v>164</v>
      </c>
      <c r="I12" t="s">
        <v>58</v>
      </c>
      <c r="K12" s="8" t="s">
        <v>72</v>
      </c>
      <c r="M12" s="15" t="s">
        <v>73</v>
      </c>
      <c r="N12" t="s">
        <v>74</v>
      </c>
      <c r="T12" s="18" t="s">
        <v>75</v>
      </c>
      <c r="V12" s="29" t="s">
        <v>180</v>
      </c>
      <c r="W12" s="31" t="s">
        <v>188</v>
      </c>
    </row>
    <row r="13" spans="2:23" ht="57.6" x14ac:dyDescent="0.3">
      <c r="B13" s="32" t="s">
        <v>150</v>
      </c>
      <c r="C13" t="s">
        <v>74</v>
      </c>
      <c r="D13" s="32" t="s">
        <v>111</v>
      </c>
      <c r="E13" s="8" t="s">
        <v>72</v>
      </c>
      <c r="F13" s="32" t="s">
        <v>135</v>
      </c>
      <c r="G13" s="15" t="s">
        <v>73</v>
      </c>
      <c r="H13" s="32" t="s">
        <v>165</v>
      </c>
      <c r="I13" s="11" t="s">
        <v>37</v>
      </c>
      <c r="K13" t="s">
        <v>19</v>
      </c>
      <c r="L13" t="s">
        <v>76</v>
      </c>
      <c r="M13" s="15" t="s">
        <v>77</v>
      </c>
      <c r="N13" t="s">
        <v>78</v>
      </c>
      <c r="T13" s="19" t="s">
        <v>79</v>
      </c>
      <c r="V13" s="30" t="s">
        <v>181</v>
      </c>
      <c r="W13" s="31" t="s">
        <v>192</v>
      </c>
    </row>
    <row r="14" spans="2:23" ht="28.8" x14ac:dyDescent="0.3">
      <c r="B14" s="32" t="s">
        <v>151</v>
      </c>
      <c r="C14" t="s">
        <v>78</v>
      </c>
      <c r="D14" s="32" t="s">
        <v>112</v>
      </c>
      <c r="E14" t="s">
        <v>19</v>
      </c>
      <c r="F14" s="32" t="s">
        <v>136</v>
      </c>
      <c r="G14" s="15" t="s">
        <v>77</v>
      </c>
      <c r="H14" s="32" t="s">
        <v>166</v>
      </c>
      <c r="I14" t="s">
        <v>19</v>
      </c>
      <c r="K14" t="s">
        <v>80</v>
      </c>
      <c r="M14" s="15" t="s">
        <v>81</v>
      </c>
      <c r="N14" t="s">
        <v>82</v>
      </c>
      <c r="T14" s="20" t="s">
        <v>83</v>
      </c>
      <c r="V14" s="30" t="s">
        <v>892</v>
      </c>
      <c r="W14" s="30" t="s">
        <v>893</v>
      </c>
    </row>
    <row r="15" spans="2:23" x14ac:dyDescent="0.3">
      <c r="B15" s="32" t="s">
        <v>152</v>
      </c>
      <c r="C15" t="s">
        <v>82</v>
      </c>
      <c r="D15" s="32" t="s">
        <v>113</v>
      </c>
      <c r="E15" t="s">
        <v>80</v>
      </c>
      <c r="F15" s="32" t="s">
        <v>137</v>
      </c>
      <c r="G15" s="15" t="s">
        <v>81</v>
      </c>
      <c r="H15" s="32" t="s">
        <v>167</v>
      </c>
      <c r="I15" t="s">
        <v>29</v>
      </c>
      <c r="K15" t="s">
        <v>84</v>
      </c>
      <c r="M15" s="15" t="s">
        <v>85</v>
      </c>
      <c r="N15" t="s">
        <v>86</v>
      </c>
      <c r="T15" s="18" t="s">
        <v>87</v>
      </c>
    </row>
    <row r="16" spans="2:23" x14ac:dyDescent="0.3">
      <c r="B16" s="32" t="s">
        <v>153</v>
      </c>
      <c r="C16" t="s">
        <v>86</v>
      </c>
      <c r="D16" s="32" t="s">
        <v>114</v>
      </c>
      <c r="E16" t="s">
        <v>84</v>
      </c>
      <c r="F16" s="32" t="s">
        <v>138</v>
      </c>
      <c r="G16" s="15" t="s">
        <v>85</v>
      </c>
      <c r="H16" s="32" t="s">
        <v>168</v>
      </c>
      <c r="I16" t="s">
        <v>38</v>
      </c>
      <c r="K16" t="s">
        <v>88</v>
      </c>
      <c r="M16" t="s">
        <v>89</v>
      </c>
      <c r="N16" t="s">
        <v>90</v>
      </c>
      <c r="T16" s="21" t="s">
        <v>91</v>
      </c>
    </row>
    <row r="17" spans="2:20" x14ac:dyDescent="0.3">
      <c r="B17" s="32" t="s">
        <v>154</v>
      </c>
      <c r="C17" t="s">
        <v>90</v>
      </c>
      <c r="D17" s="32" t="s">
        <v>115</v>
      </c>
      <c r="E17" t="s">
        <v>88</v>
      </c>
      <c r="F17" s="32" t="s">
        <v>139</v>
      </c>
      <c r="G17" t="s">
        <v>89</v>
      </c>
      <c r="H17" s="32" t="s">
        <v>169</v>
      </c>
      <c r="I17" t="s">
        <v>46</v>
      </c>
      <c r="K17" t="s">
        <v>41</v>
      </c>
      <c r="M17" t="s">
        <v>62</v>
      </c>
      <c r="N17" s="11" t="s">
        <v>92</v>
      </c>
      <c r="O17" s="22"/>
      <c r="T17" s="23" t="s">
        <v>93</v>
      </c>
    </row>
    <row r="18" spans="2:20" x14ac:dyDescent="0.3">
      <c r="B18" s="32" t="s">
        <v>155</v>
      </c>
      <c r="C18" s="11" t="s">
        <v>92</v>
      </c>
      <c r="D18" s="32" t="s">
        <v>105</v>
      </c>
      <c r="E18" t="s">
        <v>41</v>
      </c>
      <c r="F18" s="32" t="s">
        <v>140</v>
      </c>
      <c r="G18" t="s">
        <v>62</v>
      </c>
      <c r="H18" s="32"/>
      <c r="I18" s="32"/>
      <c r="K18" s="24" t="s">
        <v>94</v>
      </c>
      <c r="N18" s="15" t="s">
        <v>95</v>
      </c>
      <c r="O18" s="14"/>
      <c r="T18" s="25" t="s">
        <v>96</v>
      </c>
    </row>
    <row r="19" spans="2:20" x14ac:dyDescent="0.3">
      <c r="B19" s="32" t="s">
        <v>156</v>
      </c>
      <c r="C19" s="15" t="s">
        <v>95</v>
      </c>
      <c r="D19" s="32" t="s">
        <v>116</v>
      </c>
      <c r="E19" s="24" t="s">
        <v>94</v>
      </c>
      <c r="F19" s="32"/>
      <c r="G19" s="32"/>
      <c r="H19" s="32"/>
      <c r="I19" s="32"/>
      <c r="K19" t="s">
        <v>97</v>
      </c>
      <c r="N19" t="s">
        <v>98</v>
      </c>
      <c r="T19" s="25" t="s">
        <v>99</v>
      </c>
    </row>
    <row r="20" spans="2:20" x14ac:dyDescent="0.3">
      <c r="B20" s="32" t="s">
        <v>157</v>
      </c>
      <c r="C20" t="s">
        <v>98</v>
      </c>
      <c r="D20" s="32" t="s">
        <v>117</v>
      </c>
      <c r="E20" t="s">
        <v>97</v>
      </c>
      <c r="F20" s="32"/>
      <c r="G20" s="32"/>
      <c r="H20" s="32"/>
      <c r="I20" s="32"/>
      <c r="K20" t="s">
        <v>42</v>
      </c>
      <c r="N20" s="11" t="s">
        <v>41</v>
      </c>
      <c r="T20" t="s">
        <v>100</v>
      </c>
    </row>
    <row r="21" spans="2:20" x14ac:dyDescent="0.3">
      <c r="B21" s="32" t="s">
        <v>158</v>
      </c>
      <c r="C21" s="11" t="s">
        <v>41</v>
      </c>
      <c r="D21" s="32" t="s">
        <v>118</v>
      </c>
      <c r="E21" t="s">
        <v>42</v>
      </c>
      <c r="F21" s="32"/>
      <c r="G21" s="32"/>
      <c r="H21" s="32"/>
      <c r="I21" s="32"/>
      <c r="K21" t="s">
        <v>101</v>
      </c>
      <c r="N21" t="s">
        <v>102</v>
      </c>
      <c r="T21" s="26" t="s">
        <v>103</v>
      </c>
    </row>
    <row r="22" spans="2:20" x14ac:dyDescent="0.3">
      <c r="B22" s="32" t="s">
        <v>159</v>
      </c>
      <c r="C22" t="s">
        <v>102</v>
      </c>
      <c r="D22" s="32" t="s">
        <v>119</v>
      </c>
      <c r="E22" t="s">
        <v>101</v>
      </c>
      <c r="F22" s="32"/>
      <c r="G22" s="32"/>
      <c r="H22" s="32"/>
      <c r="I22" s="32"/>
    </row>
    <row r="23" spans="2:20" x14ac:dyDescent="0.3">
      <c r="B23" s="32" t="s">
        <v>199</v>
      </c>
      <c r="C23" s="32" t="s">
        <v>20</v>
      </c>
      <c r="D23" s="32" t="s">
        <v>620</v>
      </c>
      <c r="E23" s="32" t="s">
        <v>619</v>
      </c>
      <c r="F23" s="32"/>
      <c r="G23" s="32"/>
      <c r="H23" s="32"/>
      <c r="I23" s="32"/>
    </row>
    <row r="24" spans="2:20" x14ac:dyDescent="0.3">
      <c r="B24" s="32"/>
      <c r="C24" s="32"/>
      <c r="D24" s="32"/>
      <c r="E24" s="32"/>
      <c r="F24" s="32"/>
      <c r="G24" s="32"/>
      <c r="H24" s="32"/>
      <c r="I24" s="32"/>
    </row>
  </sheetData>
  <mergeCells count="1">
    <mergeCell ref="B2:H2"/>
  </mergeCells>
  <pageMargins left="0.7" right="0.7" top="0.75" bottom="0.75" header="0.3" footer="0.3"/>
  <legacy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C01C1-E86A-4254-AB2C-528474ECDE95}">
  <dimension ref="B2:B81"/>
  <sheetViews>
    <sheetView workbookViewId="0">
      <selection activeCell="B82" sqref="B82"/>
    </sheetView>
  </sheetViews>
  <sheetFormatPr baseColWidth="10" defaultColWidth="11.44140625" defaultRowHeight="14.4" x14ac:dyDescent="0.3"/>
  <sheetData>
    <row r="2" spans="2:2" x14ac:dyDescent="0.3">
      <c r="B2" t="s">
        <v>317</v>
      </c>
    </row>
    <row r="3" spans="2:2" x14ac:dyDescent="0.3">
      <c r="B3" s="23" t="s">
        <v>13</v>
      </c>
    </row>
    <row r="4" spans="2:2" x14ac:dyDescent="0.3">
      <c r="B4" s="79" t="s">
        <v>23</v>
      </c>
    </row>
    <row r="5" spans="2:2" x14ac:dyDescent="0.3">
      <c r="B5" s="80" t="s">
        <v>32</v>
      </c>
    </row>
    <row r="6" spans="2:2" x14ac:dyDescent="0.3">
      <c r="B6" s="18" t="s">
        <v>41</v>
      </c>
    </row>
    <row r="7" spans="2:2" x14ac:dyDescent="0.3">
      <c r="B7" s="22" t="s">
        <v>49</v>
      </c>
    </row>
    <row r="8" spans="2:2" x14ac:dyDescent="0.3">
      <c r="B8" s="18" t="s">
        <v>55</v>
      </c>
    </row>
    <row r="9" spans="2:2" x14ac:dyDescent="0.3">
      <c r="B9" s="22" t="s">
        <v>60</v>
      </c>
    </row>
    <row r="10" spans="2:2" x14ac:dyDescent="0.3">
      <c r="B10" s="18" t="s">
        <v>64</v>
      </c>
    </row>
    <row r="11" spans="2:2" x14ac:dyDescent="0.3">
      <c r="B11" s="81" t="s">
        <v>68</v>
      </c>
    </row>
    <row r="12" spans="2:2" x14ac:dyDescent="0.3">
      <c r="B12" s="82" t="s">
        <v>72</v>
      </c>
    </row>
    <row r="13" spans="2:2" x14ac:dyDescent="0.3">
      <c r="B13" s="22" t="s">
        <v>19</v>
      </c>
    </row>
    <row r="14" spans="2:2" x14ac:dyDescent="0.3">
      <c r="B14" s="18" t="s">
        <v>80</v>
      </c>
    </row>
    <row r="15" spans="2:2" x14ac:dyDescent="0.3">
      <c r="B15" s="22" t="s">
        <v>84</v>
      </c>
    </row>
    <row r="16" spans="2:2" x14ac:dyDescent="0.3">
      <c r="B16" s="18" t="s">
        <v>88</v>
      </c>
    </row>
    <row r="17" spans="2:2" x14ac:dyDescent="0.3">
      <c r="B17" s="22" t="s">
        <v>41</v>
      </c>
    </row>
    <row r="18" spans="2:2" x14ac:dyDescent="0.3">
      <c r="B18" s="83" t="s">
        <v>94</v>
      </c>
    </row>
    <row r="19" spans="2:2" x14ac:dyDescent="0.3">
      <c r="B19" s="22" t="s">
        <v>97</v>
      </c>
    </row>
    <row r="20" spans="2:2" x14ac:dyDescent="0.3">
      <c r="B20" s="18" t="s">
        <v>42</v>
      </c>
    </row>
    <row r="21" spans="2:2" x14ac:dyDescent="0.3">
      <c r="B21" s="22" t="s">
        <v>101</v>
      </c>
    </row>
    <row r="22" spans="2:2" x14ac:dyDescent="0.3">
      <c r="B22" s="22" t="s">
        <v>14</v>
      </c>
    </row>
    <row r="23" spans="2:2" x14ac:dyDescent="0.3">
      <c r="B23" s="18" t="s">
        <v>24</v>
      </c>
    </row>
    <row r="24" spans="2:2" x14ac:dyDescent="0.3">
      <c r="B24" s="22" t="s">
        <v>33</v>
      </c>
    </row>
    <row r="25" spans="2:2" x14ac:dyDescent="0.3">
      <c r="B25" s="18" t="s">
        <v>42</v>
      </c>
    </row>
    <row r="26" spans="2:2" x14ac:dyDescent="0.3">
      <c r="B26" s="22" t="s">
        <v>36</v>
      </c>
    </row>
    <row r="27" spans="2:2" x14ac:dyDescent="0.3">
      <c r="B27" s="22" t="s">
        <v>15</v>
      </c>
    </row>
    <row r="28" spans="2:2" x14ac:dyDescent="0.3">
      <c r="B28" s="18" t="s">
        <v>25</v>
      </c>
    </row>
    <row r="29" spans="2:2" x14ac:dyDescent="0.3">
      <c r="B29" s="22" t="s">
        <v>34</v>
      </c>
    </row>
    <row r="30" spans="2:2" x14ac:dyDescent="0.3">
      <c r="B30" s="18" t="s">
        <v>43</v>
      </c>
    </row>
    <row r="31" spans="2:2" x14ac:dyDescent="0.3">
      <c r="B31" s="22" t="s">
        <v>50</v>
      </c>
    </row>
    <row r="32" spans="2:2" x14ac:dyDescent="0.3">
      <c r="B32" s="67" t="s">
        <v>56</v>
      </c>
    </row>
    <row r="33" spans="2:2" x14ac:dyDescent="0.3">
      <c r="B33" s="20" t="s">
        <v>61</v>
      </c>
    </row>
    <row r="34" spans="2:2" x14ac:dyDescent="0.3">
      <c r="B34" s="15" t="s">
        <v>65</v>
      </c>
    </row>
    <row r="35" spans="2:2" x14ac:dyDescent="0.3">
      <c r="B35" s="19" t="s">
        <v>69</v>
      </c>
    </row>
    <row r="36" spans="2:2" x14ac:dyDescent="0.3">
      <c r="B36" s="15" t="s">
        <v>73</v>
      </c>
    </row>
    <row r="37" spans="2:2" x14ac:dyDescent="0.3">
      <c r="B37" s="19" t="s">
        <v>77</v>
      </c>
    </row>
    <row r="38" spans="2:2" x14ac:dyDescent="0.3">
      <c r="B38" s="15" t="s">
        <v>81</v>
      </c>
    </row>
    <row r="39" spans="2:2" x14ac:dyDescent="0.3">
      <c r="B39" s="19" t="s">
        <v>85</v>
      </c>
    </row>
    <row r="40" spans="2:2" x14ac:dyDescent="0.3">
      <c r="B40" s="18" t="s">
        <v>89</v>
      </c>
    </row>
    <row r="41" spans="2:2" x14ac:dyDescent="0.3">
      <c r="B41" s="22" t="s">
        <v>62</v>
      </c>
    </row>
    <row r="42" spans="2:2" x14ac:dyDescent="0.3">
      <c r="B42" s="22" t="s">
        <v>16</v>
      </c>
    </row>
    <row r="43" spans="2:2" x14ac:dyDescent="0.3">
      <c r="B43" s="18" t="s">
        <v>26</v>
      </c>
    </row>
    <row r="44" spans="2:2" x14ac:dyDescent="0.3">
      <c r="B44" s="22" t="s">
        <v>35</v>
      </c>
    </row>
    <row r="45" spans="2:2" x14ac:dyDescent="0.3">
      <c r="B45" s="18" t="s">
        <v>44</v>
      </c>
    </row>
    <row r="46" spans="2:2" x14ac:dyDescent="0.3">
      <c r="B46" s="22" t="s">
        <v>51</v>
      </c>
    </row>
    <row r="47" spans="2:2" x14ac:dyDescent="0.3">
      <c r="B47" s="21" t="s">
        <v>57</v>
      </c>
    </row>
    <row r="48" spans="2:2" x14ac:dyDescent="0.3">
      <c r="B48" s="22" t="s">
        <v>62</v>
      </c>
    </row>
    <row r="49" spans="2:2" x14ac:dyDescent="0.3">
      <c r="B49" s="18" t="s">
        <v>66</v>
      </c>
    </row>
    <row r="50" spans="2:2" x14ac:dyDescent="0.3">
      <c r="B50" s="22" t="s">
        <v>70</v>
      </c>
    </row>
    <row r="51" spans="2:2" x14ac:dyDescent="0.3">
      <c r="B51" s="18" t="s">
        <v>74</v>
      </c>
    </row>
    <row r="52" spans="2:2" x14ac:dyDescent="0.3">
      <c r="B52" s="22" t="s">
        <v>78</v>
      </c>
    </row>
    <row r="53" spans="2:2" x14ac:dyDescent="0.3">
      <c r="B53" s="18" t="s">
        <v>82</v>
      </c>
    </row>
    <row r="54" spans="2:2" x14ac:dyDescent="0.3">
      <c r="B54" s="22" t="s">
        <v>86</v>
      </c>
    </row>
    <row r="55" spans="2:2" x14ac:dyDescent="0.3">
      <c r="B55" s="18" t="s">
        <v>90</v>
      </c>
    </row>
    <row r="56" spans="2:2" x14ac:dyDescent="0.3">
      <c r="B56" s="20" t="s">
        <v>92</v>
      </c>
    </row>
    <row r="57" spans="2:2" x14ac:dyDescent="0.3">
      <c r="B57" s="15" t="s">
        <v>95</v>
      </c>
    </row>
    <row r="58" spans="2:2" x14ac:dyDescent="0.3">
      <c r="B58" s="22" t="s">
        <v>98</v>
      </c>
    </row>
    <row r="59" spans="2:2" x14ac:dyDescent="0.3">
      <c r="B59" s="67" t="s">
        <v>41</v>
      </c>
    </row>
    <row r="60" spans="2:2" x14ac:dyDescent="0.3">
      <c r="B60" s="22" t="s">
        <v>102</v>
      </c>
    </row>
    <row r="61" spans="2:2" x14ac:dyDescent="0.3">
      <c r="B61" s="84" t="s">
        <v>17</v>
      </c>
    </row>
    <row r="62" spans="2:2" x14ac:dyDescent="0.3">
      <c r="B62" s="79" t="s">
        <v>27</v>
      </c>
    </row>
    <row r="63" spans="2:2" x14ac:dyDescent="0.3">
      <c r="B63" s="23" t="s">
        <v>36</v>
      </c>
    </row>
    <row r="64" spans="2:2" x14ac:dyDescent="0.3">
      <c r="B64" s="21" t="s">
        <v>45</v>
      </c>
    </row>
    <row r="65" spans="2:2" x14ac:dyDescent="0.3">
      <c r="B65" s="23" t="s">
        <v>52</v>
      </c>
    </row>
    <row r="66" spans="2:2" x14ac:dyDescent="0.3">
      <c r="B66" s="18" t="s">
        <v>58</v>
      </c>
    </row>
    <row r="67" spans="2:2" x14ac:dyDescent="0.3">
      <c r="B67" s="22" t="s">
        <v>35</v>
      </c>
    </row>
    <row r="68" spans="2:2" x14ac:dyDescent="0.3">
      <c r="B68" s="22" t="s">
        <v>18</v>
      </c>
    </row>
    <row r="69" spans="2:2" x14ac:dyDescent="0.3">
      <c r="B69" s="18" t="s">
        <v>28</v>
      </c>
    </row>
    <row r="70" spans="2:2" ht="28.8" x14ac:dyDescent="0.3">
      <c r="B70" s="20" t="s">
        <v>37</v>
      </c>
    </row>
    <row r="71" spans="2:2" x14ac:dyDescent="0.3">
      <c r="B71" s="18" t="s">
        <v>19</v>
      </c>
    </row>
    <row r="72" spans="2:2" x14ac:dyDescent="0.3">
      <c r="B72" s="22" t="s">
        <v>29</v>
      </c>
    </row>
    <row r="73" spans="2:2" x14ac:dyDescent="0.3">
      <c r="B73" s="18" t="s">
        <v>38</v>
      </c>
    </row>
    <row r="74" spans="2:2" x14ac:dyDescent="0.3">
      <c r="B74" s="22" t="s">
        <v>46</v>
      </c>
    </row>
    <row r="75" spans="2:2" x14ac:dyDescent="0.3">
      <c r="B75" s="22" t="s">
        <v>19</v>
      </c>
    </row>
    <row r="76" spans="2:2" x14ac:dyDescent="0.3">
      <c r="B76" s="18" t="s">
        <v>29</v>
      </c>
    </row>
    <row r="77" spans="2:2" x14ac:dyDescent="0.3">
      <c r="B77" s="22" t="s">
        <v>38</v>
      </c>
    </row>
    <row r="78" spans="2:2" x14ac:dyDescent="0.3">
      <c r="B78" s="70" t="s">
        <v>46</v>
      </c>
    </row>
    <row r="79" spans="2:2" x14ac:dyDescent="0.3">
      <c r="B79" s="26" t="s">
        <v>20</v>
      </c>
    </row>
    <row r="80" spans="2:2" x14ac:dyDescent="0.3">
      <c r="B80" s="89" t="s">
        <v>619</v>
      </c>
    </row>
    <row r="81" spans="2:2" x14ac:dyDescent="0.3">
      <c r="B81" s="89" t="s">
        <v>626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B2814-E383-4D4B-B2FA-2F2BD58BD722}">
  <dimension ref="A1"/>
  <sheetViews>
    <sheetView workbookViewId="0"/>
  </sheetViews>
  <sheetFormatPr baseColWidth="10" defaultColWidth="11.44140625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Esmeril de banco</vt:lpstr>
      <vt:lpstr>Taldro de banco</vt:lpstr>
      <vt:lpstr>TALADRO</vt:lpstr>
      <vt:lpstr>ParaCopiar (2)</vt:lpstr>
      <vt:lpstr>EquiposSoldar</vt:lpstr>
      <vt:lpstr>Cilindros</vt:lpstr>
      <vt:lpstr>Amoladora</vt:lpstr>
      <vt:lpstr>Escalera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Mauricio Elio Flores Herbas</dc:creator>
  <cp:lastModifiedBy>Mauricio Elio Flores Herbas</cp:lastModifiedBy>
  <dcterms:created xsi:type="dcterms:W3CDTF">2026-03-29T12:20:00Z</dcterms:created>
  <dcterms:modified xsi:type="dcterms:W3CDTF">2026-07-08T15:04:39Z</dcterms:modified>
</cp:coreProperties>
</file>