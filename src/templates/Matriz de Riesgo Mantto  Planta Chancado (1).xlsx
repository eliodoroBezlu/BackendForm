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S_2024" sheetId="1" r:id="rId5"/>
    <sheet state="visible" name="PARÁMETROS" sheetId="2" r:id="rId6"/>
  </sheets>
  <definedNames>
    <definedName name="OP_prob">'PARÁMETROS'!$D$11:$H$11</definedName>
    <definedName name="p_o">'PARÁMETROS'!$C$18:$C$22</definedName>
    <definedName name="CC_L">'PARÁMETROS'!$L$38:$N$38</definedName>
    <definedName name="CC_SA">'PARÁMETROS'!$L$29:$N$29</definedName>
    <definedName name="FR_G">'PARÁMETROS'!$BH$3:$BH$30</definedName>
    <definedName name="FC_G">'PARÁMETROS'!$BJ$3:$BJ$30</definedName>
    <definedName name="FC_FI">'PARÁMETROS'!$BZ$3:$BZ$30</definedName>
    <definedName name="FR_SE">'PARÁMETROS'!$R$3:$R$46</definedName>
    <definedName name="FC_DS">'PARÁMETROS'!$BB$3:$BB$26</definedName>
    <definedName name="FV_OP">'PARÁMETROS'!$BT$3:$BT$11</definedName>
    <definedName name="JC_SE">'PARÁMETROS'!$K$3:$K$8</definedName>
    <definedName name="FP_SE">'PARÁMETROS'!$P$3:$P$45</definedName>
    <definedName name="FV_MA">'PARÁMETROS'!$AF$3:$AF$12</definedName>
    <definedName name="FP_G">'PARÁMETROS'!$BF$3:$BF$30</definedName>
    <definedName name="JC_DS">'PARÁMETROS'!$K$12:$K$17</definedName>
    <definedName name="FV_L">'PARÁMETROS'!$AV$3:$AV$30</definedName>
    <definedName name="FV_G">'PARÁMETROS'!$BL$3:$BL$30</definedName>
    <definedName name="JC_SA">'PARÁMETROS'!$K$30:$K$35</definedName>
    <definedName name="FI_MA">'PARÁMETROS'!$AB$3:$AB$29</definedName>
    <definedName name="CC_SE">'PARÁMETROS'!$L$2:$N$2</definedName>
    <definedName name="CC_G">'PARÁMETROS'!$L$47:$N$47</definedName>
    <definedName name="FV_SA">'PARÁMETROS'!$AN$3:$AN$30</definedName>
    <definedName name="FV_DS">'PARÁMETROS'!$BD$3:$BD$7</definedName>
    <definedName name="FC_L">'PARÁMETROS'!$AT$3:$AT$30</definedName>
    <definedName name="FR_L">'PARÁMETROS'!$AR$3:$AR$30</definedName>
    <definedName name="FR_SA">'PARÁMETROS'!$AJ$3:$AJ$30</definedName>
    <definedName name="VS">'PARÁMETROS'!$X$3:$X$22</definedName>
    <definedName name="JC_G">'PARÁMETROS'!$K$48:$K$53</definedName>
    <definedName name="FC_SE">'PARÁMETROS'!$T$3:$T$19</definedName>
    <definedName name="Op_Sev">'PARÁMETROS'!$C$12:$C$16</definedName>
    <definedName name="CC_DS">'PARÁMETROS'!$L$11:$N$11</definedName>
    <definedName name="FP_FI">'PARÁMETROS'!$BV$3:$BV$30</definedName>
    <definedName name="FP_SA">'PARÁMETROS'!$AH$3:$AH$30</definedName>
    <definedName name="FP_op">'PARÁMETROS'!$BN$3:$BN$10</definedName>
    <definedName name="JC_FI">'PARÁMETROS'!$K$66:$K$71</definedName>
    <definedName name="JC_L">'PARÁMETROS'!$K$39:$K$44</definedName>
    <definedName name="FR_FI">'PARÁMETROS'!$BX$3:$BX$30</definedName>
    <definedName name="FV_FI">'PARÁMETROS'!$CB$3:$CB$30</definedName>
    <definedName name="CC_MA">'PARÁMETROS'!$L$20:$N$20</definedName>
    <definedName name="Oportunidad">'PARÁMETROS'!$D$12:$H$16</definedName>
    <definedName name="JC_OP">'PARÁMETROS'!$K$57:$K$62</definedName>
    <definedName name="FR_OP">'PARÁMETROS'!$BP$3:$BP$11</definedName>
    <definedName name="FC_MA">'PARÁMETROS'!$AD$3:$AD$35</definedName>
    <definedName name="JC_MA">'PARÁMETROS'!$K$21:$K$26</definedName>
    <definedName name="FV_SE">'PARÁMETROS'!$V$3:$V$8</definedName>
    <definedName name="FR_DS">'PARÁMETROS'!$AZ$3:$AZ$16</definedName>
    <definedName name="CC_FI">'PARÁMETROS'!$L$65:$N$65</definedName>
    <definedName name="FC_SA">'PARÁMETROS'!$AL$3:$AL$30</definedName>
    <definedName name="CC_OP">'PARÁMETROS'!$L$56:$N$56</definedName>
    <definedName name="FP_DS">'PARÁMETROS'!$AX$3:$AX$24</definedName>
    <definedName name="FP_L">'PARÁMETROS'!$AP$3:$AP$30</definedName>
    <definedName name="FA_MA">'PARÁMETROS'!$Z$3:$Z$46</definedName>
    <definedName name="FC_OP">'PARÁMETROS'!$BR$3:$BR$11</definedName>
  </definedNames>
  <calcPr/>
</workbook>
</file>

<file path=xl/sharedStrings.xml><?xml version="1.0" encoding="utf-8"?>
<sst xmlns="http://schemas.openxmlformats.org/spreadsheetml/2006/main" count="3355" uniqueCount="634">
  <si>
    <t>C.  Probabilidad (A x B)</t>
  </si>
  <si>
    <t>Jerarquía del Control</t>
  </si>
  <si>
    <t>Calidad del Control</t>
  </si>
  <si>
    <t>A. Exposición</t>
  </si>
  <si>
    <t>Efectividad del Control</t>
  </si>
  <si>
    <t>C. Menor a 50%</t>
  </si>
  <si>
    <t>B. 50% y 80%</t>
  </si>
  <si>
    <t>A. Mayor 80%</t>
  </si>
  <si>
    <t>FAMILIA DE PELIGROS - SEGURIDAD</t>
  </si>
  <si>
    <t>FAMILIA DE RIESGOS - SEGURIDAD</t>
  </si>
  <si>
    <t>FAMILIA DE CONTROLES/ACCIONES - SEGURIDAD</t>
  </si>
  <si>
    <t>FAMILIA DE VERIFICADORES - SEGURIDAD</t>
  </si>
  <si>
    <t>Verificadores</t>
  </si>
  <si>
    <t>FAMILIA DE ASPECTOS - MEDIO AMBIENTE</t>
  </si>
  <si>
    <t>FAMILIA DE IMPACTOS - MEDIO AMBIENTE</t>
  </si>
  <si>
    <t>FAMILIA DE CONTROLES - MEDIO AMBIENTE</t>
  </si>
  <si>
    <t>FAMILIA DE VERIFICADORES - MEDIO AMBIENTE</t>
  </si>
  <si>
    <t>FAMILIA PELIGROS - SALUD</t>
  </si>
  <si>
    <t>FAMILIA RIESGOS - SALUD</t>
  </si>
  <si>
    <t>FAMILIA CONTROLES - SALUD</t>
  </si>
  <si>
    <t>FAMILIA DE VERIFICADORES - SALUD</t>
  </si>
  <si>
    <t>FAMILIA PELIGROS - LEGAL</t>
  </si>
  <si>
    <t>FAMILIA RIESGOS - LEGAL</t>
  </si>
  <si>
    <t>FAMILIA CONTROLES - LEGAL</t>
  </si>
  <si>
    <t>FAMILIA VERIFICADORES - LEGAL</t>
  </si>
  <si>
    <t>FAMILIA DE PELIGROS DSRC</t>
  </si>
  <si>
    <t>FAMILIA RIESGOS - DSRC</t>
  </si>
  <si>
    <t>FAMILIA CONTROLES - DSRC</t>
  </si>
  <si>
    <t>FAMILIA VERIFICADORES - DSRC</t>
  </si>
  <si>
    <t>FAMILIA DE PELIGROS RG</t>
  </si>
  <si>
    <t>FAMILIA RIESGOS - RG</t>
  </si>
  <si>
    <t>FAMILIA CONTROLES - RG</t>
  </si>
  <si>
    <t>FAMILIA VERIFICADORES - RG</t>
  </si>
  <si>
    <t>FAMILIA DE PELIGROS OPERACIONAL</t>
  </si>
  <si>
    <t>FAMILIA RIESGOS OPERACIONAL</t>
  </si>
  <si>
    <t>FAMILIA CONTROLES OPERACIONALES</t>
  </si>
  <si>
    <t>FAMILIA VERIFICADORES OPERACIONALES</t>
  </si>
  <si>
    <t>FAMILIA DE PELIGROS - FINANCIEROS</t>
  </si>
  <si>
    <t>FAMILIA RIESGOS FINANCIEROS</t>
  </si>
  <si>
    <t>FAMILIA CONTROLES FINANCIEROS</t>
  </si>
  <si>
    <t>FAMILIA VERIFICADORES FINANCIEROS</t>
  </si>
  <si>
    <t>B. Posibilidad</t>
  </si>
  <si>
    <t>IDENTIFICACIÓN, EVALUACIÓN DE RIESGOS</t>
  </si>
  <si>
    <t>6. Eliminación</t>
  </si>
  <si>
    <t>Control/Acción Satisfactorio</t>
  </si>
  <si>
    <t>Control/Acción Eficaz</t>
  </si>
  <si>
    <t>1.02.P06.F01</t>
  </si>
  <si>
    <t>Agentes Biológicos (animales, insectos, bacterias, virus, etc.)</t>
  </si>
  <si>
    <t xml:space="preserve">Aplastamiento </t>
  </si>
  <si>
    <t>Eliminación</t>
  </si>
  <si>
    <t>Planilla de vigencia de Autorizaciones, Permisos y Licencias (Gubernamentales, legales, normativos)</t>
  </si>
  <si>
    <t>Seguimiento a la Planilla de vigencia de cursos, autorizaciones, competencias y/o certificaciones de personas y equipos</t>
  </si>
  <si>
    <t>Cambio de uso de suelo natural por actividad industrial, cultivos u otros</t>
  </si>
  <si>
    <t>Agotamiento del recurso mineral/ reservas y recursos geológicos</t>
  </si>
  <si>
    <t>Eliminación del proceso</t>
  </si>
  <si>
    <t>Acreditaciones</t>
  </si>
  <si>
    <t>A</t>
  </si>
  <si>
    <t>AA</t>
  </si>
  <si>
    <t>INTERNA</t>
  </si>
  <si>
    <t>LEGAL</t>
  </si>
  <si>
    <t>Gerencia / Superintendencia Senior :</t>
  </si>
  <si>
    <t>Agotamiento de agua de pozos</t>
  </si>
  <si>
    <t>GERENCIA DE MANTENIMIENTO Y SERVICIOS DE SOPORTE</t>
  </si>
  <si>
    <t>Bloqueos/Marchas/Amenazas/Demandas Sociales</t>
  </si>
  <si>
    <t>RC.3.1.1. Fortalecer la cadena productiva de Quinua en  comunidades del área de intervención en coordinación con el Consejo  Consultivo mediante  alianzas estratégicas</t>
  </si>
  <si>
    <t xml:space="preserve"> </t>
  </si>
  <si>
    <t>Publicación de indicadores</t>
  </si>
  <si>
    <t>RELACIONALES GUBERNAMENTALES</t>
  </si>
  <si>
    <t>Elaborador por :</t>
  </si>
  <si>
    <t>Erick Muñoz Arandia</t>
  </si>
  <si>
    <t>Conflictos sociales</t>
  </si>
  <si>
    <t>Daño a la propiedad pública o privada</t>
  </si>
  <si>
    <t>Alarmas / señales / advertencias</t>
  </si>
  <si>
    <t>Verificadores Operacionales</t>
  </si>
  <si>
    <t>financiero</t>
  </si>
  <si>
    <t>Revisado y aprobado por :</t>
  </si>
  <si>
    <t>MIGUEL MARTIN RUBIN DE CELIS CANDIA</t>
  </si>
  <si>
    <t>5. Sustitución/ Minimización</t>
  </si>
  <si>
    <t>Superintendencia :</t>
  </si>
  <si>
    <t>Agentes Físicos (iluminación excesiva/baja/inadecuada o sin iluminación)</t>
  </si>
  <si>
    <t>Arco eléctrico</t>
  </si>
  <si>
    <t>SUPERINTENDENCIA DE MANTENIMIENTO - MEC. PLANTA CHANCADO, MOLIENDA Y LUBRICACION</t>
  </si>
  <si>
    <t>Sustitución</t>
  </si>
  <si>
    <t>Planillas de vigencia de Certificaciones / Competencias/ Capacitaciones</t>
  </si>
  <si>
    <t>Seguimiento al programa de reuniones y evaluaciones de compromiso con la seguridad</t>
  </si>
  <si>
    <t>Consumo de agua de vertientes para fines humanos y pecuarios/ agua potable, abrevaderos y riego</t>
  </si>
  <si>
    <t>Alteración del clima por cambios climáticos/ efecto invernadero</t>
  </si>
  <si>
    <t xml:space="preserve">Área / Departamento : </t>
  </si>
  <si>
    <t>Eliminación sustancia peligrosa del proceso</t>
  </si>
  <si>
    <t>Certificaciones</t>
  </si>
  <si>
    <t>Mantenimiento Chancado</t>
  </si>
  <si>
    <t>salud</t>
  </si>
  <si>
    <t>SALUD</t>
  </si>
  <si>
    <t>Agua para ganado</t>
  </si>
  <si>
    <t>Fecha :</t>
  </si>
  <si>
    <t>05 / Dic / 2024</t>
  </si>
  <si>
    <t>Cierre de Proyectos de Desarrollo</t>
  </si>
  <si>
    <t xml:space="preserve">Fecha: </t>
  </si>
  <si>
    <t>02 / Ene / 2025</t>
  </si>
  <si>
    <t>RC.3.1.2. Fortalecer la cadena productiva de Camélidos en  comunidades del área de intervención en coordinación con el Consejo  Consultivo y las alianzas estratégicas</t>
  </si>
  <si>
    <t>Planes y/o Programas</t>
  </si>
  <si>
    <t xml:space="preserve">N° </t>
  </si>
  <si>
    <t>Área / Proceso / Alcance</t>
  </si>
  <si>
    <t>Condiciones climatológicas</t>
  </si>
  <si>
    <t>Fallas en sistema mecanizado de embarque / Infraestructura de atraque</t>
  </si>
  <si>
    <t>Inspecciones</t>
  </si>
  <si>
    <t>Publicación de Indicadores</t>
  </si>
  <si>
    <t>Actividad / Tarea / Grupo de Interés</t>
  </si>
  <si>
    <t>Condición Normal, Anormal, Emergencia o Factor</t>
  </si>
  <si>
    <t xml:space="preserve">Seguridad, Salud, Medio Ambiente, Legal, Responsabilidad Social, Otro </t>
  </si>
  <si>
    <t>Familia
Peligro/ Aspecto / Evento</t>
  </si>
  <si>
    <t>4. Ingeniería</t>
  </si>
  <si>
    <t>Descripción 
Peligro / Aspecto / Evento</t>
  </si>
  <si>
    <t>Control/Acción No Eficaz</t>
  </si>
  <si>
    <t>Familia
Riesgo / Impacto / Consecuencia</t>
  </si>
  <si>
    <t>Agentes Físicos (radiación)</t>
  </si>
  <si>
    <t>Asfixia / Ahogamiento</t>
  </si>
  <si>
    <t>Controles de Ingeniería</t>
  </si>
  <si>
    <t>Matriz de Requisitos Legales</t>
  </si>
  <si>
    <t>Descripción
Riesgo / Impacto / Coonsecuencia</t>
  </si>
  <si>
    <t>Seguimiento al programa de difusión de instructivos y capacitaciones internas</t>
  </si>
  <si>
    <t>Consumo de agua subterránea para procesos industriales/ campo de pozos</t>
  </si>
  <si>
    <t>Contaminación de aguas por derrame de sustancias peligrosas</t>
  </si>
  <si>
    <t>Riesgo / Impacto</t>
  </si>
  <si>
    <t>Cambio de disposición de residuos peligrosos</t>
  </si>
  <si>
    <t>Confiabilidad de mediciones de factores ambientales/equipos certificados</t>
  </si>
  <si>
    <t>Familia de Controles</t>
  </si>
  <si>
    <t xml:space="preserve">Agua por gravedad </t>
  </si>
  <si>
    <t>Confrontaciones Sociales</t>
  </si>
  <si>
    <t>RC.3.1.3. Fortalecer la cadena productiva de Turismo en  comunidades del área de intervención en coordinación con el Consejo Consultivo mediante alianzas estratégicas.</t>
  </si>
  <si>
    <t>Medidas de Prevención, Control y Mitigación</t>
  </si>
  <si>
    <t>Familia de Verificadores</t>
  </si>
  <si>
    <t>Transferencia de concentrados en PdM</t>
  </si>
  <si>
    <t>Efecto negativo sobre la estabilidad física de taludes</t>
  </si>
  <si>
    <t>Control de emergencias</t>
  </si>
  <si>
    <t>Jerarquía de Control</t>
  </si>
  <si>
    <t>Eficacia del Control / Acción</t>
  </si>
  <si>
    <t>3. Señalización/ Advertencias/ Alarma</t>
  </si>
  <si>
    <t>Agentes Físicos (ruido)</t>
  </si>
  <si>
    <t>Nivel de Riesgo / Impacto
Actual</t>
  </si>
  <si>
    <t>Atrapamiento (entre objetos, por deslizamientos)</t>
  </si>
  <si>
    <t>Controles Ergonómicos</t>
  </si>
  <si>
    <t>Planes / Programas</t>
  </si>
  <si>
    <t>Seguimiento al programa de Inspecciones Interno</t>
  </si>
  <si>
    <t xml:space="preserve">Consumo de aguas superficiales para fines agropecuarios/ abrevaderos y riego </t>
  </si>
  <si>
    <t>Incidentes Ocurridos</t>
  </si>
  <si>
    <t>Contaminación de suelo por derrame de sustancias peligrosas</t>
  </si>
  <si>
    <t>Reemplazo de reactivos químicos de menor impacto</t>
  </si>
  <si>
    <t>Informes con indicadores y verificadores ambientales</t>
  </si>
  <si>
    <t>Trazabilidad / Historial / Observaciones
Actual</t>
  </si>
  <si>
    <t xml:space="preserve">Cantidad y calidad de agua </t>
  </si>
  <si>
    <t>Denuncias</t>
  </si>
  <si>
    <t>RC.3.1.4. Fortalecer la Educación regular,  alternativa  y superior en el área de intervención en coordinación con el Consejo Consultivo y las alianzas estratégicas</t>
  </si>
  <si>
    <t>Extracción de recursos naturales renovables/ agregados para construcciones</t>
  </si>
  <si>
    <t>Exposición</t>
  </si>
  <si>
    <t>Pérdida del patrimonio cultural/ arqueología</t>
  </si>
  <si>
    <t>Instrucción operacional</t>
  </si>
  <si>
    <t>Acreditaciones, Certificaciones, Permisos normativos</t>
  </si>
  <si>
    <t>Posibilidad</t>
  </si>
  <si>
    <t>Probabilidad (R/I)</t>
  </si>
  <si>
    <t>Severidad</t>
  </si>
  <si>
    <t>Resultado de Evaluación Riesgo / Iimpacto</t>
  </si>
  <si>
    <t>2. Administrativo/ Procedimientos/ Capacitación</t>
  </si>
  <si>
    <t>Nivel de Riesgo / Iimpacto Inicial  
Puro</t>
  </si>
  <si>
    <t>Agentes Físicos (ventilación)</t>
  </si>
  <si>
    <t>Atropello</t>
  </si>
  <si>
    <t>Controles de Salud Ocupacional</t>
  </si>
  <si>
    <t>Seguimiento al programa de inspecciones ISOP</t>
  </si>
  <si>
    <t>Consumo de energía eléctrica</t>
  </si>
  <si>
    <t>Contaminación del aire por gases orgánicos persistentes</t>
  </si>
  <si>
    <t>Tecnología para disminuir consumo de agua natural/ recirculación</t>
  </si>
  <si>
    <t>Matriz de Requisitos Legales ambientales en áreas operativas/soporte</t>
  </si>
  <si>
    <t>Mantenimiento Chancador</t>
  </si>
  <si>
    <t>Desmontaje y montaje de componentes del Chancador Primario (araña, cóncavos, eje principal)</t>
  </si>
  <si>
    <t>Cierre de la mina</t>
  </si>
  <si>
    <t>Perdida de Licencia Social para Operar de MSC</t>
  </si>
  <si>
    <t>RC.3.1.5. Fortalecer el funcionamiento  de centro Integral de salud de San Cristóbal  y la red de salud Municipal, en coordinación con el Consejo consultivo y  alianzas estratégicas.</t>
  </si>
  <si>
    <t>Normal</t>
  </si>
  <si>
    <t>Remoción de lugares de patrimonio social de la comunidad</t>
  </si>
  <si>
    <t>Baja en el movimiento de mineral en los frentes de carguío</t>
  </si>
  <si>
    <t>Control de ingeniería</t>
  </si>
  <si>
    <t>Seguridad</t>
  </si>
  <si>
    <t>1. EPP</t>
  </si>
  <si>
    <t>Agentes Físicos (vibración)</t>
  </si>
  <si>
    <t>Caída a distinto nivel (Menor a 1,80)</t>
  </si>
  <si>
    <t>Controles Sanitarios</t>
  </si>
  <si>
    <t>Seguimiento al programa de inspecciones IRO´S: Aislamiento</t>
  </si>
  <si>
    <t>Consumo de recursos naturales no renovables/ hidrocarburos fósiles: petróleo y gas natural</t>
  </si>
  <si>
    <t>Mejora en la eficiencia del proceso/ optimización en uso de recursos naturales no renovables</t>
  </si>
  <si>
    <t>Permisos normativos</t>
  </si>
  <si>
    <t>Conflicto políticas sociales externas a MSC</t>
  </si>
  <si>
    <t>Perdidas económicas para Comunidades</t>
  </si>
  <si>
    <t>RC.4.1.2. Realizar el  manejo de quejas / preocupaciones  y riesgos sociales de los grupos de interés del área de influencia de MSC</t>
  </si>
  <si>
    <t>Trabajo / circulación de equipo/vehículo (pesado / liviano)</t>
  </si>
  <si>
    <t>Disponibilidad, utilización</t>
  </si>
  <si>
    <t xml:space="preserve">Falta de continuidad en el movimiento de camiones </t>
  </si>
  <si>
    <t>Procedimientos / Instructivos / Reglamentos y otros.</t>
  </si>
  <si>
    <t xml:space="preserve">Equipo de mina en operación, en el área de trabajo </t>
  </si>
  <si>
    <t>Agentes Químicos (gases, vapores, aerosoles, etc.)</t>
  </si>
  <si>
    <t>Caída al mismo nivel</t>
  </si>
  <si>
    <t>Autorizaciones, Permisos y Licencias (Gubernamentales, legales, normativos)</t>
  </si>
  <si>
    <t>Seguimiento al programa de inspecciones IRO´S: Izaje</t>
  </si>
  <si>
    <t>Derrame  de residuos peligrosos/ empetrolados, relaves de colas, lodos sépticos, otros</t>
  </si>
  <si>
    <t>Degradación de la calidad de agua subterránea por aguas de proceso</t>
  </si>
  <si>
    <t>Revegetación y rehabilitación de áreas perturbadas</t>
  </si>
  <si>
    <t xml:space="preserve">Planes y programas </t>
  </si>
  <si>
    <t>Hospital 2do Nivel</t>
  </si>
  <si>
    <t>Perdidas económicas para MSC</t>
  </si>
  <si>
    <t xml:space="preserve">RC.4.1.3. Desarrollar estudios socio económicos en las comunidades de influencia directa para la gestión social </t>
  </si>
  <si>
    <t>Operación Planta</t>
  </si>
  <si>
    <t>Falta de movimiento de mineral en frentes de carguío planificados</t>
  </si>
  <si>
    <t>oportunidad</t>
  </si>
  <si>
    <t>Atropellamiento con equipo de operación minera que circulan por el chancador</t>
  </si>
  <si>
    <t>Jerarquía del Control - DSRC</t>
  </si>
  <si>
    <t>Calidad del Control-DSRC</t>
  </si>
  <si>
    <t>Almacenamiento inadecuado de materiales, herramientas, etc. (en depósitos, estantes, etc.)</t>
  </si>
  <si>
    <t>Caída de altura (Igual o Mayor a 1,80)</t>
  </si>
  <si>
    <t xml:space="preserve">Seguimiento al programa de inspecciones IRO´S: Sustancias Peligrosas </t>
  </si>
  <si>
    <t>Derrame de aguas de proceso/ aguas de colas, aguas de piscina de emergencia</t>
  </si>
  <si>
    <t>Degradación de la calidad de cuerpos de agua superficial por descargas</t>
  </si>
  <si>
    <t>Uso de geomembrana como aislante para prevención</t>
  </si>
  <si>
    <t>Planillas de vigencia</t>
  </si>
  <si>
    <t>Inapropiación del Desarrollo Económico Local por parte de las comunidades</t>
  </si>
  <si>
    <t>Preocupaciones/Quejas/Determinación de las Comunidades/Inspecciones/Fiscalizaciones</t>
  </si>
  <si>
    <t>RC.4.2.1. Monitorear el cumplimiento de los acuerdos y convenios entre empresa, comunidades y otras organizaciones.</t>
  </si>
  <si>
    <t>Disponibilidad</t>
  </si>
  <si>
    <t xml:space="preserve">Baja en la alimentación de mineral </t>
  </si>
  <si>
    <t>prob</t>
  </si>
  <si>
    <t>Área de trabajo reducida, congestionada, acceso difícil o inadecuado</t>
  </si>
  <si>
    <t>Caída de objetos / materiales/roca</t>
  </si>
  <si>
    <t>Competencias</t>
  </si>
  <si>
    <t>Seguimiento al programa de inspecciones IRO´S: Taludes Frentes de Carguío Banquinas</t>
  </si>
  <si>
    <t>Derrame de concentrados de minerales</t>
  </si>
  <si>
    <t>Degradación de la flora natural</t>
  </si>
  <si>
    <t>Riego de caminos para reducir emisión de polvo</t>
  </si>
  <si>
    <t>Operación Wila Khara Deposito de Colas</t>
  </si>
  <si>
    <t>RC.4.2.2. Mitigar los impactos  socio económicos ocasionados por las operaciones de MSC  en las comunidades de San Cristóbal, Culpina K</t>
  </si>
  <si>
    <t>Baja en el tratamiento de mineral</t>
  </si>
  <si>
    <t>Altamente Implementable</t>
  </si>
  <si>
    <t>Implementable</t>
  </si>
  <si>
    <t>Implementable con Revisión</t>
  </si>
  <si>
    <t>No Recomendable su Implementación</t>
  </si>
  <si>
    <t>6. Acuerdos estratégicos/Convenios estratégicos</t>
  </si>
  <si>
    <t>Señales/ Advertencias/ Alarmas</t>
  </si>
  <si>
    <t>Áreas de trabajo con desniveles o gradas</t>
  </si>
  <si>
    <t>Choque eléctrico</t>
  </si>
  <si>
    <t>Controles/Acciones de Emergencias</t>
  </si>
  <si>
    <t xml:space="preserve">Seguimiento al programa de inspecciones IRO´S: Trabajo Eléctrico - Actos </t>
  </si>
  <si>
    <t>Derrame de hidrocarburos/ lubricantes y combustibles</t>
  </si>
  <si>
    <t xml:space="preserve"> Señalizar con Conos de Seguridad y letrero de Camino Cerrado durante trabajos de Mantenimiento de Chancador</t>
  </si>
  <si>
    <t>Degradación del paisaje natural</t>
  </si>
  <si>
    <t>Uso de cobertor para reducir emisión de polvo</t>
  </si>
  <si>
    <t>Verificadores operacionales</t>
  </si>
  <si>
    <t>Pasivos ambientales generados por MSC</t>
  </si>
  <si>
    <t>RC.4.2.3. Fortalecer la administración y operaciones de los servicios básicos en las comunidades San Cristóbal y Culpina K</t>
  </si>
  <si>
    <t>5. Acuerdos específicos/Convenios específicos</t>
  </si>
  <si>
    <t>Condiciones climatológicas adversas (tormenta eléctrica, viento, nieve, lluvia, rayos UV, etc.)</t>
  </si>
  <si>
    <t>Colisión / Choque</t>
  </si>
  <si>
    <t>Capacitación/Entrenamiento</t>
  </si>
  <si>
    <t>Seguimiento al programa de inspecciones IRO´S: Trabajo Eléctrico - Condiciones</t>
  </si>
  <si>
    <t>Derrame de sustancias peligrosas/ reactivos químicos y otros insumos industriales</t>
  </si>
  <si>
    <t>Degradación o alteración de la fauna silvestre</t>
  </si>
  <si>
    <t>Uso de barreras - diques para aguas de contacto</t>
  </si>
  <si>
    <t xml:space="preserve">Reducción de nivel freático en Campo de Pozos </t>
  </si>
  <si>
    <t>RC.4.2.4.Apoyar en la atención a los diferente grupos sociales de las comunidades del área de influencia directa de MSC.</t>
  </si>
  <si>
    <t>Seguimiento y publicación de reporte STOP o Seguimiento y publicación de reporte de observaciones conductuales</t>
  </si>
  <si>
    <t>4. Planes estratégicos</t>
  </si>
  <si>
    <t>Desorden y falta de limpieza</t>
  </si>
  <si>
    <t>Contacto con herramientas, objetos cortantes y/o punzantes (corte o incrustación)</t>
  </si>
  <si>
    <t>Instrucción Operacional</t>
  </si>
  <si>
    <t xml:space="preserve">Seguimiento al programa de inspecciones IRO´S: Trabajo en Altura </t>
  </si>
  <si>
    <t>Descarga de aguas pluviales de área de mina, planta, campamento y otros</t>
  </si>
  <si>
    <t>Disminución de agua subterránea/descenso del nivel freático</t>
  </si>
  <si>
    <t>Mejora tecnológica - diseños de ingeniería</t>
  </si>
  <si>
    <t>RC.4.3.2.Apoyar  la gestión del Uso Racional del agua en comunidades del área de influencia de MSC</t>
  </si>
  <si>
    <t>No Implementable</t>
  </si>
  <si>
    <t>3. Intervenciones directas</t>
  </si>
  <si>
    <t>Energía almacenada que puede liberarse repentinamente</t>
  </si>
  <si>
    <t>Contacto con superficies/partículas/objetos calientes</t>
  </si>
  <si>
    <t>Seguimiento al programa de inspecciones IRO´S: Trabajo en Espacios Confinados</t>
  </si>
  <si>
    <t>Descarga de aguas residuales de lavado de vehículos (Truck shop, Toldos)</t>
  </si>
  <si>
    <t>Disminución de nutrientes del suelo/ pérdida de calidad del suelo</t>
  </si>
  <si>
    <t>Tratamiento de aguas residuales/ físico, químico, biológico</t>
  </si>
  <si>
    <t>RC.4.4.1. Mantener contactos permanentes con los grupos de interés  del área de influencia directa</t>
  </si>
  <si>
    <t>2. Reuniones formales</t>
  </si>
  <si>
    <t>Equipo con partes / elementos en movimiento</t>
  </si>
  <si>
    <t>Contacto por proyección de materiales, partículas, objetos, etc.</t>
  </si>
  <si>
    <t xml:space="preserve">Seguimiento al programa de inspecciones IRO´S: Trabajo en Excavaciones </t>
  </si>
  <si>
    <t>Descarga de aguas residuales de tratamiento de aguas servidas/ campamento, cocina</t>
  </si>
  <si>
    <t>Disminución de recursos naturales no renovables / hidrocarburos fósiles</t>
  </si>
  <si>
    <t>Mantenimiento preventivo de equipos- vehículos</t>
  </si>
  <si>
    <t xml:space="preserve">RC.4.4.3. Mantener contactos permanentes con los grupos de interés  de Desarrollo Socio Económico. </t>
  </si>
  <si>
    <t>1. Relacionamientos</t>
  </si>
  <si>
    <t xml:space="preserve">Equipo o línea energizada </t>
  </si>
  <si>
    <t>Contacto por proyección de rocas o fragmentos de rocas volantes</t>
  </si>
  <si>
    <t>Seguimiento al programa de inspecciones IRO´S: Trabajos en Caliente</t>
  </si>
  <si>
    <t>Descarga de colas de la planta</t>
  </si>
  <si>
    <t>Efecto de degradación de la calidad del aire</t>
  </si>
  <si>
    <t>Inspecciones planificadas y no planificadas</t>
  </si>
  <si>
    <t>RC.4.4.5. Atender oportunamente las solicitudes provenientes de las comunidades, la región y Potosí.</t>
  </si>
  <si>
    <t>Estructuras a baja altura o con partes salientes</t>
  </si>
  <si>
    <t>Deslizamiento / Desprendimiento</t>
  </si>
  <si>
    <t>E.P.P.</t>
  </si>
  <si>
    <t>Seguimiento al programa de mantenimientos de equipos/ vehículos</t>
  </si>
  <si>
    <t>Descarga de efluentes de área de mina</t>
  </si>
  <si>
    <t>Verificación de velocidad de vehículos</t>
  </si>
  <si>
    <t>Jerarquía del Control - M.A.</t>
  </si>
  <si>
    <t>Calidad del Control-Medio Ambiente</t>
  </si>
  <si>
    <t>Gases comprimidos (transporte, uso, manipulación botellones)</t>
  </si>
  <si>
    <t>Desmoronamiento</t>
  </si>
  <si>
    <t>Seguimiento y publicación de reportes de velocidades</t>
  </si>
  <si>
    <t>Emanación de olores</t>
  </si>
  <si>
    <t>Efecto negativo sobre la salud humana</t>
  </si>
  <si>
    <t>Simulacros de emergencia (Derrame)</t>
  </si>
  <si>
    <t>OK</t>
  </si>
  <si>
    <t>Inestabilidad de taludes / terrenos</t>
  </si>
  <si>
    <t>Encandilamiento</t>
  </si>
  <si>
    <t xml:space="preserve">Emisión de gases de fuentes fijas/ incinerador, laboratorios, talleres y otros </t>
  </si>
  <si>
    <t>Trabajo en altura, sobre plataformas elevadas, escaleras, andamios, rampas o pisos sin barreras de protección (barandas o barreras rígidas).</t>
  </si>
  <si>
    <t>Efectos fisiológicos sobre la salud humana</t>
  </si>
  <si>
    <t>Hojas de seguridad de sustancias peligrosas</t>
  </si>
  <si>
    <t xml:space="preserve">Trabajo en altura cerca del perímetro del buzón de descarga parte superior, montaje y desmontaje de componentes de chancador primario </t>
  </si>
  <si>
    <t>Al realizar trabajos en la parte superior del buzón existe el riesgo de caída a distinto nivel</t>
  </si>
  <si>
    <t>Izaje mecanizado de materiales / cargas suspendidas</t>
  </si>
  <si>
    <t>Estrés térmico, Exposición a ambientes fríos o calurosos</t>
  </si>
  <si>
    <t>Seguimiento a los programas preventivos y de control en salud</t>
  </si>
  <si>
    <t>Emisión de gases de fuentes móviles/ vehículos</t>
  </si>
  <si>
    <t>Pérdida de biodiversidad en áreas protegidas o restringidas</t>
  </si>
  <si>
    <t>Autorización por instancia competente - sustancias peligrosas</t>
  </si>
  <si>
    <t>Manejo Manual de Carga / materiales</t>
  </si>
  <si>
    <t>Explosión</t>
  </si>
  <si>
    <t>Seguimiento y publicación de reportes/informes e indicadores internos</t>
  </si>
  <si>
    <t>Emisión de sustancias agotadores de la capa de ozono/ sistemas de refrigeración</t>
  </si>
  <si>
    <t>Pérdida de la cobertura vegetal</t>
  </si>
  <si>
    <t>Señalización de  sustancias  y residuos peligrosos</t>
  </si>
  <si>
    <t>Contar con personal competente para realizar Trabajo en Altura</t>
  </si>
  <si>
    <t>Manejo Mecanizado de Materiales</t>
  </si>
  <si>
    <t>Exposición a Agentes biológicos</t>
  </si>
  <si>
    <t>Extracción de recursos naturales no renovables/ minerales</t>
  </si>
  <si>
    <t>Higienización</t>
  </si>
  <si>
    <t>Manipulación/uso de herramientas, instrumentos, objetos (cortantes, punzantes, calientes, pesados, sin Verificación / Calibración, etc.)</t>
  </si>
  <si>
    <t>Exposición a Ambiente con Deficiencia de Oxígeno (Sofocación)</t>
  </si>
  <si>
    <t>Efecto invernadero cambio climático</t>
  </si>
  <si>
    <t>Involucramiento del supervisor a través de inspecciones internas y otros</t>
  </si>
  <si>
    <t>Piscinas, tazones, tanques o estanques sin protección</t>
  </si>
  <si>
    <t>Exposición a Ambiente/Atmósfera Peligrosa/Contaminada</t>
  </si>
  <si>
    <t>Generación de polvo</t>
  </si>
  <si>
    <t>Efectos a la biota</t>
  </si>
  <si>
    <t>Presencia de polvo, material particulado, humo o gas</t>
  </si>
  <si>
    <t>Exposición a Atmósfera Explosiva</t>
  </si>
  <si>
    <t>Generación de residuos sólidos convencionales, orgánicos e industriales</t>
  </si>
  <si>
    <t>Efectos a la biota de suelo y fauna</t>
  </si>
  <si>
    <t>Control de emergencias ambientales</t>
  </si>
  <si>
    <t>Proyección de fragmentos de roca, materiales, partículas</t>
  </si>
  <si>
    <t>Exposición a Atmósfera Inflamable</t>
  </si>
  <si>
    <t>Generación de ruido</t>
  </si>
  <si>
    <t>Erosión al suelo, efecto a la calidad del suelo natural</t>
  </si>
  <si>
    <t>Instructivos, procedimientos operacionales</t>
  </si>
  <si>
    <t>Jerarquía del Control - Salud</t>
  </si>
  <si>
    <t>Calidad del Control-Salud</t>
  </si>
  <si>
    <t>Psicosociales (Acoso, Intimidación, Victimización, Bullying, mobbing, Disturbios Civiles)</t>
  </si>
  <si>
    <t>Exposición a Condiciones Ergonómicas Ambientales / de Diseño del Puesto de Trabajo</t>
  </si>
  <si>
    <t>Generación y disposición de residuos hospitalarios</t>
  </si>
  <si>
    <t>Pérdida de recursos culturales</t>
  </si>
  <si>
    <t>Instructivos generales y específicos</t>
  </si>
  <si>
    <t>Remoción y limpieza de materiales acumulados</t>
  </si>
  <si>
    <t>Exposición a Humos Metálicos</t>
  </si>
  <si>
    <t>Generación y disposición de residuos minero-metalúrgicos</t>
  </si>
  <si>
    <t xml:space="preserve">Riesgos de derrames y efecto al suelo y aguas </t>
  </si>
  <si>
    <t>Capacitación en manejo del proceso, sustancias, residuos y otros</t>
  </si>
  <si>
    <t>Superficie Irregular, con obstrucciones, desnivelada, resbaladiza, congelada y/o blanda</t>
  </si>
  <si>
    <t>Exposición a Material Particulado</t>
  </si>
  <si>
    <t>Generación y disposición de residuos peligrosos</t>
  </si>
  <si>
    <t>Competencia para ejercer cargo</t>
  </si>
  <si>
    <t xml:space="preserve">Capacitar al personal sobre los estándares del Instructivo de Trabajo en Altura 1.02.P06.I15 </t>
  </si>
  <si>
    <t>Superficies / partículas calientes</t>
  </si>
  <si>
    <t>Exposición a Ondas Expansivas</t>
  </si>
  <si>
    <t>Incineración de residuos hospitalarios</t>
  </si>
  <si>
    <t>Sustancias peligrosas (transporte, uso, manipulación)</t>
  </si>
  <si>
    <t>Exposición a Radiaciones Ionizantes / No ionizantes / UV</t>
  </si>
  <si>
    <t>Manejo y consumo de sustancias peligrosas</t>
  </si>
  <si>
    <t>Capacitación manejo del proceso, sustancias, residuos y otros</t>
  </si>
  <si>
    <t>Exposición a Ruido</t>
  </si>
  <si>
    <t>Remoción y manejo de top soil</t>
  </si>
  <si>
    <t>Exposición a Sustancias Peligrosas</t>
  </si>
  <si>
    <t xml:space="preserve">Revegetación con especies introducidas </t>
  </si>
  <si>
    <t>Planes de manejo de recursos naturales, riego, polvo, revegetación</t>
  </si>
  <si>
    <t>Trabajo en caliente (soldadura, corte, desbaste) torchado, arco eléctrico, amolado, esmerilado, oxicorte, oxiflama, etc.</t>
  </si>
  <si>
    <t>Exposición a Vibración</t>
  </si>
  <si>
    <t>Topografía y paisaje natural</t>
  </si>
  <si>
    <t>Contar con Personal con curso vigente en Gestión de Riesgos (ART/VPT)</t>
  </si>
  <si>
    <t>Trabajo en Espacios Confinados (Clase I o II)</t>
  </si>
  <si>
    <t>Exposición a factores Psicosociales / Tensiones Mentales, Físicas o Fisiológicas</t>
  </si>
  <si>
    <t xml:space="preserve">Uso de áreas protegidas o de recursos arqueológicos </t>
  </si>
  <si>
    <t>Jerarquía del Control - Legal</t>
  </si>
  <si>
    <t>Calidad del Control-Legal</t>
  </si>
  <si>
    <t>Trabajo en excavación (zanjas, aperturas, perforaciones, todo trabajo dentro una excavación)</t>
  </si>
  <si>
    <t>Golpeado contra</t>
  </si>
  <si>
    <t>Gestión de lubricantes</t>
  </si>
  <si>
    <t>Capacitar al personal sobre respuesta ante emergencias descrito del Plan de Emergencia 2.04.P05.E20</t>
  </si>
  <si>
    <t>Trabajos en cercanía de líneas eléctricas energizadas, tableros eléctricos, etc.</t>
  </si>
  <si>
    <t>Golpeado por</t>
  </si>
  <si>
    <t>Gestión de sustancias peligrosas</t>
  </si>
  <si>
    <t>Trabajos en cercanías de taludes o botaderos</t>
  </si>
  <si>
    <t>Incendio</t>
  </si>
  <si>
    <t>Tránsito de peatones en áreas de circulación vehicular o de equipos</t>
  </si>
  <si>
    <t>Inmersión</t>
  </si>
  <si>
    <t>Incineración de residuos sólidos</t>
  </si>
  <si>
    <t xml:space="preserve">Difundir la ruta de evacuación para caso de emergencia, punto de reunión y protocolo de emergencia </t>
  </si>
  <si>
    <t>Transporte de carga en movilidad o equipo móvil</t>
  </si>
  <si>
    <t>Liberación de energía peligrosa (hidráulica, neumática, eléctrica, radioactiva, etc.)</t>
  </si>
  <si>
    <t xml:space="preserve">Intervención a lugares arqueológicos </t>
  </si>
  <si>
    <t>Transporte, manipulación o uso de explosivos</t>
  </si>
  <si>
    <t>Sobre esfuerzo</t>
  </si>
  <si>
    <t>Lixiviación de residuos sólidos</t>
  </si>
  <si>
    <t>Variables ergonómicas (movimientos repetitivos, posiciones incómodas, fatiga, estrés, sobre carga de trabajo, etc.)</t>
  </si>
  <si>
    <t>Tropezón</t>
  </si>
  <si>
    <t>Otros</t>
  </si>
  <si>
    <t>Vuelco</t>
  </si>
  <si>
    <t>Remoción de la capa vegetal del suelo-top soil</t>
  </si>
  <si>
    <t>Contar con radio comunicación o Handy en las área de trabajo</t>
  </si>
  <si>
    <t>N/A</t>
  </si>
  <si>
    <t>Jerarquía del Control - Rel. G</t>
  </si>
  <si>
    <t>Calidad del Control-Relaciones Gubernamentales</t>
  </si>
  <si>
    <t>Remoción de lugares propios de la fauna silvestre</t>
  </si>
  <si>
    <t>Capacitar al personal sobre los estándares del Manual de Reglas de Oro, Trabajo en Altura 1.02.P06.MT02.</t>
  </si>
  <si>
    <t>Cumplir com los estandares del Instructivo de Trabajos en Altura 1.02.P06.I15</t>
  </si>
  <si>
    <t>Jerarquía del Control - OPERACIONALES</t>
  </si>
  <si>
    <t>NO APLICA, PUESTO QUE NO PODRIA INGRESAR AL SECTOR UN EQUIPO DE PLATAFORMA ELEVADORA</t>
  </si>
  <si>
    <t>Calidad del Control-OPERACIONALES</t>
  </si>
  <si>
    <t>Contar con puntos de anclajes y líneas de vida validados y/o certificados</t>
  </si>
  <si>
    <t>Difundir Hoja ZAP SI-164 "Importancia de la Inspección del Arnés y Conectores"</t>
  </si>
  <si>
    <t>Difundir Hoja ZAP SI-107 "Uso correcto de la Cola de Vida durante los Trabajos en Altura"</t>
  </si>
  <si>
    <t>Jerarquía del Control - FINANCIEROS</t>
  </si>
  <si>
    <t>Calidad del Control-FINANCIEROS</t>
  </si>
  <si>
    <t>Usar Sistema de Protección Contra Caídas (Arnés, Conector con absorbedor de energía, conector de restricción, posicionamiento y autoretractiles)</t>
  </si>
  <si>
    <t>Contar con el curso de Inducción General OHS (2.04.P05.E20 Inducción Plan de Emergencia )</t>
  </si>
  <si>
    <t>Realizar la evaluación de Salud Ocupacional al personal.</t>
  </si>
  <si>
    <t>Inspección de arnés y conectores de acuerdo a formulario 1.02.P06.F19</t>
  </si>
  <si>
    <t>Señalizar Áreas de trabajo, almacenaje de materiales y pasillos de circulación</t>
  </si>
  <si>
    <t>Implementar formularios ART/VPT según Guía para la Identificación y Evaluación de Riesgos 1.02.P06.I01 para realizar trabajo de Desmontaje y montaje de componentes del Chancador Primario (araña, cóncavos, eje principal)</t>
  </si>
  <si>
    <t>Además de la documentación que se señala (ART/VPT), debe incluirse la obligatoriedad a contar con PT para Trabajo en Altura vigente</t>
  </si>
  <si>
    <t>SE ADICIONA EL CUMPLIMIENTO AL INSTRUCTIVO DE ALTURA</t>
  </si>
  <si>
    <t>Falta de aislamiento o aislamiento incompleto de equipos de procesos a sufrir mantenimiento</t>
  </si>
  <si>
    <t>Contacto con energía peligrosa, presión de agua, presión de aire, energía térmica, energía eléctrica</t>
  </si>
  <si>
    <t xml:space="preserve">Capacitar al personal sobre los estándares del Instructivo de Aislamiento de equipos 1.02.P06.I24 </t>
  </si>
  <si>
    <t>PLANIFICACIÓN E INFORME DE INDICADORES GESTIÓN 2020 RRCC</t>
  </si>
  <si>
    <t xml:space="preserve">Contar con personal competente en Control de Energías (Bloqueo y Etiquetado) </t>
  </si>
  <si>
    <t>PLANIFICACIÓN E INFORME DE INDICADORES GESTIÓN 2020 CS</t>
  </si>
  <si>
    <t>Señalizar área de trabajo al realizar el control de energía</t>
  </si>
  <si>
    <t>PLANIFICACIÓN E INFORME DE INDICADORES GESTIÓN 2020 DS</t>
  </si>
  <si>
    <t>Usar EPP  básico y adicional (Casco, botines de Seguridad, Lentes), guantes y carrilera de casco</t>
  </si>
  <si>
    <t>Difundir Hoja ZAP SI-050 "Pasos para aislamiento con candados personales"</t>
  </si>
  <si>
    <t>Difundir Hoja ZAP SI-051 "Candado personal de aislamiento y tarjeta de peligro"</t>
  </si>
  <si>
    <t>Contar con dispositivos de bloqueos físicos de energías almacenadas</t>
  </si>
  <si>
    <t>Manipulación de herramientas manuales, herramientas defectuosas o inadecuadas (combos, llaves, palas)</t>
  </si>
  <si>
    <t>Golpes en las manos y pies por uso de herramienta defectuosa, zafe de llaves, u otros</t>
  </si>
  <si>
    <t>Capacitar al personal los estándares del Instructivo de Manipulación Manual de Cargas 1.02.P06.I14</t>
  </si>
  <si>
    <t>Contar con personal capacitado en el curso vigente en Gestión de Riesgos (ART/VPT)</t>
  </si>
  <si>
    <t>Difundir hoja ZAP SI-084 "Levantamiento manual de cargas"</t>
  </si>
  <si>
    <t>Señalizar áreas de trabajo, almacenaje de materiales y pasillos de circulación con cinta de  color amarillo/rojo</t>
  </si>
  <si>
    <t>Capacitar al personal sobre los estándares del Manual de Reglas de Oro, Trabajo de Izaje 1.02.P06.MT02.</t>
  </si>
  <si>
    <t>Inspección Pre-Uso de Elementos Accesorios de Izaje - Eslingas, Estrobos, Grilletes y Ganchos Colocar la cinta del color del mes que corresponda  de acuerdo al instructivo de Codificación de Colores para Inspección 1.02.P06.I33</t>
  </si>
  <si>
    <t xml:space="preserve">Inspeccionar las herramientas que NO tengan formulario de inspección con las cintas de color establecidas en el instructivo 1.02.P06.F20 Codificación de Colores
para Inspección </t>
  </si>
  <si>
    <t>Difundir Hoja ZAP SI-066 "Uso de herramientas manuales"</t>
  </si>
  <si>
    <t>Difundir Hoja ZAP SI-078 "Modificación de equipos y herramientas"</t>
  </si>
  <si>
    <t>Capacitar al personal sobre los estándares técnicos escritos en los Instructivos específicos de Mantenimiento Chancado</t>
  </si>
  <si>
    <t>Piezas de dimensiones importantes izadas por grúas</t>
  </si>
  <si>
    <t>Aplastamiento de miembros, o personas, traumas graves o muerte</t>
  </si>
  <si>
    <t xml:space="preserve">Señalizar el área de trabajo según el instructivo Señalización Fija Delimitación Temporal de Áreas de Trabajo 1.02.P06.I38 </t>
  </si>
  <si>
    <t>Difundir hoja ZAP SI-110 "Seguridad en área de Izaje"</t>
  </si>
  <si>
    <t>Usar líneas de viento para guía de carga</t>
  </si>
  <si>
    <t>Contar con Certificación de equipos de izaje,  Puentes Grúas con Cabina, Puentes Grúas, Monorrieles, Man Lift y otros</t>
  </si>
  <si>
    <t>Señalizar el área de trabajo según el instructivo Señalización Fija Delimitación Temporal de Áreas de Trabajo 1.02.P06.I38 (Trabajos en Izaje)</t>
  </si>
  <si>
    <t>Trabajos de soldadura que generan calor y son fuente de ignición</t>
  </si>
  <si>
    <t>Incendio generado por contacto de chispas incandescentes o calor con materiales inflamables y/o combustible</t>
  </si>
  <si>
    <t>Capacitar al personal sobre los estándares del Instructivo de Soldadura con arco eléctrico 1.02.P06.I04</t>
  </si>
  <si>
    <t>Inspección de Equipos de Soldar según formulario 1.02.P06.F4 Inspeccion Equipos de Soldar</t>
  </si>
  <si>
    <t>CAMBIAR NUMERO DE FORMULARIO A 1.02.P06.F42_Inspeccion_Equipos_de_Soldar_Rev.1</t>
  </si>
  <si>
    <t>Capacitar al personal sobre los estándares del Instructivo de Operación de Oxicorte 1.02.P06.I05</t>
  </si>
  <si>
    <t xml:space="preserve">Capacitar al personal sobre los estándares del Instructivo de Almacenamiento, Transporte, Uso e Inspección de Cilindros para Gases Comprimidos 1.02.P06.I12  </t>
  </si>
  <si>
    <t>Realizar inspección de Cilindros para Gases Comprimidos de acuerdo a formulario  1.02.P06.F20</t>
  </si>
  <si>
    <t>Instalar sistemas de seguridad en líneas de oxicorte (válvulas anti retroceso)</t>
  </si>
  <si>
    <t>Capacitar al personal sobre los estándares del Instructivo de Uso de Amoladora Eléctrica 1.02.P06.I37</t>
  </si>
  <si>
    <t>Inspección de Amoladoras según formulario 1.02.P06.F39</t>
  </si>
  <si>
    <t>Contar con personal competente para realizar Trabajo en Caliente</t>
  </si>
  <si>
    <t>Difundir hoja ZAP SI-037 "Seguridad en la soldadura al arco "</t>
  </si>
  <si>
    <t>Difundir hoja ZAP SI-035 "Uso de EPP en trabajos para amoladora"</t>
  </si>
  <si>
    <t>Difundir hoja ZAP SI-026 "Protección Respiratoria contra polvo y Humos"</t>
  </si>
  <si>
    <t>Capacitar al personal sobre los estándares del Instructivo de Trabajos en Caliente 1.02.P06.I32</t>
  </si>
  <si>
    <t>Cumplir con los estándares del Instructivo de Trabajos en Caliente 1.02.P06.I32</t>
  </si>
  <si>
    <t>Contar con mamparas, biombos en torno al área de trabajo  y/o manta ignífuga para proteger los dispositivos.</t>
  </si>
  <si>
    <t>Difundir hoja ZAP SI-178 "Trabajos en Caliente con Equipo Oxiflama"</t>
  </si>
  <si>
    <t>Trabajos de soldadura que generan calor y proyectan chispas incandescentes,  o metal fundido y generan superficies caliente</t>
  </si>
  <si>
    <t>Contacto con chispas incandescentes, metal fundido, quemaduras</t>
  </si>
  <si>
    <t>Usar EPP para trabajos en caliente (soldadura), chaqueta de cuero, pantalón de  cuero, coleto, guantes de caña larga de soldador, protección respiratoria, polainas y botines de seguridad</t>
  </si>
  <si>
    <t>Daños en conductores eléctricos o carcasa de equipo de soldar</t>
  </si>
  <si>
    <t>Contacto con energía eléctrica</t>
  </si>
  <si>
    <t>Tener la Toma de fuerza conectada a interruptor diferencial</t>
  </si>
  <si>
    <t>El formulario de inspeccion de equipos de soldar es el 1.02.P06.F42</t>
  </si>
  <si>
    <t>Ejecutar  plan de mantenimiento de equipos (equipos de soldar)</t>
  </si>
  <si>
    <t>Generación de ruido durante uso  arco eléctrico, oxiflama</t>
  </si>
  <si>
    <t>Perdida auditiva inducida por el ruido</t>
  </si>
  <si>
    <t>Usar EPP  básico y adicional (Casco, botines de Seguridad, Lentes) y protección auditiva</t>
  </si>
  <si>
    <t xml:space="preserve">Recibir información constante de medios de comunicación y del grupo de enlaces comunitarios </t>
  </si>
  <si>
    <t>Difundir hoja ZAP SI-057 "Protección de los oídos "</t>
  </si>
  <si>
    <t>Generación de polvo de epóxico durante retiro de material</t>
  </si>
  <si>
    <t>Inhalación de epóxico, sensibilización , enfermedades respiratorias</t>
  </si>
  <si>
    <t>Usar EPP  básico y adicional (Casco, botines de Seguridad, Lentes) y protector respiratorio (8210 polvo o 8515 gases, humos)</t>
  </si>
  <si>
    <t>Trabajos de soldadura que generan radiación no ionizante</t>
  </si>
  <si>
    <t>Exposición a Rayos Ultra Violeta durante la operación, quemaduras de la piel, ojos, cáncer de piel</t>
  </si>
  <si>
    <t>Usar EPP para trabajos en caliente (soldadura), chaqueta de cuero, pantalón de  cuero, coleto, guantes de caña larga de soldador, protección respiratoria, mascara de soldar, polainas y botines de seguridad</t>
  </si>
  <si>
    <t>Cumplir con los estandares del Instructivo de Trabajos en Caliente 1.02.P06.I32</t>
  </si>
  <si>
    <t>Además de la documentación que se señala (ART/VPT), debe incluirse la obligatoriedad a contar con PT vigente</t>
  </si>
  <si>
    <t>MEDIDA ANTERIOR HACE REFERENCIA AL PT</t>
  </si>
  <si>
    <t>Generación de humos por el proceso de Soldadura, corte con arco eléctrico, oxiflama</t>
  </si>
  <si>
    <t>Enfermedades respiratorias</t>
  </si>
  <si>
    <t>NO SE CUENTA PERMISO PARA EL RIESGO DE EXPOSICION A HUMOS METALICOS</t>
  </si>
  <si>
    <t>Manipulación de cilindros de gases comprimidos (Oxígeno)</t>
  </si>
  <si>
    <t>Fugas de gases comprimidos debido a  una mala manipulación, inestabilidad del gas al interior del botellón por manipulación violenta, explosión</t>
  </si>
  <si>
    <t>Difundir hoja ZAP SI-056 "Características de los reactivos usados en planta"</t>
  </si>
  <si>
    <t xml:space="preserve">Cumplir con los estándares del Instructivo de Almacenamiento, Transporte, Uso e Inspección de Cilindros para Gases Comprimidos 1.02.P06.I12  </t>
  </si>
  <si>
    <t>Usar porta cilindros para la manipulación y transporte de cilindros gases</t>
  </si>
  <si>
    <t>Uso de amoladora con cepillo para retiro e epóxico</t>
  </si>
  <si>
    <t>Incrustación en rostro, ojos o manos de esquirlas o púas de cepillo</t>
  </si>
  <si>
    <t>Difundir hoja ZAP SI-187 "Bordes, Superficies y Estructuras Punzocortantes"</t>
  </si>
  <si>
    <t>Usar EPP  básico y adicional (Casco, botines de Seguridad, Lentes), máscara facial, guantes y ropa de cuero</t>
  </si>
  <si>
    <t>Movimientos repetitivos por martillo manual y uso de equipo neumático</t>
  </si>
  <si>
    <t>Lesiones menores en tendones, tendinitis</t>
  </si>
  <si>
    <t>Uso de pasta epóxica, generación de polvo</t>
  </si>
  <si>
    <t>Inhalación de polvos tóxicos, contacto con la piel y ojos</t>
  </si>
  <si>
    <t>Realizar reunión de evaluación y compromiso con la seguridad de "Hojas de Seguridad de sustancias peligrosas que se manipulan en sitio"</t>
  </si>
  <si>
    <t>Usar equipo de protección personal y adicional según Hoja de Datos de Seguridad</t>
  </si>
  <si>
    <t>Difundir hoja ZAP SI-119 "Precauciones con el uso de sustancias peligrosas"</t>
  </si>
  <si>
    <t>Además de la documentación que se señala (ART/VPT), debe incluirse la obligatoriedad a contar con PT de Trabajo en Caliente vigente</t>
  </si>
  <si>
    <t>NO SE CUENTA PERMISO PARA EL RIESGO A SSPP</t>
  </si>
  <si>
    <t>Mantenimiento Picarocas</t>
  </si>
  <si>
    <t xml:space="preserve">Usar EPP  básico y adicional (Casco, botines de Seguridad, Lentes, guantes, carrileras de cascos, etc.) cuando aplique </t>
  </si>
  <si>
    <t>Contacto con energía peligrosa, presión  de aire, energía hidráulica, energía eléctrica</t>
  </si>
  <si>
    <t xml:space="preserve">Cumplir con los estándares del Instructivo de Aislamiento de equipos 1.02.P06.I24 </t>
  </si>
  <si>
    <t>Implementar formularios ART/VPT según Guía para la Identificación y Evaluación de Riesgos 1.02.P06.I01 para trabajo de mantenimiento de picarocas</t>
  </si>
  <si>
    <t>Trabajos en altura durante mantenimiento expuesto a caídas hacia el buzón de chancador</t>
  </si>
  <si>
    <t>Caída desde altura de personal mecánico y/o apoyo, traumas graves, muerte</t>
  </si>
  <si>
    <t xml:space="preserve">Cumplir con los estándares del Instructivo de permisos de trabajo en altura 1.02.P06.I15 </t>
  </si>
  <si>
    <t>Difundir Hoja ZAP SI-161 "Almacenamiento de escaleras portátiles"</t>
  </si>
  <si>
    <t xml:space="preserve">Inspección de Escaleras de Mano según formulario 1.02.P06.F33 </t>
  </si>
  <si>
    <t>Mantenimiento del poste en plataforma de trabajo</t>
  </si>
  <si>
    <t>Trabajo en altura en plataformas montadas con componentes de andamio</t>
  </si>
  <si>
    <t xml:space="preserve">Contar con personal competente para Armado y Liberación de Andamios </t>
  </si>
  <si>
    <t>NO APLICA. LA ESTRUCTURA DE MANTENIMIENTO DE POSTES ES FIJA Y NO REQUIERE DEL ARMADO DE ANDAMIOS</t>
  </si>
  <si>
    <t>Capacitar al personal sobre los estándares del instructivo de Andamio 1.02.P06.I39</t>
  </si>
  <si>
    <t>Instalar accesos al interior de chancado (Escalera de mano, Escalera Tipo plataforma Móvil)</t>
  </si>
  <si>
    <t xml:space="preserve">YA FUE IMPLEMENTADA ESTRUCTURA FIJA COMO CONTROL DE INGENIERIA. </t>
  </si>
  <si>
    <t>Señalizar el área de trabajo según el instructivo Señalización Fija Delimitación Temporal de Áreas de Trabajo 1.02.P06.I38 para trabajos en altura</t>
  </si>
  <si>
    <t>Implementar  plataforma de trabajo perimetral al poste</t>
  </si>
  <si>
    <t>Implementar formularios ART/VPT según Guía para la Identificación y Evaluación de Riesgos 1.02.P06.I01 para trabajo de mantenimiento de poste en plataforma</t>
  </si>
  <si>
    <t>Inspección de Equipos de Soldar según formulario 1.02.P06.I04</t>
  </si>
  <si>
    <t>Cumplir con los estándares del Instructivo Trabajos en Caliente 1.02.P06.I32</t>
  </si>
  <si>
    <t>EN EL CUMPLIMIENTO DEL INSTRUCTIVO YA DE FEINE EL PT</t>
  </si>
  <si>
    <t>Difundir hoja ZAP SI-034 "EPP para soldadura"</t>
  </si>
  <si>
    <t>Mantenimiento Chancador de rodillos, cambio de segmentos</t>
  </si>
  <si>
    <t>Capacitar sobre los estándares del Instructivo de Espacios Confinados 1.02.P06.I26</t>
  </si>
  <si>
    <t>Contar con personal competente para realizar Trabajo en Espacios Confinados</t>
  </si>
  <si>
    <t>Difundir hoja ZAP SI-050 "Pasos  para aislamiento con candados personales"</t>
  </si>
  <si>
    <t>Implementar formularios ART/VPT según Guía para la Identificación y Evaluación de Riesgos 1.02.P06.I01 para trabajos de mantenimiento de chancador de rodillos, cambio de segmentos</t>
  </si>
  <si>
    <t>Uso de equipos neumáticos e hidráulicos durante montaje y desmontaje (equipo impactor)</t>
  </si>
  <si>
    <t>Riesgo de lesión por latigazo de manguera neumática e hidráulica</t>
  </si>
  <si>
    <t>Realizar la inspección de equipos neumáticos e Hidráulicos (Sujeción de acoples)</t>
  </si>
  <si>
    <t>Ejecutar  plan de mantenimiento de equipos (equipos neumáticos e hidráulicos)</t>
  </si>
  <si>
    <t>Trabajos en altura durante montaje y   desmontaje de segmentos dentados.</t>
  </si>
  <si>
    <t>Caída de diferente nivel de mecánico y/o apoyo, traumas graves, atrapamiento entre los segmentos</t>
  </si>
  <si>
    <t>Instalar accesos al interior de buzón chancador de rodillos (Escalera de mano)</t>
  </si>
  <si>
    <t>Piezas y equipos suspendidos por grúas y/o tecles</t>
  </si>
  <si>
    <t>Aplastamiento de miembros o personas, traumas graves o muerte</t>
  </si>
  <si>
    <t>Contar con personal certificado por ente externo para operar equipo de Izaje</t>
  </si>
  <si>
    <t xml:space="preserve">Inspección Pre Uso Tecles de Cadenas Polipastos de acuerdo formulario 3.04.P37.F24 </t>
  </si>
  <si>
    <t>Difundir Hoja ZAP SI-012 "Seguridad en puente grúa"</t>
  </si>
  <si>
    <t>Difundir Hoja ZAP SI-105 "Configuración de cargas para izar"</t>
  </si>
  <si>
    <t>Inspección Frecuente de Tecles de Cadenas de acuerdo al formulario 3.04.P37.F25</t>
  </si>
  <si>
    <t>Cumplir los estándares del Instructivo Trabajos en Caliente 1.02.P06.I32</t>
  </si>
  <si>
    <t>Generación de ruido durante uso de equipo de soldar eléctrico</t>
  </si>
  <si>
    <t>Usar EPP  básico (Casco, botines de Seguridad, Lentes) y protector respiratorio (8210 polvo o 8515 gases, humos)</t>
  </si>
  <si>
    <t>Ventilación forzada del espacio confinado</t>
  </si>
  <si>
    <t>NO EXISTE PERMISO pt PARA EL RIESGO DE EXPOSICION A HUMOS METALICOS</t>
  </si>
  <si>
    <t xml:space="preserve">Inspección Operacional </t>
  </si>
  <si>
    <t>Correas, motores, cilindros en funcionamiento.</t>
  </si>
  <si>
    <t>Atrapamiento por correa, motores, cilindros en funcionamiento</t>
  </si>
  <si>
    <t>Difundir hoja ZAP SI-152 "Trabajos en cercanías de correas transportadoras y sistemas de transmisión"</t>
  </si>
  <si>
    <t xml:space="preserve">Contar con Pull Cort operativo </t>
  </si>
  <si>
    <t>Implementar formularios ART/VPT según Guía para la Identificación y Evaluación de Riesgos 1.02.P06.I01 para trabajos de Inspección Operacional</t>
  </si>
  <si>
    <t>Vehículos y equipos móviles en el área de trabajo.</t>
  </si>
  <si>
    <t>Atropellamiento a personal del área</t>
  </si>
  <si>
    <t>Contar con personal competente en Manejo Defensivo para la Conducción de Vehículos Livianos</t>
  </si>
  <si>
    <t>Capacitar al personal sobre los estándares del Reglamento de Gestión de Transito Vehículos 2.02.P02.RG01</t>
  </si>
  <si>
    <t xml:space="preserve">Control de velocidad por monitoreo Satelital </t>
  </si>
  <si>
    <t>Difundir hoja ZAP SI-121 "Precauciones para la circulación de los peatones"</t>
  </si>
  <si>
    <t>Señalizar el área de trabajo según el instructivo Señalización Fija Delimitación Temporal de Áreas de Trabajo 1.02.P06.I38</t>
  </si>
  <si>
    <t xml:space="preserve">Inspección de vehículo según formulario 3.04.P48.F03 Lista de Verificación de Vehículos y Equipos Móviles </t>
  </si>
  <si>
    <t>Superficie irregular y/o resbaladiza por condiciones climáticas y propias del ambiente de trabajo.</t>
  </si>
  <si>
    <t>Caída al mismo nivel por el estado del área de trabajo.</t>
  </si>
  <si>
    <t>Difundir hoja ZAP SI-040 "Caídas por resbalones"</t>
  </si>
  <si>
    <t xml:space="preserve">Realizar las inspecciones por toda el área de trabajo, </t>
  </si>
  <si>
    <t>Caída de personas a distinto nivel al subir bajar las gradas.</t>
  </si>
  <si>
    <t>Mantener los tres puntos de apoyo al momento de subir y bajar escaleras</t>
  </si>
  <si>
    <t>Ruido generado por equipos en funcionamiento</t>
  </si>
  <si>
    <t>Exposición a ruido por equipos en funcionamiento que pueden causar lesiones auditivas</t>
  </si>
  <si>
    <t>Difundir hoja ZAP SI-057 "Protección de los oídos"</t>
  </si>
  <si>
    <t>Carga suspendida por actividades de izaje de componentes en el área de trabajo.</t>
  </si>
  <si>
    <t>Aplastamiento al personal por la carga suspendida por trabajos en el área de trabajo.</t>
  </si>
  <si>
    <t>Señalizar el área de trabajo según el instructivo Señalización Fija Delimitación Temporal de Áreas de Trabajo 1.02.P06.I38 para trabajos de izaje</t>
  </si>
  <si>
    <t>Trabajo en Taller</t>
  </si>
  <si>
    <t>Presencia de  aceites, otros en el piso</t>
  </si>
  <si>
    <t>Caída al mismo nivel, resbalones</t>
  </si>
  <si>
    <t>Trabajos en Taller</t>
  </si>
  <si>
    <t xml:space="preserve">Manipulación de herramientas manuales </t>
  </si>
  <si>
    <t xml:space="preserve">Inspeccionar las herramientas que NO tengan formulario de inspección con las cintas de color establecidas en el instructivo 1.02.P06.F20 Codificación de Colores para Inspección </t>
  </si>
  <si>
    <t>Difundir hoja ZAP SI-066 "Uso de herramientas manuales"</t>
  </si>
  <si>
    <t>Manipulación de herramientas manuales, piezas de peso y volumen importante</t>
  </si>
  <si>
    <t xml:space="preserve">Sobre esfuerzo por manipulación de herramientas manuales, piezas, partes de equipos </t>
  </si>
  <si>
    <t>Aplastamiento en la manipulación de herramientas manuales, piezas, partes de equipos</t>
  </si>
  <si>
    <t>Manipulación de sustancias peligrosas en el taller sangrado de aceite hidráulico,WD40, desengrasante y otros</t>
  </si>
  <si>
    <t>Salpicadura de volúmenes importantes de aceite hidráulico, sustancias peligrosas, ingestión, irritación</t>
  </si>
  <si>
    <t>Trabajos de soldadura y corte y actividades que generan calor y son fuente de ignición</t>
  </si>
  <si>
    <t>Capacitar al personal sobre los estándares del Instructivo Trabajos en Caliente 1.02.P06.I32</t>
  </si>
  <si>
    <t>Implementar formularios ART/VPT según Guía para la Identificación y Evaluación de Riesgos 1.02.P06.I01 para trabajos en caliente</t>
  </si>
  <si>
    <t>Trabajos de soldadura que generan calor y proyectan chispas incandescentes o metal fundido y generan superficies caliente</t>
  </si>
  <si>
    <t>ADICIONAR UNA LÍNEA PARA IMPLEMENTAR ART/VPT SEGUN GUIA PARA LA IDENTIFICACION Y EVALUACION DE RIESGOS 1.02.P06.I01 PARA TRABAJOS EN CALIENTE</t>
  </si>
  <si>
    <t>Generación de humos, particulas en suspensión por proceso de corte soldaduras y desbaste</t>
  </si>
  <si>
    <t xml:space="preserve">Trasporte /conducción vehicular </t>
  </si>
  <si>
    <t>Cansancio, fatiga, micro sueño /No adecuado descanso (8 Hrs)</t>
  </si>
  <si>
    <t>Colisión, choque entre equipos, bermas u objeto fijo por presencia de fatiga, cansancio, micro sueño</t>
  </si>
  <si>
    <t>Difundir Hoja ZAP  SI - 209 "Peligros y consecuencias del micro sueño al conducir un vehículo"</t>
  </si>
  <si>
    <t>En caso de extender el turno (2 horas como máximo), el personal no podrá conducir vehículos , ni operar equipos sin antes descansar 8 horas.</t>
  </si>
  <si>
    <t>Aplicar el formulario 1.02.P06.F68 control de fatiga solo en caso excepcional que se requiera extender la jornada laboral, máximo dos horas adicionales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</si>
</sst>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/>
    <font>
      <b/>
      <sz val="16.0"/>
      <color theme="1"/>
      <name val="Calibri"/>
    </font>
    <font>
      <b/>
      <sz val="24.0"/>
      <color theme="1"/>
      <name val="Calibri"/>
    </font>
    <font>
      <sz val="10.0"/>
      <color theme="1"/>
      <name val="Calibri"/>
    </font>
    <font>
      <sz val="9.0"/>
      <color rgb="FF000000"/>
      <name val="Calibri"/>
    </font>
    <font>
      <sz val="12.0"/>
      <color rgb="FFFF0000"/>
      <name val="Calibri"/>
    </font>
    <font>
      <sz val="12.0"/>
      <color theme="0"/>
      <name val="Calibri"/>
    </font>
    <font>
      <b/>
      <sz val="16.0"/>
      <color theme="0"/>
      <name val="Calibri"/>
    </font>
    <font>
      <sz val="14.0"/>
      <color theme="1"/>
      <name val="Calibri"/>
    </font>
    <font>
      <b/>
      <sz val="8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7B7B7B"/>
        <bgColor rgb="FF7B7B7B"/>
      </patternFill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DB9CA"/>
        <bgColor rgb="FFADB9CA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2E75B5"/>
        <bgColor rgb="FF2E75B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7F7F7F"/>
        <bgColor rgb="FF7F7F7F"/>
      </patternFill>
    </fill>
  </fills>
  <borders count="59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2" fontId="2" numFmtId="0" xfId="0" applyAlignment="1" applyBorder="1" applyFill="1" applyFont="1">
      <alignment horizontal="center" textRotation="90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3" fontId="2" numFmtId="0" xfId="0" applyBorder="1" applyFill="1" applyFont="1"/>
    <xf borderId="6" fillId="0" fontId="3" numFmtId="0" xfId="0" applyBorder="1" applyFont="1"/>
    <xf borderId="5" fillId="2" fontId="2" numFmtId="0" xfId="0" applyAlignment="1" applyBorder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5" fillId="5" fontId="1" numFmtId="0" xfId="0" applyBorder="1" applyFill="1" applyFont="1"/>
    <xf borderId="5" fillId="6" fontId="1" numFmtId="0" xfId="0" applyBorder="1" applyFill="1" applyFont="1"/>
    <xf borderId="7" fillId="7" fontId="1" numFmtId="0" xfId="0" applyBorder="1" applyFill="1" applyFont="1"/>
    <xf borderId="8" fillId="7" fontId="1" numFmtId="0" xfId="0" applyBorder="1" applyFont="1"/>
    <xf borderId="7" fillId="8" fontId="1" numFmtId="0" xfId="0" applyBorder="1" applyFill="1" applyFont="1"/>
    <xf borderId="7" fillId="9" fontId="1" numFmtId="0" xfId="0" applyBorder="1" applyFill="1" applyFont="1"/>
    <xf borderId="7" fillId="10" fontId="1" numFmtId="0" xfId="0" applyBorder="1" applyFill="1" applyFont="1"/>
    <xf borderId="9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textRotation="90"/>
    </xf>
    <xf borderId="10" fillId="0" fontId="3" numFmtId="0" xfId="0" applyBorder="1" applyFont="1"/>
    <xf borderId="0" fillId="0" fontId="1" numFmtId="0" xfId="0" applyAlignment="1" applyFont="1">
      <alignment horizontal="center" vertical="center"/>
    </xf>
    <xf borderId="10" fillId="0" fontId="5" numFmtId="49" xfId="0" applyAlignment="1" applyBorder="1" applyFont="1" applyNumberFormat="1">
      <alignment horizontal="center" shrinkToFit="0" vertical="center" wrapText="1"/>
    </xf>
    <xf borderId="5" fillId="11" fontId="6" numFmtId="0" xfId="0" applyBorder="1" applyFill="1" applyFont="1"/>
    <xf borderId="5" fillId="4" fontId="6" numFmtId="0" xfId="0" applyBorder="1" applyFont="1"/>
    <xf borderId="11" fillId="0" fontId="4" numFmtId="0" xfId="0" applyAlignment="1" applyBorder="1" applyFont="1">
      <alignment horizontal="center" shrinkToFit="0" vertical="center" wrapText="1"/>
    </xf>
    <xf borderId="12" fillId="0" fontId="1" numFmtId="0" xfId="0" applyBorder="1" applyFont="1"/>
    <xf borderId="13" fillId="0" fontId="3" numFmtId="0" xfId="0" applyBorder="1" applyFont="1"/>
    <xf borderId="14" fillId="0" fontId="3" numFmtId="0" xfId="0" applyBorder="1" applyFont="1"/>
    <xf borderId="8" fillId="12" fontId="7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vertical="center"/>
    </xf>
    <xf borderId="8" fillId="12" fontId="7" numFmtId="0" xfId="0" applyAlignment="1" applyBorder="1" applyFont="1">
      <alignment vertical="center"/>
    </xf>
    <xf borderId="0" fillId="0" fontId="9" numFmtId="0" xfId="0" applyAlignment="1" applyFont="1">
      <alignment horizontal="left" vertical="center"/>
    </xf>
    <xf borderId="0" fillId="0" fontId="8" numFmtId="0" xfId="0" applyFont="1"/>
    <xf borderId="15" fillId="0" fontId="3" numFmtId="0" xfId="0" applyBorder="1" applyFont="1"/>
    <xf borderId="16" fillId="0" fontId="3" numFmtId="0" xfId="0" applyBorder="1" applyFont="1"/>
    <xf borderId="11" fillId="13" fontId="10" numFmtId="0" xfId="0" applyAlignment="1" applyBorder="1" applyFill="1" applyFont="1">
      <alignment horizontal="center" shrinkToFit="0" vertical="center" wrapText="1"/>
    </xf>
    <xf borderId="17" fillId="0" fontId="1" numFmtId="0" xfId="0" applyBorder="1" applyFont="1"/>
    <xf borderId="10" fillId="0" fontId="4" numFmtId="0" xfId="0" applyAlignment="1" applyBorder="1" applyFont="1">
      <alignment horizontal="right" shrinkToFit="0" vertical="center" wrapText="1"/>
    </xf>
    <xf borderId="8" fillId="14" fontId="1" numFmtId="0" xfId="0" applyBorder="1" applyFill="1" applyFont="1"/>
    <xf borderId="10" fillId="0" fontId="4" numFmtId="49" xfId="0" applyAlignment="1" applyBorder="1" applyFont="1" applyNumberFormat="1">
      <alignment horizontal="left" shrinkToFit="0" vertical="center" wrapText="1"/>
    </xf>
    <xf borderId="18" fillId="0" fontId="1" numFmtId="0" xfId="0" applyBorder="1" applyFont="1"/>
    <xf borderId="0" fillId="0" fontId="4" numFmtId="49" xfId="0" applyAlignment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4" numFmtId="49" xfId="0" applyAlignment="1" applyFont="1" applyNumberForma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right" shrinkToFit="0" vertical="center" wrapText="1"/>
    </xf>
    <xf borderId="19" fillId="12" fontId="7" numFmtId="0" xfId="0" applyAlignment="1" applyBorder="1" applyFont="1">
      <alignment shrinkToFit="0" vertical="center" wrapText="1"/>
    </xf>
    <xf borderId="19" fillId="12" fontId="7" numFmtId="0" xfId="0" applyAlignment="1" applyBorder="1" applyFont="1">
      <alignment vertical="center"/>
    </xf>
    <xf borderId="2" fillId="5" fontId="10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19" fillId="14" fontId="1" numFmtId="0" xfId="0" applyBorder="1" applyFont="1"/>
    <xf borderId="20" fillId="0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5" fillId="9" fontId="1" numFmtId="0" xfId="0" applyBorder="1" applyFont="1"/>
    <xf borderId="21" fillId="14" fontId="4" numFmtId="49" xfId="0" applyAlignment="1" applyBorder="1" applyFont="1" applyNumberFormat="1">
      <alignment horizontal="center" shrinkToFit="0" vertical="center" wrapText="1"/>
    </xf>
    <xf borderId="5" fillId="2" fontId="6" numFmtId="0" xfId="0" applyBorder="1" applyFont="1"/>
    <xf borderId="21" fillId="14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24" fillId="0" fontId="3" numFmtId="0" xfId="0" applyBorder="1" applyFont="1"/>
    <xf borderId="20" fillId="14" fontId="4" numFmtId="0" xfId="0" applyAlignment="1" applyBorder="1" applyFont="1">
      <alignment horizontal="center" shrinkToFit="0" vertical="center" wrapText="1"/>
    </xf>
    <xf borderId="7" fillId="15" fontId="1" numFmtId="0" xfId="0" applyBorder="1" applyFill="1" applyFont="1"/>
    <xf borderId="25" fillId="14" fontId="4" numFmtId="0" xfId="0" applyAlignment="1" applyBorder="1" applyFont="1">
      <alignment horizontal="center" shrinkToFit="0" vertical="center" wrapText="1"/>
    </xf>
    <xf borderId="26" fillId="16" fontId="4" numFmtId="0" xfId="0" applyAlignment="1" applyBorder="1" applyFill="1" applyFont="1">
      <alignment horizontal="center" shrinkToFit="0" vertical="center" wrapText="1"/>
    </xf>
    <xf borderId="27" fillId="11" fontId="4" numFmtId="0" xfId="0" applyAlignment="1" applyBorder="1" applyFont="1">
      <alignment horizontal="center" shrinkToFit="0" vertical="center" wrapText="1"/>
    </xf>
    <xf borderId="21" fillId="2" fontId="4" numFmtId="0" xfId="0" applyAlignment="1" applyBorder="1" applyFont="1">
      <alignment horizontal="center" shrinkToFit="0" vertical="center" wrapText="1"/>
    </xf>
    <xf borderId="28" fillId="17" fontId="4" numFmtId="0" xfId="0" applyAlignment="1" applyBorder="1" applyFill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4" numFmtId="0" xfId="0" applyAlignment="1" applyBorder="1" applyFont="1">
      <alignment horizontal="center" shrinkToFit="0" textRotation="90" vertical="center" wrapText="1"/>
    </xf>
    <xf borderId="32" fillId="0" fontId="4" numFmtId="0" xfId="0" applyAlignment="1" applyBorder="1" applyFont="1">
      <alignment horizontal="center" shrinkToFit="0" textRotation="90" vertical="center" wrapText="1"/>
    </xf>
    <xf borderId="33" fillId="18" fontId="4" numFmtId="0" xfId="0" applyAlignment="1" applyBorder="1" applyFill="1" applyFont="1">
      <alignment horizontal="center" shrinkToFit="0" textRotation="90" vertical="center" wrapText="1"/>
    </xf>
    <xf borderId="33" fillId="11" fontId="4" numFmtId="0" xfId="0" applyAlignment="1" applyBorder="1" applyFont="1">
      <alignment horizontal="center" shrinkToFit="0" textRotation="90" vertical="center" wrapText="1"/>
    </xf>
    <xf borderId="34" fillId="11" fontId="4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20" fillId="0" fontId="11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40" fillId="12" fontId="7" numFmtId="0" xfId="0" applyAlignment="1" applyBorder="1" applyFont="1">
      <alignment vertical="center"/>
    </xf>
    <xf borderId="22" fillId="0" fontId="1" numFmtId="0" xfId="0" applyAlignment="1" applyBorder="1" applyFont="1">
      <alignment horizontal="center"/>
    </xf>
    <xf borderId="1" fillId="19" fontId="12" numFmtId="0" xfId="0" applyAlignment="1" applyBorder="1" applyFill="1" applyFont="1">
      <alignment horizontal="center" textRotation="90" vertical="center"/>
    </xf>
    <xf borderId="2" fillId="19" fontId="1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7" fillId="20" fontId="1" numFmtId="0" xfId="0" applyBorder="1" applyFill="1" applyFont="1"/>
    <xf borderId="21" fillId="0" fontId="14" numFmtId="0" xfId="0" applyAlignment="1" applyBorder="1" applyFont="1">
      <alignment horizontal="center" shrinkToFit="0" textRotation="90" vertical="center" wrapText="1"/>
    </xf>
    <xf borderId="41" fillId="0" fontId="1" numFmtId="0" xfId="0" applyAlignment="1" applyBorder="1" applyFont="1">
      <alignment horizontal="center" textRotation="90" vertical="center"/>
    </xf>
    <xf borderId="42" fillId="0" fontId="1" numFmtId="0" xfId="0" applyAlignment="1" applyBorder="1" applyFont="1">
      <alignment horizontal="center"/>
    </xf>
    <xf borderId="5" fillId="4" fontId="1" numFmtId="0" xfId="0" applyAlignment="1" applyBorder="1" applyFont="1">
      <alignment horizontal="center"/>
    </xf>
    <xf borderId="5" fillId="21" fontId="1" numFmtId="0" xfId="0" applyAlignment="1" applyBorder="1" applyFill="1" applyFont="1">
      <alignment horizontal="center"/>
    </xf>
    <xf borderId="5" fillId="11" fontId="1" numFmtId="0" xfId="0" applyAlignment="1" applyBorder="1" applyFont="1">
      <alignment horizontal="center"/>
    </xf>
    <xf borderId="5" fillId="14" fontId="1" numFmtId="0" xfId="0" applyAlignment="1" applyBorder="1" applyFont="1">
      <alignment horizontal="center"/>
    </xf>
    <xf borderId="21" fillId="0" fontId="11" numFmtId="0" xfId="0" applyAlignment="1" applyBorder="1" applyFont="1">
      <alignment shrinkToFit="0" vertical="center" wrapText="1"/>
    </xf>
    <xf borderId="21" fillId="0" fontId="11" numFmtId="0" xfId="0" applyAlignment="1" applyBorder="1" applyFont="1">
      <alignment horizontal="left" shrinkToFit="0" vertical="center" wrapText="1"/>
    </xf>
    <xf borderId="7" fillId="22" fontId="1" numFmtId="0" xfId="0" applyBorder="1" applyFill="1" applyFont="1"/>
    <xf borderId="43" fillId="0" fontId="3" numFmtId="0" xfId="0" applyBorder="1" applyFont="1"/>
    <xf borderId="44" fillId="0" fontId="1" numFmtId="0" xfId="0" applyAlignment="1" applyBorder="1" applyFont="1">
      <alignment horizontal="center"/>
    </xf>
    <xf borderId="40" fillId="15" fontId="1" numFmtId="0" xfId="0" applyBorder="1" applyFont="1"/>
    <xf borderId="5" fillId="2" fontId="1" numFmtId="0" xfId="0" applyAlignment="1" applyBorder="1" applyFont="1">
      <alignment horizontal="center"/>
    </xf>
    <xf borderId="45" fillId="0" fontId="3" numFmtId="0" xfId="0" applyBorder="1" applyFont="1"/>
    <xf borderId="46" fillId="0" fontId="1" numFmtId="0" xfId="0" applyAlignment="1" applyBorder="1" applyFont="1">
      <alignment horizontal="center"/>
    </xf>
    <xf borderId="1" fillId="4" fontId="12" numFmtId="0" xfId="0" applyAlignment="1" applyBorder="1" applyFont="1">
      <alignment horizontal="center" textRotation="90" vertical="center"/>
    </xf>
    <xf borderId="2" fillId="4" fontId="13" numFmtId="0" xfId="0" applyAlignment="1" applyBorder="1" applyFont="1">
      <alignment horizontal="center" vertical="center"/>
    </xf>
    <xf borderId="40" fillId="12" fontId="1" numFmtId="0" xfId="0" applyBorder="1" applyFont="1"/>
    <xf borderId="28" fillId="0" fontId="11" numFmtId="0" xfId="0" applyAlignment="1" applyBorder="1" applyFont="1">
      <alignment horizontal="center" shrinkToFit="0" vertical="center" wrapText="1"/>
    </xf>
    <xf borderId="47" fillId="0" fontId="11" numFmtId="0" xfId="0" applyAlignment="1" applyBorder="1" applyFont="1">
      <alignment shrinkToFit="0" vertical="center" wrapText="1"/>
    </xf>
    <xf borderId="47" fillId="0" fontId="11" numFmtId="0" xfId="0" applyAlignment="1" applyBorder="1" applyFont="1">
      <alignment horizontal="left" shrinkToFit="0" vertical="center" wrapText="1"/>
    </xf>
    <xf borderId="47" fillId="0" fontId="11" numFmtId="0" xfId="0" applyAlignment="1" applyBorder="1" applyFont="1">
      <alignment horizontal="center" shrinkToFit="0" vertical="center" wrapText="1"/>
    </xf>
    <xf borderId="48" fillId="0" fontId="1" numFmtId="0" xfId="0" applyBorder="1" applyFont="1"/>
    <xf borderId="1" fillId="5" fontId="12" numFmtId="0" xfId="0" applyAlignment="1" applyBorder="1" applyFont="1">
      <alignment horizontal="center" textRotation="90" vertical="center"/>
    </xf>
    <xf borderId="2" fillId="5" fontId="13" numFmtId="0" xfId="0" applyAlignment="1" applyBorder="1" applyFont="1">
      <alignment horizontal="center" vertical="center"/>
    </xf>
    <xf borderId="49" fillId="0" fontId="11" numFmtId="0" xfId="0" applyAlignment="1" applyBorder="1" applyFont="1">
      <alignment horizontal="center" shrinkToFit="0" vertical="center" wrapText="1"/>
    </xf>
    <xf borderId="50" fillId="0" fontId="3" numFmtId="0" xfId="0" applyBorder="1" applyFont="1"/>
    <xf borderId="17" fillId="0" fontId="3" numFmtId="0" xfId="0" applyBorder="1" applyFont="1"/>
    <xf borderId="7" fillId="0" fontId="11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horizontal="left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51" fillId="0" fontId="11" numFmtId="0" xfId="0" applyAlignment="1" applyBorder="1" applyFont="1">
      <alignment horizontal="center" shrinkToFit="0" vertical="center" wrapText="1"/>
    </xf>
    <xf borderId="1" fillId="6" fontId="12" numFmtId="0" xfId="0" applyAlignment="1" applyBorder="1" applyFont="1">
      <alignment horizontal="center" textRotation="90" vertical="center"/>
    </xf>
    <xf borderId="2" fillId="6" fontId="13" numFmtId="0" xfId="0" applyAlignment="1" applyBorder="1" applyFont="1">
      <alignment horizontal="center" vertical="center"/>
    </xf>
    <xf borderId="19" fillId="12" fontId="1" numFmtId="0" xfId="0" applyBorder="1" applyFont="1"/>
    <xf borderId="1" fillId="23" fontId="12" numFmtId="0" xfId="0" applyAlignment="1" applyBorder="1" applyFill="1" applyFont="1">
      <alignment horizontal="center" textRotation="90" vertical="center"/>
    </xf>
    <xf borderId="2" fillId="23" fontId="13" numFmtId="0" xfId="0" applyAlignment="1" applyBorder="1" applyFont="1">
      <alignment horizontal="center" vertical="center"/>
    </xf>
    <xf borderId="1" fillId="9" fontId="12" numFmtId="0" xfId="0" applyAlignment="1" applyBorder="1" applyFont="1">
      <alignment horizontal="center" textRotation="90" vertical="center"/>
    </xf>
    <xf borderId="2" fillId="9" fontId="13" numFmtId="0" xfId="0" applyAlignment="1" applyBorder="1" applyFont="1">
      <alignment horizontal="center" vertical="center"/>
    </xf>
    <xf borderId="1" fillId="10" fontId="12" numFmtId="0" xfId="0" applyAlignment="1" applyBorder="1" applyFont="1">
      <alignment horizontal="center" textRotation="90" vertical="center"/>
    </xf>
    <xf borderId="2" fillId="10" fontId="13" numFmtId="0" xfId="0" applyAlignment="1" applyBorder="1" applyFont="1">
      <alignment horizontal="center" vertical="center"/>
    </xf>
    <xf borderId="7" fillId="12" fontId="11" numFmtId="0" xfId="0" applyAlignment="1" applyBorder="1" applyFont="1">
      <alignment shrinkToFit="0" vertical="center" wrapText="1"/>
    </xf>
    <xf borderId="7" fillId="12" fontId="11" numFmtId="0" xfId="0" applyAlignment="1" applyBorder="1" applyFont="1">
      <alignment horizontal="left" shrinkToFit="0" vertical="center" wrapText="1"/>
    </xf>
    <xf borderId="7" fillId="12" fontId="11" numFmtId="0" xfId="0" applyAlignment="1" applyBorder="1" applyFont="1">
      <alignment horizontal="center" shrinkToFit="0" vertical="center" wrapText="1"/>
    </xf>
    <xf borderId="33" fillId="0" fontId="11" numFmtId="0" xfId="0" applyAlignment="1" applyBorder="1" applyFont="1">
      <alignment shrinkToFit="0" vertical="center" wrapText="1"/>
    </xf>
    <xf borderId="33" fillId="0" fontId="11" numFmtId="0" xfId="0" applyAlignment="1" applyBorder="1" applyFont="1">
      <alignment horizontal="left" shrinkToFit="0" vertical="center" wrapText="1"/>
    </xf>
    <xf borderId="33" fillId="0" fontId="11" numFmtId="0" xfId="0" applyAlignment="1" applyBorder="1" applyFont="1">
      <alignment horizontal="center" shrinkToFit="0" vertical="center" wrapText="1"/>
    </xf>
    <xf borderId="34" fillId="0" fontId="1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vertical="center"/>
    </xf>
    <xf borderId="52" fillId="0" fontId="3" numFmtId="0" xfId="0" applyBorder="1" applyFont="1"/>
    <xf borderId="48" fillId="0" fontId="3" numFmtId="0" xfId="0" applyBorder="1" applyFont="1"/>
    <xf borderId="12" fillId="0" fontId="11" numFmtId="0" xfId="0" applyAlignment="1" applyBorder="1" applyFont="1">
      <alignment shrinkToFit="0" vertical="center" wrapText="1"/>
    </xf>
    <xf borderId="12" fillId="0" fontId="11" numFmtId="0" xfId="0" applyAlignment="1" applyBorder="1" applyFont="1">
      <alignment horizontal="left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3" fillId="0" fontId="11" numFmtId="0" xfId="0" applyAlignment="1" applyBorder="1" applyFont="1">
      <alignment horizontal="center" shrinkToFit="0" vertical="center" wrapText="1"/>
    </xf>
    <xf borderId="54" fillId="0" fontId="11" numFmtId="0" xfId="0" applyAlignment="1" applyBorder="1" applyFont="1">
      <alignment horizontal="center" vertical="center"/>
    </xf>
    <xf borderId="55" fillId="0" fontId="11" numFmtId="0" xfId="0" applyAlignment="1" applyBorder="1" applyFont="1">
      <alignment horizontal="center" shrinkToFit="0" vertical="center" wrapText="1"/>
    </xf>
    <xf borderId="55" fillId="0" fontId="14" numFmtId="0" xfId="0" applyAlignment="1" applyBorder="1" applyFont="1">
      <alignment horizontal="center" shrinkToFit="0" textRotation="90" vertical="center" wrapText="1"/>
    </xf>
    <xf borderId="55" fillId="0" fontId="11" numFmtId="0" xfId="0" applyAlignment="1" applyBorder="1" applyFont="1">
      <alignment shrinkToFit="0" vertical="center" wrapText="1"/>
    </xf>
    <xf borderId="55" fillId="0" fontId="11" numFmtId="0" xfId="0" applyAlignment="1" applyBorder="1" applyFont="1">
      <alignment horizontal="left" shrinkToFit="0" vertical="center" wrapText="1"/>
    </xf>
    <xf borderId="56" fillId="0" fontId="11" numFmtId="0" xfId="0" applyAlignment="1" applyBorder="1" applyFont="1">
      <alignment horizontal="center" shrinkToFit="0" vertical="center" wrapText="1"/>
    </xf>
    <xf borderId="17" fillId="0" fontId="11" numFmtId="0" xfId="0" applyAlignment="1" applyBorder="1" applyFont="1">
      <alignment horizontal="center" shrinkToFit="0" vertical="center" wrapText="1"/>
    </xf>
    <xf borderId="57" fillId="0" fontId="11" numFmtId="0" xfId="0" applyAlignment="1" applyBorder="1" applyFont="1">
      <alignment horizontal="center" shrinkToFit="0" vertical="center" wrapText="1"/>
    </xf>
    <xf borderId="33" fillId="12" fontId="11" numFmtId="0" xfId="0" applyAlignment="1" applyBorder="1" applyFont="1">
      <alignment horizontal="left" shrinkToFit="0" vertical="center" wrapText="1"/>
    </xf>
    <xf borderId="33" fillId="12" fontId="1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48" fillId="0" fontId="11" numFmtId="0" xfId="0" applyAlignment="1" applyBorder="1" applyFont="1">
      <alignment horizontal="center" shrinkToFit="0" vertical="center" wrapText="1"/>
    </xf>
    <xf borderId="58" fillId="0" fontId="11" numFmtId="0" xfId="0" applyAlignment="1" applyBorder="1" applyFont="1">
      <alignment horizontal="center" shrinkToFit="0" vertical="center" wrapText="1"/>
    </xf>
    <xf borderId="50" fillId="0" fontId="11" numFmtId="0" xfId="0" applyAlignment="1" applyBorder="1" applyFont="1">
      <alignment horizontal="center" vertical="center"/>
    </xf>
    <xf borderId="17" fillId="0" fontId="14" numFmtId="0" xfId="0" applyAlignment="1" applyBorder="1" applyFont="1">
      <alignment horizontal="center" shrinkToFit="0" textRotation="90" vertical="center" wrapText="1"/>
    </xf>
    <xf borderId="48" fillId="0" fontId="11" numFmtId="0" xfId="0" applyAlignment="1" applyBorder="1" applyFont="1">
      <alignment shrinkToFit="0" vertical="center" wrapText="1"/>
    </xf>
    <xf borderId="48" fillId="0" fontId="11" numFmtId="0" xfId="0" applyAlignment="1" applyBorder="1" applyFont="1">
      <alignment horizontal="left" shrinkToFit="0" vertical="center" wrapText="1"/>
    </xf>
    <xf borderId="0" fillId="0" fontId="15" numFmtId="0" xfId="0" applyFont="1"/>
    <xf borderId="0" fillId="0" fontId="15" numFmtId="0" xfId="0" applyAlignment="1" applyFont="1">
      <alignment shrinkToFit="0" wrapText="1"/>
    </xf>
  </cellXfs>
  <cellStyles count="1">
    <cellStyle xfId="0" name="Normal" builtinId="0"/>
  </cellStyles>
  <dxfs count="9">
    <dxf>
      <font/>
      <fill>
        <patternFill patternType="solid">
          <fgColor rgb="FFBFBFBF"/>
          <bgColor rgb="FFBFBFBF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FFFF9B"/>
          <bgColor rgb="FFFFFF9B"/>
        </patternFill>
      </fill>
      <border/>
    </dxf>
    <dxf>
      <font>
        <b/>
        <color theme="0"/>
      </font>
      <fill>
        <patternFill patternType="solid">
          <fgColor rgb="FFF79646"/>
          <bgColor rgb="FFF79646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>
        <b/>
        <color theme="0"/>
      </font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552450</xdr:colOff>
      <xdr:row>0</xdr:row>
      <xdr:rowOff>200025</xdr:rowOff>
    </xdr:from>
    <xdr:ext cx="1933575" cy="876300"/>
    <xdr:pic>
      <xdr:nvPicPr>
        <xdr:cNvPr descr="C:\Users\verena\Desktop\aplicaciones marca MSC\5 MSC-MARCA-MONOCROMATICA-POSITIVO-NEGR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0.71"/>
    <col customWidth="1" min="3" max="3" width="30.71"/>
    <col customWidth="1" min="4" max="6" width="20.71"/>
    <col customWidth="1" min="7" max="7" width="25.71"/>
    <col customWidth="1" min="8" max="9" width="30.71"/>
    <col customWidth="1" min="10" max="13" width="7.71"/>
    <col customWidth="1" min="14" max="14" width="8.71"/>
    <col customWidth="1" min="15" max="15" width="16.71"/>
    <col customWidth="1" min="16" max="16" width="25.71"/>
    <col customWidth="1" min="17" max="17" width="60.71"/>
    <col customWidth="1" min="18" max="18" width="22.71"/>
    <col customWidth="1" min="19" max="19" width="38.71"/>
    <col customWidth="1" min="20" max="22" width="22.71"/>
    <col customWidth="1" min="23" max="23" width="20.71"/>
    <col customWidth="1" min="24" max="25" width="18.71"/>
    <col customWidth="1" min="26" max="26" width="9.14"/>
    <col customWidth="1" min="27" max="27" width="5.71"/>
    <col customWidth="1" min="28" max="28" width="9.14"/>
  </cols>
  <sheetData>
    <row r="1" ht="49.5" customHeight="1">
      <c r="A1" s="18"/>
      <c r="B1" s="20"/>
      <c r="C1" s="20"/>
      <c r="D1" s="22" t="s">
        <v>42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5" t="s">
        <v>46</v>
      </c>
      <c r="X1" s="27"/>
      <c r="Y1" s="28"/>
      <c r="Z1" s="30"/>
      <c r="AA1" s="32"/>
      <c r="AB1" s="33"/>
    </row>
    <row r="2" ht="49.5" customHeight="1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6" t="s">
        <v>58</v>
      </c>
      <c r="X2" s="27"/>
      <c r="Y2" s="28"/>
      <c r="Z2" s="30"/>
      <c r="AA2" s="32"/>
      <c r="AB2" s="33"/>
    </row>
    <row r="3" ht="24.75" customHeight="1">
      <c r="A3" s="38" t="s">
        <v>60</v>
      </c>
      <c r="B3" s="20"/>
      <c r="C3" s="20"/>
      <c r="D3" s="20"/>
      <c r="E3" s="40" t="s">
        <v>62</v>
      </c>
      <c r="F3" s="20"/>
      <c r="G3" s="20"/>
      <c r="H3" s="20"/>
      <c r="I3" s="20"/>
      <c r="J3" s="20"/>
      <c r="K3" s="20"/>
      <c r="L3" s="20"/>
      <c r="M3" s="20"/>
      <c r="N3" s="20"/>
      <c r="O3" s="42"/>
      <c r="P3" s="43" t="s">
        <v>68</v>
      </c>
      <c r="Q3" s="44" t="s">
        <v>69</v>
      </c>
      <c r="R3" s="42"/>
      <c r="S3" s="42" t="s">
        <v>75</v>
      </c>
      <c r="T3" s="40" t="s">
        <v>76</v>
      </c>
      <c r="U3" s="20"/>
      <c r="V3" s="20"/>
      <c r="W3" s="45"/>
      <c r="X3" s="45"/>
      <c r="Y3" s="45"/>
      <c r="Z3" s="30"/>
      <c r="AA3" s="32"/>
      <c r="AB3" s="33"/>
    </row>
    <row r="4" ht="24.75" customHeight="1">
      <c r="A4" s="46" t="s">
        <v>78</v>
      </c>
      <c r="E4" s="44" t="s">
        <v>81</v>
      </c>
      <c r="O4" s="42"/>
      <c r="P4" s="43"/>
      <c r="Q4" s="42"/>
      <c r="R4" s="42"/>
      <c r="S4" s="42"/>
      <c r="T4" s="44"/>
      <c r="W4" s="45"/>
      <c r="X4" s="45"/>
      <c r="Y4" s="45"/>
      <c r="Z4" s="30"/>
      <c r="AA4" s="32"/>
      <c r="AB4" s="33"/>
    </row>
    <row r="5" ht="24.75" customHeight="1">
      <c r="A5" s="46" t="s">
        <v>87</v>
      </c>
      <c r="E5" s="49" t="s">
        <v>90</v>
      </c>
      <c r="F5" s="5"/>
      <c r="G5" s="5"/>
      <c r="H5" s="6"/>
      <c r="I5" s="50"/>
      <c r="J5" s="50"/>
      <c r="K5" s="50"/>
      <c r="L5" s="50"/>
      <c r="M5" s="50"/>
      <c r="N5" s="50"/>
      <c r="O5" s="50"/>
      <c r="P5" s="43" t="s">
        <v>94</v>
      </c>
      <c r="Q5" s="44" t="s">
        <v>95</v>
      </c>
      <c r="R5" s="50"/>
      <c r="S5" s="46" t="s">
        <v>97</v>
      </c>
      <c r="T5" s="44" t="s">
        <v>98</v>
      </c>
      <c r="W5" s="50"/>
      <c r="X5" s="50"/>
      <c r="Y5" s="50"/>
      <c r="Z5" s="30"/>
      <c r="AA5" s="32"/>
      <c r="AB5" s="33"/>
    </row>
    <row r="6" ht="24.75" customHeight="1">
      <c r="A6" s="52" t="s">
        <v>101</v>
      </c>
      <c r="B6" s="53" t="s">
        <v>102</v>
      </c>
      <c r="C6" s="53" t="s">
        <v>107</v>
      </c>
      <c r="D6" s="55" t="s">
        <v>108</v>
      </c>
      <c r="E6" s="55" t="s">
        <v>109</v>
      </c>
      <c r="F6" s="55" t="s">
        <v>110</v>
      </c>
      <c r="G6" s="53" t="s">
        <v>112</v>
      </c>
      <c r="H6" s="57" t="s">
        <v>114</v>
      </c>
      <c r="I6" s="53" t="s">
        <v>119</v>
      </c>
      <c r="J6" s="58" t="s">
        <v>123</v>
      </c>
      <c r="K6" s="59"/>
      <c r="L6" s="59"/>
      <c r="M6" s="59"/>
      <c r="N6" s="59"/>
      <c r="O6" s="60"/>
      <c r="P6" s="61" t="s">
        <v>126</v>
      </c>
      <c r="Q6" s="53" t="s">
        <v>130</v>
      </c>
      <c r="R6" s="57" t="s">
        <v>131</v>
      </c>
      <c r="S6" s="57" t="s">
        <v>12</v>
      </c>
      <c r="T6" s="57" t="s">
        <v>2</v>
      </c>
      <c r="U6" s="63" t="s">
        <v>135</v>
      </c>
      <c r="V6" s="64" t="s">
        <v>136</v>
      </c>
      <c r="W6" s="65" t="s">
        <v>139</v>
      </c>
      <c r="X6" s="66" t="s">
        <v>145</v>
      </c>
      <c r="Y6" s="67" t="s">
        <v>149</v>
      </c>
      <c r="Z6" s="30"/>
      <c r="AA6" s="32"/>
      <c r="AB6" s="33"/>
    </row>
    <row r="7" ht="249.75" customHeight="1">
      <c r="A7" s="68"/>
      <c r="B7" s="69"/>
      <c r="C7" s="69"/>
      <c r="D7" s="69"/>
      <c r="E7" s="69"/>
      <c r="F7" s="69"/>
      <c r="G7" s="69"/>
      <c r="H7" s="69"/>
      <c r="I7" s="69"/>
      <c r="J7" s="70" t="s">
        <v>154</v>
      </c>
      <c r="K7" s="71" t="s">
        <v>158</v>
      </c>
      <c r="L7" s="72" t="s">
        <v>159</v>
      </c>
      <c r="M7" s="72" t="s">
        <v>160</v>
      </c>
      <c r="N7" s="73" t="s">
        <v>161</v>
      </c>
      <c r="O7" s="74" t="s">
        <v>163</v>
      </c>
      <c r="P7" s="68"/>
      <c r="Q7" s="69"/>
      <c r="R7" s="69"/>
      <c r="S7" s="69"/>
      <c r="T7" s="69"/>
      <c r="U7" s="75"/>
      <c r="V7" s="76"/>
      <c r="W7" s="77"/>
      <c r="X7" s="69"/>
      <c r="Y7" s="78"/>
      <c r="Z7" s="30"/>
      <c r="AA7" s="32"/>
      <c r="AB7" s="33"/>
    </row>
    <row r="8" ht="105.0" customHeight="1">
      <c r="A8" s="79">
        <v>1.0</v>
      </c>
      <c r="B8" s="80" t="s">
        <v>172</v>
      </c>
      <c r="C8" s="80" t="s">
        <v>173</v>
      </c>
      <c r="D8" s="80" t="s">
        <v>177</v>
      </c>
      <c r="E8" s="80" t="s">
        <v>181</v>
      </c>
      <c r="F8" s="80" t="s">
        <v>193</v>
      </c>
      <c r="G8" s="80" t="s">
        <v>197</v>
      </c>
      <c r="H8" s="80" t="s">
        <v>48</v>
      </c>
      <c r="I8" s="80" t="s">
        <v>212</v>
      </c>
      <c r="J8" s="80">
        <v>5.0</v>
      </c>
      <c r="K8" s="80">
        <v>2.0</v>
      </c>
      <c r="L8" s="80">
        <f>IF(OR(J8&lt;&gt;"",K8&lt;&gt;""),OFFSET('PARÁMETROS'!$B$2,K8,J8),"")</f>
        <v>3</v>
      </c>
      <c r="M8" s="80">
        <v>5.0</v>
      </c>
      <c r="N8" s="80">
        <f t="shared" ref="N8:N9" si="1">IFERROR(L8*M8,"")</f>
        <v>15</v>
      </c>
      <c r="O8" s="89" t="str">
        <f t="shared" ref="O8:O9" si="2">IF(N8="","",IFERROR(IF(N8&lt;=2,"ACEPTABLE",IF(N8&lt;=6,"BAJA",IF(N8&lt;=10,"ACEPTABLE CON REVISIÓN",IF(N8&lt;=15,"SUSTANCIAL","INACEPTABLE")))),""))</f>
        <v>SUSTANCIAL</v>
      </c>
      <c r="P8" s="96" t="s">
        <v>243</v>
      </c>
      <c r="Q8" s="97" t="s">
        <v>249</v>
      </c>
      <c r="R8" s="97" t="s">
        <v>106</v>
      </c>
      <c r="S8" s="97" t="s">
        <v>265</v>
      </c>
      <c r="T8" s="80" t="s">
        <v>7</v>
      </c>
      <c r="U8" s="80" t="s">
        <v>137</v>
      </c>
      <c r="V8" s="80" t="str">
        <f>IFERROR(IF(AA8="SEGURIDAD",OFFSET('PARÁMETROS'!$K$2,MATCH(U8,JC_SE,0),MATCH(T8,CC_SE,0)),
IF(OR(AA8="DSRC/Estratégico",AA8="DSRC/Operativo"),OFFSET('PARÁMETROS'!$K$11,MATCH(U8,JC_DS,0),MATCH(T8,CC_DS,0)),
IF(AA8="SALUD",OFFSET('PARÁMETROS'!$K$29,MATCH(U8,JC_SA,0),MATCH(T8,CC_SA,0)),
IF(AA8="MEDIO AMBIENTE",OFFSET('PARÁMETROS'!$K$20,MATCH(U8,JC_MA,0),MATCH(T8,CC_MA,0)),
IF(AA8="Rel. Gubernamentales",OFFSET('PARÁMETROS'!$K$48,MATCH(U8,JC_G,0),MATCH(T8,CC_G,0)),
IF(AA8="OPERACIONAL",OFFSET('PARÁMETROS'!$K$56,MATCH(U8,JC_OP,0),MATCH(T8,CC_OP,0)),
IF(AA8="FINANCIERO",OFFSET('PARÁMETROS'!$K$56,MATCH(U8,JC_FI,0),MATCH(T8,CC_FI,0)),
OFFSET('PARÁMETROS'!$K$38,MATCH(U8,JC_L,0),MATCH(T8,CC_L,0))))))))),"")</f>
        <v>Control/Acción Eficaz</v>
      </c>
      <c r="W8" s="89" t="str">
        <f>IF(E8="","",
IF(COUNTA( V8)-COUNTBLANK( V8)=1,
IF(O8="INACEPTABLE",IF(COUNTIF( V8,"Control/Acción Eficaz")&gt;=1,"SUSTANCIAL","INACEPTABLE"),
IF(O8="SUSTANCIAL",IF(COUNTIF( V8,"Control/Acción Eficaz")&gt;=1,"ACEPTABLE CON REVISIÓN","SUSTANCIAL"),
IF(O8="ACEPTABLE CON REVISIÓN",IF(COUNTIF( V8,"Control/Acción Eficaz")&gt;=1,"BAJA","ACEPTABLE CON REVISIÓN"),
IF(O8="BAJA",IF(COUNTIF( V8,"Control/Acción Eficaz")&gt;=1,"ACEPTABLE","BAJA"),)))),
IF(COUNTA( V8)-COUNTBLANK( V8)=2,
IF(O8="INACEPTABLE",IF(COUNTIF( V8,"Control/Acción Eficaz")=2,"ACEPTABLE CON REVISIÓN",
IF(OR(AND(COUNTIF( V8,"Control/Acción Eficaz")=1,COUNTIF( V8,"Control/Acción Satisfactorio")=1),
AND(COUNTIF( V8,"Control/Acción Eficaz")=1,COUNTIF( V8,"Control/Acción No Eficaz")=1)),"SUSTANCIAL","INACEPTABLE")),
IF(O8="SUSTANCIAL",IF(COUNTIF( V8,"Control/Acción Eficaz")=2,"BAJA",
IF(OR(AND(COUNTIF( V8,"Control/Acción Eficaz")=1,COUNTIF( V8,"Control/Acción Satisfactorio")=1),
AND(COUNTIF( V8,"Control/Acción Eficaz")=1,COUNTIF( V8,"Control/Acción No Eficaz")=1)),"ACEPTABLE CON REVISIÓN ","SUSTANCIAL")),
IF(O8="ACEPTABLE CON REVISIÓN",IF(COUNTIF( V8,"Control/Acción Eficaz")=2,"ACEPTABLE",
IF(OR(AND(COUNTIF( V8,"Control/Acción Eficaz")=1,COUNTIF( V8,"Control/Acción Satisfactorio")=1),
AND(COUNTIF( V8,"Control/Acción Eficaz")=1,COUNTIF( V8,"Control/Acción No Eficaz")=1)),"BAJA","ACEPTABLE CON REVISIÓN")),
IF(O8="BAJA",IF(COUNTIF( V8,"Control/Acción Eficaz")&gt;=2,"ACEPTABLE","BAJA"),)))),
IF(COUNTA( V8)-COUNTBLANK( V8)&gt;=3,
IF(O8="INACEPTABLE",
IF(COUNTBLANK( V8)=COUNTA( V8),"",
IF(COUNTIF( V8,"Control/Acción No Eficaz")&gt;=2,"INACEPTABLE",
IF(AND(COUNTIF( V8,"Control/Acción No Eficaz")=0,COUNTIF( V8,"Control/Acción Eficaz")&gt;=2),"ACEPTABLE CON REVISIÓN ","SUSTANCIAL"))),
IF(O8="SUSTANCIAL",
IF(COUNTBLANK( V8)=COUNTA( V8),"",
IF(COUNTIF( V8,"Control/Acción No Eficaz")&gt;=2,"SUSTANCIAL",
IF(AND(COUNTIF( V8,"Control/Acción No Eficaz")=0,COUNTIF( V8,"Control/Acción Eficaz")&gt;=2),"BAJA","ACEPTABLE CON REVISIÓN"))),
IF(O8="ACEPTABLE CON REVISIÓN",
IF(COUNTBLANK( V8)=COUNTA( V8),"",
IF(COUNTIF( V8,"Control/Acción No Eficaz")&gt;=2,"ACEPTABLE CON REVISIÓN",
IF(AND(COUNTIF( V8,"Control/Acción No Eficaz")=0,COUNTIF( V8,"Control/Acción Eficaz")&gt;=2),"ACEPTABLE","BAJA"))),
IF(O8="BAJA",
IF(COUNTBLANK( V8)=COUNTA( V8),"",
IF(AND(COUNTBLANK( V8)&lt;1,COUNTA( V8)=1),
IF(COUNTIF( V8,"Control/Acción No Eficaz")&gt;=2,"BAJA",
IF(AND(COUNTIF( V8,"Control/Acción No Eficaz")=0,COUNTIF( V8,"Control/Acción Eficaz")&gt;=2),"ACEPTABLE","BAJA")),
IF(COUNTIF( V8,"Control/Acción No Eficaz")&gt;=2,"BAJA",
IF(AND(COUNTIF( V8,"Control/Acción No Eficaz")=0,COUNTIF( V8,"Control/Acción Eficaz")&gt;=2),"ACEPTABLE","BAJA")))),
IF(COUNTIF( V8,"")&gt;=5,"",O8))))),
""))))</f>
        <v>ACEPTABLE CON REVISIÓN</v>
      </c>
      <c r="X8" s="80"/>
      <c r="Y8" s="108"/>
      <c r="Z8" s="30" t="s">
        <v>314</v>
      </c>
      <c r="AA8" s="32" t="str">
        <f t="shared" ref="AA8:AA9" si="3">E8</f>
        <v>Seguridad</v>
      </c>
      <c r="AB8" s="33"/>
    </row>
    <row r="9" ht="105.0" customHeight="1">
      <c r="A9" s="79">
        <v>2.0</v>
      </c>
      <c r="B9" s="80" t="s">
        <v>172</v>
      </c>
      <c r="C9" s="80" t="s">
        <v>173</v>
      </c>
      <c r="D9" s="80" t="s">
        <v>177</v>
      </c>
      <c r="E9" s="80" t="s">
        <v>181</v>
      </c>
      <c r="F9" s="80" t="s">
        <v>318</v>
      </c>
      <c r="G9" s="80" t="s">
        <v>321</v>
      </c>
      <c r="H9" s="80" t="s">
        <v>216</v>
      </c>
      <c r="I9" s="80" t="s">
        <v>322</v>
      </c>
      <c r="J9" s="80">
        <v>3.0</v>
      </c>
      <c r="K9" s="80">
        <v>2.0</v>
      </c>
      <c r="L9" s="80">
        <f>IF(OR(J9&lt;&gt;"",K9&lt;&gt;""),OFFSET('PARÁMETROS'!$B$2,K9,J9),"")</f>
        <v>4</v>
      </c>
      <c r="M9" s="80">
        <v>5.0</v>
      </c>
      <c r="N9" s="80">
        <f t="shared" si="1"/>
        <v>20</v>
      </c>
      <c r="O9" s="89" t="str">
        <f t="shared" si="2"/>
        <v>INACEPTABLE</v>
      </c>
      <c r="P9" s="109" t="s">
        <v>230</v>
      </c>
      <c r="Q9" s="110" t="s">
        <v>335</v>
      </c>
      <c r="R9" s="110" t="s">
        <v>83</v>
      </c>
      <c r="S9" s="110" t="s">
        <v>51</v>
      </c>
      <c r="T9" s="111" t="s">
        <v>7</v>
      </c>
      <c r="U9" s="111" t="s">
        <v>162</v>
      </c>
      <c r="V9" s="111" t="str">
        <f>IFERROR(IF(AA9="SEGURIDAD",OFFSET('PARÁMETROS'!$K$2,MATCH(U9,JC_SE,0),MATCH(T9,CC_SE,0)),
IF(OR(AA9="DSRC/Estratégico",AA9="DSRC/Operativo"),OFFSET('PARÁMETROS'!$K$11,MATCH(U9,JC_DS,0),MATCH(T9,CC_DS,0)),
IF(AA9="SALUD",OFFSET('PARÁMETROS'!$K$29,MATCH(U9,JC_SA,0),MATCH(T9,CC_SA,0)),
IF(AA9="MEDIO AMBIENTE",OFFSET('PARÁMETROS'!$K$20,MATCH(U9,JC_MA,0),MATCH(T9,CC_MA,0)),
IF(AA9="Rel. Gubernamentales",OFFSET('PARÁMETROS'!$K$48,MATCH(U9,JC_G,0),MATCH(T9,CC_G,0)),
IF(AA9="OPERACIONAL",OFFSET('PARÁMETROS'!$K$56,MATCH(U9,JC_OP,0),MATCH(T9,CC_OP,0)),
IF(AA9="FINANCIERO",OFFSET('PARÁMETROS'!$K$56,MATCH(U9,JC_FI,0),MATCH(T9,CC_FI,0)),
OFFSET('PARÁMETROS'!$K$38,MATCH(U9,JC_L,0),MATCH(T9,CC_L,0))))))))),"")</f>
        <v>Control/Acción Eficaz</v>
      </c>
      <c r="W9" s="89" t="str">
        <f>IF(E9="","",
IF(COUNTA( V9:V26)-COUNTBLANK( V9:V26)=1,
IF(O9="INACEPTABLE",IF(COUNTIF( V9:V26,"Control/Acción Eficaz")&gt;=1,"SUSTANCIAL","INACEPTABLE"),
IF(O9="SUSTANCIAL",IF(COUNTIF( V9:V26,"Control/Acción Eficaz")&gt;=1,"ACEPTABLE CON REVISIÓN","SUSTANCIAL"),
IF(O9="ACEPTABLE CON REVISIÓN",IF(COUNTIF( V9:V26,"Control/Acción Eficaz")&gt;=1,"BAJA","ACEPTABLE CON REVISIÓN"),
IF(O9="BAJA",IF(COUNTIF( V9:V26,"Control/Acción Eficaz")&gt;=1,"ACEPTABLE","BAJA"),)))),
IF(COUNTA( V9:V26)-COUNTBLANK( V9:V26)=2,
IF(O9="INACEPTABLE",IF(COUNTIF( V9:V26,"Control/Acción Eficaz")=2,"ACEPTABLE CON REVISIÓN",
IF(OR(AND(COUNTIF( V9:V26,"Control/Acción Eficaz")=1,COUNTIF( V9:V26,"Control/Acción Satisfactorio")=1),
AND(COUNTIF( V9:V26,"Control/Acción Eficaz")=1,COUNTIF( V9:V26,"Control/Acción No Eficaz")=1)),"SUSTANCIAL","INACEPTABLE")),
IF(O9="SUSTANCIAL",IF(COUNTIF( V9:V26,"Control/Acción Eficaz")=2,"BAJA",
IF(OR(AND(COUNTIF( V9:V26,"Control/Acción Eficaz")=1,COUNTIF( V9:V26,"Control/Acción Satisfactorio")=1),
AND(COUNTIF( V9:V26,"Control/Acción Eficaz")=1,COUNTIF( V9:V26,"Control/Acción No Eficaz")=1)),"ACEPTABLE CON REVISIÓN ","SUSTANCIAL")),
IF(O9="ACEPTABLE CON REVISIÓN",IF(COUNTIF( V9:V26,"Control/Acción Eficaz")=2,"ACEPTABLE",
IF(OR(AND(COUNTIF( V9:V26,"Control/Acción Eficaz")=1,COUNTIF( V9:V26,"Control/Acción Satisfactorio")=1),
AND(COUNTIF( V9:V26,"Control/Acción Eficaz")=1,COUNTIF( V9:V26,"Control/Acción No Eficaz")=1)),"BAJA","ACEPTABLE CON REVISIÓN")),
IF(O9="BAJA",IF(COUNTIF( V9:V26,"Control/Acción Eficaz")&gt;=2,"ACEPTABLE","BAJA"),)))),
IF(COUNTA( V9:V26)-COUNTBLANK( V9:V26)&gt;=3,
IF(O9="INACEPTABLE",
IF(COUNTBLANK( V9:V26)=COUNTA( V9:V26),"",
IF(COUNTIF( V9:V26,"Control/Acción No Eficaz")&gt;=2,"INACEPTABLE",
IF(AND(COUNTIF( V9:V26,"Control/Acción No Eficaz")=0,COUNTIF( V9:V26,"Control/Acción Eficaz")&gt;=2),"ACEPTABLE CON REVISIÓN ","SUSTANCIAL"))),
IF(O9="SUSTANCIAL",
IF(COUNTBLANK( V9:V26)=COUNTA( V9:V26),"",
IF(COUNTIF( V9:V26,"Control/Acción No Eficaz")&gt;=2,"SUSTANCIAL",
IF(AND(COUNTIF( V9:V26,"Control/Acción No Eficaz")=0,COUNTIF( V9:V26,"Control/Acción Eficaz")&gt;=2),"BAJA","ACEPTABLE CON REVISIÓN"))),
IF(O9="ACEPTABLE CON REVISIÓN",
IF(COUNTBLANK( V9:V26)=COUNTA( V9:V26),"",
IF(COUNTIF( V9:V26,"Control/Acción No Eficaz")&gt;=2,"ACEPTABLE CON REVISIÓN",
IF(AND(COUNTIF( V9:V26,"Control/Acción No Eficaz")=0,COUNTIF( V9:V26,"Control/Acción Eficaz")&gt;=2),"ACEPTABLE","BAJA"))),
IF(O9="BAJA",
IF(COUNTBLANK( V9:V26)=COUNTA( V9:V26),"",
IF(AND(COUNTBLANK( V9:V26)&lt;1,COUNTA( V9:V26)=1),
IF(COUNTIF( V9:V26,"Control/Acción No Eficaz")&gt;=2,"BAJA",
IF(AND(COUNTIF( V9:V26,"Control/Acción No Eficaz")=0,COUNTIF( V9:V26,"Control/Acción Eficaz")&gt;=2),"ACEPTABLE","BAJA")),
IF(COUNTIF( V9:V26,"Control/Acción No Eficaz")&gt;=2,"BAJA",
IF(AND(COUNTIF( V9:V26,"Control/Acción No Eficaz")=0,COUNTIF( V9:V26,"Control/Acción Eficaz")&gt;=2),"ACEPTABLE","BAJA")))),
IF(COUNTIF( V9:V26,"")&gt;=5,"",O9))))),
""))))</f>
        <v>SUSTANCIAL</v>
      </c>
      <c r="X9" s="111"/>
      <c r="Y9" s="115"/>
      <c r="Z9" s="30" t="s">
        <v>314</v>
      </c>
      <c r="AA9" s="32" t="str">
        <f t="shared" si="3"/>
        <v>Seguridad</v>
      </c>
      <c r="AB9" s="33"/>
    </row>
    <row r="10" ht="105.0" customHeight="1">
      <c r="A10" s="116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8" t="s">
        <v>258</v>
      </c>
      <c r="Q10" s="119" t="s">
        <v>374</v>
      </c>
      <c r="R10" s="119" t="s">
        <v>142</v>
      </c>
      <c r="S10" s="119" t="s">
        <v>120</v>
      </c>
      <c r="T10" s="120" t="s">
        <v>6</v>
      </c>
      <c r="U10" s="120" t="s">
        <v>162</v>
      </c>
      <c r="V10" s="120" t="str">
        <f>IFERROR(IF(AA10="SEGURIDAD",OFFSET('PARÁMETROS'!$K$2,MATCH(U10,JC_SE,0),MATCH(T10,CC_SE,0)),
IF(OR(AA10="DSRC/Estratégico",AA10="DSRC/Operativo"),OFFSET('PARÁMETROS'!$K$11,MATCH(U10,JC_DS,0),MATCH(T10,CC_DS,0)),
IF(AA10="SALUD",OFFSET('PARÁMETROS'!$K$29,MATCH(U10,JC_SA,0),MATCH(T10,CC_SA,0)),
IF(AA10="MEDIO AMBIENTE",OFFSET('PARÁMETROS'!$K$20,MATCH(U10,JC_MA,0),MATCH(T10,CC_MA,0)),
IF(AA10="Rel. Gubernamentales",OFFSET('PARÁMETROS'!$K$48,MATCH(U10,JC_G,0),MATCH(T10,CC_G,0)),
IF(AA10="OPERACIONAL",OFFSET('PARÁMETROS'!$K$56,MATCH(U10,JC_OP,0),MATCH(T10,CC_OP,0)),
IF(AA10="FINANCIERO",OFFSET('PARÁMETROS'!$K$56,MATCH(U10,JC_FI,0),MATCH(T10,CC_FI,0)),
OFFSET('PARÁMETROS'!$K$38,MATCH(U10,JC_L,0),MATCH(T10,CC_L,0))))))))),"")</f>
        <v>Control/Acción Satisfactorio</v>
      </c>
      <c r="W10" s="117"/>
      <c r="X10" s="120"/>
      <c r="Y10" s="121"/>
      <c r="Z10" s="30" t="s">
        <v>314</v>
      </c>
      <c r="AA10" s="32" t="str">
        <f>E9</f>
        <v>Seguridad</v>
      </c>
      <c r="AB10" s="33"/>
    </row>
    <row r="11" ht="105.0" customHeight="1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8" t="s">
        <v>258</v>
      </c>
      <c r="Q11" s="119" t="s">
        <v>390</v>
      </c>
      <c r="R11" s="119" t="s">
        <v>83</v>
      </c>
      <c r="S11" s="119" t="s">
        <v>51</v>
      </c>
      <c r="T11" s="120" t="s">
        <v>7</v>
      </c>
      <c r="U11" s="120" t="s">
        <v>162</v>
      </c>
      <c r="V11" s="120" t="str">
        <f>IFERROR(IF(AA11="SEGURIDAD",OFFSET('PARÁMETROS'!$K$2,MATCH(U11,JC_SE,0),MATCH(T11,CC_SE,0)),
IF(OR(AA11="DSRC/Estratégico",AA11="DSRC/Operativo"),OFFSET('PARÁMETROS'!$K$11,MATCH(U11,JC_DS,0),MATCH(T11,CC_DS,0)),
IF(AA11="SALUD",OFFSET('PARÁMETROS'!$K$29,MATCH(U11,JC_SA,0),MATCH(T11,CC_SA,0)),
IF(AA11="MEDIO AMBIENTE",OFFSET('PARÁMETROS'!$K$20,MATCH(U11,JC_MA,0),MATCH(T11,CC_MA,0)),
IF(AA11="Rel. Gubernamentales",OFFSET('PARÁMETROS'!$K$48,MATCH(U11,JC_G,0),MATCH(T11,CC_G,0)),
IF(AA11="OPERACIONAL",OFFSET('PARÁMETROS'!$K$56,MATCH(U11,JC_OP,0),MATCH(T11,CC_OP,0)),
IF(AA11="FINANCIERO",OFFSET('PARÁMETROS'!$K$56,MATCH(U11,JC_FI,0),MATCH(T11,CC_FI,0)),
OFFSET('PARÁMETROS'!$K$38,MATCH(U11,JC_L,0),MATCH(T11,CC_L,0))))))))),"")</f>
        <v>Control/Acción Eficaz</v>
      </c>
      <c r="W11" s="117"/>
      <c r="X11" s="120"/>
      <c r="Y11" s="121"/>
      <c r="Z11" s="30" t="s">
        <v>314</v>
      </c>
      <c r="AA11" s="32" t="str">
        <f>E9</f>
        <v>Seguridad</v>
      </c>
      <c r="AB11" s="33"/>
    </row>
    <row r="12" ht="105.0" customHeight="1">
      <c r="A12" s="116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8" t="s">
        <v>258</v>
      </c>
      <c r="Q12" s="119" t="s">
        <v>399</v>
      </c>
      <c r="R12" s="119" t="s">
        <v>142</v>
      </c>
      <c r="S12" s="119" t="s">
        <v>120</v>
      </c>
      <c r="T12" s="120" t="s">
        <v>6</v>
      </c>
      <c r="U12" s="120" t="s">
        <v>162</v>
      </c>
      <c r="V12" s="120" t="str">
        <f>IFERROR(IF(AA12="SEGURIDAD",OFFSET('PARÁMETROS'!$K$2,MATCH(U12,JC_SE,0),MATCH(T12,CC_SE,0)),
IF(OR(AA12="DSRC/Estratégico",AA12="DSRC/Operativo"),OFFSET('PARÁMETROS'!$K$11,MATCH(U12,JC_DS,0),MATCH(T12,CC_DS,0)),
IF(AA12="SALUD",OFFSET('PARÁMETROS'!$K$29,MATCH(U12,JC_SA,0),MATCH(T12,CC_SA,0)),
IF(AA12="MEDIO AMBIENTE",OFFSET('PARÁMETROS'!$K$20,MATCH(U12,JC_MA,0),MATCH(T12,CC_MA,0)),
IF(AA12="Rel. Gubernamentales",OFFSET('PARÁMETROS'!$K$48,MATCH(U12,JC_G,0),MATCH(T12,CC_G,0)),
IF(AA12="OPERACIONAL",OFFSET('PARÁMETROS'!$K$56,MATCH(U12,JC_OP,0),MATCH(T12,CC_OP,0)),
IF(AA12="FINANCIERO",OFFSET('PARÁMETROS'!$K$56,MATCH(U12,JC_FI,0),MATCH(T12,CC_FI,0)),
OFFSET('PARÁMETROS'!$K$38,MATCH(U12,JC_L,0),MATCH(T12,CC_L,0))))))))),"")</f>
        <v>Control/Acción Satisfactorio</v>
      </c>
      <c r="W12" s="117"/>
      <c r="X12" s="120"/>
      <c r="Y12" s="121"/>
      <c r="Z12" s="30" t="s">
        <v>314</v>
      </c>
      <c r="AA12" s="32" t="str">
        <f>E9</f>
        <v>Seguridad</v>
      </c>
      <c r="AB12" s="33"/>
    </row>
    <row r="13" ht="105.0" customHeight="1">
      <c r="A13" s="116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8" t="s">
        <v>246</v>
      </c>
      <c r="Q13" s="119" t="s">
        <v>408</v>
      </c>
      <c r="R13" s="119" t="s">
        <v>142</v>
      </c>
      <c r="S13" s="119" t="s">
        <v>84</v>
      </c>
      <c r="T13" s="120" t="s">
        <v>6</v>
      </c>
      <c r="U13" s="120" t="s">
        <v>162</v>
      </c>
      <c r="V13" s="120" t="str">
        <f>IFERROR(IF(AA13="SEGURIDAD",OFFSET('PARÁMETROS'!$K$2,MATCH(U13,JC_SE,0),MATCH(T13,CC_SE,0)),
IF(OR(AA13="DSRC/Estratégico",AA13="DSRC/Operativo"),OFFSET('PARÁMETROS'!$K$11,MATCH(U13,JC_DS,0),MATCH(T13,CC_DS,0)),
IF(AA13="SALUD",OFFSET('PARÁMETROS'!$K$29,MATCH(U13,JC_SA,0),MATCH(T13,CC_SA,0)),
IF(AA13="MEDIO AMBIENTE",OFFSET('PARÁMETROS'!$K$20,MATCH(U13,JC_MA,0),MATCH(T13,CC_MA,0)),
IF(AA13="Rel. Gubernamentales",OFFSET('PARÁMETROS'!$K$48,MATCH(U13,JC_G,0),MATCH(T13,CC_G,0)),
IF(AA13="OPERACIONAL",OFFSET('PARÁMETROS'!$K$56,MATCH(U13,JC_OP,0),MATCH(T13,CC_OP,0)),
IF(AA13="FINANCIERO",OFFSET('PARÁMETROS'!$K$56,MATCH(U13,JC_FI,0),MATCH(T13,CC_FI,0)),
OFFSET('PARÁMETROS'!$K$38,MATCH(U13,JC_L,0),MATCH(T13,CC_L,0))))))))),"")</f>
        <v>Control/Acción Satisfactorio</v>
      </c>
      <c r="W13" s="117"/>
      <c r="X13" s="120"/>
      <c r="Y13" s="121"/>
      <c r="Z13" s="30" t="s">
        <v>314</v>
      </c>
      <c r="AA13" s="32" t="str">
        <f>E9</f>
        <v>Seguridad</v>
      </c>
      <c r="AB13" s="33"/>
    </row>
    <row r="14" ht="105.0" customHeight="1">
      <c r="A14" s="116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8" t="s">
        <v>117</v>
      </c>
      <c r="Q14" s="119" t="s">
        <v>420</v>
      </c>
      <c r="R14" s="119" t="s">
        <v>106</v>
      </c>
      <c r="S14" s="119" t="s">
        <v>265</v>
      </c>
      <c r="T14" s="120" t="s">
        <v>6</v>
      </c>
      <c r="U14" s="120" t="s">
        <v>111</v>
      </c>
      <c r="V14" s="120" t="str">
        <f>IFERROR(IF(AA14="SEGURIDAD",OFFSET('PARÁMETROS'!$K$2,MATCH(U14,JC_SE,0),MATCH(T14,CC_SE,0)),
IF(OR(AA14="DSRC/Estratégico",AA14="DSRC/Operativo"),OFFSET('PARÁMETROS'!$K$11,MATCH(U14,JC_DS,0),MATCH(T14,CC_DS,0)),
IF(AA14="SALUD",OFFSET('PARÁMETROS'!$K$29,MATCH(U14,JC_SA,0),MATCH(T14,CC_SA,0)),
IF(AA14="MEDIO AMBIENTE",OFFSET('PARÁMETROS'!$K$20,MATCH(U14,JC_MA,0),MATCH(T14,CC_MA,0)),
IF(AA14="Rel. Gubernamentales",OFFSET('PARÁMETROS'!$K$48,MATCH(U14,JC_G,0),MATCH(T14,CC_G,0)),
IF(AA14="OPERACIONAL",OFFSET('PARÁMETROS'!$K$56,MATCH(U14,JC_OP,0),MATCH(T14,CC_OP,0)),
IF(AA14="FINANCIERO",OFFSET('PARÁMETROS'!$K$56,MATCH(U14,JC_FI,0),MATCH(T14,CC_FI,0)),
OFFSET('PARÁMETROS'!$K$38,MATCH(U14,JC_L,0),MATCH(T14,CC_L,0))))))))),"")</f>
        <v>Control/Acción Satisfactorio</v>
      </c>
      <c r="W14" s="117"/>
      <c r="X14" s="120"/>
      <c r="Y14" s="121"/>
      <c r="Z14" s="30" t="s">
        <v>314</v>
      </c>
      <c r="AA14" s="32" t="str">
        <f>E9</f>
        <v>Seguridad</v>
      </c>
      <c r="AB14" s="33"/>
    </row>
    <row r="15" ht="105.0" customHeight="1">
      <c r="A15" s="116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8" t="s">
        <v>258</v>
      </c>
      <c r="Q15" s="119" t="s">
        <v>425</v>
      </c>
      <c r="R15" s="119" t="s">
        <v>142</v>
      </c>
      <c r="S15" s="119" t="s">
        <v>120</v>
      </c>
      <c r="T15" s="120" t="s">
        <v>6</v>
      </c>
      <c r="U15" s="120" t="s">
        <v>162</v>
      </c>
      <c r="V15" s="120" t="str">
        <f>IFERROR(IF(AA15="SEGURIDAD",OFFSET('PARÁMETROS'!$K$2,MATCH(U15,JC_SE,0),MATCH(T15,CC_SE,0)),
IF(OR(AA15="DSRC/Estratégico",AA15="DSRC/Operativo"),OFFSET('PARÁMETROS'!$K$11,MATCH(U15,JC_DS,0),MATCH(T15,CC_DS,0)),
IF(AA15="SALUD",OFFSET('PARÁMETROS'!$K$29,MATCH(U15,JC_SA,0),MATCH(T15,CC_SA,0)),
IF(AA15="MEDIO AMBIENTE",OFFSET('PARÁMETROS'!$K$20,MATCH(U15,JC_MA,0),MATCH(T15,CC_MA,0)),
IF(AA15="Rel. Gubernamentales",OFFSET('PARÁMETROS'!$K$48,MATCH(U15,JC_G,0),MATCH(T15,CC_G,0)),
IF(AA15="OPERACIONAL",OFFSET('PARÁMETROS'!$K$56,MATCH(U15,JC_OP,0),MATCH(T15,CC_OP,0)),
IF(AA15="FINANCIERO",OFFSET('PARÁMETROS'!$K$56,MATCH(U15,JC_FI,0),MATCH(T15,CC_FI,0)),
OFFSET('PARÁMETROS'!$K$38,MATCH(U15,JC_L,0),MATCH(T15,CC_L,0))))))))),"")</f>
        <v>Control/Acción Satisfactorio</v>
      </c>
      <c r="W15" s="117"/>
      <c r="X15" s="120"/>
      <c r="Y15" s="121"/>
      <c r="Z15" s="30" t="s">
        <v>314</v>
      </c>
      <c r="AA15" s="32" t="str">
        <f>E9</f>
        <v>Seguridad</v>
      </c>
      <c r="AB15" s="33"/>
    </row>
    <row r="16" ht="105.0" customHeight="1">
      <c r="A16" s="116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8" t="s">
        <v>196</v>
      </c>
      <c r="Q16" s="119" t="s">
        <v>426</v>
      </c>
      <c r="R16" s="119" t="s">
        <v>142</v>
      </c>
      <c r="S16" s="119" t="s">
        <v>270</v>
      </c>
      <c r="T16" s="120" t="s">
        <v>6</v>
      </c>
      <c r="U16" s="120" t="s">
        <v>162</v>
      </c>
      <c r="V16" s="120" t="str">
        <f>IFERROR(IF(AA16="SEGURIDAD",OFFSET('PARÁMETROS'!$K$2,MATCH(U16,JC_SE,0),MATCH(T16,CC_SE,0)),
IF(OR(AA16="DSRC/Estratégico",AA16="DSRC/Operativo"),OFFSET('PARÁMETROS'!$K$11,MATCH(U16,JC_DS,0),MATCH(T16,CC_DS,0)),
IF(AA16="SALUD",OFFSET('PARÁMETROS'!$K$29,MATCH(U16,JC_SA,0),MATCH(T16,CC_SA,0)),
IF(AA16="MEDIO AMBIENTE",OFFSET('PARÁMETROS'!$K$20,MATCH(U16,JC_MA,0),MATCH(T16,CC_MA,0)),
IF(AA16="Rel. Gubernamentales",OFFSET('PARÁMETROS'!$K$48,MATCH(U16,JC_G,0),MATCH(T16,CC_G,0)),
IF(AA16="OPERACIONAL",OFFSET('PARÁMETROS'!$K$56,MATCH(U16,JC_OP,0),MATCH(T16,CC_OP,0)),
IF(AA16="FINANCIERO",OFFSET('PARÁMETROS'!$K$56,MATCH(U16,JC_FI,0),MATCH(T16,CC_FI,0)),
OFFSET('PARÁMETROS'!$K$38,MATCH(U16,JC_L,0),MATCH(T16,CC_L,0))))))))),"")</f>
        <v>Control/Acción Satisfactorio</v>
      </c>
      <c r="W16" s="117"/>
      <c r="X16" s="120"/>
      <c r="Y16" s="121"/>
      <c r="Z16" s="30" t="s">
        <v>428</v>
      </c>
      <c r="AA16" s="32" t="str">
        <f>E9</f>
        <v>Seguridad</v>
      </c>
      <c r="AB16" s="33"/>
    </row>
    <row r="17" ht="105.0" customHeight="1">
      <c r="A17" s="116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8" t="s">
        <v>117</v>
      </c>
      <c r="Q17" s="119" t="s">
        <v>430</v>
      </c>
      <c r="R17" s="119" t="s">
        <v>142</v>
      </c>
      <c r="S17" s="119" t="s">
        <v>270</v>
      </c>
      <c r="T17" s="120" t="s">
        <v>7</v>
      </c>
      <c r="U17" s="120" t="s">
        <v>111</v>
      </c>
      <c r="V17" s="120" t="str">
        <f>IFERROR(IF(AA17="SEGURIDAD",OFFSET('PARÁMETROS'!$K$2,MATCH(U17,JC_SE,0),MATCH(T17,CC_SE,0)),
IF(OR(AA17="DSRC/Estratégico",AA17="DSRC/Operativo"),OFFSET('PARÁMETROS'!$K$11,MATCH(U17,JC_DS,0),MATCH(T17,CC_DS,0)),
IF(AA17="SALUD",OFFSET('PARÁMETROS'!$K$29,MATCH(U17,JC_SA,0),MATCH(T17,CC_SA,0)),
IF(AA17="MEDIO AMBIENTE",OFFSET('PARÁMETROS'!$K$20,MATCH(U17,JC_MA,0),MATCH(T17,CC_MA,0)),
IF(AA17="Rel. Gubernamentales",OFFSET('PARÁMETROS'!$K$48,MATCH(U17,JC_G,0),MATCH(T17,CC_G,0)),
IF(AA17="OPERACIONAL",OFFSET('PARÁMETROS'!$K$56,MATCH(U17,JC_OP,0),MATCH(T17,CC_OP,0)),
IF(AA17="FINANCIERO",OFFSET('PARÁMETROS'!$K$56,MATCH(U17,JC_FI,0),MATCH(T17,CC_FI,0)),
OFFSET('PARÁMETROS'!$K$38,MATCH(U17,JC_L,0),MATCH(T17,CC_L,0))))))))),"")</f>
        <v>Control/Acción Eficaz</v>
      </c>
      <c r="W17" s="117"/>
      <c r="X17" s="120"/>
      <c r="Y17" s="121"/>
      <c r="Z17" s="30" t="s">
        <v>314</v>
      </c>
      <c r="AA17" s="32" t="str">
        <f>E9</f>
        <v>Seguridad</v>
      </c>
      <c r="AB17" s="33"/>
    </row>
    <row r="18" ht="105.0" customHeight="1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8" t="s">
        <v>258</v>
      </c>
      <c r="Q18" s="119" t="s">
        <v>431</v>
      </c>
      <c r="R18" s="119" t="s">
        <v>83</v>
      </c>
      <c r="S18" s="119" t="s">
        <v>84</v>
      </c>
      <c r="T18" s="120" t="s">
        <v>7</v>
      </c>
      <c r="U18" s="120" t="s">
        <v>162</v>
      </c>
      <c r="V18" s="120" t="str">
        <f>IFERROR(IF(AA18="SEGURIDAD",OFFSET('PARÁMETROS'!$K$2,MATCH(U18,JC_SE,0),MATCH(T18,CC_SE,0)),
IF(OR(AA18="DSRC/Estratégico",AA18="DSRC/Operativo"),OFFSET('PARÁMETROS'!$K$11,MATCH(U18,JC_DS,0),MATCH(T18,CC_DS,0)),
IF(AA18="SALUD",OFFSET('PARÁMETROS'!$K$29,MATCH(U18,JC_SA,0),MATCH(T18,CC_SA,0)),
IF(AA18="MEDIO AMBIENTE",OFFSET('PARÁMETROS'!$K$20,MATCH(U18,JC_MA,0),MATCH(T18,CC_MA,0)),
IF(AA18="Rel. Gubernamentales",OFFSET('PARÁMETROS'!$K$48,MATCH(U18,JC_G,0),MATCH(T18,CC_G,0)),
IF(AA18="OPERACIONAL",OFFSET('PARÁMETROS'!$K$56,MATCH(U18,JC_OP,0),MATCH(T18,CC_OP,0)),
IF(AA18="FINANCIERO",OFFSET('PARÁMETROS'!$K$56,MATCH(U18,JC_FI,0),MATCH(T18,CC_FI,0)),
OFFSET('PARÁMETROS'!$K$38,MATCH(U18,JC_L,0),MATCH(T18,CC_L,0))))))))),"")</f>
        <v>Control/Acción Eficaz</v>
      </c>
      <c r="W18" s="117"/>
      <c r="X18" s="120"/>
      <c r="Y18" s="121"/>
      <c r="Z18" s="30" t="s">
        <v>314</v>
      </c>
      <c r="AA18" s="32" t="str">
        <f>E9</f>
        <v>Seguridad</v>
      </c>
      <c r="AB18" s="33"/>
    </row>
    <row r="19" ht="105.0" customHeight="1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8" t="s">
        <v>258</v>
      </c>
      <c r="Q19" s="119" t="s">
        <v>432</v>
      </c>
      <c r="R19" s="119" t="s">
        <v>83</v>
      </c>
      <c r="S19" s="119" t="s">
        <v>84</v>
      </c>
      <c r="T19" s="120" t="s">
        <v>7</v>
      </c>
      <c r="U19" s="120" t="s">
        <v>162</v>
      </c>
      <c r="V19" s="120" t="str">
        <f>IFERROR(IF(AA19="SEGURIDAD",OFFSET('PARÁMETROS'!$K$2,MATCH(U19,JC_SE,0),MATCH(T19,CC_SE,0)),
IF(OR(AA19="DSRC/Estratégico",AA19="DSRC/Operativo"),OFFSET('PARÁMETROS'!$K$11,MATCH(U19,JC_DS,0),MATCH(T19,CC_DS,0)),
IF(AA19="SALUD",OFFSET('PARÁMETROS'!$K$29,MATCH(U19,JC_SA,0),MATCH(T19,CC_SA,0)),
IF(AA19="MEDIO AMBIENTE",OFFSET('PARÁMETROS'!$K$20,MATCH(U19,JC_MA,0),MATCH(T19,CC_MA,0)),
IF(AA19="Rel. Gubernamentales",OFFSET('PARÁMETROS'!$K$48,MATCH(U19,JC_G,0),MATCH(T19,CC_G,0)),
IF(AA19="OPERACIONAL",OFFSET('PARÁMETROS'!$K$56,MATCH(U19,JC_OP,0),MATCH(T19,CC_OP,0)),
IF(AA19="FINANCIERO",OFFSET('PARÁMETROS'!$K$56,MATCH(U19,JC_FI,0),MATCH(T19,CC_FI,0)),
OFFSET('PARÁMETROS'!$K$38,MATCH(U19,JC_L,0),MATCH(T19,CC_L,0))))))))),"")</f>
        <v>Control/Acción Eficaz</v>
      </c>
      <c r="W19" s="117"/>
      <c r="X19" s="120"/>
      <c r="Y19" s="121"/>
      <c r="Z19" s="30" t="s">
        <v>314</v>
      </c>
      <c r="AA19" s="32" t="str">
        <f>E9</f>
        <v>Seguridad</v>
      </c>
      <c r="AB19" s="33"/>
    </row>
    <row r="20" ht="105.0" customHeight="1">
      <c r="A20" s="116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8" t="s">
        <v>302</v>
      </c>
      <c r="Q20" s="119" t="s">
        <v>435</v>
      </c>
      <c r="R20" s="119" t="s">
        <v>142</v>
      </c>
      <c r="S20" s="119" t="s">
        <v>270</v>
      </c>
      <c r="T20" s="120" t="s">
        <v>6</v>
      </c>
      <c r="U20" s="120" t="s">
        <v>182</v>
      </c>
      <c r="V20" s="120" t="str">
        <f>IFERROR(IF(AA20="SEGURIDAD",OFFSET('PARÁMETROS'!$K$2,MATCH(U20,JC_SE,0),MATCH(T20,CC_SE,0)),
IF(OR(AA20="DSRC/Estratégico",AA20="DSRC/Operativo"),OFFSET('PARÁMETROS'!$K$11,MATCH(U20,JC_DS,0),MATCH(T20,CC_DS,0)),
IF(AA20="SALUD",OFFSET('PARÁMETROS'!$K$29,MATCH(U20,JC_SA,0),MATCH(T20,CC_SA,0)),
IF(AA20="MEDIO AMBIENTE",OFFSET('PARÁMETROS'!$K$20,MATCH(U20,JC_MA,0),MATCH(T20,CC_MA,0)),
IF(AA20="Rel. Gubernamentales",OFFSET('PARÁMETROS'!$K$48,MATCH(U20,JC_G,0),MATCH(T20,CC_G,0)),
IF(AA20="OPERACIONAL",OFFSET('PARÁMETROS'!$K$56,MATCH(U20,JC_OP,0),MATCH(T20,CC_OP,0)),
IF(AA20="FINANCIERO",OFFSET('PARÁMETROS'!$K$56,MATCH(U20,JC_FI,0),MATCH(T20,CC_FI,0)),
OFFSET('PARÁMETROS'!$K$38,MATCH(U20,JC_L,0),MATCH(T20,CC_L,0))))))))),"")</f>
        <v>Control/Acción No Eficaz</v>
      </c>
      <c r="W20" s="117"/>
      <c r="X20" s="120"/>
      <c r="Y20" s="121"/>
      <c r="Z20" s="30" t="s">
        <v>314</v>
      </c>
      <c r="AA20" s="32" t="str">
        <f>E9</f>
        <v>Seguridad</v>
      </c>
      <c r="AB20" s="33"/>
    </row>
    <row r="21" ht="105.0" customHeight="1">
      <c r="A21" s="116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8" t="s">
        <v>258</v>
      </c>
      <c r="Q21" s="119" t="s">
        <v>436</v>
      </c>
      <c r="R21" s="119" t="s">
        <v>83</v>
      </c>
      <c r="S21" s="119" t="s">
        <v>51</v>
      </c>
      <c r="T21" s="120" t="s">
        <v>7</v>
      </c>
      <c r="U21" s="120" t="s">
        <v>162</v>
      </c>
      <c r="V21" s="120" t="str">
        <f>IFERROR(IF(AA21="SEGURIDAD",OFFSET('PARÁMETROS'!$K$2,MATCH(U21,JC_SE,0),MATCH(T21,CC_SE,0)),
IF(OR(AA21="DSRC/Estratégico",AA21="DSRC/Operativo"),OFFSET('PARÁMETROS'!$K$11,MATCH(U21,JC_DS,0),MATCH(T21,CC_DS,0)),
IF(AA21="SALUD",OFFSET('PARÁMETROS'!$K$29,MATCH(U21,JC_SA,0),MATCH(T21,CC_SA,0)),
IF(AA21="MEDIO AMBIENTE",OFFSET('PARÁMETROS'!$K$20,MATCH(U21,JC_MA,0),MATCH(T21,CC_MA,0)),
IF(AA21="Rel. Gubernamentales",OFFSET('PARÁMETROS'!$K$48,MATCH(U21,JC_G,0),MATCH(T21,CC_G,0)),
IF(AA21="OPERACIONAL",OFFSET('PARÁMETROS'!$K$56,MATCH(U21,JC_OP,0),MATCH(T21,CC_OP,0)),
IF(AA21="FINANCIERO",OFFSET('PARÁMETROS'!$K$56,MATCH(U21,JC_FI,0),MATCH(T21,CC_FI,0)),
OFFSET('PARÁMETROS'!$K$38,MATCH(U21,JC_L,0),MATCH(T21,CC_L,0))))))))),"")</f>
        <v>Control/Acción Eficaz</v>
      </c>
      <c r="W21" s="117"/>
      <c r="X21" s="120"/>
      <c r="Y21" s="121"/>
      <c r="Z21" s="30" t="s">
        <v>314</v>
      </c>
      <c r="AA21" s="32" t="str">
        <f>E9</f>
        <v>Seguridad</v>
      </c>
      <c r="AB21" s="33"/>
    </row>
    <row r="22" ht="105.0" customHeight="1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8" t="s">
        <v>166</v>
      </c>
      <c r="Q22" s="119" t="s">
        <v>437</v>
      </c>
      <c r="R22" s="119" t="s">
        <v>142</v>
      </c>
      <c r="S22" s="119" t="s">
        <v>325</v>
      </c>
      <c r="T22" s="120" t="s">
        <v>6</v>
      </c>
      <c r="U22" s="120" t="s">
        <v>162</v>
      </c>
      <c r="V22" s="120" t="str">
        <f>IFERROR(IF(AA22="SEGURIDAD",OFFSET('PARÁMETROS'!$K$2,MATCH(U22,JC_SE,0),MATCH(T22,CC_SE,0)),
IF(OR(AA22="DSRC/Estratégico",AA22="DSRC/Operativo"),OFFSET('PARÁMETROS'!$K$11,MATCH(U22,JC_DS,0),MATCH(T22,CC_DS,0)),
IF(AA22="SALUD",OFFSET('PARÁMETROS'!$K$29,MATCH(U22,JC_SA,0),MATCH(T22,CC_SA,0)),
IF(AA22="MEDIO AMBIENTE",OFFSET('PARÁMETROS'!$K$20,MATCH(U22,JC_MA,0),MATCH(T22,CC_MA,0)),
IF(AA22="Rel. Gubernamentales",OFFSET('PARÁMETROS'!$K$48,MATCH(U22,JC_G,0),MATCH(T22,CC_G,0)),
IF(AA22="OPERACIONAL",OFFSET('PARÁMETROS'!$K$56,MATCH(U22,JC_OP,0),MATCH(T22,CC_OP,0)),
IF(AA22="FINANCIERO",OFFSET('PARÁMETROS'!$K$56,MATCH(U22,JC_FI,0),MATCH(T22,CC_FI,0)),
OFFSET('PARÁMETROS'!$K$38,MATCH(U22,JC_L,0),MATCH(T22,CC_L,0))))))))),"")</f>
        <v>Control/Acción Satisfactorio</v>
      </c>
      <c r="W22" s="117"/>
      <c r="X22" s="120"/>
      <c r="Y22" s="121"/>
      <c r="Z22" s="30" t="s">
        <v>314</v>
      </c>
      <c r="AA22" s="32" t="str">
        <f>E9</f>
        <v>Seguridad</v>
      </c>
      <c r="AB22" s="33"/>
    </row>
    <row r="23" ht="105.0" customHeight="1">
      <c r="A23" s="116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8" t="s">
        <v>105</v>
      </c>
      <c r="Q23" s="119" t="s">
        <v>438</v>
      </c>
      <c r="R23" s="119" t="s">
        <v>142</v>
      </c>
      <c r="S23" s="119" t="s">
        <v>270</v>
      </c>
      <c r="T23" s="120" t="s">
        <v>6</v>
      </c>
      <c r="U23" s="120" t="s">
        <v>162</v>
      </c>
      <c r="V23" s="120" t="str">
        <f>IFERROR(IF(AA23="SEGURIDAD",OFFSET('PARÁMETROS'!$K$2,MATCH(U23,JC_SE,0),MATCH(T23,CC_SE,0)),
IF(OR(AA23="DSRC/Estratégico",AA23="DSRC/Operativo"),OFFSET('PARÁMETROS'!$K$11,MATCH(U23,JC_DS,0),MATCH(T23,CC_DS,0)),
IF(AA23="SALUD",OFFSET('PARÁMETROS'!$K$29,MATCH(U23,JC_SA,0),MATCH(T23,CC_SA,0)),
IF(AA23="MEDIO AMBIENTE",OFFSET('PARÁMETROS'!$K$20,MATCH(U23,JC_MA,0),MATCH(T23,CC_MA,0)),
IF(AA23="Rel. Gubernamentales",OFFSET('PARÁMETROS'!$K$48,MATCH(U23,JC_G,0),MATCH(T23,CC_G,0)),
IF(AA23="OPERACIONAL",OFFSET('PARÁMETROS'!$K$56,MATCH(U23,JC_OP,0),MATCH(T23,CC_OP,0)),
IF(AA23="FINANCIERO",OFFSET('PARÁMETROS'!$K$56,MATCH(U23,JC_FI,0),MATCH(T23,CC_FI,0)),
OFFSET('PARÁMETROS'!$K$38,MATCH(U23,JC_L,0),MATCH(T23,CC_L,0))))))))),"")</f>
        <v>Control/Acción Satisfactorio</v>
      </c>
      <c r="W23" s="117"/>
      <c r="X23" s="120"/>
      <c r="Y23" s="121"/>
      <c r="Z23" s="30" t="s">
        <v>314</v>
      </c>
      <c r="AA23" s="32" t="str">
        <f>E9</f>
        <v>Seguridad</v>
      </c>
      <c r="AB23" s="33"/>
    </row>
    <row r="24" ht="105.0" customHeight="1">
      <c r="A24" s="116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31" t="s">
        <v>302</v>
      </c>
      <c r="Q24" s="132" t="s">
        <v>435</v>
      </c>
      <c r="R24" s="132" t="s">
        <v>142</v>
      </c>
      <c r="S24" s="132" t="s">
        <v>270</v>
      </c>
      <c r="T24" s="133" t="s">
        <v>7</v>
      </c>
      <c r="U24" s="133" t="s">
        <v>182</v>
      </c>
      <c r="V24" s="120" t="str">
        <f>IFERROR(IF(AA24="SEGURIDAD",OFFSET('PARÁMETROS'!$K$2,MATCH(U24,JC_SE,0),MATCH(T24,CC_SE,0)),
IF(OR(AA24="DSRC/Estratégico",AA24="DSRC/Operativo"),OFFSET('PARÁMETROS'!$K$11,MATCH(U24,JC_DS,0),MATCH(T24,CC_DS,0)),
IF(AA24="SALUD",OFFSET('PARÁMETROS'!$K$29,MATCH(U24,JC_SA,0),MATCH(T24,CC_SA,0)),
IF(AA24="MEDIO AMBIENTE",OFFSET('PARÁMETROS'!$K$20,MATCH(U24,JC_MA,0),MATCH(T24,CC_MA,0)),
IF(AA24="Rel. Gubernamentales",OFFSET('PARÁMETROS'!$K$48,MATCH(U24,JC_G,0),MATCH(T24,CC_G,0)),
IF(AA24="OPERACIONAL",OFFSET('PARÁMETROS'!$K$56,MATCH(U24,JC_OP,0),MATCH(T24,CC_OP,0)),
IF(AA24="FINANCIERO",OFFSET('PARÁMETROS'!$K$56,MATCH(U24,JC_FI,0),MATCH(T24,CC_FI,0)),
OFFSET('PARÁMETROS'!$K$38,MATCH(U24,JC_L,0),MATCH(T24,CC_L,0))))))))),"")</f>
        <v>Control/Acción Satisfactorio</v>
      </c>
      <c r="W24" s="117"/>
      <c r="X24" s="120"/>
      <c r="Y24" s="121"/>
      <c r="Z24" s="30" t="s">
        <v>314</v>
      </c>
      <c r="AA24" s="32" t="str">
        <f>E9</f>
        <v>Seguridad</v>
      </c>
      <c r="AB24" s="33"/>
    </row>
    <row r="25" ht="105.0" customHeight="1">
      <c r="A25" s="116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31" t="s">
        <v>243</v>
      </c>
      <c r="Q25" s="132" t="s">
        <v>439</v>
      </c>
      <c r="R25" s="132" t="s">
        <v>106</v>
      </c>
      <c r="S25" s="132" t="s">
        <v>265</v>
      </c>
      <c r="T25" s="133" t="s">
        <v>7</v>
      </c>
      <c r="U25" s="133" t="s">
        <v>137</v>
      </c>
      <c r="V25" s="120" t="str">
        <f>IFERROR(IF(AA25="SEGURIDAD",OFFSET('PARÁMETROS'!$K$2,MATCH(U25,JC_SE,0),MATCH(T25,CC_SE,0)),
IF(OR(AA25="DSRC/Estratégico",AA25="DSRC/Operativo"),OFFSET('PARÁMETROS'!$K$11,MATCH(U25,JC_DS,0),MATCH(T25,CC_DS,0)),
IF(AA25="SALUD",OFFSET('PARÁMETROS'!$K$29,MATCH(U25,JC_SA,0),MATCH(T25,CC_SA,0)),
IF(AA25="MEDIO AMBIENTE",OFFSET('PARÁMETROS'!$K$20,MATCH(U25,JC_MA,0),MATCH(T25,CC_MA,0)),
IF(AA25="Rel. Gubernamentales",OFFSET('PARÁMETROS'!$K$48,MATCH(U25,JC_G,0),MATCH(T25,CC_G,0)),
IF(AA25="OPERACIONAL",OFFSET('PARÁMETROS'!$K$56,MATCH(U25,JC_OP,0),MATCH(T25,CC_OP,0)),
IF(AA25="FINANCIERO",OFFSET('PARÁMETROS'!$K$56,MATCH(U25,JC_FI,0),MATCH(T25,CC_FI,0)),
OFFSET('PARÁMETROS'!$K$38,MATCH(U25,JC_L,0),MATCH(T25,CC_L,0))))))))),"")</f>
        <v>Control/Acción Eficaz</v>
      </c>
      <c r="W25" s="117"/>
      <c r="X25" s="120"/>
      <c r="Y25" s="121"/>
      <c r="Z25" s="30" t="s">
        <v>314</v>
      </c>
      <c r="AA25" s="32" t="str">
        <f>E9</f>
        <v>Seguridad</v>
      </c>
      <c r="AB25" s="33"/>
    </row>
    <row r="26" ht="105.0" customHeight="1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134" t="s">
        <v>196</v>
      </c>
      <c r="Q26" s="135" t="s">
        <v>440</v>
      </c>
      <c r="R26" s="135" t="s">
        <v>142</v>
      </c>
      <c r="S26" s="135" t="s">
        <v>270</v>
      </c>
      <c r="T26" s="136" t="s">
        <v>6</v>
      </c>
      <c r="U26" s="136" t="s">
        <v>162</v>
      </c>
      <c r="V26" s="136" t="str">
        <f>IFERROR(IF(AA26="SEGURIDAD",OFFSET('PARÁMETROS'!$K$2,MATCH(U26,JC_SE,0),MATCH(T26,CC_SE,0)),
IF(OR(AA26="DSRC/Estratégico",AA26="DSRC/Operativo"),OFFSET('PARÁMETROS'!$K$11,MATCH(U26,JC_DS,0),MATCH(T26,CC_DS,0)),
IF(AA26="SALUD",OFFSET('PARÁMETROS'!$K$29,MATCH(U26,JC_SA,0),MATCH(T26,CC_SA,0)),
IF(AA26="MEDIO AMBIENTE",OFFSET('PARÁMETROS'!$K$20,MATCH(U26,JC_MA,0),MATCH(T26,CC_MA,0)),
IF(AA26="Rel. Gubernamentales",OFFSET('PARÁMETROS'!$K$48,MATCH(U26,JC_G,0),MATCH(T26,CC_G,0)),
IF(AA26="OPERACIONAL",OFFSET('PARÁMETROS'!$K$56,MATCH(U26,JC_OP,0),MATCH(T26,CC_OP,0)),
IF(AA26="FINANCIERO",OFFSET('PARÁMETROS'!$K$56,MATCH(U26,JC_FI,0),MATCH(T26,CC_FI,0)),
OFFSET('PARÁMETROS'!$K$38,MATCH(U26,JC_L,0),MATCH(T26,CC_L,0))))))))),"")</f>
        <v>Control/Acción Satisfactorio</v>
      </c>
      <c r="W26" s="69"/>
      <c r="X26" s="136"/>
      <c r="Y26" s="137"/>
      <c r="Z26" s="30" t="s">
        <v>441</v>
      </c>
      <c r="AA26" s="138" t="s">
        <v>442</v>
      </c>
      <c r="AB26" s="33"/>
    </row>
    <row r="27" ht="105.0" customHeight="1">
      <c r="A27" s="79">
        <v>3.0</v>
      </c>
      <c r="B27" s="80" t="s">
        <v>172</v>
      </c>
      <c r="C27" s="80" t="s">
        <v>173</v>
      </c>
      <c r="D27" s="80" t="s">
        <v>177</v>
      </c>
      <c r="E27" s="80" t="s">
        <v>181</v>
      </c>
      <c r="F27" s="80" t="s">
        <v>277</v>
      </c>
      <c r="G27" s="80" t="s">
        <v>443</v>
      </c>
      <c r="H27" s="80" t="s">
        <v>410</v>
      </c>
      <c r="I27" s="80" t="s">
        <v>444</v>
      </c>
      <c r="J27" s="80">
        <v>2.0</v>
      </c>
      <c r="K27" s="80">
        <v>2.0</v>
      </c>
      <c r="L27" s="80">
        <f>IF(OR(J27&lt;&gt;"",K27&lt;&gt;""),OFFSET('PARÁMETROS'!$B$2,K27,J27),"")</f>
        <v>5</v>
      </c>
      <c r="M27" s="80">
        <v>5.0</v>
      </c>
      <c r="N27" s="80">
        <f>IFERROR(L27*M27,"")</f>
        <v>25</v>
      </c>
      <c r="O27" s="89" t="str">
        <f>IF(N27="","",IFERROR(IF(N27&lt;=2,"ACEPTABLE",IF(N27&lt;=6,"BAJA",IF(N27&lt;=10,"ACEPTABLE CON REVISIÓN",IF(N27&lt;=15,"SUSTANCIAL","INACEPTABLE")))),""))</f>
        <v>INACEPTABLE</v>
      </c>
      <c r="P27" s="109" t="s">
        <v>258</v>
      </c>
      <c r="Q27" s="110" t="s">
        <v>445</v>
      </c>
      <c r="R27" s="110" t="s">
        <v>142</v>
      </c>
      <c r="S27" s="110" t="s">
        <v>120</v>
      </c>
      <c r="T27" s="111" t="s">
        <v>5</v>
      </c>
      <c r="U27" s="111" t="s">
        <v>162</v>
      </c>
      <c r="V27" s="111" t="str">
        <f>IFERROR(IF(AA27="SEGURIDAD",OFFSET('PARÁMETROS'!$K$2,MATCH(U27,JC_SE,0),MATCH(T27,CC_SE,0)),
IF(OR(AA27="DSRC/Estratégico",AA27="DSRC/Operativo"),OFFSET('PARÁMETROS'!$K$11,MATCH(U27,JC_DS,0),MATCH(T27,CC_DS,0)),
IF(AA27="SALUD",OFFSET('PARÁMETROS'!$K$29,MATCH(U27,JC_SA,0),MATCH(T27,CC_SA,0)),
IF(AA27="MEDIO AMBIENTE",OFFSET('PARÁMETROS'!$K$20,MATCH(U27,JC_MA,0),MATCH(T27,CC_MA,0)),
IF(AA27="Rel. Gubernamentales",OFFSET('PARÁMETROS'!$K$48,MATCH(U27,JC_G,0),MATCH(T27,CC_G,0)),
IF(AA27="OPERACIONAL",OFFSET('PARÁMETROS'!$K$56,MATCH(U27,JC_OP,0),MATCH(T27,CC_OP,0)),
IF(AA27="FINANCIERO",OFFSET('PARÁMETROS'!$K$56,MATCH(U27,JC_FI,0),MATCH(T27,CC_FI,0)),
OFFSET('PARÁMETROS'!$K$38,MATCH(U27,JC_L,0),MATCH(T27,CC_L,0))))))))),"")</f>
        <v>Control/Acción No Eficaz</v>
      </c>
      <c r="W27" s="89" t="str">
        <f>IF(E27="","",
IF(COUNTA( V27:V39)-COUNTBLANK( V27:V39)=1,
IF(O27="INACEPTABLE",IF(COUNTIF( V27:V39,"Control/Acción Eficaz")&gt;=1,"SUSTANCIAL","INACEPTABLE"),
IF(O27="SUSTANCIAL",IF(COUNTIF( V27:V39,"Control/Acción Eficaz")&gt;=1,"ACEPTABLE CON REVISIÓN","SUSTANCIAL"),
IF(O27="ACEPTABLE CON REVISIÓN",IF(COUNTIF( V27:V39,"Control/Acción Eficaz")&gt;=1,"BAJA","ACEPTABLE CON REVISIÓN"),
IF(O27="BAJA",IF(COUNTIF( V27:V39,"Control/Acción Eficaz")&gt;=1,"ACEPTABLE","BAJA"),)))),
IF(COUNTA( V27:V39)-COUNTBLANK( V27:V39)=2,
IF(O27="INACEPTABLE",IF(COUNTIF( V27:V39,"Control/Acción Eficaz")=2,"ACEPTABLE CON REVISIÓN",
IF(OR(AND(COUNTIF( V27:V39,"Control/Acción Eficaz")=1,COUNTIF( V27:V39,"Control/Acción Satisfactorio")=1),
AND(COUNTIF( V27:V39,"Control/Acción Eficaz")=1,COUNTIF( V27:V39,"Control/Acción No Eficaz")=1)),"SUSTANCIAL","INACEPTABLE")),
IF(O27="SUSTANCIAL",IF(COUNTIF( V27:V39,"Control/Acción Eficaz")=2,"BAJA",
IF(OR(AND(COUNTIF( V27:V39,"Control/Acción Eficaz")=1,COUNTIF( V27:V39,"Control/Acción Satisfactorio")=1),
AND(COUNTIF( V27:V39,"Control/Acción Eficaz")=1,COUNTIF( V27:V39,"Control/Acción No Eficaz")=1)),"ACEPTABLE CON REVISIÓN ","SUSTANCIAL")),
IF(O27="ACEPTABLE CON REVISIÓN",IF(COUNTIF( V27:V39,"Control/Acción Eficaz")=2,"ACEPTABLE",
IF(OR(AND(COUNTIF( V27:V39,"Control/Acción Eficaz")=1,COUNTIF( V27:V39,"Control/Acción Satisfactorio")=1),
AND(COUNTIF( V27:V39,"Control/Acción Eficaz")=1,COUNTIF( V27:V39,"Control/Acción No Eficaz")=1)),"BAJA","ACEPTABLE CON REVISIÓN")),
IF(O27="BAJA",IF(COUNTIF( V27:V39,"Control/Acción Eficaz")&gt;=2,"ACEPTABLE","BAJA"),)))),
IF(COUNTA( V27:V39)-COUNTBLANK( V27:V39)&gt;=3,
IF(O27="INACEPTABLE",
IF(COUNTBLANK( V27:V39)=COUNTA( V27:V39),"",
IF(COUNTIF( V27:V39,"Control/Acción No Eficaz")&gt;=2,"INACEPTABLE",
IF(AND(COUNTIF( V27:V39,"Control/Acción No Eficaz")=0,COUNTIF( V27:V39,"Control/Acción Eficaz")&gt;=2),"ACEPTABLE CON REVISIÓN ","SUSTANCIAL"))),
IF(O27="SUSTANCIAL",
IF(COUNTBLANK( V27:V39)=COUNTA( V27:V39),"",
IF(COUNTIF( V27:V39,"Control/Acción No Eficaz")&gt;=2,"SUSTANCIAL",
IF(AND(COUNTIF( V27:V39,"Control/Acción No Eficaz")=0,COUNTIF( V27:V39,"Control/Acción Eficaz")&gt;=2),"BAJA","ACEPTABLE CON REVISIÓN"))),
IF(O27="ACEPTABLE CON REVISIÓN",
IF(COUNTBLANK( V27:V39)=COUNTA( V27:V39),"",
IF(COUNTIF( V27:V39,"Control/Acción No Eficaz")&gt;=2,"ACEPTABLE CON REVISIÓN",
IF(AND(COUNTIF( V27:V39,"Control/Acción No Eficaz")=0,COUNTIF( V27:V39,"Control/Acción Eficaz")&gt;=2),"ACEPTABLE","BAJA"))),
IF(O27="BAJA",
IF(COUNTBLANK( V27:V39)=COUNTA( V27:V39),"",
IF(AND(COUNTBLANK( V27:V39)&lt;1,COUNTA( V27:V39)=1),
IF(COUNTIF( V27:V39,"Control/Acción No Eficaz")&gt;=2,"BAJA",
IF(AND(COUNTIF( V27:V39,"Control/Acción No Eficaz")=0,COUNTIF( V27:V39,"Control/Acción Eficaz")&gt;=2),"ACEPTABLE","BAJA")),
IF(COUNTIF( V27:V39,"Control/Acción No Eficaz")&gt;=2,"BAJA",
IF(AND(COUNTIF( V27:V39,"Control/Acción No Eficaz")=0,COUNTIF( V27:V39,"Control/Acción Eficaz")&gt;=2),"ACEPTABLE","BAJA")))),
IF(COUNTIF( V27:V39,"")&gt;=5,"",O27))))),
""))))</f>
        <v>INACEPTABLE</v>
      </c>
      <c r="X27" s="111"/>
      <c r="Y27" s="115"/>
      <c r="Z27" s="30" t="s">
        <v>314</v>
      </c>
      <c r="AA27" s="32" t="str">
        <f>E27</f>
        <v>Seguridad</v>
      </c>
      <c r="AB27" s="33"/>
    </row>
    <row r="28" ht="105.0" customHeight="1">
      <c r="A28" s="116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8" t="s">
        <v>230</v>
      </c>
      <c r="Q28" s="119" t="s">
        <v>447</v>
      </c>
      <c r="R28" s="119" t="s">
        <v>83</v>
      </c>
      <c r="S28" s="119" t="s">
        <v>51</v>
      </c>
      <c r="T28" s="120" t="s">
        <v>7</v>
      </c>
      <c r="U28" s="120" t="s">
        <v>162</v>
      </c>
      <c r="V28" s="120" t="str">
        <f>IFERROR(IF(AA28="SEGURIDAD",OFFSET('PARÁMETROS'!$K$2,MATCH(U28,JC_SE,0),MATCH(T28,CC_SE,0)),
IF(OR(AA28="DSRC/Estratégico",AA28="DSRC/Operativo"),OFFSET('PARÁMETROS'!$K$11,MATCH(U28,JC_DS,0),MATCH(T28,CC_DS,0)),
IF(AA28="SALUD",OFFSET('PARÁMETROS'!$K$29,MATCH(U28,JC_SA,0),MATCH(T28,CC_SA,0)),
IF(AA28="MEDIO AMBIENTE",OFFSET('PARÁMETROS'!$K$20,MATCH(U28,JC_MA,0),MATCH(T28,CC_MA,0)),
IF(AA28="Rel. Gubernamentales",OFFSET('PARÁMETROS'!$K$48,MATCH(U28,JC_G,0),MATCH(T28,CC_G,0)),
IF(AA28="OPERACIONAL",OFFSET('PARÁMETROS'!$K$56,MATCH(U28,JC_OP,0),MATCH(T28,CC_OP,0)),
IF(AA28="FINANCIERO",OFFSET('PARÁMETROS'!$K$56,MATCH(U28,JC_FI,0),MATCH(T28,CC_FI,0)),
OFFSET('PARÁMETROS'!$K$38,MATCH(U28,JC_L,0),MATCH(T28,CC_L,0))))))))),"")</f>
        <v>Control/Acción Eficaz</v>
      </c>
      <c r="W28" s="117"/>
      <c r="X28" s="120"/>
      <c r="Y28" s="121"/>
      <c r="Z28" s="30" t="s">
        <v>314</v>
      </c>
      <c r="AA28" s="32" t="str">
        <f>E27</f>
        <v>Seguridad</v>
      </c>
      <c r="AB28" s="33"/>
    </row>
    <row r="29" ht="105.0" customHeight="1">
      <c r="A29" s="116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8" t="s">
        <v>258</v>
      </c>
      <c r="Q29" s="119" t="s">
        <v>445</v>
      </c>
      <c r="R29" s="119" t="s">
        <v>142</v>
      </c>
      <c r="S29" s="119" t="s">
        <v>120</v>
      </c>
      <c r="T29" s="120" t="s">
        <v>6</v>
      </c>
      <c r="U29" s="120" t="s">
        <v>162</v>
      </c>
      <c r="V29" s="120" t="str">
        <f>IFERROR(IF(AA29="SEGURIDAD",OFFSET('PARÁMETROS'!$K$2,MATCH(U29,JC_SE,0),MATCH(T29,CC_SE,0)),
IF(OR(AA29="DSRC/Estratégico",AA29="DSRC/Operativo"),OFFSET('PARÁMETROS'!$K$11,MATCH(U29,JC_DS,0),MATCH(T29,CC_DS,0)),
IF(AA29="SALUD",OFFSET('PARÁMETROS'!$K$29,MATCH(U29,JC_SA,0),MATCH(T29,CC_SA,0)),
IF(AA29="MEDIO AMBIENTE",OFFSET('PARÁMETROS'!$K$20,MATCH(U29,JC_MA,0),MATCH(T29,CC_MA,0)),
IF(AA29="Rel. Gubernamentales",OFFSET('PARÁMETROS'!$K$48,MATCH(U29,JC_G,0),MATCH(T29,CC_G,0)),
IF(AA29="OPERACIONAL",OFFSET('PARÁMETROS'!$K$56,MATCH(U29,JC_OP,0),MATCH(T29,CC_OP,0)),
IF(AA29="FINANCIERO",OFFSET('PARÁMETROS'!$K$56,MATCH(U29,JC_FI,0),MATCH(T29,CC_FI,0)),
OFFSET('PARÁMETROS'!$K$38,MATCH(U29,JC_L,0),MATCH(T29,CC_L,0))))))))),"")</f>
        <v>Control/Acción Satisfactorio</v>
      </c>
      <c r="W29" s="117"/>
      <c r="X29" s="120"/>
      <c r="Y29" s="121"/>
      <c r="Z29" s="30" t="s">
        <v>314</v>
      </c>
      <c r="AA29" s="32" t="str">
        <f>E27</f>
        <v>Seguridad</v>
      </c>
      <c r="AB29" s="33"/>
    </row>
    <row r="30" ht="105.0" customHeight="1">
      <c r="A30" s="116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8" t="s">
        <v>243</v>
      </c>
      <c r="Q30" s="119" t="s">
        <v>449</v>
      </c>
      <c r="R30" s="119" t="s">
        <v>106</v>
      </c>
      <c r="S30" s="119" t="s">
        <v>265</v>
      </c>
      <c r="T30" s="120" t="s">
        <v>6</v>
      </c>
      <c r="U30" s="120" t="s">
        <v>137</v>
      </c>
      <c r="V30" s="120" t="str">
        <f>IFERROR(IF(AA30="SEGURIDAD",OFFSET('PARÁMETROS'!$K$2,MATCH(U30,JC_SE,0),MATCH(T30,CC_SE,0)),
IF(OR(AA30="DSRC/Estratégico",AA30="DSRC/Operativo"),OFFSET('PARÁMETROS'!$K$11,MATCH(U30,JC_DS,0),MATCH(T30,CC_DS,0)),
IF(AA30="SALUD",OFFSET('PARÁMETROS'!$K$29,MATCH(U30,JC_SA,0),MATCH(T30,CC_SA,0)),
IF(AA30="MEDIO AMBIENTE",OFFSET('PARÁMETROS'!$K$20,MATCH(U30,JC_MA,0),MATCH(T30,CC_MA,0)),
IF(AA30="Rel. Gubernamentales",OFFSET('PARÁMETROS'!$K$48,MATCH(U30,JC_G,0),MATCH(T30,CC_G,0)),
IF(AA30="OPERACIONAL",OFFSET('PARÁMETROS'!$K$56,MATCH(U30,JC_OP,0),MATCH(T30,CC_OP,0)),
IF(AA30="FINANCIERO",OFFSET('PARÁMETROS'!$K$56,MATCH(U30,JC_FI,0),MATCH(T30,CC_FI,0)),
OFFSET('PARÁMETROS'!$K$38,MATCH(U30,JC_L,0),MATCH(T30,CC_L,0))))))))),"")</f>
        <v>Control/Acción Satisfactorio</v>
      </c>
      <c r="W30" s="117"/>
      <c r="X30" s="120"/>
      <c r="Y30" s="121"/>
      <c r="Z30" s="30" t="s">
        <v>314</v>
      </c>
      <c r="AA30" s="32" t="str">
        <f>E27</f>
        <v>Seguridad</v>
      </c>
      <c r="AB30" s="33"/>
    </row>
    <row r="31" ht="105.0" customHeight="1">
      <c r="A31" s="11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8" t="s">
        <v>258</v>
      </c>
      <c r="Q31" s="119" t="s">
        <v>436</v>
      </c>
      <c r="R31" s="119" t="s">
        <v>83</v>
      </c>
      <c r="S31" s="119" t="s">
        <v>51</v>
      </c>
      <c r="T31" s="120" t="s">
        <v>7</v>
      </c>
      <c r="U31" s="120" t="s">
        <v>162</v>
      </c>
      <c r="V31" s="120" t="str">
        <f>IFERROR(IF(AA31="SEGURIDAD",OFFSET('PARÁMETROS'!$K$2,MATCH(U31,JC_SE,0),MATCH(T31,CC_SE,0)),
IF(OR(AA31="DSRC/Estratégico",AA31="DSRC/Operativo"),OFFSET('PARÁMETROS'!$K$11,MATCH(U31,JC_DS,0),MATCH(T31,CC_DS,0)),
IF(AA31="SALUD",OFFSET('PARÁMETROS'!$K$29,MATCH(U31,JC_SA,0),MATCH(T31,CC_SA,0)),
IF(AA31="MEDIO AMBIENTE",OFFSET('PARÁMETROS'!$K$20,MATCH(U31,JC_MA,0),MATCH(T31,CC_MA,0)),
IF(AA31="Rel. Gubernamentales",OFFSET('PARÁMETROS'!$K$48,MATCH(U31,JC_G,0),MATCH(T31,CC_G,0)),
IF(AA31="OPERACIONAL",OFFSET('PARÁMETROS'!$K$56,MATCH(U31,JC_OP,0),MATCH(T31,CC_OP,0)),
IF(AA31="FINANCIERO",OFFSET('PARÁMETROS'!$K$56,MATCH(U31,JC_FI,0),MATCH(T31,CC_FI,0)),
OFFSET('PARÁMETROS'!$K$38,MATCH(U31,JC_L,0),MATCH(T31,CC_L,0))))))))),"")</f>
        <v>Control/Acción Eficaz</v>
      </c>
      <c r="W31" s="117"/>
      <c r="X31" s="120"/>
      <c r="Y31" s="121"/>
      <c r="Z31" s="30" t="s">
        <v>314</v>
      </c>
      <c r="AA31" s="32" t="str">
        <f>E27</f>
        <v>Seguridad</v>
      </c>
      <c r="AB31" s="33"/>
    </row>
    <row r="32" ht="105.0" customHeight="1">
      <c r="A32" s="116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8" t="s">
        <v>258</v>
      </c>
      <c r="Q32" s="119" t="s">
        <v>399</v>
      </c>
      <c r="R32" s="119" t="s">
        <v>142</v>
      </c>
      <c r="S32" s="119" t="s">
        <v>120</v>
      </c>
      <c r="T32" s="120" t="s">
        <v>6</v>
      </c>
      <c r="U32" s="120" t="s">
        <v>162</v>
      </c>
      <c r="V32" s="120" t="str">
        <f>IFERROR(IF(AA32="SEGURIDAD",OFFSET('PARÁMETROS'!$K$2,MATCH(U32,JC_SE,0),MATCH(T32,CC_SE,0)),
IF(OR(AA32="DSRC/Estratégico",AA32="DSRC/Operativo"),OFFSET('PARÁMETROS'!$K$11,MATCH(U32,JC_DS,0),MATCH(T32,CC_DS,0)),
IF(AA32="SALUD",OFFSET('PARÁMETROS'!$K$29,MATCH(U32,JC_SA,0),MATCH(T32,CC_SA,0)),
IF(AA32="MEDIO AMBIENTE",OFFSET('PARÁMETROS'!$K$20,MATCH(U32,JC_MA,0),MATCH(T32,CC_MA,0)),
IF(AA32="Rel. Gubernamentales",OFFSET('PARÁMETROS'!$K$48,MATCH(U32,JC_G,0),MATCH(T32,CC_G,0)),
IF(AA32="OPERACIONAL",OFFSET('PARÁMETROS'!$K$56,MATCH(U32,JC_OP,0),MATCH(T32,CC_OP,0)),
IF(AA32="FINANCIERO",OFFSET('PARÁMETROS'!$K$56,MATCH(U32,JC_FI,0),MATCH(T32,CC_FI,0)),
OFFSET('PARÁMETROS'!$K$38,MATCH(U32,JC_L,0),MATCH(T32,CC_L,0))))))))),"")</f>
        <v>Control/Acción Satisfactorio</v>
      </c>
      <c r="W32" s="117"/>
      <c r="X32" s="120"/>
      <c r="Y32" s="121"/>
      <c r="Z32" s="30" t="s">
        <v>314</v>
      </c>
      <c r="AA32" s="32" t="str">
        <f>E27</f>
        <v>Seguridad</v>
      </c>
      <c r="AB32" s="33"/>
    </row>
    <row r="33" ht="105.0" customHeight="1">
      <c r="A33" s="116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8" t="s">
        <v>246</v>
      </c>
      <c r="Q33" s="119" t="s">
        <v>408</v>
      </c>
      <c r="R33" s="119" t="s">
        <v>142</v>
      </c>
      <c r="S33" s="119" t="s">
        <v>84</v>
      </c>
      <c r="T33" s="120" t="s">
        <v>6</v>
      </c>
      <c r="U33" s="120" t="s">
        <v>162</v>
      </c>
      <c r="V33" s="120" t="str">
        <f>IFERROR(IF(AA33="SEGURIDAD",OFFSET('PARÁMETROS'!$K$2,MATCH(U33,JC_SE,0),MATCH(T33,CC_SE,0)),
IF(OR(AA33="DSRC/Estratégico",AA33="DSRC/Operativo"),OFFSET('PARÁMETROS'!$K$11,MATCH(U33,JC_DS,0),MATCH(T33,CC_DS,0)),
IF(AA33="SALUD",OFFSET('PARÁMETROS'!$K$29,MATCH(U33,JC_SA,0),MATCH(T33,CC_SA,0)),
IF(AA33="MEDIO AMBIENTE",OFFSET('PARÁMETROS'!$K$20,MATCH(U33,JC_MA,0),MATCH(T33,CC_MA,0)),
IF(AA33="Rel. Gubernamentales",OFFSET('PARÁMETROS'!$K$48,MATCH(U33,JC_G,0),MATCH(T33,CC_G,0)),
IF(AA33="OPERACIONAL",OFFSET('PARÁMETROS'!$K$56,MATCH(U33,JC_OP,0),MATCH(T33,CC_OP,0)),
IF(AA33="FINANCIERO",OFFSET('PARÁMETROS'!$K$56,MATCH(U33,JC_FI,0),MATCH(T33,CC_FI,0)),
OFFSET('PARÁMETROS'!$K$38,MATCH(U33,JC_L,0),MATCH(T33,CC_L,0))))))))),"")</f>
        <v>Control/Acción Satisfactorio</v>
      </c>
      <c r="W33" s="117"/>
      <c r="X33" s="120"/>
      <c r="Y33" s="121"/>
      <c r="Z33" s="30" t="s">
        <v>314</v>
      </c>
      <c r="AA33" s="32" t="str">
        <f>E27</f>
        <v>Seguridad</v>
      </c>
      <c r="AB33" s="33"/>
    </row>
    <row r="34" ht="105.0" customHeight="1">
      <c r="A34" s="116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8" t="s">
        <v>302</v>
      </c>
      <c r="Q34" s="119" t="s">
        <v>451</v>
      </c>
      <c r="R34" s="119" t="s">
        <v>106</v>
      </c>
      <c r="S34" s="119" t="s">
        <v>265</v>
      </c>
      <c r="T34" s="120" t="s">
        <v>6</v>
      </c>
      <c r="U34" s="120" t="s">
        <v>182</v>
      </c>
      <c r="V34" s="120" t="str">
        <f>IFERROR(IF(AA34="SEGURIDAD",OFFSET('PARÁMETROS'!$K$2,MATCH(U34,JC_SE,0),MATCH(T34,CC_SE,0)),
IF(OR(AA34="DSRC/Estratégico",AA34="DSRC/Operativo"),OFFSET('PARÁMETROS'!$K$11,MATCH(U34,JC_DS,0),MATCH(T34,CC_DS,0)),
IF(AA34="SALUD",OFFSET('PARÁMETROS'!$K$29,MATCH(U34,JC_SA,0),MATCH(T34,CC_SA,0)),
IF(AA34="MEDIO AMBIENTE",OFFSET('PARÁMETROS'!$K$20,MATCH(U34,JC_MA,0),MATCH(T34,CC_MA,0)),
IF(AA34="Rel. Gubernamentales",OFFSET('PARÁMETROS'!$K$48,MATCH(U34,JC_G,0),MATCH(T34,CC_G,0)),
IF(AA34="OPERACIONAL",OFFSET('PARÁMETROS'!$K$56,MATCH(U34,JC_OP,0),MATCH(T34,CC_OP,0)),
IF(AA34="FINANCIERO",OFFSET('PARÁMETROS'!$K$56,MATCH(U34,JC_FI,0),MATCH(T34,CC_FI,0)),
OFFSET('PARÁMETROS'!$K$38,MATCH(U34,JC_L,0),MATCH(T34,CC_L,0))))))))),"")</f>
        <v>Control/Acción No Eficaz</v>
      </c>
      <c r="W34" s="117"/>
      <c r="X34" s="120"/>
      <c r="Y34" s="121"/>
      <c r="Z34" s="30" t="s">
        <v>314</v>
      </c>
      <c r="AA34" s="32" t="str">
        <f>E27</f>
        <v>Seguridad</v>
      </c>
      <c r="AB34" s="33"/>
    </row>
    <row r="35" ht="105.0" customHeight="1">
      <c r="A35" s="116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8" t="s">
        <v>258</v>
      </c>
      <c r="Q35" s="119" t="s">
        <v>452</v>
      </c>
      <c r="R35" s="119" t="s">
        <v>83</v>
      </c>
      <c r="S35" s="119" t="s">
        <v>84</v>
      </c>
      <c r="T35" s="120" t="s">
        <v>7</v>
      </c>
      <c r="U35" s="120" t="s">
        <v>162</v>
      </c>
      <c r="V35" s="120" t="str">
        <f>IFERROR(IF(AA35="SEGURIDAD",OFFSET('PARÁMETROS'!$K$2,MATCH(U35,JC_SE,0),MATCH(T35,CC_SE,0)),
IF(OR(AA35="DSRC/Estratégico",AA35="DSRC/Operativo"),OFFSET('PARÁMETROS'!$K$11,MATCH(U35,JC_DS,0),MATCH(T35,CC_DS,0)),
IF(AA35="SALUD",OFFSET('PARÁMETROS'!$K$29,MATCH(U35,JC_SA,0),MATCH(T35,CC_SA,0)),
IF(AA35="MEDIO AMBIENTE",OFFSET('PARÁMETROS'!$K$20,MATCH(U35,JC_MA,0),MATCH(T35,CC_MA,0)),
IF(AA35="Rel. Gubernamentales",OFFSET('PARÁMETROS'!$K$48,MATCH(U35,JC_G,0),MATCH(T35,CC_G,0)),
IF(AA35="OPERACIONAL",OFFSET('PARÁMETROS'!$K$56,MATCH(U35,JC_OP,0),MATCH(T35,CC_OP,0)),
IF(AA35="FINANCIERO",OFFSET('PARÁMETROS'!$K$56,MATCH(U35,JC_FI,0),MATCH(T35,CC_FI,0)),
OFFSET('PARÁMETROS'!$K$38,MATCH(U35,JC_L,0),MATCH(T35,CC_L,0))))))))),"")</f>
        <v>Control/Acción Eficaz</v>
      </c>
      <c r="W35" s="117"/>
      <c r="X35" s="120"/>
      <c r="Y35" s="121"/>
      <c r="Z35" s="30" t="s">
        <v>314</v>
      </c>
      <c r="AA35" s="32" t="str">
        <f>E27</f>
        <v>Seguridad</v>
      </c>
      <c r="AB35" s="33"/>
    </row>
    <row r="36" ht="105.0" customHeight="1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8" t="s">
        <v>258</v>
      </c>
      <c r="Q36" s="119" t="s">
        <v>453</v>
      </c>
      <c r="R36" s="119" t="s">
        <v>83</v>
      </c>
      <c r="S36" s="119" t="s">
        <v>84</v>
      </c>
      <c r="T36" s="120" t="s">
        <v>7</v>
      </c>
      <c r="U36" s="120" t="s">
        <v>162</v>
      </c>
      <c r="V36" s="120" t="str">
        <f>IFERROR(IF(AA36="SEGURIDAD",OFFSET('PARÁMETROS'!$K$2,MATCH(U36,JC_SE,0),MATCH(T36,CC_SE,0)),
IF(OR(AA36="DSRC/Estratégico",AA36="DSRC/Operativo"),OFFSET('PARÁMETROS'!$K$11,MATCH(U36,JC_DS,0),MATCH(T36,CC_DS,0)),
IF(AA36="SALUD",OFFSET('PARÁMETROS'!$K$29,MATCH(U36,JC_SA,0),MATCH(T36,CC_SA,0)),
IF(AA36="MEDIO AMBIENTE",OFFSET('PARÁMETROS'!$K$20,MATCH(U36,JC_MA,0),MATCH(T36,CC_MA,0)),
IF(AA36="Rel. Gubernamentales",OFFSET('PARÁMETROS'!$K$48,MATCH(U36,JC_G,0),MATCH(T36,CC_G,0)),
IF(AA36="OPERACIONAL",OFFSET('PARÁMETROS'!$K$56,MATCH(U36,JC_OP,0),MATCH(T36,CC_OP,0)),
IF(AA36="FINANCIERO",OFFSET('PARÁMETROS'!$K$56,MATCH(U36,JC_FI,0),MATCH(T36,CC_FI,0)),
OFFSET('PARÁMETROS'!$K$38,MATCH(U36,JC_L,0),MATCH(T36,CC_L,0))))))))),"")</f>
        <v>Control/Acción Eficaz</v>
      </c>
      <c r="W36" s="117"/>
      <c r="X36" s="120"/>
      <c r="Y36" s="121"/>
      <c r="Z36" s="30" t="s">
        <v>314</v>
      </c>
      <c r="AA36" s="32"/>
      <c r="AB36" s="33"/>
    </row>
    <row r="37" ht="105.0" customHeight="1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8" t="s">
        <v>117</v>
      </c>
      <c r="Q37" s="119" t="s">
        <v>454</v>
      </c>
      <c r="R37" s="119" t="s">
        <v>106</v>
      </c>
      <c r="S37" s="119" t="s">
        <v>265</v>
      </c>
      <c r="T37" s="120" t="s">
        <v>6</v>
      </c>
      <c r="U37" s="120" t="s">
        <v>111</v>
      </c>
      <c r="V37" s="120" t="str">
        <f>IFERROR(IF(AA37="SEGURIDAD",OFFSET('PARÁMETROS'!$K$2,MATCH(U37,JC_SE,0),MATCH(T37,CC_SE,0)),
IF(OR(AA37="DSRC/Estratégico",AA37="DSRC/Operativo"),OFFSET('PARÁMETROS'!$K$11,MATCH(U37,JC_DS,0),MATCH(T37,CC_DS,0)),
IF(AA37="SALUD",OFFSET('PARÁMETROS'!$K$29,MATCH(U37,JC_SA,0),MATCH(T37,CC_SA,0)),
IF(AA37="MEDIO AMBIENTE",OFFSET('PARÁMETROS'!$K$20,MATCH(U37,JC_MA,0),MATCH(T37,CC_MA,0)),
IF(AA37="Rel. Gubernamentales",OFFSET('PARÁMETROS'!$K$48,MATCH(U37,JC_G,0),MATCH(T37,CC_G,0)),
IF(AA37="OPERACIONAL",OFFSET('PARÁMETROS'!$K$56,MATCH(U37,JC_OP,0),MATCH(T37,CC_OP,0)),
IF(AA37="FINANCIERO",OFFSET('PARÁMETROS'!$K$56,MATCH(U37,JC_FI,0),MATCH(T37,CC_FI,0)),
OFFSET('PARÁMETROS'!$K$38,MATCH(U37,JC_L,0),MATCH(T37,CC_L,0))))))))),"")</f>
        <v>Control/Acción Satisfactorio</v>
      </c>
      <c r="W37" s="117"/>
      <c r="X37" s="120"/>
      <c r="Y37" s="121"/>
      <c r="Z37" s="30" t="s">
        <v>314</v>
      </c>
      <c r="AA37" s="32" t="str">
        <f>E27</f>
        <v>Seguridad</v>
      </c>
      <c r="AB37" s="33"/>
    </row>
    <row r="38" ht="105.0" customHeight="1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8" t="s">
        <v>230</v>
      </c>
      <c r="Q38" s="119" t="s">
        <v>447</v>
      </c>
      <c r="R38" s="119" t="s">
        <v>83</v>
      </c>
      <c r="S38" s="119" t="s">
        <v>51</v>
      </c>
      <c r="T38" s="120" t="s">
        <v>7</v>
      </c>
      <c r="U38" s="120" t="s">
        <v>162</v>
      </c>
      <c r="V38" s="120" t="str">
        <f>IFERROR(IF(AA38="SEGURIDAD",OFFSET('PARÁMETROS'!$K$2,MATCH(U38,JC_SE,0),MATCH(T38,CC_SE,0)),
IF(OR(AA38="DSRC/Estratégico",AA38="DSRC/Operativo"),OFFSET('PARÁMETROS'!$K$11,MATCH(U38,JC_DS,0),MATCH(T38,CC_DS,0)),
IF(AA38="SALUD",OFFSET('PARÁMETROS'!$K$29,MATCH(U38,JC_SA,0),MATCH(T38,CC_SA,0)),
IF(AA38="MEDIO AMBIENTE",OFFSET('PARÁMETROS'!$K$20,MATCH(U38,JC_MA,0),MATCH(T38,CC_MA,0)),
IF(AA38="Rel. Gubernamentales",OFFSET('PARÁMETROS'!$K$48,MATCH(U38,JC_G,0),MATCH(T38,CC_G,0)),
IF(AA38="OPERACIONAL",OFFSET('PARÁMETROS'!$K$56,MATCH(U38,JC_OP,0),MATCH(T38,CC_OP,0)),
IF(AA38="FINANCIERO",OFFSET('PARÁMETROS'!$K$56,MATCH(U38,JC_FI,0),MATCH(T38,CC_FI,0)),
OFFSET('PARÁMETROS'!$K$38,MATCH(U38,JC_L,0),MATCH(T38,CC_L,0))))))))),"")</f>
        <v>Control/Acción Eficaz</v>
      </c>
      <c r="W38" s="117"/>
      <c r="X38" s="120"/>
      <c r="Y38" s="121"/>
      <c r="Z38" s="30" t="s">
        <v>314</v>
      </c>
      <c r="AA38" s="32" t="str">
        <f>E27</f>
        <v>Seguridad</v>
      </c>
      <c r="AB38" s="33"/>
    </row>
    <row r="39" ht="105.0" customHeight="1">
      <c r="A39" s="68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134" t="s">
        <v>196</v>
      </c>
      <c r="Q39" s="135" t="s">
        <v>440</v>
      </c>
      <c r="R39" s="135" t="s">
        <v>106</v>
      </c>
      <c r="S39" s="135" t="s">
        <v>265</v>
      </c>
      <c r="T39" s="136" t="s">
        <v>6</v>
      </c>
      <c r="U39" s="136" t="s">
        <v>162</v>
      </c>
      <c r="V39" s="136" t="str">
        <f>IFERROR(IF(AA39="SEGURIDAD",OFFSET('PARÁMETROS'!$K$2,MATCH(U39,JC_SE,0),MATCH(T39,CC_SE,0)),
IF(OR(AA39="DSRC/Estratégico",AA39="DSRC/Operativo"),OFFSET('PARÁMETROS'!$K$11,MATCH(U39,JC_DS,0),MATCH(T39,CC_DS,0)),
IF(AA39="SALUD",OFFSET('PARÁMETROS'!$K$29,MATCH(U39,JC_SA,0),MATCH(T39,CC_SA,0)),
IF(AA39="MEDIO AMBIENTE",OFFSET('PARÁMETROS'!$K$20,MATCH(U39,JC_MA,0),MATCH(T39,CC_MA,0)),
IF(AA39="Rel. Gubernamentales",OFFSET('PARÁMETROS'!$K$48,MATCH(U39,JC_G,0),MATCH(T39,CC_G,0)),
IF(AA39="OPERACIONAL",OFFSET('PARÁMETROS'!$K$56,MATCH(U39,JC_OP,0),MATCH(T39,CC_OP,0)),
IF(AA39="FINANCIERO",OFFSET('PARÁMETROS'!$K$56,MATCH(U39,JC_FI,0),MATCH(T39,CC_FI,0)),
OFFSET('PARÁMETROS'!$K$38,MATCH(U39,JC_L,0),MATCH(T39,CC_L,0))))))))),"")</f>
        <v>Control/Acción Satisfactorio</v>
      </c>
      <c r="W39" s="69"/>
      <c r="X39" s="136"/>
      <c r="Y39" s="137"/>
      <c r="Z39" s="30" t="s">
        <v>314</v>
      </c>
      <c r="AA39" s="32" t="str">
        <f>E27</f>
        <v>Seguridad</v>
      </c>
      <c r="AB39" s="33"/>
    </row>
    <row r="40" ht="105.0" customHeight="1">
      <c r="A40" s="79">
        <v>4.0</v>
      </c>
      <c r="B40" s="80" t="s">
        <v>172</v>
      </c>
      <c r="C40" s="80" t="s">
        <v>173</v>
      </c>
      <c r="D40" s="80" t="s">
        <v>177</v>
      </c>
      <c r="E40" s="80" t="s">
        <v>181</v>
      </c>
      <c r="F40" s="80" t="s">
        <v>340</v>
      </c>
      <c r="G40" s="80" t="s">
        <v>455</v>
      </c>
      <c r="H40" s="80" t="s">
        <v>401</v>
      </c>
      <c r="I40" s="80" t="s">
        <v>456</v>
      </c>
      <c r="J40" s="80">
        <v>3.0</v>
      </c>
      <c r="K40" s="80">
        <v>3.0</v>
      </c>
      <c r="L40" s="80">
        <f>IF(OR(J40&lt;&gt;"",K40&lt;&gt;""),OFFSET('PARÁMETROS'!$B$2,K40,J40),"")</f>
        <v>4</v>
      </c>
      <c r="M40" s="80">
        <v>3.0</v>
      </c>
      <c r="N40" s="80">
        <f>IFERROR(L40*M40,"")</f>
        <v>12</v>
      </c>
      <c r="O40" s="89" t="str">
        <f>IF(N40="","",IFERROR(IF(N40&lt;=2,"ACEPTABLE",IF(N40&lt;=6,"BAJA",IF(N40&lt;=10,"ACEPTABLE CON REVISIÓN",IF(N40&lt;=15,"SUSTANCIAL","INACEPTABLE")))),""))</f>
        <v>SUSTANCIAL</v>
      </c>
      <c r="P40" s="109" t="s">
        <v>258</v>
      </c>
      <c r="Q40" s="110" t="s">
        <v>457</v>
      </c>
      <c r="R40" s="110" t="s">
        <v>142</v>
      </c>
      <c r="S40" s="110" t="s">
        <v>120</v>
      </c>
      <c r="T40" s="111" t="s">
        <v>6</v>
      </c>
      <c r="U40" s="111" t="s">
        <v>162</v>
      </c>
      <c r="V40" s="111" t="str">
        <f>IFERROR(IF(AA40="SEGURIDAD",OFFSET('PARÁMETROS'!$K$2,MATCH(U40,JC_SE,0),MATCH(T40,CC_SE,0)),
IF(OR(AA40="DSRC/Estratégico",AA40="DSRC/Operativo"),OFFSET('PARÁMETROS'!$K$11,MATCH(U40,JC_DS,0),MATCH(T40,CC_DS,0)),
IF(AA40="SALUD",OFFSET('PARÁMETROS'!$K$29,MATCH(U40,JC_SA,0),MATCH(T40,CC_SA,0)),
IF(AA40="MEDIO AMBIENTE",OFFSET('PARÁMETROS'!$K$20,MATCH(U40,JC_MA,0),MATCH(T40,CC_MA,0)),
IF(AA40="Rel. Gubernamentales",OFFSET('PARÁMETROS'!$K$48,MATCH(U40,JC_G,0),MATCH(T40,CC_G,0)),
IF(AA40="OPERACIONAL",OFFSET('PARÁMETROS'!$K$56,MATCH(U40,JC_OP,0),MATCH(T40,CC_OP,0)),
IF(AA40="FINANCIERO",OFFSET('PARÁMETROS'!$K$56,MATCH(U40,JC_FI,0),MATCH(T40,CC_FI,0)),
OFFSET('PARÁMETROS'!$K$38,MATCH(U40,JC_L,0),MATCH(T40,CC_L,0))))))))),"")</f>
        <v>Control/Acción Satisfactorio</v>
      </c>
      <c r="W40" s="89" t="str">
        <f>IF(E40="","",
IF(COUNTA( V40:V50)-COUNTBLANK( V40:V50)=1,
IF(O40="INACEPTABLE",IF(COUNTIF( V40:V50,"Control/Acción Eficaz")&gt;=1,"SUSTANCIAL","INACEPTABLE"),
IF(O40="SUSTANCIAL",IF(COUNTIF( V40:V50,"Control/Acción Eficaz")&gt;=1,"ACEPTABLE CON REVISIÓN","SUSTANCIAL"),
IF(O40="ACEPTABLE CON REVISIÓN",IF(COUNTIF( V40:V50,"Control/Acción Eficaz")&gt;=1,"BAJA","ACEPTABLE CON REVISIÓN"),
IF(O40="BAJA",IF(COUNTIF( V40:V50,"Control/Acción Eficaz")&gt;=1,"ACEPTABLE","BAJA"),)))),
IF(COUNTA( V40:V50)-COUNTBLANK( V40:V50)=2,
IF(O40="INACEPTABLE",IF(COUNTIF( V40:V50,"Control/Acción Eficaz")=2,"ACEPTABLE CON REVISIÓN",
IF(OR(AND(COUNTIF( V40:V50,"Control/Acción Eficaz")=1,COUNTIF( V40:V50,"Control/Acción Satisfactorio")=1),
AND(COUNTIF( V40:V50,"Control/Acción Eficaz")=1,COUNTIF( V40:V50,"Control/Acción No Eficaz")=1)),"SUSTANCIAL","INACEPTABLE")),
IF(O40="SUSTANCIAL",IF(COUNTIF( V40:V50,"Control/Acción Eficaz")=2,"BAJA",
IF(OR(AND(COUNTIF( V40:V50,"Control/Acción Eficaz")=1,COUNTIF( V40:V50,"Control/Acción Satisfactorio")=1),
AND(COUNTIF( V40:V50,"Control/Acción Eficaz")=1,COUNTIF( V40:V50,"Control/Acción No Eficaz")=1)),"ACEPTABLE CON REVISIÓN ","SUSTANCIAL")),
IF(O40="ACEPTABLE CON REVISIÓN",IF(COUNTIF( V40:V50,"Control/Acción Eficaz")=2,"ACEPTABLE",
IF(OR(AND(COUNTIF( V40:V50,"Control/Acción Eficaz")=1,COUNTIF( V40:V50,"Control/Acción Satisfactorio")=1),
AND(COUNTIF( V40:V50,"Control/Acción Eficaz")=1,COUNTIF( V40:V50,"Control/Acción No Eficaz")=1)),"BAJA","ACEPTABLE CON REVISIÓN")),
IF(O40="BAJA",IF(COUNTIF( V40:V50,"Control/Acción Eficaz")&gt;=2,"ACEPTABLE","BAJA"),)))),
IF(COUNTA( V40:V50)-COUNTBLANK( V40:V50)&gt;=3,
IF(O40="INACEPTABLE",
IF(COUNTBLANK( V40:V50)=COUNTA( V40:V50),"",
IF(COUNTIF( V40:V50,"Control/Acción No Eficaz")&gt;=2,"INACEPTABLE",
IF(AND(COUNTIF( V40:V50,"Control/Acción No Eficaz")=0,COUNTIF( V40:V50,"Control/Acción Eficaz")&gt;=2),"ACEPTABLE CON REVISIÓN ","SUSTANCIAL"))),
IF(O40="SUSTANCIAL",
IF(COUNTBLANK( V40:V50)=COUNTA( V40:V50),"",
IF(COUNTIF( V40:V50,"Control/Acción No Eficaz")&gt;=2,"SUSTANCIAL",
IF(AND(COUNTIF( V40:V50,"Control/Acción No Eficaz")=0,COUNTIF( V40:V50,"Control/Acción Eficaz")&gt;=2),"BAJA","ACEPTABLE CON REVISIÓN"))),
IF(O40="ACEPTABLE CON REVISIÓN",
IF(COUNTBLANK( V40:V50)=COUNTA( V40:V50),"",
IF(COUNTIF( V40:V50,"Control/Acción No Eficaz")&gt;=2,"ACEPTABLE CON REVISIÓN",
IF(AND(COUNTIF( V40:V50,"Control/Acción No Eficaz")=0,COUNTIF( V40:V50,"Control/Acción Eficaz")&gt;=2),"ACEPTABLE","BAJA"))),
IF(O40="BAJA",
IF(COUNTBLANK( V40:V50)=COUNTA( V40:V50),"",
IF(AND(COUNTBLANK( V40:V50)&lt;1,COUNTA( V40:V50)=1),
IF(COUNTIF( V40:V50,"Control/Acción No Eficaz")&gt;=2,"BAJA",
IF(AND(COUNTIF( V40:V50,"Control/Acción No Eficaz")=0,COUNTIF( V40:V50,"Control/Acción Eficaz")&gt;=2),"ACEPTABLE","BAJA")),
IF(COUNTIF( V40:V50,"Control/Acción No Eficaz")&gt;=2,"BAJA",
IF(AND(COUNTIF( V40:V50,"Control/Acción No Eficaz")=0,COUNTIF( V40:V50,"Control/Acción Eficaz")&gt;=2),"ACEPTABLE","BAJA")))),
IF(COUNTIF( V40:V50,"")&gt;=5,"",O40))))),
""))))</f>
        <v>ACEPTABLE CON REVISIÓN</v>
      </c>
      <c r="X40" s="111"/>
      <c r="Y40" s="115"/>
      <c r="Z40" s="30" t="s">
        <v>314</v>
      </c>
      <c r="AA40" s="32" t="str">
        <f>E40</f>
        <v>Seguridad</v>
      </c>
      <c r="AB40" s="33"/>
    </row>
    <row r="41" ht="105.0" customHeight="1">
      <c r="A41" s="116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8" t="s">
        <v>258</v>
      </c>
      <c r="Q41" s="119" t="s">
        <v>458</v>
      </c>
      <c r="R41" s="119" t="s">
        <v>83</v>
      </c>
      <c r="S41" s="119" t="s">
        <v>51</v>
      </c>
      <c r="T41" s="120" t="s">
        <v>6</v>
      </c>
      <c r="U41" s="120" t="s">
        <v>162</v>
      </c>
      <c r="V41" s="120" t="str">
        <f>IFERROR(IF(AA41="SEGURIDAD",OFFSET('PARÁMETROS'!$K$2,MATCH(U41,JC_SE,0),MATCH(T41,CC_SE,0)),
IF(OR(AA41="DSRC/Estratégico",AA41="DSRC/Operativo"),OFFSET('PARÁMETROS'!$K$11,MATCH(U41,JC_DS,0),MATCH(T41,CC_DS,0)),
IF(AA41="SALUD",OFFSET('PARÁMETROS'!$K$29,MATCH(U41,JC_SA,0),MATCH(T41,CC_SA,0)),
IF(AA41="MEDIO AMBIENTE",OFFSET('PARÁMETROS'!$K$20,MATCH(U41,JC_MA,0),MATCH(T41,CC_MA,0)),
IF(AA41="Rel. Gubernamentales",OFFSET('PARÁMETROS'!$K$48,MATCH(U41,JC_G,0),MATCH(T41,CC_G,0)),
IF(AA41="OPERACIONAL",OFFSET('PARÁMETROS'!$K$56,MATCH(U41,JC_OP,0),MATCH(T41,CC_OP,0)),
IF(AA41="FINANCIERO",OFFSET('PARÁMETROS'!$K$56,MATCH(U41,JC_FI,0),MATCH(T41,CC_FI,0)),
OFFSET('PARÁMETROS'!$K$38,MATCH(U41,JC_L,0),MATCH(T41,CC_L,0))))))))),"")</f>
        <v>Control/Acción Satisfactorio</v>
      </c>
      <c r="W41" s="117"/>
      <c r="X41" s="120"/>
      <c r="Y41" s="121"/>
      <c r="Z41" s="30" t="s">
        <v>314</v>
      </c>
      <c r="AA41" s="32" t="str">
        <f>E40</f>
        <v>Seguridad</v>
      </c>
      <c r="AB41" s="33"/>
    </row>
    <row r="42" ht="105.0" customHeight="1">
      <c r="A42" s="116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8" t="s">
        <v>258</v>
      </c>
      <c r="Q42" s="119" t="s">
        <v>459</v>
      </c>
      <c r="R42" s="119" t="s">
        <v>142</v>
      </c>
      <c r="S42" s="119" t="s">
        <v>84</v>
      </c>
      <c r="T42" s="120" t="s">
        <v>6</v>
      </c>
      <c r="U42" s="120" t="s">
        <v>162</v>
      </c>
      <c r="V42" s="120" t="str">
        <f>IFERROR(IF(AA42="SEGURIDAD",OFFSET('PARÁMETROS'!$K$2,MATCH(U42,JC_SE,0),MATCH(T42,CC_SE,0)),
IF(OR(AA42="DSRC/Estratégico",AA42="DSRC/Operativo"),OFFSET('PARÁMETROS'!$K$11,MATCH(U42,JC_DS,0),MATCH(T42,CC_DS,0)),
IF(AA42="SALUD",OFFSET('PARÁMETROS'!$K$29,MATCH(U42,JC_SA,0),MATCH(T42,CC_SA,0)),
IF(AA42="MEDIO AMBIENTE",OFFSET('PARÁMETROS'!$K$20,MATCH(U42,JC_MA,0),MATCH(T42,CC_MA,0)),
IF(AA42="Rel. Gubernamentales",OFFSET('PARÁMETROS'!$K$48,MATCH(U42,JC_G,0),MATCH(T42,CC_G,0)),
IF(AA42="OPERACIONAL",OFFSET('PARÁMETROS'!$K$56,MATCH(U42,JC_OP,0),MATCH(T42,CC_OP,0)),
IF(AA42="FINANCIERO",OFFSET('PARÁMETROS'!$K$56,MATCH(U42,JC_FI,0),MATCH(T42,CC_FI,0)),
OFFSET('PARÁMETROS'!$K$38,MATCH(U42,JC_L,0),MATCH(T42,CC_L,0))))))))),"")</f>
        <v>Control/Acción Satisfactorio</v>
      </c>
      <c r="W42" s="117"/>
      <c r="X42" s="120"/>
      <c r="Y42" s="121"/>
      <c r="Z42" s="30" t="s">
        <v>314</v>
      </c>
      <c r="AA42" s="32" t="str">
        <f>E40</f>
        <v>Seguridad</v>
      </c>
      <c r="AB42" s="33"/>
    </row>
    <row r="43" ht="105.0" customHeight="1">
      <c r="A43" s="116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8" t="s">
        <v>243</v>
      </c>
      <c r="Q43" s="119" t="s">
        <v>460</v>
      </c>
      <c r="R43" s="119" t="s">
        <v>142</v>
      </c>
      <c r="S43" s="119" t="s">
        <v>167</v>
      </c>
      <c r="T43" s="120" t="s">
        <v>6</v>
      </c>
      <c r="U43" s="120" t="s">
        <v>137</v>
      </c>
      <c r="V43" s="120" t="str">
        <f>IFERROR(IF(AA43="SEGURIDAD",OFFSET('PARÁMETROS'!$K$2,MATCH(U43,JC_SE,0),MATCH(T43,CC_SE,0)),
IF(OR(AA43="DSRC/Estratégico",AA43="DSRC/Operativo"),OFFSET('PARÁMETROS'!$K$11,MATCH(U43,JC_DS,0),MATCH(T43,CC_DS,0)),
IF(AA43="SALUD",OFFSET('PARÁMETROS'!$K$29,MATCH(U43,JC_SA,0),MATCH(T43,CC_SA,0)),
IF(AA43="MEDIO AMBIENTE",OFFSET('PARÁMETROS'!$K$20,MATCH(U43,JC_MA,0),MATCH(T43,CC_MA,0)),
IF(AA43="Rel. Gubernamentales",OFFSET('PARÁMETROS'!$K$48,MATCH(U43,JC_G,0),MATCH(T43,CC_G,0)),
IF(AA43="OPERACIONAL",OFFSET('PARÁMETROS'!$K$56,MATCH(U43,JC_OP,0),MATCH(T43,CC_OP,0)),
IF(AA43="FINANCIERO",OFFSET('PARÁMETROS'!$K$56,MATCH(U43,JC_FI,0),MATCH(T43,CC_FI,0)),
OFFSET('PARÁMETROS'!$K$38,MATCH(U43,JC_L,0),MATCH(T43,CC_L,0))))))))),"")</f>
        <v>Control/Acción Satisfactorio</v>
      </c>
      <c r="W43" s="117"/>
      <c r="X43" s="120"/>
      <c r="Y43" s="121"/>
      <c r="Z43" s="30" t="s">
        <v>314</v>
      </c>
      <c r="AA43" s="32" t="str">
        <f>E40</f>
        <v>Seguridad</v>
      </c>
      <c r="AB43" s="33"/>
    </row>
    <row r="44" ht="105.0" customHeight="1">
      <c r="A44" s="116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8" t="s">
        <v>258</v>
      </c>
      <c r="Q44" s="119" t="s">
        <v>461</v>
      </c>
      <c r="R44" s="119" t="s">
        <v>142</v>
      </c>
      <c r="S44" s="119" t="s">
        <v>120</v>
      </c>
      <c r="T44" s="120" t="s">
        <v>6</v>
      </c>
      <c r="U44" s="120" t="s">
        <v>162</v>
      </c>
      <c r="V44" s="120" t="str">
        <f>IFERROR(IF(AA44="SEGURIDAD",OFFSET('PARÁMETROS'!$K$2,MATCH(U44,JC_SE,0),MATCH(T44,CC_SE,0)),
IF(OR(AA44="DSRC/Estratégico",AA44="DSRC/Operativo"),OFFSET('PARÁMETROS'!$K$11,MATCH(U44,JC_DS,0),MATCH(T44,CC_DS,0)),
IF(AA44="SALUD",OFFSET('PARÁMETROS'!$K$29,MATCH(U44,JC_SA,0),MATCH(T44,CC_SA,0)),
IF(AA44="MEDIO AMBIENTE",OFFSET('PARÁMETROS'!$K$20,MATCH(U44,JC_MA,0),MATCH(T44,CC_MA,0)),
IF(AA44="Rel. Gubernamentales",OFFSET('PARÁMETROS'!$K$48,MATCH(U44,JC_G,0),MATCH(T44,CC_G,0)),
IF(AA44="OPERACIONAL",OFFSET('PARÁMETROS'!$K$56,MATCH(U44,JC_OP,0),MATCH(T44,CC_OP,0)),
IF(AA44="FINANCIERO",OFFSET('PARÁMETROS'!$K$56,MATCH(U44,JC_FI,0),MATCH(T44,CC_FI,0)),
OFFSET('PARÁMETROS'!$K$38,MATCH(U44,JC_L,0),MATCH(T44,CC_L,0))))))))),"")</f>
        <v>Control/Acción Satisfactorio</v>
      </c>
      <c r="W44" s="117"/>
      <c r="X44" s="120"/>
      <c r="Y44" s="121"/>
      <c r="Z44" s="30" t="s">
        <v>314</v>
      </c>
      <c r="AA44" s="32" t="str">
        <f>E40</f>
        <v>Seguridad</v>
      </c>
      <c r="AB44" s="33"/>
    </row>
    <row r="45" ht="105.0" customHeight="1">
      <c r="A45" s="116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8" t="s">
        <v>105</v>
      </c>
      <c r="Q45" s="119" t="s">
        <v>462</v>
      </c>
      <c r="R45" s="119" t="s">
        <v>142</v>
      </c>
      <c r="S45" s="119" t="s">
        <v>201</v>
      </c>
      <c r="T45" s="120" t="s">
        <v>6</v>
      </c>
      <c r="U45" s="120" t="s">
        <v>162</v>
      </c>
      <c r="V45" s="120" t="str">
        <f>IFERROR(IF(AA45="SEGURIDAD",OFFSET('PARÁMETROS'!$K$2,MATCH(U45,JC_SE,0),MATCH(T45,CC_SE,0)),
IF(OR(AA45="DSRC/Estratégico",AA45="DSRC/Operativo"),OFFSET('PARÁMETROS'!$K$11,MATCH(U45,JC_DS,0),MATCH(T45,CC_DS,0)),
IF(AA45="SALUD",OFFSET('PARÁMETROS'!$K$29,MATCH(U45,JC_SA,0),MATCH(T45,CC_SA,0)),
IF(AA45="MEDIO AMBIENTE",OFFSET('PARÁMETROS'!$K$20,MATCH(U45,JC_MA,0),MATCH(T45,CC_MA,0)),
IF(AA45="Rel. Gubernamentales",OFFSET('PARÁMETROS'!$K$48,MATCH(U45,JC_G,0),MATCH(T45,CC_G,0)),
IF(AA45="OPERACIONAL",OFFSET('PARÁMETROS'!$K$56,MATCH(U45,JC_OP,0),MATCH(T45,CC_OP,0)),
IF(AA45="FINANCIERO",OFFSET('PARÁMETROS'!$K$56,MATCH(U45,JC_FI,0),MATCH(T45,CC_FI,0)),
OFFSET('PARÁMETROS'!$K$38,MATCH(U45,JC_L,0),MATCH(T45,CC_L,0))))))))),"")</f>
        <v>Control/Acción Satisfactorio</v>
      </c>
      <c r="W45" s="117"/>
      <c r="X45" s="120"/>
      <c r="Y45" s="121"/>
      <c r="Z45" s="30" t="s">
        <v>314</v>
      </c>
      <c r="AA45" s="32" t="str">
        <f>E40</f>
        <v>Seguridad</v>
      </c>
      <c r="AB45" s="33"/>
    </row>
    <row r="46" ht="105.0" customHeight="1">
      <c r="A46" s="116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8" t="s">
        <v>269</v>
      </c>
      <c r="Q46" s="119" t="s">
        <v>463</v>
      </c>
      <c r="R46" s="119" t="s">
        <v>142</v>
      </c>
      <c r="S46" s="119" t="s">
        <v>167</v>
      </c>
      <c r="T46" s="120" t="s">
        <v>6</v>
      </c>
      <c r="U46" s="120" t="s">
        <v>162</v>
      </c>
      <c r="V46" s="120" t="str">
        <f>IFERROR(IF(AA46="SEGURIDAD",OFFSET('PARÁMETROS'!$K$2,MATCH(U46,JC_SE,0),MATCH(T46,CC_SE,0)),
IF(OR(AA46="DSRC/Estratégico",AA46="DSRC/Operativo"),OFFSET('PARÁMETROS'!$K$11,MATCH(U46,JC_DS,0),MATCH(T46,CC_DS,0)),
IF(AA46="SALUD",OFFSET('PARÁMETROS'!$K$29,MATCH(U46,JC_SA,0),MATCH(T46,CC_SA,0)),
IF(AA46="MEDIO AMBIENTE",OFFSET('PARÁMETROS'!$K$20,MATCH(U46,JC_MA,0),MATCH(T46,CC_MA,0)),
IF(AA46="Rel. Gubernamentales",OFFSET('PARÁMETROS'!$K$48,MATCH(U46,JC_G,0),MATCH(T46,CC_G,0)),
IF(AA46="OPERACIONAL",OFFSET('PARÁMETROS'!$K$56,MATCH(U46,JC_OP,0),MATCH(T46,CC_OP,0)),
IF(AA46="FINANCIERO",OFFSET('PARÁMETROS'!$K$56,MATCH(U46,JC_FI,0),MATCH(T46,CC_FI,0)),
OFFSET('PARÁMETROS'!$K$38,MATCH(U46,JC_L,0),MATCH(T46,CC_L,0))))))))),"")</f>
        <v>Control/Acción Satisfactorio</v>
      </c>
      <c r="W46" s="117"/>
      <c r="X46" s="120"/>
      <c r="Y46" s="121"/>
      <c r="Z46" s="30" t="s">
        <v>314</v>
      </c>
      <c r="AA46" s="32" t="str">
        <f>E40</f>
        <v>Seguridad</v>
      </c>
      <c r="AB46" s="33"/>
    </row>
    <row r="47" ht="105.0" customHeight="1">
      <c r="A47" s="116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8" t="s">
        <v>258</v>
      </c>
      <c r="Q47" s="119" t="s">
        <v>464</v>
      </c>
      <c r="R47" s="119" t="s">
        <v>83</v>
      </c>
      <c r="S47" s="119" t="s">
        <v>84</v>
      </c>
      <c r="T47" s="120" t="s">
        <v>7</v>
      </c>
      <c r="U47" s="120" t="s">
        <v>162</v>
      </c>
      <c r="V47" s="120" t="str">
        <f>IFERROR(IF(AA47="SEGURIDAD",OFFSET('PARÁMETROS'!$K$2,MATCH(U47,JC_SE,0),MATCH(T47,CC_SE,0)),
IF(OR(AA47="DSRC/Estratégico",AA47="DSRC/Operativo"),OFFSET('PARÁMETROS'!$K$11,MATCH(U47,JC_DS,0),MATCH(T47,CC_DS,0)),
IF(AA47="SALUD",OFFSET('PARÁMETROS'!$K$29,MATCH(U47,JC_SA,0),MATCH(T47,CC_SA,0)),
IF(AA47="MEDIO AMBIENTE",OFFSET('PARÁMETROS'!$K$20,MATCH(U47,JC_MA,0),MATCH(T47,CC_MA,0)),
IF(AA47="Rel. Gubernamentales",OFFSET('PARÁMETROS'!$K$48,MATCH(U47,JC_G,0),MATCH(T47,CC_G,0)),
IF(AA47="OPERACIONAL",OFFSET('PARÁMETROS'!$K$56,MATCH(U47,JC_OP,0),MATCH(T47,CC_OP,0)),
IF(AA47="FINANCIERO",OFFSET('PARÁMETROS'!$K$56,MATCH(U47,JC_FI,0),MATCH(T47,CC_FI,0)),
OFFSET('PARÁMETROS'!$K$38,MATCH(U47,JC_L,0),MATCH(T47,CC_L,0))))))))),"")</f>
        <v>Control/Acción Eficaz</v>
      </c>
      <c r="W47" s="117"/>
      <c r="X47" s="120"/>
      <c r="Y47" s="121"/>
      <c r="Z47" s="30" t="s">
        <v>314</v>
      </c>
      <c r="AA47" s="32" t="str">
        <f>E40</f>
        <v>Seguridad</v>
      </c>
      <c r="AB47" s="33"/>
    </row>
    <row r="48" ht="105.0" customHeight="1">
      <c r="A48" s="116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8" t="s">
        <v>258</v>
      </c>
      <c r="Q48" s="119" t="s">
        <v>465</v>
      </c>
      <c r="R48" s="119" t="s">
        <v>83</v>
      </c>
      <c r="S48" s="119" t="s">
        <v>84</v>
      </c>
      <c r="T48" s="120" t="s">
        <v>7</v>
      </c>
      <c r="U48" s="120" t="s">
        <v>162</v>
      </c>
      <c r="V48" s="120" t="str">
        <f>IFERROR(IF(AA48="SEGURIDAD",OFFSET('PARÁMETROS'!$K$2,MATCH(U48,JC_SE,0),MATCH(T48,CC_SE,0)),
IF(OR(AA48="DSRC/Estratégico",AA48="DSRC/Operativo"),OFFSET('PARÁMETROS'!$K$11,MATCH(U48,JC_DS,0),MATCH(T48,CC_DS,0)),
IF(AA48="SALUD",OFFSET('PARÁMETROS'!$K$29,MATCH(U48,JC_SA,0),MATCH(T48,CC_SA,0)),
IF(AA48="MEDIO AMBIENTE",OFFSET('PARÁMETROS'!$K$20,MATCH(U48,JC_MA,0),MATCH(T48,CC_MA,0)),
IF(AA48="Rel. Gubernamentales",OFFSET('PARÁMETROS'!$K$48,MATCH(U48,JC_G,0),MATCH(T48,CC_G,0)),
IF(AA48="OPERACIONAL",OFFSET('PARÁMETROS'!$K$56,MATCH(U48,JC_OP,0),MATCH(T48,CC_OP,0)),
IF(AA48="FINANCIERO",OFFSET('PARÁMETROS'!$K$56,MATCH(U48,JC_FI,0),MATCH(T48,CC_FI,0)),
OFFSET('PARÁMETROS'!$K$38,MATCH(U48,JC_L,0),MATCH(T48,CC_L,0))))))))),"")</f>
        <v>Control/Acción Eficaz</v>
      </c>
      <c r="W48" s="117"/>
      <c r="X48" s="120"/>
      <c r="Y48" s="121"/>
      <c r="Z48" s="30" t="s">
        <v>314</v>
      </c>
      <c r="AA48" s="32" t="str">
        <f>E40</f>
        <v>Seguridad</v>
      </c>
      <c r="AB48" s="33"/>
    </row>
    <row r="49" ht="105.0" customHeight="1">
      <c r="A49" s="116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8" t="s">
        <v>302</v>
      </c>
      <c r="Q49" s="119" t="s">
        <v>451</v>
      </c>
      <c r="R49" s="119" t="s">
        <v>106</v>
      </c>
      <c r="S49" s="119" t="s">
        <v>265</v>
      </c>
      <c r="T49" s="120" t="s">
        <v>7</v>
      </c>
      <c r="U49" s="120" t="s">
        <v>182</v>
      </c>
      <c r="V49" s="120" t="str">
        <f>IFERROR(IF(AA49="SEGURIDAD",OFFSET('PARÁMETROS'!$K$2,MATCH(U49,JC_SE,0),MATCH(T49,CC_SE,0)),
IF(OR(AA49="DSRC/Estratégico",AA49="DSRC/Operativo"),OFFSET('PARÁMETROS'!$K$11,MATCH(U49,JC_DS,0),MATCH(T49,CC_DS,0)),
IF(AA49="SALUD",OFFSET('PARÁMETROS'!$K$29,MATCH(U49,JC_SA,0),MATCH(T49,CC_SA,0)),
IF(AA49="MEDIO AMBIENTE",OFFSET('PARÁMETROS'!$K$20,MATCH(U49,JC_MA,0),MATCH(T49,CC_MA,0)),
IF(AA49="Rel. Gubernamentales",OFFSET('PARÁMETROS'!$K$48,MATCH(U49,JC_G,0),MATCH(T49,CC_G,0)),
IF(AA49="OPERACIONAL",OFFSET('PARÁMETROS'!$K$56,MATCH(U49,JC_OP,0),MATCH(T49,CC_OP,0)),
IF(AA49="FINANCIERO",OFFSET('PARÁMETROS'!$K$56,MATCH(U49,JC_FI,0),MATCH(T49,CC_FI,0)),
OFFSET('PARÁMETROS'!$K$38,MATCH(U49,JC_L,0),MATCH(T49,CC_L,0))))))))),"")</f>
        <v>Control/Acción Satisfactorio</v>
      </c>
      <c r="W49" s="117"/>
      <c r="X49" s="120"/>
      <c r="Y49" s="121"/>
      <c r="Z49" s="30" t="s">
        <v>314</v>
      </c>
      <c r="AA49" s="32" t="str">
        <f>E40</f>
        <v>Seguridad</v>
      </c>
      <c r="AB49" s="33"/>
    </row>
    <row r="50" ht="105.0" customHeight="1">
      <c r="A50" s="68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134" t="s">
        <v>258</v>
      </c>
      <c r="Q50" s="135" t="s">
        <v>466</v>
      </c>
      <c r="R50" s="135" t="s">
        <v>142</v>
      </c>
      <c r="S50" s="135" t="s">
        <v>120</v>
      </c>
      <c r="T50" s="136" t="s">
        <v>5</v>
      </c>
      <c r="U50" s="136" t="s">
        <v>162</v>
      </c>
      <c r="V50" s="136" t="str">
        <f>IFERROR(IF(AA50="SEGURIDAD",OFFSET('PARÁMETROS'!$K$2,MATCH(U50,JC_SE,0),MATCH(T50,CC_SE,0)),
IF(OR(AA50="DSRC/Estratégico",AA50="DSRC/Operativo"),OFFSET('PARÁMETROS'!$K$11,MATCH(U50,JC_DS,0),MATCH(T50,CC_DS,0)),
IF(AA50="SALUD",OFFSET('PARÁMETROS'!$K$29,MATCH(U50,JC_SA,0),MATCH(T50,CC_SA,0)),
IF(AA50="MEDIO AMBIENTE",OFFSET('PARÁMETROS'!$K$20,MATCH(U50,JC_MA,0),MATCH(T50,CC_MA,0)),
IF(AA50="Rel. Gubernamentales",OFFSET('PARÁMETROS'!$K$48,MATCH(U50,JC_G,0),MATCH(T50,CC_G,0)),
IF(AA50="OPERACIONAL",OFFSET('PARÁMETROS'!$K$56,MATCH(U50,JC_OP,0),MATCH(T50,CC_OP,0)),
IF(AA50="FINANCIERO",OFFSET('PARÁMETROS'!$K$56,MATCH(U50,JC_FI,0),MATCH(T50,CC_FI,0)),
OFFSET('PARÁMETROS'!$K$38,MATCH(U50,JC_L,0),MATCH(T50,CC_L,0))))))))),"")</f>
        <v>Control/Acción No Eficaz</v>
      </c>
      <c r="W50" s="69"/>
      <c r="X50" s="136"/>
      <c r="Y50" s="137"/>
      <c r="Z50" s="30" t="s">
        <v>314</v>
      </c>
      <c r="AA50" s="32" t="str">
        <f>E40</f>
        <v>Seguridad</v>
      </c>
      <c r="AB50" s="33"/>
    </row>
    <row r="51" ht="105.0" customHeight="1">
      <c r="A51" s="79">
        <v>5.0</v>
      </c>
      <c r="B51" s="80" t="s">
        <v>172</v>
      </c>
      <c r="C51" s="80" t="s">
        <v>173</v>
      </c>
      <c r="D51" s="80" t="s">
        <v>177</v>
      </c>
      <c r="E51" s="80" t="s">
        <v>181</v>
      </c>
      <c r="F51" s="80" t="s">
        <v>323</v>
      </c>
      <c r="G51" s="80" t="s">
        <v>467</v>
      </c>
      <c r="H51" s="80" t="s">
        <v>48</v>
      </c>
      <c r="I51" s="80" t="s">
        <v>468</v>
      </c>
      <c r="J51" s="80">
        <v>4.0</v>
      </c>
      <c r="K51" s="80">
        <v>2.0</v>
      </c>
      <c r="L51" s="80">
        <f>IF(OR(J51&lt;&gt;"",K51&lt;&gt;""),OFFSET('PARÁMETROS'!$B$2,K51,J51),"")</f>
        <v>3</v>
      </c>
      <c r="M51" s="80">
        <v>5.0</v>
      </c>
      <c r="N51" s="80">
        <f>IFERROR(L51*M51,"")</f>
        <v>15</v>
      </c>
      <c r="O51" s="89" t="str">
        <f>IF(N51="","",IFERROR(IF(N51&lt;=2,"ACEPTABLE",IF(N51&lt;=6,"BAJA",IF(N51&lt;=10,"ACEPTABLE CON REVISIÓN",IF(N51&lt;=15,"SUSTANCIAL","INACEPTABLE")))),""))</f>
        <v>SUSTANCIAL</v>
      </c>
      <c r="P51" s="118" t="s">
        <v>258</v>
      </c>
      <c r="Q51" s="119" t="s">
        <v>457</v>
      </c>
      <c r="R51" s="119" t="s">
        <v>142</v>
      </c>
      <c r="S51" s="119" t="s">
        <v>120</v>
      </c>
      <c r="T51" s="120" t="s">
        <v>6</v>
      </c>
      <c r="U51" s="120" t="s">
        <v>162</v>
      </c>
      <c r="V51" s="120" t="str">
        <f>IFERROR(IF(AA51="SEGURIDAD",OFFSET('PARÁMETROS'!$K$2,MATCH(U51,JC_SE,0),MATCH(T51,CC_SE,0)),
IF(OR(AA51="DSRC/Estratégico",AA51="DSRC/Operativo"),OFFSET('PARÁMETROS'!$K$11,MATCH(U51,JC_DS,0),MATCH(T51,CC_DS,0)),
IF(AA51="SALUD",OFFSET('PARÁMETROS'!$K$29,MATCH(U51,JC_SA,0),MATCH(T51,CC_SA,0)),
IF(AA51="MEDIO AMBIENTE",OFFSET('PARÁMETROS'!$K$20,MATCH(U51,JC_MA,0),MATCH(T51,CC_MA,0)),
IF(AA51="Rel. Gubernamentales",OFFSET('PARÁMETROS'!$K$48,MATCH(U51,JC_G,0),MATCH(T51,CC_G,0)),
IF(AA51="OPERACIONAL",OFFSET('PARÁMETROS'!$K$56,MATCH(U51,JC_OP,0),MATCH(T51,CC_OP,0)),
IF(AA51="FINANCIERO",OFFSET('PARÁMETROS'!$K$56,MATCH(U51,JC_FI,0),MATCH(T51,CC_FI,0)),
OFFSET('PARÁMETROS'!$K$38,MATCH(U51,JC_L,0),MATCH(T51,CC_L,0))))))))),"")</f>
        <v>Control/Acción Satisfactorio</v>
      </c>
      <c r="W51" s="89" t="str">
        <f>IF(E51="","",
IF(COUNTA( V51:V61)-COUNTBLANK( V51:V61)=1,
IF(O51="INACEPTABLE",IF(COUNTIF( V51:V61,"Control/Acción Eficaz")&gt;=1,"SUSTANCIAL","INACEPTABLE"),
IF(O51="SUSTANCIAL",IF(COUNTIF( V51:V61,"Control/Acción Eficaz")&gt;=1,"ACEPTABLE CON REVISIÓN","SUSTANCIAL"),
IF(O51="ACEPTABLE CON REVISIÓN",IF(COUNTIF( V51:V61,"Control/Acción Eficaz")&gt;=1,"BAJA","ACEPTABLE CON REVISIÓN"),
IF(O51="BAJA",IF(COUNTIF( V51:V61,"Control/Acción Eficaz")&gt;=1,"ACEPTABLE","BAJA"),)))),
IF(COUNTA( V51:V61)-COUNTBLANK( V51:V61)=2,
IF(O51="INACEPTABLE",IF(COUNTIF( V51:V61,"Control/Acción Eficaz")=2,"ACEPTABLE CON REVISIÓN",
IF(OR(AND(COUNTIF( V51:V61,"Control/Acción Eficaz")=1,COUNTIF( V51:V61,"Control/Acción Satisfactorio")=1),
AND(COUNTIF( V51:V61,"Control/Acción Eficaz")=1,COUNTIF( V51:V61,"Control/Acción No Eficaz")=1)),"SUSTANCIAL","INACEPTABLE")),
IF(O51="SUSTANCIAL",IF(COUNTIF( V51:V61,"Control/Acción Eficaz")=2,"BAJA",
IF(OR(AND(COUNTIF( V51:V61,"Control/Acción Eficaz")=1,COUNTIF( V51:V61,"Control/Acción Satisfactorio")=1),
AND(COUNTIF( V51:V61,"Control/Acción Eficaz")=1,COUNTIF( V51:V61,"Control/Acción No Eficaz")=1)),"ACEPTABLE CON REVISIÓN ","SUSTANCIAL")),
IF(O51="ACEPTABLE CON REVISIÓN",IF(COUNTIF( V51:V61,"Control/Acción Eficaz")=2,"ACEPTABLE",
IF(OR(AND(COUNTIF( V51:V61,"Control/Acción Eficaz")=1,COUNTIF( V51:V61,"Control/Acción Satisfactorio")=1),
AND(COUNTIF( V51:V61,"Control/Acción Eficaz")=1,COUNTIF( V51:V61,"Control/Acción No Eficaz")=1)),"BAJA","ACEPTABLE CON REVISIÓN")),
IF(O51="BAJA",IF(COUNTIF( V51:V61,"Control/Acción Eficaz")&gt;=2,"ACEPTABLE","BAJA"),)))),
IF(COUNTA( V51:V61)-COUNTBLANK( V51:V61)&gt;=3,
IF(O51="INACEPTABLE",
IF(COUNTBLANK( V51:V61)=COUNTA( V51:V61),"",
IF(COUNTIF( V51:V61,"Control/Acción No Eficaz")&gt;=2,"INACEPTABLE",
IF(AND(COUNTIF( V51:V61,"Control/Acción No Eficaz")=0,COUNTIF( V51:V61,"Control/Acción Eficaz")&gt;=2),"ACEPTABLE CON REVISIÓN ","SUSTANCIAL"))),
IF(O51="SUSTANCIAL",
IF(COUNTBLANK( V51:V61)=COUNTA( V51:V61),"",
IF(COUNTIF( V51:V61,"Control/Acción No Eficaz")&gt;=2,"SUSTANCIAL",
IF(AND(COUNTIF( V51:V61,"Control/Acción No Eficaz")=0,COUNTIF( V51:V61,"Control/Acción Eficaz")&gt;=2),"BAJA","ACEPTABLE CON REVISIÓN"))),
IF(O51="ACEPTABLE CON REVISIÓN",
IF(COUNTBLANK( V51:V61)=COUNTA( V51:V61),"",
IF(COUNTIF( V51:V61,"Control/Acción No Eficaz")&gt;=2,"ACEPTABLE CON REVISIÓN",
IF(AND(COUNTIF( V51:V61,"Control/Acción No Eficaz")=0,COUNTIF( V51:V61,"Control/Acción Eficaz")&gt;=2),"ACEPTABLE","BAJA"))),
IF(O51="BAJA",
IF(COUNTBLANK( V51:V61)=COUNTA( V51:V61),"",
IF(AND(COUNTBLANK( V51:V61)&lt;1,COUNTA( V51:V61)=1),
IF(COUNTIF( V51:V61,"Control/Acción No Eficaz")&gt;=2,"BAJA",
IF(AND(COUNTIF( V51:V61,"Control/Acción No Eficaz")=0,COUNTIF( V51:V61,"Control/Acción Eficaz")&gt;=2),"ACEPTABLE","BAJA")),
IF(COUNTIF( V51:V61,"Control/Acción No Eficaz")&gt;=2,"BAJA",
IF(AND(COUNTIF( V51:V61,"Control/Acción No Eficaz")=0,COUNTIF( V51:V61,"Control/Acción Eficaz")&gt;=2),"ACEPTABLE","BAJA")))),
IF(COUNTIF( V51:V61,"")&gt;=5,"",O51))))),
""))))</f>
        <v>BAJA</v>
      </c>
      <c r="X51" s="111"/>
      <c r="Y51" s="115"/>
      <c r="Z51" s="30"/>
      <c r="AA51" s="32" t="str">
        <f>E51</f>
        <v>Seguridad</v>
      </c>
      <c r="AB51" s="33"/>
    </row>
    <row r="52" ht="105.0" customHeight="1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8" t="s">
        <v>243</v>
      </c>
      <c r="Q52" s="119" t="s">
        <v>460</v>
      </c>
      <c r="R52" s="119" t="s">
        <v>142</v>
      </c>
      <c r="S52" s="119" t="s">
        <v>167</v>
      </c>
      <c r="T52" s="120" t="s">
        <v>6</v>
      </c>
      <c r="U52" s="120" t="s">
        <v>137</v>
      </c>
      <c r="V52" s="120" t="str">
        <f>IFERROR(IF(AA52="SEGURIDAD",OFFSET('PARÁMETROS'!$K$2,MATCH(U52,JC_SE,0),MATCH(T52,CC_SE,0)),
IF(OR(AA52="DSRC/Estratégico",AA52="DSRC/Operativo"),OFFSET('PARÁMETROS'!$K$11,MATCH(U52,JC_DS,0),MATCH(T52,CC_DS,0)),
IF(AA52="SALUD",OFFSET('PARÁMETROS'!$K$29,MATCH(U52,JC_SA,0),MATCH(T52,CC_SA,0)),
IF(AA52="MEDIO AMBIENTE",OFFSET('PARÁMETROS'!$K$20,MATCH(U52,JC_MA,0),MATCH(T52,CC_MA,0)),
IF(AA52="Rel. Gubernamentales",OFFSET('PARÁMETROS'!$K$48,MATCH(U52,JC_G,0),MATCH(T52,CC_G,0)),
IF(AA52="OPERACIONAL",OFFSET('PARÁMETROS'!$K$56,MATCH(U52,JC_OP,0),MATCH(T52,CC_OP,0)),
IF(AA52="FINANCIERO",OFFSET('PARÁMETROS'!$K$56,MATCH(U52,JC_FI,0),MATCH(T52,CC_FI,0)),
OFFSET('PARÁMETROS'!$K$38,MATCH(U52,JC_L,0),MATCH(T52,CC_L,0))))))))),"")</f>
        <v>Control/Acción Satisfactorio</v>
      </c>
      <c r="W52" s="117"/>
      <c r="X52" s="120"/>
      <c r="Y52" s="121"/>
      <c r="Z52" s="30" t="s">
        <v>314</v>
      </c>
      <c r="AA52" s="32" t="str">
        <f>E51</f>
        <v>Seguridad</v>
      </c>
      <c r="AB52" s="33"/>
    </row>
    <row r="53" ht="105.0" customHeight="1">
      <c r="A53" s="116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8" t="s">
        <v>196</v>
      </c>
      <c r="Q53" s="119" t="s">
        <v>469</v>
      </c>
      <c r="R53" s="119" t="s">
        <v>106</v>
      </c>
      <c r="S53" s="119" t="s">
        <v>265</v>
      </c>
      <c r="T53" s="120" t="s">
        <v>6</v>
      </c>
      <c r="U53" s="120" t="s">
        <v>162</v>
      </c>
      <c r="V53" s="120" t="str">
        <f>IFERROR(IF(AA53="SEGURIDAD",OFFSET('PARÁMETROS'!$K$2,MATCH(U53,JC_SE,0),MATCH(T53,CC_SE,0)),
IF(OR(AA53="DSRC/Estratégico",AA53="DSRC/Operativo"),OFFSET('PARÁMETROS'!$K$11,MATCH(U53,JC_DS,0),MATCH(T53,CC_DS,0)),
IF(AA53="SALUD",OFFSET('PARÁMETROS'!$K$29,MATCH(U53,JC_SA,0),MATCH(T53,CC_SA,0)),
IF(AA53="MEDIO AMBIENTE",OFFSET('PARÁMETROS'!$K$20,MATCH(U53,JC_MA,0),MATCH(T53,CC_MA,0)),
IF(AA53="Rel. Gubernamentales",OFFSET('PARÁMETROS'!$K$48,MATCH(U53,JC_G,0),MATCH(T53,CC_G,0)),
IF(AA53="OPERACIONAL",OFFSET('PARÁMETROS'!$K$56,MATCH(U53,JC_OP,0),MATCH(T53,CC_OP,0)),
IF(AA53="FINANCIERO",OFFSET('PARÁMETROS'!$K$56,MATCH(U53,JC_FI,0),MATCH(T53,CC_FI,0)),
OFFSET('PARÁMETROS'!$K$38,MATCH(U53,JC_L,0),MATCH(T53,CC_L,0))))))))),"")</f>
        <v>Control/Acción Satisfactorio</v>
      </c>
      <c r="W53" s="117"/>
      <c r="X53" s="120"/>
      <c r="Y53" s="121"/>
      <c r="Z53" s="30" t="s">
        <v>314</v>
      </c>
      <c r="AA53" s="32" t="str">
        <f>E51</f>
        <v>Seguridad</v>
      </c>
      <c r="AB53" s="33"/>
    </row>
    <row r="54" ht="105.0" customHeight="1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8" t="s">
        <v>258</v>
      </c>
      <c r="Q54" s="119" t="s">
        <v>470</v>
      </c>
      <c r="R54" s="119" t="s">
        <v>83</v>
      </c>
      <c r="S54" s="119" t="s">
        <v>84</v>
      </c>
      <c r="T54" s="120" t="s">
        <v>6</v>
      </c>
      <c r="U54" s="120" t="s">
        <v>162</v>
      </c>
      <c r="V54" s="120" t="str">
        <f>IFERROR(IF(AA54="SEGURIDAD",OFFSET('PARÁMETROS'!$K$2,MATCH(U54,JC_SE,0),MATCH(T54,CC_SE,0)),
IF(OR(AA54="DSRC/Estratégico",AA54="DSRC/Operativo"),OFFSET('PARÁMETROS'!$K$11,MATCH(U54,JC_DS,0),MATCH(T54,CC_DS,0)),
IF(AA54="SALUD",OFFSET('PARÁMETROS'!$K$29,MATCH(U54,JC_SA,0),MATCH(T54,CC_SA,0)),
IF(AA54="MEDIO AMBIENTE",OFFSET('PARÁMETROS'!$K$20,MATCH(U54,JC_MA,0),MATCH(T54,CC_MA,0)),
IF(AA54="Rel. Gubernamentales",OFFSET('PARÁMETROS'!$K$48,MATCH(U54,JC_G,0),MATCH(T54,CC_G,0)),
IF(AA54="OPERACIONAL",OFFSET('PARÁMETROS'!$K$56,MATCH(U54,JC_OP,0),MATCH(T54,CC_OP,0)),
IF(AA54="FINANCIERO",OFFSET('PARÁMETROS'!$K$56,MATCH(U54,JC_FI,0),MATCH(T54,CC_FI,0)),
OFFSET('PARÁMETROS'!$K$38,MATCH(U54,JC_L,0),MATCH(T54,CC_L,0))))))))),"")</f>
        <v>Control/Acción Satisfactorio</v>
      </c>
      <c r="W54" s="117"/>
      <c r="X54" s="120"/>
      <c r="Y54" s="121"/>
      <c r="Z54" s="30" t="s">
        <v>314</v>
      </c>
      <c r="AA54" s="32" t="str">
        <f>E51</f>
        <v>Seguridad</v>
      </c>
      <c r="AB54" s="33"/>
    </row>
    <row r="55" ht="105.0" customHeight="1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8" t="s">
        <v>258</v>
      </c>
      <c r="Q55" s="119" t="s">
        <v>457</v>
      </c>
      <c r="R55" s="119" t="s">
        <v>142</v>
      </c>
      <c r="S55" s="119" t="s">
        <v>120</v>
      </c>
      <c r="T55" s="120" t="s">
        <v>6</v>
      </c>
      <c r="U55" s="120" t="s">
        <v>162</v>
      </c>
      <c r="V55" s="120" t="str">
        <f>IFERROR(IF(AA55="SEGURIDAD",OFFSET('PARÁMETROS'!$K$2,MATCH(U55,JC_SE,0),MATCH(T55,CC_SE,0)),
IF(OR(AA55="DSRC/Estratégico",AA55="DSRC/Operativo"),OFFSET('PARÁMETROS'!$K$11,MATCH(U55,JC_DS,0),MATCH(T55,CC_DS,0)),
IF(AA55="SALUD",OFFSET('PARÁMETROS'!$K$29,MATCH(U55,JC_SA,0),MATCH(T55,CC_SA,0)),
IF(AA55="MEDIO AMBIENTE",OFFSET('PARÁMETROS'!$K$20,MATCH(U55,JC_MA,0),MATCH(T55,CC_MA,0)),
IF(AA55="Rel. Gubernamentales",OFFSET('PARÁMETROS'!$K$48,MATCH(U55,JC_G,0),MATCH(T55,CC_G,0)),
IF(AA55="OPERACIONAL",OFFSET('PARÁMETROS'!$K$56,MATCH(U55,JC_OP,0),MATCH(T55,CC_OP,0)),
IF(AA55="FINANCIERO",OFFSET('PARÁMETROS'!$K$56,MATCH(U55,JC_FI,0),MATCH(T55,CC_FI,0)),
OFFSET('PARÁMETROS'!$K$38,MATCH(U55,JC_L,0),MATCH(T55,CC_L,0))))))))),"")</f>
        <v>Control/Acción Satisfactorio</v>
      </c>
      <c r="W55" s="117"/>
      <c r="X55" s="120"/>
      <c r="Y55" s="121"/>
      <c r="Z55" s="30" t="s">
        <v>314</v>
      </c>
      <c r="AA55" s="32" t="str">
        <f>E51</f>
        <v>Seguridad</v>
      </c>
      <c r="AB55" s="33"/>
    </row>
    <row r="56" ht="105.0" customHeight="1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8" t="s">
        <v>302</v>
      </c>
      <c r="Q56" s="119" t="s">
        <v>451</v>
      </c>
      <c r="R56" s="119" t="s">
        <v>106</v>
      </c>
      <c r="S56" s="119" t="s">
        <v>265</v>
      </c>
      <c r="T56" s="120" t="s">
        <v>7</v>
      </c>
      <c r="U56" s="120" t="s">
        <v>182</v>
      </c>
      <c r="V56" s="120" t="str">
        <f>IFERROR(IF(AA56="SEGURIDAD",OFFSET('PARÁMETROS'!$K$2,MATCH(U56,JC_SE,0),MATCH(T56,CC_SE,0)),
IF(OR(AA56="DSRC/Estratégico",AA56="DSRC/Operativo"),OFFSET('PARÁMETROS'!$K$11,MATCH(U56,JC_DS,0),MATCH(T56,CC_DS,0)),
IF(AA56="SALUD",OFFSET('PARÁMETROS'!$K$29,MATCH(U56,JC_SA,0),MATCH(T56,CC_SA,0)),
IF(AA56="MEDIO AMBIENTE",OFFSET('PARÁMETROS'!$K$20,MATCH(U56,JC_MA,0),MATCH(T56,CC_MA,0)),
IF(AA56="Rel. Gubernamentales",OFFSET('PARÁMETROS'!$K$48,MATCH(U56,JC_G,0),MATCH(T56,CC_G,0)),
IF(AA56="OPERACIONAL",OFFSET('PARÁMETROS'!$K$56,MATCH(U56,JC_OP,0),MATCH(T56,CC_OP,0)),
IF(AA56="FINANCIERO",OFFSET('PARÁMETROS'!$K$56,MATCH(U56,JC_FI,0),MATCH(T56,CC_FI,0)),
OFFSET('PARÁMETROS'!$K$38,MATCH(U56,JC_L,0),MATCH(T56,CC_L,0))))))))),"")</f>
        <v>Control/Acción Satisfactorio</v>
      </c>
      <c r="W56" s="117"/>
      <c r="X56" s="120"/>
      <c r="Y56" s="121"/>
      <c r="Z56" s="30" t="s">
        <v>314</v>
      </c>
      <c r="AA56" s="32" t="str">
        <f>E51</f>
        <v>Seguridad</v>
      </c>
      <c r="AB56" s="33"/>
    </row>
    <row r="57" ht="105.0" customHeight="1">
      <c r="A57" s="116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8" t="s">
        <v>258</v>
      </c>
      <c r="Q57" s="119" t="s">
        <v>458</v>
      </c>
      <c r="R57" s="119" t="s">
        <v>83</v>
      </c>
      <c r="S57" s="119" t="s">
        <v>51</v>
      </c>
      <c r="T57" s="120" t="s">
        <v>7</v>
      </c>
      <c r="U57" s="120" t="s">
        <v>162</v>
      </c>
      <c r="V57" s="120" t="str">
        <f>IFERROR(IF(AA57="SEGURIDAD",OFFSET('PARÁMETROS'!$K$2,MATCH(U57,JC_SE,0),MATCH(T57,CC_SE,0)),
IF(OR(AA57="DSRC/Estratégico",AA57="DSRC/Operativo"),OFFSET('PARÁMETROS'!$K$11,MATCH(U57,JC_DS,0),MATCH(T57,CC_DS,0)),
IF(AA57="SALUD",OFFSET('PARÁMETROS'!$K$29,MATCH(U57,JC_SA,0),MATCH(T57,CC_SA,0)),
IF(AA57="MEDIO AMBIENTE",OFFSET('PARÁMETROS'!$K$20,MATCH(U57,JC_MA,0),MATCH(T57,CC_MA,0)),
IF(AA57="Rel. Gubernamentales",OFFSET('PARÁMETROS'!$K$48,MATCH(U57,JC_G,0),MATCH(T57,CC_G,0)),
IF(AA57="OPERACIONAL",OFFSET('PARÁMETROS'!$K$56,MATCH(U57,JC_OP,0),MATCH(T57,CC_OP,0)),
IF(AA57="FINANCIERO",OFFSET('PARÁMETROS'!$K$56,MATCH(U57,JC_FI,0),MATCH(T57,CC_FI,0)),
OFFSET('PARÁMETROS'!$K$38,MATCH(U57,JC_L,0),MATCH(T57,CC_L,0))))))))),"")</f>
        <v>Control/Acción Eficaz</v>
      </c>
      <c r="W57" s="117"/>
      <c r="X57" s="120"/>
      <c r="Y57" s="121"/>
      <c r="Z57" s="30" t="s">
        <v>314</v>
      </c>
      <c r="AA57" s="32" t="str">
        <f>E51</f>
        <v>Seguridad</v>
      </c>
      <c r="AB57" s="33"/>
    </row>
    <row r="58" ht="105.0" customHeight="1">
      <c r="A58" s="116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8" t="s">
        <v>117</v>
      </c>
      <c r="Q58" s="119" t="s">
        <v>471</v>
      </c>
      <c r="R58" s="119" t="s">
        <v>142</v>
      </c>
      <c r="S58" s="119" t="s">
        <v>201</v>
      </c>
      <c r="T58" s="120" t="s">
        <v>6</v>
      </c>
      <c r="U58" s="120" t="s">
        <v>111</v>
      </c>
      <c r="V58" s="120" t="str">
        <f>IFERROR(IF(AA58="SEGURIDAD",OFFSET('PARÁMETROS'!$K$2,MATCH(U58,JC_SE,0),MATCH(T58,CC_SE,0)),
IF(OR(AA58="DSRC/Estratégico",AA58="DSRC/Operativo"),OFFSET('PARÁMETROS'!$K$11,MATCH(U58,JC_DS,0),MATCH(T58,CC_DS,0)),
IF(AA58="SALUD",OFFSET('PARÁMETROS'!$K$29,MATCH(U58,JC_SA,0),MATCH(T58,CC_SA,0)),
IF(AA58="MEDIO AMBIENTE",OFFSET('PARÁMETROS'!$K$20,MATCH(U58,JC_MA,0),MATCH(T58,CC_MA,0)),
IF(AA58="Rel. Gubernamentales",OFFSET('PARÁMETROS'!$K$48,MATCH(U58,JC_G,0),MATCH(T58,CC_G,0)),
IF(AA58="OPERACIONAL",OFFSET('PARÁMETROS'!$K$56,MATCH(U58,JC_OP,0),MATCH(T58,CC_OP,0)),
IF(AA58="FINANCIERO",OFFSET('PARÁMETROS'!$K$56,MATCH(U58,JC_FI,0),MATCH(T58,CC_FI,0)),
OFFSET('PARÁMETROS'!$K$38,MATCH(U58,JC_L,0),MATCH(T58,CC_L,0))))))))),"")</f>
        <v>Control/Acción Satisfactorio</v>
      </c>
      <c r="W58" s="117"/>
      <c r="X58" s="120"/>
      <c r="Y58" s="121"/>
      <c r="Z58" s="30" t="s">
        <v>314</v>
      </c>
      <c r="AA58" s="32" t="str">
        <f>E51</f>
        <v>Seguridad</v>
      </c>
      <c r="AB58" s="33"/>
    </row>
    <row r="59" ht="105.0" customHeight="1">
      <c r="A59" s="116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8" t="s">
        <v>105</v>
      </c>
      <c r="Q59" s="119" t="s">
        <v>462</v>
      </c>
      <c r="R59" s="119" t="s">
        <v>142</v>
      </c>
      <c r="S59" s="119" t="s">
        <v>201</v>
      </c>
      <c r="T59" s="120" t="s">
        <v>6</v>
      </c>
      <c r="U59" s="120" t="s">
        <v>162</v>
      </c>
      <c r="V59" s="120" t="str">
        <f>IFERROR(IF(AA59="SEGURIDAD",OFFSET('PARÁMETROS'!$K$2,MATCH(U59,JC_SE,0),MATCH(T59,CC_SE,0)),
IF(OR(AA59="DSRC/Estratégico",AA59="DSRC/Operativo"),OFFSET('PARÁMETROS'!$K$11,MATCH(U59,JC_DS,0),MATCH(T59,CC_DS,0)),
IF(AA59="SALUD",OFFSET('PARÁMETROS'!$K$29,MATCH(U59,JC_SA,0),MATCH(T59,CC_SA,0)),
IF(AA59="MEDIO AMBIENTE",OFFSET('PARÁMETROS'!$K$20,MATCH(U59,JC_MA,0),MATCH(T59,CC_MA,0)),
IF(AA59="Rel. Gubernamentales",OFFSET('PARÁMETROS'!$K$48,MATCH(U59,JC_G,0),MATCH(T59,CC_G,0)),
IF(AA59="OPERACIONAL",OFFSET('PARÁMETROS'!$K$56,MATCH(U59,JC_OP,0),MATCH(T59,CC_OP,0)),
IF(AA59="FINANCIERO",OFFSET('PARÁMETROS'!$K$56,MATCH(U59,JC_FI,0),MATCH(T59,CC_FI,0)),
OFFSET('PARÁMETROS'!$K$38,MATCH(U59,JC_L,0),MATCH(T59,CC_L,0))))))))),"")</f>
        <v>Control/Acción Satisfactorio</v>
      </c>
      <c r="W59" s="117"/>
      <c r="X59" s="120"/>
      <c r="Y59" s="121"/>
      <c r="Z59" s="30" t="s">
        <v>314</v>
      </c>
      <c r="AA59" s="32" t="str">
        <f>E51</f>
        <v>Seguridad</v>
      </c>
      <c r="AB59" s="33"/>
    </row>
    <row r="60" ht="105.0" customHeight="1">
      <c r="A60" s="116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8" t="s">
        <v>89</v>
      </c>
      <c r="Q60" s="119" t="s">
        <v>472</v>
      </c>
      <c r="R60" s="119" t="s">
        <v>142</v>
      </c>
      <c r="S60" s="119" t="s">
        <v>201</v>
      </c>
      <c r="T60" s="120" t="s">
        <v>7</v>
      </c>
      <c r="U60" s="120" t="s">
        <v>162</v>
      </c>
      <c r="V60" s="120" t="str">
        <f>IFERROR(IF(AA60="SEGURIDAD",OFFSET('PARÁMETROS'!$K$2,MATCH(U60,JC_SE,0),MATCH(T60,CC_SE,0)),
IF(OR(AA60="DSRC/Estratégico",AA60="DSRC/Operativo"),OFFSET('PARÁMETROS'!$K$11,MATCH(U60,JC_DS,0),MATCH(T60,CC_DS,0)),
IF(AA60="SALUD",OFFSET('PARÁMETROS'!$K$29,MATCH(U60,JC_SA,0),MATCH(T60,CC_SA,0)),
IF(AA60="MEDIO AMBIENTE",OFFSET('PARÁMETROS'!$K$20,MATCH(U60,JC_MA,0),MATCH(T60,CC_MA,0)),
IF(AA60="Rel. Gubernamentales",OFFSET('PARÁMETROS'!$K$48,MATCH(U60,JC_G,0),MATCH(T60,CC_G,0)),
IF(AA60="OPERACIONAL",OFFSET('PARÁMETROS'!$K$56,MATCH(U60,JC_OP,0),MATCH(T60,CC_OP,0)),
IF(AA60="FINANCIERO",OFFSET('PARÁMETROS'!$K$56,MATCH(U60,JC_FI,0),MATCH(T60,CC_FI,0)),
OFFSET('PARÁMETROS'!$K$38,MATCH(U60,JC_L,0),MATCH(T60,CC_L,0))))))))),"")</f>
        <v>Control/Acción Eficaz</v>
      </c>
      <c r="W60" s="117"/>
      <c r="X60" s="120"/>
      <c r="Y60" s="121"/>
      <c r="Z60" s="30" t="s">
        <v>314</v>
      </c>
      <c r="AA60" s="32" t="str">
        <f>E51</f>
        <v>Seguridad</v>
      </c>
      <c r="AB60" s="33"/>
    </row>
    <row r="61" ht="105.0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134" t="s">
        <v>72</v>
      </c>
      <c r="Q61" s="135" t="s">
        <v>473</v>
      </c>
      <c r="R61" s="135" t="s">
        <v>142</v>
      </c>
      <c r="S61" s="135" t="s">
        <v>201</v>
      </c>
      <c r="T61" s="136" t="s">
        <v>6</v>
      </c>
      <c r="U61" s="136" t="s">
        <v>137</v>
      </c>
      <c r="V61" s="136" t="str">
        <f>IFERROR(IF(AA61="SEGURIDAD",OFFSET('PARÁMETROS'!$K$2,MATCH(U61,JC_SE,0),MATCH(T61,CC_SE,0)),
IF(OR(AA61="DSRC/Estratégico",AA61="DSRC/Operativo"),OFFSET('PARÁMETROS'!$K$11,MATCH(U61,JC_DS,0),MATCH(T61,CC_DS,0)),
IF(AA61="SALUD",OFFSET('PARÁMETROS'!$K$29,MATCH(U61,JC_SA,0),MATCH(T61,CC_SA,0)),
IF(AA61="MEDIO AMBIENTE",OFFSET('PARÁMETROS'!$K$20,MATCH(U61,JC_MA,0),MATCH(T61,CC_MA,0)),
IF(AA61="Rel. Gubernamentales",OFFSET('PARÁMETROS'!$K$48,MATCH(U61,JC_G,0),MATCH(T61,CC_G,0)),
IF(AA61="OPERACIONAL",OFFSET('PARÁMETROS'!$K$56,MATCH(U61,JC_OP,0),MATCH(T61,CC_OP,0)),
IF(AA61="FINANCIERO",OFFSET('PARÁMETROS'!$K$56,MATCH(U61,JC_FI,0),MATCH(T61,CC_FI,0)),
OFFSET('PARÁMETROS'!$K$38,MATCH(U61,JC_L,0),MATCH(T61,CC_L,0))))))))),"")</f>
        <v>Control/Acción Satisfactorio</v>
      </c>
      <c r="W61" s="69"/>
      <c r="X61" s="136"/>
      <c r="Y61" s="137"/>
      <c r="Z61" s="30" t="s">
        <v>314</v>
      </c>
      <c r="AA61" s="32" t="str">
        <f>E51</f>
        <v>Seguridad</v>
      </c>
      <c r="AB61" s="33"/>
    </row>
    <row r="62" ht="105.0" customHeight="1">
      <c r="A62" s="79">
        <v>6.0</v>
      </c>
      <c r="B62" s="80" t="s">
        <v>172</v>
      </c>
      <c r="C62" s="80" t="s">
        <v>173</v>
      </c>
      <c r="D62" s="80" t="s">
        <v>177</v>
      </c>
      <c r="E62" s="80" t="s">
        <v>181</v>
      </c>
      <c r="F62" s="80" t="s">
        <v>387</v>
      </c>
      <c r="G62" s="80" t="s">
        <v>474</v>
      </c>
      <c r="H62" s="80" t="s">
        <v>404</v>
      </c>
      <c r="I62" s="80" t="s">
        <v>475</v>
      </c>
      <c r="J62" s="80">
        <v>2.0</v>
      </c>
      <c r="K62" s="80">
        <v>2.0</v>
      </c>
      <c r="L62" s="80">
        <f>IF(OR(J62&lt;&gt;"",K62&lt;&gt;""),OFFSET('PARÁMETROS'!$B$2,K62,J62),"")</f>
        <v>5</v>
      </c>
      <c r="M62" s="80">
        <v>4.0</v>
      </c>
      <c r="N62" s="80">
        <f>IFERROR(L62*M62,"")</f>
        <v>20</v>
      </c>
      <c r="O62" s="89" t="str">
        <f>IF(N62="","",IFERROR(IF(N62&lt;=2,"ACEPTABLE",IF(N62&lt;=6,"BAJA",IF(N62&lt;=10,"ACEPTABLE CON REVISIÓN",IF(N62&lt;=15,"SUSTANCIAL","INACEPTABLE")))),""))</f>
        <v>INACEPTABLE</v>
      </c>
      <c r="P62" s="109" t="s">
        <v>258</v>
      </c>
      <c r="Q62" s="110" t="s">
        <v>476</v>
      </c>
      <c r="R62" s="110" t="s">
        <v>142</v>
      </c>
      <c r="S62" s="110" t="s">
        <v>120</v>
      </c>
      <c r="T62" s="111" t="s">
        <v>5</v>
      </c>
      <c r="U62" s="111" t="s">
        <v>162</v>
      </c>
      <c r="V62" s="111" t="str">
        <f>IFERROR(IF(AA62="SEGURIDAD",OFFSET('PARÁMETROS'!$K$2,MATCH(U62,JC_SE,0),MATCH(T62,CC_SE,0)),
IF(OR(AA62="DSRC/Estratégico",AA62="DSRC/Operativo"),OFFSET('PARÁMETROS'!$K$11,MATCH(U62,JC_DS,0),MATCH(T62,CC_DS,0)),
IF(AA62="SALUD",OFFSET('PARÁMETROS'!$K$29,MATCH(U62,JC_SA,0),MATCH(T62,CC_SA,0)),
IF(AA62="MEDIO AMBIENTE",OFFSET('PARÁMETROS'!$K$20,MATCH(U62,JC_MA,0),MATCH(T62,CC_MA,0)),
IF(AA62="Rel. Gubernamentales",OFFSET('PARÁMETROS'!$K$48,MATCH(U62,JC_G,0),MATCH(T62,CC_G,0)),
IF(AA62="OPERACIONAL",OFFSET('PARÁMETROS'!$K$56,MATCH(U62,JC_OP,0),MATCH(T62,CC_OP,0)),
IF(AA62="FINANCIERO",OFFSET('PARÁMETROS'!$K$56,MATCH(U62,JC_FI,0),MATCH(T62,CC_FI,0)),
OFFSET('PARÁMETROS'!$K$38,MATCH(U62,JC_L,0),MATCH(T62,CC_L,0))))))))),"")</f>
        <v>Control/Acción No Eficaz</v>
      </c>
      <c r="W62" s="89" t="str">
        <f>IF(E62="","",
IF(COUNTA( V62:V79)-COUNTBLANK( V62:V79)=1,
IF(O62="INACEPTABLE",IF(COUNTIF( V62:V79,"Control/Acción Eficaz")&gt;=1,"SUSTANCIAL","INACEPTABLE"),
IF(O62="SUSTANCIAL",IF(COUNTIF( V62:V79,"Control/Acción Eficaz")&gt;=1,"ACEPTABLE CON REVISIÓN","SUSTANCIAL"),
IF(O62="ACEPTABLE CON REVISIÓN",IF(COUNTIF( V62:V79,"Control/Acción Eficaz")&gt;=1,"BAJA","ACEPTABLE CON REVISIÓN"),
IF(O62="BAJA",IF(COUNTIF( V62:V79,"Control/Acción Eficaz")&gt;=1,"ACEPTABLE","BAJA"),)))),
IF(COUNTA( V62:V79)-COUNTBLANK( V62:V79)=2,
IF(O62="INACEPTABLE",IF(COUNTIF( V62:V79,"Control/Acción Eficaz")=2,"ACEPTABLE CON REVISIÓN",
IF(OR(AND(COUNTIF( V62:V79,"Control/Acción Eficaz")=1,COUNTIF( V62:V79,"Control/Acción Satisfactorio")=1),
AND(COUNTIF( V62:V79,"Control/Acción Eficaz")=1,COUNTIF( V62:V79,"Control/Acción No Eficaz")=1)),"SUSTANCIAL","INACEPTABLE")),
IF(O62="SUSTANCIAL",IF(COUNTIF( V62:V79,"Control/Acción Eficaz")=2,"BAJA",
IF(OR(AND(COUNTIF( V62:V79,"Control/Acción Eficaz")=1,COUNTIF( V62:V79,"Control/Acción Satisfactorio")=1),
AND(COUNTIF( V62:V79,"Control/Acción Eficaz")=1,COUNTIF( V62:V79,"Control/Acción No Eficaz")=1)),"ACEPTABLE CON REVISIÓN ","SUSTANCIAL")),
IF(O62="ACEPTABLE CON REVISIÓN",IF(COUNTIF( V62:V79,"Control/Acción Eficaz")=2,"ACEPTABLE",
IF(OR(AND(COUNTIF( V62:V79,"Control/Acción Eficaz")=1,COUNTIF( V62:V79,"Control/Acción Satisfactorio")=1),
AND(COUNTIF( V62:V79,"Control/Acción Eficaz")=1,COUNTIF( V62:V79,"Control/Acción No Eficaz")=1)),"BAJA","ACEPTABLE CON REVISIÓN")),
IF(O62="BAJA",IF(COUNTIF( V62:V79,"Control/Acción Eficaz")&gt;=2,"ACEPTABLE","BAJA"),)))),
IF(COUNTA( V62:V79)-COUNTBLANK( V62:V79)&gt;=3,
IF(O62="INACEPTABLE",
IF(COUNTBLANK( V62:V79)=COUNTA( V62:V79),"",
IF(COUNTIF( V62:V79,"Control/Acción No Eficaz")&gt;=2,"INACEPTABLE",
IF(AND(COUNTIF( V62:V79,"Control/Acción No Eficaz")=0,COUNTIF( V62:V79,"Control/Acción Eficaz")&gt;=2),"ACEPTABLE CON REVISIÓN ","SUSTANCIAL"))),
IF(O62="SUSTANCIAL",
IF(COUNTBLANK( V62:V79)=COUNTA( V62:V79),"",
IF(COUNTIF( V62:V79,"Control/Acción No Eficaz")&gt;=2,"SUSTANCIAL",
IF(AND(COUNTIF( V62:V79,"Control/Acción No Eficaz")=0,COUNTIF( V62:V79,"Control/Acción Eficaz")&gt;=2),"BAJA","ACEPTABLE CON REVISIÓN"))),
IF(O62="ACEPTABLE CON REVISIÓN",
IF(COUNTBLANK( V62:V79)=COUNTA( V62:V79),"",
IF(COUNTIF( V62:V79,"Control/Acción No Eficaz")&gt;=2,"ACEPTABLE CON REVISIÓN",
IF(AND(COUNTIF( V62:V79,"Control/Acción No Eficaz")=0,COUNTIF( V62:V79,"Control/Acción Eficaz")&gt;=2),"ACEPTABLE","BAJA"))),
IF(O62="BAJA",
IF(COUNTBLANK( V62:V79)=COUNTA( V62:V79),"",
IF(AND(COUNTBLANK( V62:V79)&lt;1,COUNTA( V62:V79)=1),
IF(COUNTIF( V62:V79,"Control/Acción No Eficaz")&gt;=2,"BAJA",
IF(AND(COUNTIF( V62:V79,"Control/Acción No Eficaz")=0,COUNTIF( V62:V79,"Control/Acción Eficaz")&gt;=2),"ACEPTABLE","BAJA")),
IF(COUNTIF( V62:V79,"Control/Acción No Eficaz")&gt;=2,"BAJA",
IF(AND(COUNTIF( V62:V79,"Control/Acción No Eficaz")=0,COUNTIF( V62:V79,"Control/Acción Eficaz")&gt;=2),"ACEPTABLE","BAJA")))),
IF(COUNTIF( V62:V79,"")&gt;=5,"",O62))))),
""))))</f>
        <v>INACEPTABLE</v>
      </c>
      <c r="X62" s="111"/>
      <c r="Y62" s="115"/>
      <c r="Z62" s="30" t="s">
        <v>314</v>
      </c>
      <c r="AA62" s="32" t="str">
        <f>E62</f>
        <v>Seguridad</v>
      </c>
      <c r="AB62" s="33"/>
    </row>
    <row r="63" ht="105.0" customHeight="1">
      <c r="A63" s="116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8" t="s">
        <v>105</v>
      </c>
      <c r="Q63" s="119" t="s">
        <v>477</v>
      </c>
      <c r="R63" s="119" t="s">
        <v>142</v>
      </c>
      <c r="S63" s="119" t="s">
        <v>295</v>
      </c>
      <c r="T63" s="120" t="s">
        <v>6</v>
      </c>
      <c r="U63" s="120" t="s">
        <v>162</v>
      </c>
      <c r="V63" s="120" t="str">
        <f>IFERROR(IF(AA63="SEGURIDAD",OFFSET('PARÁMETROS'!$K$2,MATCH(U63,JC_SE,0),MATCH(T63,CC_SE,0)),
IF(OR(AA63="DSRC/Estratégico",AA63="DSRC/Operativo"),OFFSET('PARÁMETROS'!$K$11,MATCH(U63,JC_DS,0),MATCH(T63,CC_DS,0)),
IF(AA63="SALUD",OFFSET('PARÁMETROS'!$K$29,MATCH(U63,JC_SA,0),MATCH(T63,CC_SA,0)),
IF(AA63="MEDIO AMBIENTE",OFFSET('PARÁMETROS'!$K$20,MATCH(U63,JC_MA,0),MATCH(T63,CC_MA,0)),
IF(AA63="Rel. Gubernamentales",OFFSET('PARÁMETROS'!$K$48,MATCH(U63,JC_G,0),MATCH(T63,CC_G,0)),
IF(AA63="OPERACIONAL",OFFSET('PARÁMETROS'!$K$56,MATCH(U63,JC_OP,0),MATCH(T63,CC_OP,0)),
IF(AA63="FINANCIERO",OFFSET('PARÁMETROS'!$K$56,MATCH(U63,JC_FI,0),MATCH(T63,CC_FI,0)),
OFFSET('PARÁMETROS'!$K$38,MATCH(U63,JC_L,0),MATCH(T63,CC_L,0))))))))),"")</f>
        <v>Control/Acción Satisfactorio</v>
      </c>
      <c r="W63" s="117"/>
      <c r="X63" s="120"/>
      <c r="Y63" s="121"/>
      <c r="Z63" s="30" t="s">
        <v>478</v>
      </c>
      <c r="AA63" s="32" t="str">
        <f>E62</f>
        <v>Seguridad</v>
      </c>
      <c r="AB63" s="33"/>
    </row>
    <row r="64" ht="105.0" customHeight="1">
      <c r="A64" s="116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8" t="s">
        <v>258</v>
      </c>
      <c r="Q64" s="119" t="s">
        <v>479</v>
      </c>
      <c r="R64" s="119" t="s">
        <v>142</v>
      </c>
      <c r="S64" s="119" t="s">
        <v>120</v>
      </c>
      <c r="T64" s="120" t="s">
        <v>5</v>
      </c>
      <c r="U64" s="120" t="s">
        <v>162</v>
      </c>
      <c r="V64" s="120" t="str">
        <f>IFERROR(IF(AA64="SEGURIDAD",OFFSET('PARÁMETROS'!$K$2,MATCH(U64,JC_SE,0),MATCH(T64,CC_SE,0)),
IF(OR(AA64="DSRC/Estratégico",AA64="DSRC/Operativo"),OFFSET('PARÁMETROS'!$K$11,MATCH(U64,JC_DS,0),MATCH(T64,CC_DS,0)),
IF(AA64="SALUD",OFFSET('PARÁMETROS'!$K$29,MATCH(U64,JC_SA,0),MATCH(T64,CC_SA,0)),
IF(AA64="MEDIO AMBIENTE",OFFSET('PARÁMETROS'!$K$20,MATCH(U64,JC_MA,0),MATCH(T64,CC_MA,0)),
IF(AA64="Rel. Gubernamentales",OFFSET('PARÁMETROS'!$K$48,MATCH(U64,JC_G,0),MATCH(T64,CC_G,0)),
IF(AA64="OPERACIONAL",OFFSET('PARÁMETROS'!$K$56,MATCH(U64,JC_OP,0),MATCH(T64,CC_OP,0)),
IF(AA64="FINANCIERO",OFFSET('PARÁMETROS'!$K$56,MATCH(U64,JC_FI,0),MATCH(T64,CC_FI,0)),
OFFSET('PARÁMETROS'!$K$38,MATCH(U64,JC_L,0),MATCH(T64,CC_L,0))))))))),"")</f>
        <v>Control/Acción No Eficaz</v>
      </c>
      <c r="W64" s="117"/>
      <c r="X64" s="120"/>
      <c r="Y64" s="121"/>
      <c r="Z64" s="30" t="s">
        <v>314</v>
      </c>
      <c r="AA64" s="32" t="str">
        <f>E62</f>
        <v>Seguridad</v>
      </c>
      <c r="AB64" s="33"/>
    </row>
    <row r="65" ht="105.0" customHeight="1">
      <c r="A65" s="116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8" t="s">
        <v>258</v>
      </c>
      <c r="Q65" s="119" t="s">
        <v>480</v>
      </c>
      <c r="R65" s="119" t="s">
        <v>142</v>
      </c>
      <c r="S65" s="119" t="s">
        <v>120</v>
      </c>
      <c r="T65" s="120" t="s">
        <v>5</v>
      </c>
      <c r="U65" s="120" t="s">
        <v>162</v>
      </c>
      <c r="V65" s="120" t="str">
        <f>IFERROR(IF(AA65="SEGURIDAD",OFFSET('PARÁMETROS'!$K$2,MATCH(U65,JC_SE,0),MATCH(T65,CC_SE,0)),
IF(OR(AA65="DSRC/Estratégico",AA65="DSRC/Operativo"),OFFSET('PARÁMETROS'!$K$11,MATCH(U65,JC_DS,0),MATCH(T65,CC_DS,0)),
IF(AA65="SALUD",OFFSET('PARÁMETROS'!$K$29,MATCH(U65,JC_SA,0),MATCH(T65,CC_SA,0)),
IF(AA65="MEDIO AMBIENTE",OFFSET('PARÁMETROS'!$K$20,MATCH(U65,JC_MA,0),MATCH(T65,CC_MA,0)),
IF(AA65="Rel. Gubernamentales",OFFSET('PARÁMETROS'!$K$48,MATCH(U65,JC_G,0),MATCH(T65,CC_G,0)),
IF(AA65="OPERACIONAL",OFFSET('PARÁMETROS'!$K$56,MATCH(U65,JC_OP,0),MATCH(T65,CC_OP,0)),
IF(AA65="FINANCIERO",OFFSET('PARÁMETROS'!$K$56,MATCH(U65,JC_FI,0),MATCH(T65,CC_FI,0)),
OFFSET('PARÁMETROS'!$K$38,MATCH(U65,JC_L,0),MATCH(T65,CC_L,0))))))))),"")</f>
        <v>Control/Acción No Eficaz</v>
      </c>
      <c r="W65" s="117"/>
      <c r="X65" s="120"/>
      <c r="Y65" s="121"/>
      <c r="Z65" s="30" t="s">
        <v>314</v>
      </c>
      <c r="AA65" s="32" t="str">
        <f>E62</f>
        <v>Seguridad</v>
      </c>
      <c r="AB65" s="33"/>
    </row>
    <row r="66" ht="105.0" customHeight="1">
      <c r="A66" s="116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8" t="s">
        <v>105</v>
      </c>
      <c r="Q66" s="119" t="s">
        <v>481</v>
      </c>
      <c r="R66" s="119" t="s">
        <v>142</v>
      </c>
      <c r="S66" s="119" t="s">
        <v>295</v>
      </c>
      <c r="T66" s="120" t="s">
        <v>7</v>
      </c>
      <c r="U66" s="120" t="s">
        <v>162</v>
      </c>
      <c r="V66" s="120" t="str">
        <f>IFERROR(IF(AA66="SEGURIDAD",OFFSET('PARÁMETROS'!$K$2,MATCH(U66,JC_SE,0),MATCH(T66,CC_SE,0)),
IF(OR(AA66="DSRC/Estratégico",AA66="DSRC/Operativo"),OFFSET('PARÁMETROS'!$K$11,MATCH(U66,JC_DS,0),MATCH(T66,CC_DS,0)),
IF(AA66="SALUD",OFFSET('PARÁMETROS'!$K$29,MATCH(U66,JC_SA,0),MATCH(T66,CC_SA,0)),
IF(AA66="MEDIO AMBIENTE",OFFSET('PARÁMETROS'!$K$20,MATCH(U66,JC_MA,0),MATCH(T66,CC_MA,0)),
IF(AA66="Rel. Gubernamentales",OFFSET('PARÁMETROS'!$K$48,MATCH(U66,JC_G,0),MATCH(T66,CC_G,0)),
IF(AA66="OPERACIONAL",OFFSET('PARÁMETROS'!$K$56,MATCH(U66,JC_OP,0),MATCH(T66,CC_OP,0)),
IF(AA66="FINANCIERO",OFFSET('PARÁMETROS'!$K$56,MATCH(U66,JC_FI,0),MATCH(T66,CC_FI,0)),
OFFSET('PARÁMETROS'!$K$38,MATCH(U66,JC_L,0),MATCH(T66,CC_L,0))))))))),"")</f>
        <v>Control/Acción Eficaz</v>
      </c>
      <c r="W66" s="117"/>
      <c r="X66" s="120"/>
      <c r="Y66" s="121"/>
      <c r="Z66" s="30" t="s">
        <v>314</v>
      </c>
      <c r="AA66" s="32" t="str">
        <f>E62</f>
        <v>Seguridad</v>
      </c>
      <c r="AB66" s="33"/>
    </row>
    <row r="67" ht="105.0" customHeight="1">
      <c r="A67" s="116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8" t="s">
        <v>117</v>
      </c>
      <c r="Q67" s="119" t="s">
        <v>482</v>
      </c>
      <c r="R67" s="119" t="s">
        <v>142</v>
      </c>
      <c r="S67" s="119" t="s">
        <v>295</v>
      </c>
      <c r="T67" s="120" t="s">
        <v>6</v>
      </c>
      <c r="U67" s="120" t="s">
        <v>111</v>
      </c>
      <c r="V67" s="120" t="str">
        <f>IFERROR(IF(AA67="SEGURIDAD",OFFSET('PARÁMETROS'!$K$2,MATCH(U67,JC_SE,0),MATCH(T67,CC_SE,0)),
IF(OR(AA67="DSRC/Estratégico",AA67="DSRC/Operativo"),OFFSET('PARÁMETROS'!$K$11,MATCH(U67,JC_DS,0),MATCH(T67,CC_DS,0)),
IF(AA67="SALUD",OFFSET('PARÁMETROS'!$K$29,MATCH(U67,JC_SA,0),MATCH(T67,CC_SA,0)),
IF(AA67="MEDIO AMBIENTE",OFFSET('PARÁMETROS'!$K$20,MATCH(U67,JC_MA,0),MATCH(T67,CC_MA,0)),
IF(AA67="Rel. Gubernamentales",OFFSET('PARÁMETROS'!$K$48,MATCH(U67,JC_G,0),MATCH(T67,CC_G,0)),
IF(AA67="OPERACIONAL",OFFSET('PARÁMETROS'!$K$56,MATCH(U67,JC_OP,0),MATCH(T67,CC_OP,0)),
IF(AA67="FINANCIERO",OFFSET('PARÁMETROS'!$K$56,MATCH(U67,JC_FI,0),MATCH(T67,CC_FI,0)),
OFFSET('PARÁMETROS'!$K$38,MATCH(U67,JC_L,0),MATCH(T67,CC_L,0))))))))),"")</f>
        <v>Control/Acción Satisfactorio</v>
      </c>
      <c r="W67" s="117"/>
      <c r="X67" s="120"/>
      <c r="Y67" s="121"/>
      <c r="Z67" s="30" t="s">
        <v>314</v>
      </c>
      <c r="AA67" s="32" t="str">
        <f>E62</f>
        <v>Seguridad</v>
      </c>
      <c r="AB67" s="33"/>
    </row>
    <row r="68" ht="105.0" customHeight="1">
      <c r="A68" s="116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8" t="s">
        <v>258</v>
      </c>
      <c r="Q68" s="119" t="s">
        <v>483</v>
      </c>
      <c r="R68" s="119" t="s">
        <v>142</v>
      </c>
      <c r="S68" s="119" t="s">
        <v>120</v>
      </c>
      <c r="T68" s="120" t="s">
        <v>5</v>
      </c>
      <c r="U68" s="120" t="s">
        <v>162</v>
      </c>
      <c r="V68" s="120" t="str">
        <f>IFERROR(IF(AA68="SEGURIDAD",OFFSET('PARÁMETROS'!$K$2,MATCH(U68,JC_SE,0),MATCH(T68,CC_SE,0)),
IF(OR(AA68="DSRC/Estratégico",AA68="DSRC/Operativo"),OFFSET('PARÁMETROS'!$K$11,MATCH(U68,JC_DS,0),MATCH(T68,CC_DS,0)),
IF(AA68="SALUD",OFFSET('PARÁMETROS'!$K$29,MATCH(U68,JC_SA,0),MATCH(T68,CC_SA,0)),
IF(AA68="MEDIO AMBIENTE",OFFSET('PARÁMETROS'!$K$20,MATCH(U68,JC_MA,0),MATCH(T68,CC_MA,0)),
IF(AA68="Rel. Gubernamentales",OFFSET('PARÁMETROS'!$K$48,MATCH(U68,JC_G,0),MATCH(T68,CC_G,0)),
IF(AA68="OPERACIONAL",OFFSET('PARÁMETROS'!$K$56,MATCH(U68,JC_OP,0),MATCH(T68,CC_OP,0)),
IF(AA68="FINANCIERO",OFFSET('PARÁMETROS'!$K$56,MATCH(U68,JC_FI,0),MATCH(T68,CC_FI,0)),
OFFSET('PARÁMETROS'!$K$38,MATCH(U68,JC_L,0),MATCH(T68,CC_L,0))))))))),"")</f>
        <v>Control/Acción No Eficaz</v>
      </c>
      <c r="W68" s="117"/>
      <c r="X68" s="120"/>
      <c r="Y68" s="121"/>
      <c r="Z68" s="30" t="s">
        <v>314</v>
      </c>
      <c r="AA68" s="32" t="str">
        <f>E62</f>
        <v>Seguridad</v>
      </c>
      <c r="AB68" s="33"/>
    </row>
    <row r="69" ht="105.0" customHeight="1">
      <c r="A69" s="116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8" t="s">
        <v>105</v>
      </c>
      <c r="Q69" s="119" t="s">
        <v>484</v>
      </c>
      <c r="R69" s="119" t="s">
        <v>142</v>
      </c>
      <c r="S69" s="119" t="s">
        <v>295</v>
      </c>
      <c r="T69" s="120" t="s">
        <v>6</v>
      </c>
      <c r="U69" s="120" t="s">
        <v>162</v>
      </c>
      <c r="V69" s="120" t="str">
        <f>IFERROR(IF(AA69="SEGURIDAD",OFFSET('PARÁMETROS'!$K$2,MATCH(U69,JC_SE,0),MATCH(T69,CC_SE,0)),
IF(OR(AA69="DSRC/Estratégico",AA69="DSRC/Operativo"),OFFSET('PARÁMETROS'!$K$11,MATCH(U69,JC_DS,0),MATCH(T69,CC_DS,0)),
IF(AA69="SALUD",OFFSET('PARÁMETROS'!$K$29,MATCH(U69,JC_SA,0),MATCH(T69,CC_SA,0)),
IF(AA69="MEDIO AMBIENTE",OFFSET('PARÁMETROS'!$K$20,MATCH(U69,JC_MA,0),MATCH(T69,CC_MA,0)),
IF(AA69="Rel. Gubernamentales",OFFSET('PARÁMETROS'!$K$48,MATCH(U69,JC_G,0),MATCH(T69,CC_G,0)),
IF(AA69="OPERACIONAL",OFFSET('PARÁMETROS'!$K$56,MATCH(U69,JC_OP,0),MATCH(T69,CC_OP,0)),
IF(AA69="FINANCIERO",OFFSET('PARÁMETROS'!$K$56,MATCH(U69,JC_FI,0),MATCH(T69,CC_FI,0)),
OFFSET('PARÁMETROS'!$K$38,MATCH(U69,JC_L,0),MATCH(T69,CC_L,0))))))))),"")</f>
        <v>Control/Acción Satisfactorio</v>
      </c>
      <c r="W69" s="117"/>
      <c r="X69" s="120"/>
      <c r="Y69" s="121"/>
      <c r="Z69" s="30" t="s">
        <v>314</v>
      </c>
      <c r="AA69" s="32" t="str">
        <f>E62</f>
        <v>Seguridad</v>
      </c>
      <c r="AB69" s="33"/>
    </row>
    <row r="70" ht="105.0" customHeight="1">
      <c r="A70" s="116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8" t="s">
        <v>258</v>
      </c>
      <c r="Q70" s="119" t="s">
        <v>436</v>
      </c>
      <c r="R70" s="119" t="s">
        <v>83</v>
      </c>
      <c r="S70" s="119" t="s">
        <v>51</v>
      </c>
      <c r="T70" s="120" t="s">
        <v>7</v>
      </c>
      <c r="U70" s="120" t="s">
        <v>162</v>
      </c>
      <c r="V70" s="120" t="str">
        <f>IFERROR(IF(AA70="SEGURIDAD",OFFSET('PARÁMETROS'!$K$2,MATCH(U70,JC_SE,0),MATCH(T70,CC_SE,0)),
IF(OR(AA70="DSRC/Estratégico",AA70="DSRC/Operativo"),OFFSET('PARÁMETROS'!$K$11,MATCH(U70,JC_DS,0),MATCH(T70,CC_DS,0)),
IF(AA70="SALUD",OFFSET('PARÁMETROS'!$K$29,MATCH(U70,JC_SA,0),MATCH(T70,CC_SA,0)),
IF(AA70="MEDIO AMBIENTE",OFFSET('PARÁMETROS'!$K$20,MATCH(U70,JC_MA,0),MATCH(T70,CC_MA,0)),
IF(AA70="Rel. Gubernamentales",OFFSET('PARÁMETROS'!$K$48,MATCH(U70,JC_G,0),MATCH(T70,CC_G,0)),
IF(AA70="OPERACIONAL",OFFSET('PARÁMETROS'!$K$56,MATCH(U70,JC_OP,0),MATCH(T70,CC_OP,0)),
IF(AA70="FINANCIERO",OFFSET('PARÁMETROS'!$K$56,MATCH(U70,JC_FI,0),MATCH(T70,CC_FI,0)),
OFFSET('PARÁMETROS'!$K$38,MATCH(U70,JC_L,0),MATCH(T70,CC_L,0))))))))),"")</f>
        <v>Control/Acción Eficaz</v>
      </c>
      <c r="W70" s="117"/>
      <c r="X70" s="120"/>
      <c r="Y70" s="121"/>
      <c r="Z70" s="30" t="s">
        <v>314</v>
      </c>
      <c r="AA70" s="32" t="str">
        <f>E62</f>
        <v>Seguridad</v>
      </c>
      <c r="AB70" s="33"/>
    </row>
    <row r="71" ht="105.0" customHeight="1">
      <c r="A71" s="116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8" t="s">
        <v>230</v>
      </c>
      <c r="Q71" s="119" t="s">
        <v>485</v>
      </c>
      <c r="R71" s="119" t="s">
        <v>83</v>
      </c>
      <c r="S71" s="119" t="s">
        <v>51</v>
      </c>
      <c r="T71" s="120" t="s">
        <v>7</v>
      </c>
      <c r="U71" s="120" t="s">
        <v>162</v>
      </c>
      <c r="V71" s="120" t="str">
        <f>IFERROR(IF(AA71="SEGURIDAD",OFFSET('PARÁMETROS'!$K$2,MATCH(U71,JC_SE,0),MATCH(T71,CC_SE,0)),
IF(OR(AA71="DSRC/Estratégico",AA71="DSRC/Operativo"),OFFSET('PARÁMETROS'!$K$11,MATCH(U71,JC_DS,0),MATCH(T71,CC_DS,0)),
IF(AA71="SALUD",OFFSET('PARÁMETROS'!$K$29,MATCH(U71,JC_SA,0),MATCH(T71,CC_SA,0)),
IF(AA71="MEDIO AMBIENTE",OFFSET('PARÁMETROS'!$K$20,MATCH(U71,JC_MA,0),MATCH(T71,CC_MA,0)),
IF(AA71="Rel. Gubernamentales",OFFSET('PARÁMETROS'!$K$48,MATCH(U71,JC_G,0),MATCH(T71,CC_G,0)),
IF(AA71="OPERACIONAL",OFFSET('PARÁMETROS'!$K$56,MATCH(U71,JC_OP,0),MATCH(T71,CC_OP,0)),
IF(AA71="FINANCIERO",OFFSET('PARÁMETROS'!$K$56,MATCH(U71,JC_FI,0),MATCH(T71,CC_FI,0)),
OFFSET('PARÁMETROS'!$K$38,MATCH(U71,JC_L,0),MATCH(T71,CC_L,0))))))))),"")</f>
        <v>Control/Acción Eficaz</v>
      </c>
      <c r="W71" s="117"/>
      <c r="X71" s="120"/>
      <c r="Y71" s="121"/>
      <c r="Z71" s="30" t="s">
        <v>314</v>
      </c>
      <c r="AA71" s="32" t="str">
        <f>E62</f>
        <v>Seguridad</v>
      </c>
      <c r="AB71" s="33"/>
    </row>
    <row r="72" ht="105.0" customHeight="1">
      <c r="A72" s="116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8" t="s">
        <v>258</v>
      </c>
      <c r="Q72" s="119" t="s">
        <v>486</v>
      </c>
      <c r="R72" s="119" t="s">
        <v>83</v>
      </c>
      <c r="S72" s="119" t="s">
        <v>84</v>
      </c>
      <c r="T72" s="120" t="s">
        <v>6</v>
      </c>
      <c r="U72" s="120" t="s">
        <v>162</v>
      </c>
      <c r="V72" s="120" t="str">
        <f>IFERROR(IF(AA72="SEGURIDAD",OFFSET('PARÁMETROS'!$K$2,MATCH(U72,JC_SE,0),MATCH(T72,CC_SE,0)),
IF(OR(AA72="DSRC/Estratégico",AA72="DSRC/Operativo"),OFFSET('PARÁMETROS'!$K$11,MATCH(U72,JC_DS,0),MATCH(T72,CC_DS,0)),
IF(AA72="SALUD",OFFSET('PARÁMETROS'!$K$29,MATCH(U72,JC_SA,0),MATCH(T72,CC_SA,0)),
IF(AA72="MEDIO AMBIENTE",OFFSET('PARÁMETROS'!$K$20,MATCH(U72,JC_MA,0),MATCH(T72,CC_MA,0)),
IF(AA72="Rel. Gubernamentales",OFFSET('PARÁMETROS'!$K$48,MATCH(U72,JC_G,0),MATCH(T72,CC_G,0)),
IF(AA72="OPERACIONAL",OFFSET('PARÁMETROS'!$K$56,MATCH(U72,JC_OP,0),MATCH(T72,CC_OP,0)),
IF(AA72="FINANCIERO",OFFSET('PARÁMETROS'!$K$56,MATCH(U72,JC_FI,0),MATCH(T72,CC_FI,0)),
OFFSET('PARÁMETROS'!$K$38,MATCH(U72,JC_L,0),MATCH(T72,CC_L,0))))))))),"")</f>
        <v>Control/Acción Satisfactorio</v>
      </c>
      <c r="W72" s="117"/>
      <c r="X72" s="120"/>
      <c r="Y72" s="121"/>
      <c r="Z72" s="30" t="s">
        <v>314</v>
      </c>
      <c r="AA72" s="32" t="str">
        <f>E62</f>
        <v>Seguridad</v>
      </c>
      <c r="AB72" s="33"/>
    </row>
    <row r="73" ht="105.0" customHeight="1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8" t="s">
        <v>258</v>
      </c>
      <c r="Q73" s="119" t="s">
        <v>487</v>
      </c>
      <c r="R73" s="119" t="s">
        <v>83</v>
      </c>
      <c r="S73" s="119" t="s">
        <v>84</v>
      </c>
      <c r="T73" s="120" t="s">
        <v>6</v>
      </c>
      <c r="U73" s="120" t="s">
        <v>162</v>
      </c>
      <c r="V73" s="120" t="str">
        <f>IFERROR(IF(AA73="SEGURIDAD",OFFSET('PARÁMETROS'!$K$2,MATCH(U73,JC_SE,0),MATCH(T73,CC_SE,0)),
IF(OR(AA73="DSRC/Estratégico",AA73="DSRC/Operativo"),OFFSET('PARÁMETROS'!$K$11,MATCH(U73,JC_DS,0),MATCH(T73,CC_DS,0)),
IF(AA73="SALUD",OFFSET('PARÁMETROS'!$K$29,MATCH(U73,JC_SA,0),MATCH(T73,CC_SA,0)),
IF(AA73="MEDIO AMBIENTE",OFFSET('PARÁMETROS'!$K$20,MATCH(U73,JC_MA,0),MATCH(T73,CC_MA,0)),
IF(AA73="Rel. Gubernamentales",OFFSET('PARÁMETROS'!$K$48,MATCH(U73,JC_G,0),MATCH(T73,CC_G,0)),
IF(AA73="OPERACIONAL",OFFSET('PARÁMETROS'!$K$56,MATCH(U73,JC_OP,0),MATCH(T73,CC_OP,0)),
IF(AA73="FINANCIERO",OFFSET('PARÁMETROS'!$K$56,MATCH(U73,JC_FI,0),MATCH(T73,CC_FI,0)),
OFFSET('PARÁMETROS'!$K$38,MATCH(U73,JC_L,0),MATCH(T73,CC_L,0))))))))),"")</f>
        <v>Control/Acción Satisfactorio</v>
      </c>
      <c r="W73" s="117"/>
      <c r="X73" s="120"/>
      <c r="Y73" s="121"/>
      <c r="Z73" s="30" t="s">
        <v>314</v>
      </c>
      <c r="AA73" s="32" t="str">
        <f>E62</f>
        <v>Seguridad</v>
      </c>
      <c r="AB73" s="33"/>
    </row>
    <row r="74" ht="105.0" customHeight="1">
      <c r="A74" s="116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8" t="s">
        <v>258</v>
      </c>
      <c r="Q74" s="119" t="s">
        <v>488</v>
      </c>
      <c r="R74" s="119" t="s">
        <v>83</v>
      </c>
      <c r="S74" s="119" t="s">
        <v>84</v>
      </c>
      <c r="T74" s="120" t="s">
        <v>6</v>
      </c>
      <c r="U74" s="120" t="s">
        <v>162</v>
      </c>
      <c r="V74" s="120" t="str">
        <f>IFERROR(IF(AA74="SEGURIDAD",OFFSET('PARÁMETROS'!$K$2,MATCH(U74,JC_SE,0),MATCH(T74,CC_SE,0)),
IF(OR(AA74="DSRC/Estratégico",AA74="DSRC/Operativo"),OFFSET('PARÁMETROS'!$K$11,MATCH(U74,JC_DS,0),MATCH(T74,CC_DS,0)),
IF(AA74="SALUD",OFFSET('PARÁMETROS'!$K$29,MATCH(U74,JC_SA,0),MATCH(T74,CC_SA,0)),
IF(AA74="MEDIO AMBIENTE",OFFSET('PARÁMETROS'!$K$20,MATCH(U74,JC_MA,0),MATCH(T74,CC_MA,0)),
IF(AA74="Rel. Gubernamentales",OFFSET('PARÁMETROS'!$K$48,MATCH(U74,JC_G,0),MATCH(T74,CC_G,0)),
IF(AA74="OPERACIONAL",OFFSET('PARÁMETROS'!$K$56,MATCH(U74,JC_OP,0),MATCH(T74,CC_OP,0)),
IF(AA74="FINANCIERO",OFFSET('PARÁMETROS'!$K$56,MATCH(U74,JC_FI,0),MATCH(T74,CC_FI,0)),
OFFSET('PARÁMETROS'!$K$38,MATCH(U74,JC_L,0),MATCH(T74,CC_L,0))))))))),"")</f>
        <v>Control/Acción Satisfactorio</v>
      </c>
      <c r="W74" s="117"/>
      <c r="X74" s="120"/>
      <c r="Y74" s="121"/>
      <c r="Z74" s="30" t="s">
        <v>314</v>
      </c>
      <c r="AA74" s="32" t="str">
        <f>E62</f>
        <v>Seguridad</v>
      </c>
      <c r="AB74" s="33"/>
    </row>
    <row r="75" ht="105.0" customHeight="1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8" t="s">
        <v>258</v>
      </c>
      <c r="Q75" s="119" t="s">
        <v>489</v>
      </c>
      <c r="R75" s="119" t="s">
        <v>142</v>
      </c>
      <c r="S75" s="119" t="s">
        <v>120</v>
      </c>
      <c r="T75" s="120" t="s">
        <v>6</v>
      </c>
      <c r="U75" s="120" t="s">
        <v>162</v>
      </c>
      <c r="V75" s="120" t="str">
        <f>IFERROR(IF(AA75="SEGURIDAD",OFFSET('PARÁMETROS'!$K$2,MATCH(U75,JC_SE,0),MATCH(T75,CC_SE,0)),
IF(OR(AA75="DSRC/Estratégico",AA75="DSRC/Operativo"),OFFSET('PARÁMETROS'!$K$11,MATCH(U75,JC_DS,0),MATCH(T75,CC_DS,0)),
IF(AA75="SALUD",OFFSET('PARÁMETROS'!$K$29,MATCH(U75,JC_SA,0),MATCH(T75,CC_SA,0)),
IF(AA75="MEDIO AMBIENTE",OFFSET('PARÁMETROS'!$K$20,MATCH(U75,JC_MA,0),MATCH(T75,CC_MA,0)),
IF(AA75="Rel. Gubernamentales",OFFSET('PARÁMETROS'!$K$48,MATCH(U75,JC_G,0),MATCH(T75,CC_G,0)),
IF(AA75="OPERACIONAL",OFFSET('PARÁMETROS'!$K$56,MATCH(U75,JC_OP,0),MATCH(T75,CC_OP,0)),
IF(AA75="FINANCIERO",OFFSET('PARÁMETROS'!$K$56,MATCH(U75,JC_FI,0),MATCH(T75,CC_FI,0)),
OFFSET('PARÁMETROS'!$K$38,MATCH(U75,JC_L,0),MATCH(T75,CC_L,0))))))))),"")</f>
        <v>Control/Acción Satisfactorio</v>
      </c>
      <c r="W75" s="117"/>
      <c r="X75" s="120"/>
      <c r="Y75" s="121"/>
      <c r="Z75" s="30" t="s">
        <v>314</v>
      </c>
      <c r="AA75" s="32" t="str">
        <f>E62</f>
        <v>Seguridad</v>
      </c>
      <c r="AB75" s="33"/>
    </row>
    <row r="76" ht="105.0" customHeight="1">
      <c r="A76" s="116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8" t="s">
        <v>196</v>
      </c>
      <c r="Q76" s="119" t="s">
        <v>490</v>
      </c>
      <c r="R76" s="119" t="s">
        <v>106</v>
      </c>
      <c r="S76" s="119" t="s">
        <v>265</v>
      </c>
      <c r="T76" s="120" t="s">
        <v>7</v>
      </c>
      <c r="U76" s="120" t="s">
        <v>162</v>
      </c>
      <c r="V76" s="120" t="str">
        <f>IFERROR(IF(AA76="SEGURIDAD",OFFSET('PARÁMETROS'!$K$2,MATCH(U76,JC_SE,0),MATCH(T76,CC_SE,0)),
IF(OR(AA76="DSRC/Estratégico",AA76="DSRC/Operativo"),OFFSET('PARÁMETROS'!$K$11,MATCH(U76,JC_DS,0),MATCH(T76,CC_DS,0)),
IF(AA76="SALUD",OFFSET('PARÁMETROS'!$K$29,MATCH(U76,JC_SA,0),MATCH(T76,CC_SA,0)),
IF(AA76="MEDIO AMBIENTE",OFFSET('PARÁMETROS'!$K$20,MATCH(U76,JC_MA,0),MATCH(T76,CC_MA,0)),
IF(AA76="Rel. Gubernamentales",OFFSET('PARÁMETROS'!$K$48,MATCH(U76,JC_G,0),MATCH(T76,CC_G,0)),
IF(AA76="OPERACIONAL",OFFSET('PARÁMETROS'!$K$56,MATCH(U76,JC_OP,0),MATCH(T76,CC_OP,0)),
IF(AA76="FINANCIERO",OFFSET('PARÁMETROS'!$K$56,MATCH(U76,JC_FI,0),MATCH(T76,CC_FI,0)),
OFFSET('PARÁMETROS'!$K$38,MATCH(U76,JC_L,0),MATCH(T76,CC_L,0))))))))),"")</f>
        <v>Control/Acción Eficaz</v>
      </c>
      <c r="W76" s="117"/>
      <c r="X76" s="120"/>
      <c r="Y76" s="121"/>
      <c r="Z76" s="30" t="s">
        <v>314</v>
      </c>
      <c r="AA76" s="32" t="str">
        <f>E62</f>
        <v>Seguridad</v>
      </c>
      <c r="AB76" s="33"/>
    </row>
    <row r="77" ht="105.0" customHeight="1">
      <c r="A77" s="116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8" t="s">
        <v>117</v>
      </c>
      <c r="Q77" s="119" t="s">
        <v>491</v>
      </c>
      <c r="R77" s="119" t="s">
        <v>142</v>
      </c>
      <c r="S77" s="119" t="s">
        <v>295</v>
      </c>
      <c r="T77" s="120" t="s">
        <v>7</v>
      </c>
      <c r="U77" s="120" t="s">
        <v>111</v>
      </c>
      <c r="V77" s="120" t="str">
        <f>IFERROR(IF(AA77="SEGURIDAD",OFFSET('PARÁMETROS'!$K$2,MATCH(U77,JC_SE,0),MATCH(T77,CC_SE,0)),
IF(OR(AA77="DSRC/Estratégico",AA77="DSRC/Operativo"),OFFSET('PARÁMETROS'!$K$11,MATCH(U77,JC_DS,0),MATCH(T77,CC_DS,0)),
IF(AA77="SALUD",OFFSET('PARÁMETROS'!$K$29,MATCH(U77,JC_SA,0),MATCH(T77,CC_SA,0)),
IF(AA77="MEDIO AMBIENTE",OFFSET('PARÁMETROS'!$K$20,MATCH(U77,JC_MA,0),MATCH(T77,CC_MA,0)),
IF(AA77="Rel. Gubernamentales",OFFSET('PARÁMETROS'!$K$48,MATCH(U77,JC_G,0),MATCH(T77,CC_G,0)),
IF(AA77="OPERACIONAL",OFFSET('PARÁMETROS'!$K$56,MATCH(U77,JC_OP,0),MATCH(T77,CC_OP,0)),
IF(AA77="FINANCIERO",OFFSET('PARÁMETROS'!$K$56,MATCH(U77,JC_FI,0),MATCH(T77,CC_FI,0)),
OFFSET('PARÁMETROS'!$K$38,MATCH(U77,JC_L,0),MATCH(T77,CC_L,0))))))))),"")</f>
        <v>Control/Acción Eficaz</v>
      </c>
      <c r="W77" s="117"/>
      <c r="X77" s="120"/>
      <c r="Y77" s="121"/>
      <c r="Z77" s="30" t="s">
        <v>314</v>
      </c>
      <c r="AA77" s="32" t="str">
        <f>E62</f>
        <v>Seguridad</v>
      </c>
      <c r="AB77" s="33"/>
    </row>
    <row r="78" ht="105.0" customHeight="1">
      <c r="A78" s="116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8" t="s">
        <v>258</v>
      </c>
      <c r="Q78" s="119" t="s">
        <v>492</v>
      </c>
      <c r="R78" s="119" t="s">
        <v>142</v>
      </c>
      <c r="S78" s="119" t="s">
        <v>84</v>
      </c>
      <c r="T78" s="120" t="s">
        <v>5</v>
      </c>
      <c r="U78" s="120" t="s">
        <v>162</v>
      </c>
      <c r="V78" s="120" t="str">
        <f>IFERROR(IF(AA78="SEGURIDAD",OFFSET('PARÁMETROS'!$K$2,MATCH(U78,JC_SE,0),MATCH(T78,CC_SE,0)),
IF(OR(AA78="DSRC/Estratégico",AA78="DSRC/Operativo"),OFFSET('PARÁMETROS'!$K$11,MATCH(U78,JC_DS,0),MATCH(T78,CC_DS,0)),
IF(AA78="SALUD",OFFSET('PARÁMETROS'!$K$29,MATCH(U78,JC_SA,0),MATCH(T78,CC_SA,0)),
IF(AA78="MEDIO AMBIENTE",OFFSET('PARÁMETROS'!$K$20,MATCH(U78,JC_MA,0),MATCH(T78,CC_MA,0)),
IF(AA78="Rel. Gubernamentales",OFFSET('PARÁMETROS'!$K$48,MATCH(U78,JC_G,0),MATCH(T78,CC_G,0)),
IF(AA78="OPERACIONAL",OFFSET('PARÁMETROS'!$K$56,MATCH(U78,JC_OP,0),MATCH(T78,CC_OP,0)),
IF(AA78="FINANCIERO",OFFSET('PARÁMETROS'!$K$56,MATCH(U78,JC_FI,0),MATCH(T78,CC_FI,0)),
OFFSET('PARÁMETROS'!$K$38,MATCH(U78,JC_L,0),MATCH(T78,CC_L,0))))))))),"")</f>
        <v>Control/Acción No Eficaz</v>
      </c>
      <c r="W78" s="117"/>
      <c r="X78" s="120"/>
      <c r="Y78" s="121"/>
      <c r="Z78" s="30" t="s">
        <v>314</v>
      </c>
      <c r="AA78" s="32" t="str">
        <f>E62</f>
        <v>Seguridad</v>
      </c>
      <c r="AB78" s="33"/>
    </row>
    <row r="79" ht="105.0" customHeight="1">
      <c r="A79" s="68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134" t="s">
        <v>196</v>
      </c>
      <c r="Q79" s="135" t="s">
        <v>440</v>
      </c>
      <c r="R79" s="135" t="s">
        <v>142</v>
      </c>
      <c r="S79" s="135" t="s">
        <v>295</v>
      </c>
      <c r="T79" s="136" t="s">
        <v>7</v>
      </c>
      <c r="U79" s="136" t="s">
        <v>162</v>
      </c>
      <c r="V79" s="136" t="str">
        <f>IFERROR(IF(AA79="SEGURIDAD",OFFSET('PARÁMETROS'!$K$2,MATCH(U79,JC_SE,0),MATCH(T79,CC_SE,0)),
IF(OR(AA79="DSRC/Estratégico",AA79="DSRC/Operativo"),OFFSET('PARÁMETROS'!$K$11,MATCH(U79,JC_DS,0),MATCH(T79,CC_DS,0)),
IF(AA79="SALUD",OFFSET('PARÁMETROS'!$K$29,MATCH(U79,JC_SA,0),MATCH(T79,CC_SA,0)),
IF(AA79="MEDIO AMBIENTE",OFFSET('PARÁMETROS'!$K$20,MATCH(U79,JC_MA,0),MATCH(T79,CC_MA,0)),
IF(AA79="Rel. Gubernamentales",OFFSET('PARÁMETROS'!$K$48,MATCH(U79,JC_G,0),MATCH(T79,CC_G,0)),
IF(AA79="OPERACIONAL",OFFSET('PARÁMETROS'!$K$56,MATCH(U79,JC_OP,0),MATCH(T79,CC_OP,0)),
IF(AA79="FINANCIERO",OFFSET('PARÁMETROS'!$K$56,MATCH(U79,JC_FI,0),MATCH(T79,CC_FI,0)),
OFFSET('PARÁMETROS'!$K$38,MATCH(U79,JC_L,0),MATCH(T79,CC_L,0))))))))),"")</f>
        <v>Control/Acción Eficaz</v>
      </c>
      <c r="W79" s="69"/>
      <c r="X79" s="136"/>
      <c r="Y79" s="137"/>
      <c r="Z79" s="30" t="s">
        <v>314</v>
      </c>
      <c r="AA79" s="32" t="str">
        <f>E62</f>
        <v>Seguridad</v>
      </c>
      <c r="AB79" s="33"/>
    </row>
    <row r="80" ht="105.0" customHeight="1">
      <c r="A80" s="79">
        <v>7.0</v>
      </c>
      <c r="B80" s="80" t="s">
        <v>172</v>
      </c>
      <c r="C80" s="80" t="s">
        <v>173</v>
      </c>
      <c r="D80" s="80" t="s">
        <v>177</v>
      </c>
      <c r="E80" s="80" t="s">
        <v>181</v>
      </c>
      <c r="F80" s="80" t="s">
        <v>387</v>
      </c>
      <c r="G80" s="80" t="s">
        <v>493</v>
      </c>
      <c r="H80" s="80" t="s">
        <v>278</v>
      </c>
      <c r="I80" s="80" t="s">
        <v>494</v>
      </c>
      <c r="J80" s="80">
        <v>2.0</v>
      </c>
      <c r="K80" s="80">
        <v>2.0</v>
      </c>
      <c r="L80" s="80">
        <f>IF(OR(J80&lt;&gt;"",K80&lt;&gt;""),OFFSET('PARÁMETROS'!$B$2,K80,J80),"")</f>
        <v>5</v>
      </c>
      <c r="M80" s="80">
        <v>4.0</v>
      </c>
      <c r="N80" s="80">
        <f>IFERROR(L80*M80,"")</f>
        <v>20</v>
      </c>
      <c r="O80" s="89" t="str">
        <f>IF(N80="","",IFERROR(IF(N80&lt;=2,"ACEPTABLE",IF(N80&lt;=6,"BAJA",IF(N80&lt;=10,"ACEPTABLE CON REVISIÓN",IF(N80&lt;=15,"SUSTANCIAL","INACEPTABLE")))),""))</f>
        <v>INACEPTABLE</v>
      </c>
      <c r="P80" s="109" t="s">
        <v>302</v>
      </c>
      <c r="Q80" s="110" t="s">
        <v>495</v>
      </c>
      <c r="R80" s="110" t="s">
        <v>106</v>
      </c>
      <c r="S80" s="110" t="s">
        <v>265</v>
      </c>
      <c r="T80" s="111" t="s">
        <v>7</v>
      </c>
      <c r="U80" s="111" t="s">
        <v>182</v>
      </c>
      <c r="V80" s="111" t="str">
        <f>IFERROR(IF(AA80="SEGURIDAD",OFFSET('PARÁMETROS'!$K$2,MATCH(U80,JC_SE,0),MATCH(T80,CC_SE,0)),
IF(OR(AA80="DSRC/Estratégico",AA80="DSRC/Operativo"),OFFSET('PARÁMETROS'!$K$11,MATCH(U80,JC_DS,0),MATCH(T80,CC_DS,0)),
IF(AA80="SALUD",OFFSET('PARÁMETROS'!$K$29,MATCH(U80,JC_SA,0),MATCH(T80,CC_SA,0)),
IF(AA80="MEDIO AMBIENTE",OFFSET('PARÁMETROS'!$K$20,MATCH(U80,JC_MA,0),MATCH(T80,CC_MA,0)),
IF(AA80="Rel. Gubernamentales",OFFSET('PARÁMETROS'!$K$48,MATCH(U80,JC_G,0),MATCH(T80,CC_G,0)),
IF(AA80="OPERACIONAL",OFFSET('PARÁMETROS'!$K$56,MATCH(U80,JC_OP,0),MATCH(T80,CC_OP,0)),
IF(AA80="FINANCIERO",OFFSET('PARÁMETROS'!$K$56,MATCH(U80,JC_FI,0),MATCH(T80,CC_FI,0)),
OFFSET('PARÁMETROS'!$K$38,MATCH(U80,JC_L,0),MATCH(T80,CC_L,0))))))))),"")</f>
        <v>Control/Acción Satisfactorio</v>
      </c>
      <c r="W80" s="89" t="str">
        <f>IF(E80="","",
IF(COUNTA( V80:V82)-COUNTBLANK( V80:V82)=1,
IF(O80="INACEPTABLE",IF(COUNTIF( V80:V82,"Control/Acción Eficaz")&gt;=1,"SUSTANCIAL","INACEPTABLE"),
IF(O80="SUSTANCIAL",IF(COUNTIF( V80:V82,"Control/Acción Eficaz")&gt;=1,"ACEPTABLE CON REVISIÓN","SUSTANCIAL"),
IF(O80="ACEPTABLE CON REVISIÓN",IF(COUNTIF( V80:V82,"Control/Acción Eficaz")&gt;=1,"BAJA","ACEPTABLE CON REVISIÓN"),
IF(O80="BAJA",IF(COUNTIF( V80:V82,"Control/Acción Eficaz")&gt;=1,"ACEPTABLE","BAJA"),)))),
IF(COUNTA( V80:V82)-COUNTBLANK( V80:V82)=2,
IF(O80="INACEPTABLE",IF(COUNTIF( V80:V82,"Control/Acción Eficaz")=2,"ACEPTABLE CON REVISIÓN",
IF(OR(AND(COUNTIF( V80:V82,"Control/Acción Eficaz")=1,COUNTIF( V80:V82,"Control/Acción Satisfactorio")=1),
AND(COUNTIF( V80:V82,"Control/Acción Eficaz")=1,COUNTIF( V80:V82,"Control/Acción No Eficaz")=1)),"SUSTANCIAL","INACEPTABLE")),
IF(O80="SUSTANCIAL",IF(COUNTIF( V80:V82,"Control/Acción Eficaz")=2,"BAJA",
IF(OR(AND(COUNTIF( V80:V82,"Control/Acción Eficaz")=1,COUNTIF( V80:V82,"Control/Acción Satisfactorio")=1),
AND(COUNTIF( V80:V82,"Control/Acción Eficaz")=1,COUNTIF( V80:V82,"Control/Acción No Eficaz")=1)),"ACEPTABLE CON REVISIÓN ","SUSTANCIAL")),
IF(O80="ACEPTABLE CON REVISIÓN",IF(COUNTIF( V80:V82,"Control/Acción Eficaz")=2,"ACEPTABLE",
IF(OR(AND(COUNTIF( V80:V82,"Control/Acción Eficaz")=1,COUNTIF( V80:V82,"Control/Acción Satisfactorio")=1),
AND(COUNTIF( V80:V82,"Control/Acción Eficaz")=1,COUNTIF( V80:V82,"Control/Acción No Eficaz")=1)),"BAJA","ACEPTABLE CON REVISIÓN")),
IF(O80="BAJA",IF(COUNTIF( V80:V82,"Control/Acción Eficaz")&gt;=2,"ACEPTABLE","BAJA"),)))),
IF(COUNTA( V80:V82)-COUNTBLANK( V80:V82)&gt;=3,
IF(O80="INACEPTABLE",
IF(COUNTBLANK( V80:V82)=COUNTA( V80:V82),"",
IF(COUNTIF( V80:V82,"Control/Acción No Eficaz")&gt;=2,"INACEPTABLE",
IF(AND(COUNTIF( V80:V82,"Control/Acción No Eficaz")=0,COUNTIF( V80:V82,"Control/Acción Eficaz")&gt;=2),"ACEPTABLE CON REVISIÓN ","SUSTANCIAL"))),
IF(O80="SUSTANCIAL",
IF(COUNTBLANK( V80:V82)=COUNTA( V80:V82),"",
IF(COUNTIF( V80:V82,"Control/Acción No Eficaz")&gt;=2,"SUSTANCIAL",
IF(AND(COUNTIF( V80:V82,"Control/Acción No Eficaz")=0,COUNTIF( V80:V82,"Control/Acción Eficaz")&gt;=2),"BAJA","ACEPTABLE CON REVISIÓN"))),
IF(O80="ACEPTABLE CON REVISIÓN",
IF(COUNTBLANK( V80:V82)=COUNTA( V80:V82),"",
IF(COUNTIF( V80:V82,"Control/Acción No Eficaz")&gt;=2,"ACEPTABLE CON REVISIÓN",
IF(AND(COUNTIF( V80:V82,"Control/Acción No Eficaz")=0,COUNTIF( V80:V82,"Control/Acción Eficaz")&gt;=2),"ACEPTABLE","BAJA"))),
IF(O80="BAJA",
IF(COUNTBLANK( V80:V82)=COUNTA( V80:V82),"",
IF(AND(COUNTBLANK( V80:V82)&lt;1,COUNTA( V80:V82)=1),
IF(COUNTIF( V80:V82,"Control/Acción No Eficaz")&gt;=2,"BAJA",
IF(AND(COUNTIF( V80:V82,"Control/Acción No Eficaz")=0,COUNTIF( V80:V82,"Control/Acción Eficaz")&gt;=2),"ACEPTABLE","BAJA")),
IF(COUNTIF( V80:V82,"Control/Acción No Eficaz")&gt;=2,"BAJA",
IF(AND(COUNTIF( V80:V82,"Control/Acción No Eficaz")=0,COUNTIF( V80:V82,"Control/Acción Eficaz")&gt;=2),"ACEPTABLE","BAJA")))),
IF(COUNTIF( V80:V82,"")&gt;=5,"",O80))))),
""))))</f>
        <v>ACEPTABLE CON REVISIÓN </v>
      </c>
      <c r="X80" s="111"/>
      <c r="Y80" s="115"/>
      <c r="Z80" s="30" t="s">
        <v>314</v>
      </c>
      <c r="AA80" s="32" t="str">
        <f>E80</f>
        <v>Seguridad</v>
      </c>
      <c r="AB80" s="33"/>
    </row>
    <row r="81" ht="105.0" customHeight="1">
      <c r="A81" s="116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8" t="s">
        <v>117</v>
      </c>
      <c r="Q81" s="119" t="s">
        <v>491</v>
      </c>
      <c r="R81" s="119" t="s">
        <v>142</v>
      </c>
      <c r="S81" s="119" t="s">
        <v>295</v>
      </c>
      <c r="T81" s="120" t="s">
        <v>7</v>
      </c>
      <c r="U81" s="120" t="s">
        <v>111</v>
      </c>
      <c r="V81" s="120" t="str">
        <f>IFERROR(IF(AA81="SEGURIDAD",OFFSET('PARÁMETROS'!$K$2,MATCH(U81,JC_SE,0),MATCH(T81,CC_SE,0)),
IF(OR(AA81="DSRC/Estratégico",AA81="DSRC/Operativo"),OFFSET('PARÁMETROS'!$K$11,MATCH(U81,JC_DS,0),MATCH(T81,CC_DS,0)),
IF(AA81="SALUD",OFFSET('PARÁMETROS'!$K$29,MATCH(U81,JC_SA,0),MATCH(T81,CC_SA,0)),
IF(AA81="MEDIO AMBIENTE",OFFSET('PARÁMETROS'!$K$20,MATCH(U81,JC_MA,0),MATCH(T81,CC_MA,0)),
IF(AA81="Rel. Gubernamentales",OFFSET('PARÁMETROS'!$K$48,MATCH(U81,JC_G,0),MATCH(T81,CC_G,0)),
IF(AA81="OPERACIONAL",OFFSET('PARÁMETROS'!$K$56,MATCH(U81,JC_OP,0),MATCH(T81,CC_OP,0)),
IF(AA81="FINANCIERO",OFFSET('PARÁMETROS'!$K$56,MATCH(U81,JC_FI,0),MATCH(T81,CC_FI,0)),
OFFSET('PARÁMETROS'!$K$38,MATCH(U81,JC_L,0),MATCH(T81,CC_L,0))))))))),"")</f>
        <v>Control/Acción Eficaz</v>
      </c>
      <c r="W81" s="117"/>
      <c r="X81" s="120"/>
      <c r="Y81" s="121"/>
      <c r="Z81" s="30" t="s">
        <v>314</v>
      </c>
      <c r="AA81" s="32" t="str">
        <f>E80</f>
        <v>Seguridad</v>
      </c>
      <c r="AB81" s="33"/>
    </row>
    <row r="82" ht="105.0" customHeight="1">
      <c r="A82" s="68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134" t="s">
        <v>196</v>
      </c>
      <c r="Q82" s="135" t="s">
        <v>440</v>
      </c>
      <c r="R82" s="135" t="s">
        <v>142</v>
      </c>
      <c r="S82" s="135" t="s">
        <v>295</v>
      </c>
      <c r="T82" s="136" t="s">
        <v>7</v>
      </c>
      <c r="U82" s="136" t="s">
        <v>162</v>
      </c>
      <c r="V82" s="136" t="str">
        <f>IFERROR(IF(AA82="SEGURIDAD",OFFSET('PARÁMETROS'!$K$2,MATCH(U82,JC_SE,0),MATCH(T82,CC_SE,0)),
IF(OR(AA82="DSRC/Estratégico",AA82="DSRC/Operativo"),OFFSET('PARÁMETROS'!$K$11,MATCH(U82,JC_DS,0),MATCH(T82,CC_DS,0)),
IF(AA82="SALUD",OFFSET('PARÁMETROS'!$K$29,MATCH(U82,JC_SA,0),MATCH(T82,CC_SA,0)),
IF(AA82="MEDIO AMBIENTE",OFFSET('PARÁMETROS'!$K$20,MATCH(U82,JC_MA,0),MATCH(T82,CC_MA,0)),
IF(AA82="Rel. Gubernamentales",OFFSET('PARÁMETROS'!$K$48,MATCH(U82,JC_G,0),MATCH(T82,CC_G,0)),
IF(AA82="OPERACIONAL",OFFSET('PARÁMETROS'!$K$56,MATCH(U82,JC_OP,0),MATCH(T82,CC_OP,0)),
IF(AA82="FINANCIERO",OFFSET('PARÁMETROS'!$K$56,MATCH(U82,JC_FI,0),MATCH(T82,CC_FI,0)),
OFFSET('PARÁMETROS'!$K$38,MATCH(U82,JC_L,0),MATCH(T82,CC_L,0))))))))),"")</f>
        <v>Control/Acción Eficaz</v>
      </c>
      <c r="W82" s="69"/>
      <c r="X82" s="136"/>
      <c r="Y82" s="137"/>
      <c r="Z82" s="30" t="s">
        <v>314</v>
      </c>
      <c r="AA82" s="32" t="str">
        <f>E80</f>
        <v>Seguridad</v>
      </c>
      <c r="AB82" s="33"/>
    </row>
    <row r="83" ht="105.0" customHeight="1">
      <c r="A83" s="79">
        <v>8.0</v>
      </c>
      <c r="B83" s="80" t="s">
        <v>172</v>
      </c>
      <c r="C83" s="80" t="s">
        <v>173</v>
      </c>
      <c r="D83" s="80" t="s">
        <v>177</v>
      </c>
      <c r="E83" s="80" t="s">
        <v>181</v>
      </c>
      <c r="F83" s="80" t="s">
        <v>293</v>
      </c>
      <c r="G83" s="80" t="s">
        <v>496</v>
      </c>
      <c r="H83" s="80" t="s">
        <v>245</v>
      </c>
      <c r="I83" s="80" t="s">
        <v>497</v>
      </c>
      <c r="J83" s="80">
        <v>4.0</v>
      </c>
      <c r="K83" s="80">
        <v>2.0</v>
      </c>
      <c r="L83" s="80">
        <f>IF(OR(J83&lt;&gt;"",K83&lt;&gt;""),OFFSET('PARÁMETROS'!$B$2,K83,J83),"")</f>
        <v>3</v>
      </c>
      <c r="M83" s="80">
        <v>4.0</v>
      </c>
      <c r="N83" s="80">
        <f>IFERROR(L83*M83,"")</f>
        <v>12</v>
      </c>
      <c r="O83" s="89" t="str">
        <f>IF(N83="","",IFERROR(IF(N83&lt;=2,"ACEPTABLE",IF(N83&lt;=6,"BAJA",IF(N83&lt;=10,"ACEPTABLE CON REVISIÓN",IF(N83&lt;=15,"SUSTANCIAL","INACEPTABLE")))),""))</f>
        <v>SUSTANCIAL</v>
      </c>
      <c r="P83" s="109" t="s">
        <v>258</v>
      </c>
      <c r="Q83" s="110" t="s">
        <v>476</v>
      </c>
      <c r="R83" s="110" t="s">
        <v>142</v>
      </c>
      <c r="S83" s="110" t="s">
        <v>120</v>
      </c>
      <c r="T83" s="111" t="s">
        <v>5</v>
      </c>
      <c r="U83" s="111" t="s">
        <v>162</v>
      </c>
      <c r="V83" s="111" t="str">
        <f>IFERROR(IF(AA83="SEGURIDAD",OFFSET('PARÁMETROS'!$K$2,MATCH(U83,JC_SE,0),MATCH(T83,CC_SE,0)),
IF(OR(AA83="DSRC/Estratégico",AA83="DSRC/Operativo"),OFFSET('PARÁMETROS'!$K$11,MATCH(U83,JC_DS,0),MATCH(T83,CC_DS,0)),
IF(AA83="SALUD",OFFSET('PARÁMETROS'!$K$29,MATCH(U83,JC_SA,0),MATCH(T83,CC_SA,0)),
IF(AA83="MEDIO AMBIENTE",OFFSET('PARÁMETROS'!$K$20,MATCH(U83,JC_MA,0),MATCH(T83,CC_MA,0)),
IF(AA83="Rel. Gubernamentales",OFFSET('PARÁMETROS'!$K$48,MATCH(U83,JC_G,0),MATCH(T83,CC_G,0)),
IF(AA83="OPERACIONAL",OFFSET('PARÁMETROS'!$K$56,MATCH(U83,JC_OP,0),MATCH(T83,CC_OP,0)),
IF(AA83="FINANCIERO",OFFSET('PARÁMETROS'!$K$56,MATCH(U83,JC_FI,0),MATCH(T83,CC_FI,0)),
OFFSET('PARÁMETROS'!$K$38,MATCH(U83,JC_L,0),MATCH(T83,CC_L,0))))))))),"")</f>
        <v>Control/Acción No Eficaz</v>
      </c>
      <c r="W83" s="89" t="str">
        <f>IF(E83="","",
IF(COUNTA( V83:V89)-COUNTBLANK( V83:V89)=1,
IF(O83="INACEPTABLE",IF(COUNTIF( V83:V89,"Control/Acción Eficaz")&gt;=1,"SUSTANCIAL","INACEPTABLE"),
IF(O83="SUSTANCIAL",IF(COUNTIF( V83:V89,"Control/Acción Eficaz")&gt;=1,"ACEPTABLE CON REVISIÓN","SUSTANCIAL"),
IF(O83="ACEPTABLE CON REVISIÓN",IF(COUNTIF( V83:V89,"Control/Acción Eficaz")&gt;=1,"BAJA","ACEPTABLE CON REVISIÓN"),
IF(O83="BAJA",IF(COUNTIF( V83:V89,"Control/Acción Eficaz")&gt;=1,"ACEPTABLE","BAJA"),)))),
IF(COUNTA( V83:V89)-COUNTBLANK( V83:V89)=2,
IF(O83="INACEPTABLE",IF(COUNTIF( V83:V89,"Control/Acción Eficaz")=2,"ACEPTABLE CON REVISIÓN",
IF(OR(AND(COUNTIF( V83:V89,"Control/Acción Eficaz")=1,COUNTIF( V83:V89,"Control/Acción Satisfactorio")=1),
AND(COUNTIF( V83:V89,"Control/Acción Eficaz")=1,COUNTIF( V83:V89,"Control/Acción No Eficaz")=1)),"SUSTANCIAL","INACEPTABLE")),
IF(O83="SUSTANCIAL",IF(COUNTIF( V83:V89,"Control/Acción Eficaz")=2,"BAJA",
IF(OR(AND(COUNTIF( V83:V89,"Control/Acción Eficaz")=1,COUNTIF( V83:V89,"Control/Acción Satisfactorio")=1),
AND(COUNTIF( V83:V89,"Control/Acción Eficaz")=1,COUNTIF( V83:V89,"Control/Acción No Eficaz")=1)),"ACEPTABLE CON REVISIÓN ","SUSTANCIAL")),
IF(O83="ACEPTABLE CON REVISIÓN",IF(COUNTIF( V83:V89,"Control/Acción Eficaz")=2,"ACEPTABLE",
IF(OR(AND(COUNTIF( V83:V89,"Control/Acción Eficaz")=1,COUNTIF( V83:V89,"Control/Acción Satisfactorio")=1),
AND(COUNTIF( V83:V89,"Control/Acción Eficaz")=1,COUNTIF( V83:V89,"Control/Acción No Eficaz")=1)),"BAJA","ACEPTABLE CON REVISIÓN")),
IF(O83="BAJA",IF(COUNTIF( V83:V89,"Control/Acción Eficaz")&gt;=2,"ACEPTABLE","BAJA"),)))),
IF(COUNTA( V83:V89)-COUNTBLANK( V83:V89)&gt;=3,
IF(O83="INACEPTABLE",
IF(COUNTBLANK( V83:V89)=COUNTA( V83:V89),"",
IF(COUNTIF( V83:V89,"Control/Acción No Eficaz")&gt;=2,"INACEPTABLE",
IF(AND(COUNTIF( V83:V89,"Control/Acción No Eficaz")=0,COUNTIF( V83:V89,"Control/Acción Eficaz")&gt;=2),"ACEPTABLE CON REVISIÓN ","SUSTANCIAL"))),
IF(O83="SUSTANCIAL",
IF(COUNTBLANK( V83:V89)=COUNTA( V83:V89),"",
IF(COUNTIF( V83:V89,"Control/Acción No Eficaz")&gt;=2,"SUSTANCIAL",
IF(AND(COUNTIF( V83:V89,"Control/Acción No Eficaz")=0,COUNTIF( V83:V89,"Control/Acción Eficaz")&gt;=2),"BAJA","ACEPTABLE CON REVISIÓN"))),
IF(O83="ACEPTABLE CON REVISIÓN",
IF(COUNTBLANK( V83:V89)=COUNTA( V83:V89),"",
IF(COUNTIF( V83:V89,"Control/Acción No Eficaz")&gt;=2,"ACEPTABLE CON REVISIÓN",
IF(AND(COUNTIF( V83:V89,"Control/Acción No Eficaz")=0,COUNTIF( V83:V89,"Control/Acción Eficaz")&gt;=2),"ACEPTABLE","BAJA"))),
IF(O83="BAJA",
IF(COUNTBLANK( V83:V89)=COUNTA( V83:V89),"",
IF(AND(COUNTBLANK( V83:V89)&lt;1,COUNTA( V83:V89)=1),
IF(COUNTIF( V83:V89,"Control/Acción No Eficaz")&gt;=2,"BAJA",
IF(AND(COUNTIF( V83:V89,"Control/Acción No Eficaz")=0,COUNTIF( V83:V89,"Control/Acción Eficaz")&gt;=2),"ACEPTABLE","BAJA")),
IF(COUNTIF( V83:V89,"Control/Acción No Eficaz")&gt;=2,"BAJA",
IF(AND(COUNTIF( V83:V89,"Control/Acción No Eficaz")=0,COUNTIF( V83:V89,"Control/Acción Eficaz")&gt;=2),"ACEPTABLE","BAJA")))),
IF(COUNTIF( V83:V89,"")&gt;=5,"",O83))))),
""))))</f>
        <v>ACEPTABLE CON REVISIÓN</v>
      </c>
      <c r="X83" s="111"/>
      <c r="Y83" s="115"/>
      <c r="Z83" s="30" t="s">
        <v>314</v>
      </c>
      <c r="AA83" s="32" t="str">
        <f>E83</f>
        <v>Seguridad</v>
      </c>
      <c r="AB83" s="33"/>
    </row>
    <row r="84" ht="105.0" customHeight="1">
      <c r="A84" s="116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8" t="s">
        <v>117</v>
      </c>
      <c r="Q84" s="132" t="s">
        <v>498</v>
      </c>
      <c r="R84" s="132" t="s">
        <v>106</v>
      </c>
      <c r="S84" s="132" t="s">
        <v>265</v>
      </c>
      <c r="T84" s="133" t="s">
        <v>7</v>
      </c>
      <c r="U84" s="133" t="s">
        <v>162</v>
      </c>
      <c r="V84" s="120" t="str">
        <f>IFERROR(IF(AA84="SEGURIDAD",OFFSET('PARÁMETROS'!$K$2,MATCH(U84,JC_SE,0),MATCH(T84,CC_SE,0)),
IF(OR(AA84="DSRC/Estratégico",AA84="DSRC/Operativo"),OFFSET('PARÁMETROS'!$K$11,MATCH(U84,JC_DS,0),MATCH(T84,CC_DS,0)),
IF(AA84="SALUD",OFFSET('PARÁMETROS'!$K$29,MATCH(U84,JC_SA,0),MATCH(T84,CC_SA,0)),
IF(AA84="MEDIO AMBIENTE",OFFSET('PARÁMETROS'!$K$20,MATCH(U84,JC_MA,0),MATCH(T84,CC_MA,0)),
IF(AA84="Rel. Gubernamentales",OFFSET('PARÁMETROS'!$K$48,MATCH(U84,JC_G,0),MATCH(T84,CC_G,0)),
IF(AA84="OPERACIONAL",OFFSET('PARÁMETROS'!$K$56,MATCH(U84,JC_OP,0),MATCH(T84,CC_OP,0)),
IF(AA84="FINANCIERO",OFFSET('PARÁMETROS'!$K$56,MATCH(U84,JC_FI,0),MATCH(T84,CC_FI,0)),
OFFSET('PARÁMETROS'!$K$38,MATCH(U84,JC_L,0),MATCH(T84,CC_L,0))))))))),"")</f>
        <v>Control/Acción Eficaz</v>
      </c>
      <c r="W84" s="117"/>
      <c r="X84" s="120"/>
      <c r="Y84" s="121"/>
      <c r="Z84" s="30"/>
      <c r="AA84" s="32" t="str">
        <f>E83</f>
        <v>Seguridad</v>
      </c>
      <c r="AB84" s="33"/>
    </row>
    <row r="85" ht="105.0" customHeight="1">
      <c r="A85" s="116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8" t="s">
        <v>105</v>
      </c>
      <c r="Q85" s="119" t="s">
        <v>477</v>
      </c>
      <c r="R85" s="119" t="s">
        <v>142</v>
      </c>
      <c r="S85" s="119" t="s">
        <v>143</v>
      </c>
      <c r="T85" s="120" t="s">
        <v>7</v>
      </c>
      <c r="U85" s="120" t="s">
        <v>162</v>
      </c>
      <c r="V85" s="120" t="str">
        <f>IFERROR(IF(AA85="SEGURIDAD",OFFSET('PARÁMETROS'!$K$2,MATCH(U85,JC_SE,0),MATCH(T85,CC_SE,0)),
IF(OR(AA85="DSRC/Estratégico",AA85="DSRC/Operativo"),OFFSET('PARÁMETROS'!$K$11,MATCH(U85,JC_DS,0),MATCH(T85,CC_DS,0)),
IF(AA85="SALUD",OFFSET('PARÁMETROS'!$K$29,MATCH(U85,JC_SA,0),MATCH(T85,CC_SA,0)),
IF(AA85="MEDIO AMBIENTE",OFFSET('PARÁMETROS'!$K$20,MATCH(U85,JC_MA,0),MATCH(T85,CC_MA,0)),
IF(AA85="Rel. Gubernamentales",OFFSET('PARÁMETROS'!$K$48,MATCH(U85,JC_G,0),MATCH(T85,CC_G,0)),
IF(AA85="OPERACIONAL",OFFSET('PARÁMETROS'!$K$56,MATCH(U85,JC_OP,0),MATCH(T85,CC_OP,0)),
IF(AA85="FINANCIERO",OFFSET('PARÁMETROS'!$K$56,MATCH(U85,JC_FI,0),MATCH(T85,CC_FI,0)),
OFFSET('PARÁMETROS'!$K$38,MATCH(U85,JC_L,0),MATCH(T85,CC_L,0))))))))),"")</f>
        <v>Control/Acción Eficaz</v>
      </c>
      <c r="W85" s="117"/>
      <c r="X85" s="120"/>
      <c r="Y85" s="121"/>
      <c r="Z85" s="30" t="s">
        <v>499</v>
      </c>
      <c r="AA85" s="32" t="str">
        <f>E83</f>
        <v>Seguridad</v>
      </c>
      <c r="AB85" s="33"/>
    </row>
    <row r="86" ht="105.0" customHeight="1">
      <c r="A86" s="116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8" t="s">
        <v>117</v>
      </c>
      <c r="Q86" s="119" t="s">
        <v>500</v>
      </c>
      <c r="R86" s="119" t="s">
        <v>142</v>
      </c>
      <c r="S86" s="119" t="s">
        <v>303</v>
      </c>
      <c r="T86" s="120" t="s">
        <v>7</v>
      </c>
      <c r="U86" s="120" t="s">
        <v>111</v>
      </c>
      <c r="V86" s="120" t="str">
        <f>IFERROR(IF(AA86="SEGURIDAD",OFFSET('PARÁMETROS'!$K$2,MATCH(U86,JC_SE,0),MATCH(T86,CC_SE,0)),
IF(OR(AA86="DSRC/Estratégico",AA86="DSRC/Operativo"),OFFSET('PARÁMETROS'!$K$11,MATCH(U86,JC_DS,0),MATCH(T86,CC_DS,0)),
IF(AA86="SALUD",OFFSET('PARÁMETROS'!$K$29,MATCH(U86,JC_SA,0),MATCH(T86,CC_SA,0)),
IF(AA86="MEDIO AMBIENTE",OFFSET('PARÁMETROS'!$K$20,MATCH(U86,JC_MA,0),MATCH(T86,CC_MA,0)),
IF(AA86="Rel. Gubernamentales",OFFSET('PARÁMETROS'!$K$48,MATCH(U86,JC_G,0),MATCH(T86,CC_G,0)),
IF(AA86="OPERACIONAL",OFFSET('PARÁMETROS'!$K$56,MATCH(U86,JC_OP,0),MATCH(T86,CC_OP,0)),
IF(AA86="FINANCIERO",OFFSET('PARÁMETROS'!$K$56,MATCH(U86,JC_FI,0),MATCH(T86,CC_FI,0)),
OFFSET('PARÁMETROS'!$K$38,MATCH(U86,JC_L,0),MATCH(T86,CC_L,0))))))))),"")</f>
        <v>Control/Acción Eficaz</v>
      </c>
      <c r="W86" s="117"/>
      <c r="X86" s="120"/>
      <c r="Y86" s="121"/>
      <c r="Z86" s="30" t="s">
        <v>314</v>
      </c>
      <c r="AA86" s="32" t="str">
        <f>E83</f>
        <v>Seguridad</v>
      </c>
      <c r="AB86" s="33"/>
    </row>
    <row r="87" ht="105.0" customHeight="1">
      <c r="A87" s="116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8" t="s">
        <v>258</v>
      </c>
      <c r="Q87" s="119" t="s">
        <v>486</v>
      </c>
      <c r="R87" s="119" t="s">
        <v>83</v>
      </c>
      <c r="S87" s="119" t="s">
        <v>84</v>
      </c>
      <c r="T87" s="120" t="s">
        <v>6</v>
      </c>
      <c r="U87" s="120" t="s">
        <v>162</v>
      </c>
      <c r="V87" s="120" t="str">
        <f>IFERROR(IF(AA87="SEGURIDAD",OFFSET('PARÁMETROS'!$K$2,MATCH(U87,JC_SE,0),MATCH(T87,CC_SE,0)),
IF(OR(AA87="DSRC/Estratégico",AA87="DSRC/Operativo"),OFFSET('PARÁMETROS'!$K$11,MATCH(U87,JC_DS,0),MATCH(T87,CC_DS,0)),
IF(AA87="SALUD",OFFSET('PARÁMETROS'!$K$29,MATCH(U87,JC_SA,0),MATCH(T87,CC_SA,0)),
IF(AA87="MEDIO AMBIENTE",OFFSET('PARÁMETROS'!$K$20,MATCH(U87,JC_MA,0),MATCH(T87,CC_MA,0)),
IF(AA87="Rel. Gubernamentales",OFFSET('PARÁMETROS'!$K$48,MATCH(U87,JC_G,0),MATCH(T87,CC_G,0)),
IF(AA87="OPERACIONAL",OFFSET('PARÁMETROS'!$K$56,MATCH(U87,JC_OP,0),MATCH(T87,CC_OP,0)),
IF(AA87="FINANCIERO",OFFSET('PARÁMETROS'!$K$56,MATCH(U87,JC_FI,0),MATCH(T87,CC_FI,0)),
OFFSET('PARÁMETROS'!$K$38,MATCH(U87,JC_L,0),MATCH(T87,CC_L,0))))))))),"")</f>
        <v>Control/Acción Satisfactorio</v>
      </c>
      <c r="W87" s="117"/>
      <c r="X87" s="120"/>
      <c r="Y87" s="121"/>
      <c r="Z87" s="30" t="s">
        <v>314</v>
      </c>
      <c r="AA87" s="32" t="str">
        <f>E83</f>
        <v>Seguridad</v>
      </c>
      <c r="AB87" s="33"/>
    </row>
    <row r="88" ht="105.0" customHeight="1">
      <c r="A88" s="116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8" t="s">
        <v>302</v>
      </c>
      <c r="Q88" s="119" t="s">
        <v>495</v>
      </c>
      <c r="R88" s="119" t="s">
        <v>106</v>
      </c>
      <c r="S88" s="119" t="s">
        <v>265</v>
      </c>
      <c r="T88" s="120" t="s">
        <v>7</v>
      </c>
      <c r="U88" s="120" t="s">
        <v>182</v>
      </c>
      <c r="V88" s="120" t="str">
        <f>IFERROR(IF(AA88="SEGURIDAD",OFFSET('PARÁMETROS'!$K$2,MATCH(U88,JC_SE,0),MATCH(T88,CC_SE,0)),
IF(OR(AA88="DSRC/Estratégico",AA88="DSRC/Operativo"),OFFSET('PARÁMETROS'!$K$11,MATCH(U88,JC_DS,0),MATCH(T88,CC_DS,0)),
IF(AA88="SALUD",OFFSET('PARÁMETROS'!$K$29,MATCH(U88,JC_SA,0),MATCH(T88,CC_SA,0)),
IF(AA88="MEDIO AMBIENTE",OFFSET('PARÁMETROS'!$K$20,MATCH(U88,JC_MA,0),MATCH(T88,CC_MA,0)),
IF(AA88="Rel. Gubernamentales",OFFSET('PARÁMETROS'!$K$48,MATCH(U88,JC_G,0),MATCH(T88,CC_G,0)),
IF(AA88="OPERACIONAL",OFFSET('PARÁMETROS'!$K$56,MATCH(U88,JC_OP,0),MATCH(T88,CC_OP,0)),
IF(AA88="FINANCIERO",OFFSET('PARÁMETROS'!$K$56,MATCH(U88,JC_FI,0),MATCH(T88,CC_FI,0)),
OFFSET('PARÁMETROS'!$K$38,MATCH(U88,JC_L,0),MATCH(T88,CC_L,0))))))))),"")</f>
        <v>Control/Acción Satisfactorio</v>
      </c>
      <c r="W88" s="117"/>
      <c r="X88" s="120"/>
      <c r="Y88" s="121"/>
      <c r="Z88" s="30" t="s">
        <v>314</v>
      </c>
      <c r="AA88" s="32" t="str">
        <f>E83</f>
        <v>Seguridad</v>
      </c>
      <c r="AB88" s="33"/>
    </row>
    <row r="89" ht="105.0" customHeight="1">
      <c r="A89" s="68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134" t="s">
        <v>196</v>
      </c>
      <c r="Q89" s="135" t="s">
        <v>440</v>
      </c>
      <c r="R89" s="135" t="s">
        <v>106</v>
      </c>
      <c r="S89" s="135" t="s">
        <v>265</v>
      </c>
      <c r="T89" s="136" t="s">
        <v>7</v>
      </c>
      <c r="U89" s="136" t="s">
        <v>162</v>
      </c>
      <c r="V89" s="136" t="str">
        <f>IFERROR(IF(AA89="SEGURIDAD",OFFSET('PARÁMETROS'!$K$2,MATCH(U89,JC_SE,0),MATCH(T89,CC_SE,0)),
IF(OR(AA89="DSRC/Estratégico",AA89="DSRC/Operativo"),OFFSET('PARÁMETROS'!$K$11,MATCH(U89,JC_DS,0),MATCH(T89,CC_DS,0)),
IF(AA89="SALUD",OFFSET('PARÁMETROS'!$K$29,MATCH(U89,JC_SA,0),MATCH(T89,CC_SA,0)),
IF(AA89="MEDIO AMBIENTE",OFFSET('PARÁMETROS'!$K$20,MATCH(U89,JC_MA,0),MATCH(T89,CC_MA,0)),
IF(AA89="Rel. Gubernamentales",OFFSET('PARÁMETROS'!$K$48,MATCH(U89,JC_G,0),MATCH(T89,CC_G,0)),
IF(AA89="OPERACIONAL",OFFSET('PARÁMETROS'!$K$56,MATCH(U89,JC_OP,0),MATCH(T89,CC_OP,0)),
IF(AA89="FINANCIERO",OFFSET('PARÁMETROS'!$K$56,MATCH(U89,JC_FI,0),MATCH(T89,CC_FI,0)),
OFFSET('PARÁMETROS'!$K$38,MATCH(U89,JC_L,0),MATCH(T89,CC_L,0))))))))),"")</f>
        <v>Control/Acción Eficaz</v>
      </c>
      <c r="W89" s="69"/>
      <c r="X89" s="136"/>
      <c r="Y89" s="137"/>
      <c r="Z89" s="30" t="s">
        <v>314</v>
      </c>
      <c r="AA89" s="32" t="str">
        <f>E83</f>
        <v>Seguridad</v>
      </c>
      <c r="AB89" s="33"/>
    </row>
    <row r="90" ht="105.0" customHeight="1">
      <c r="A90" s="79">
        <v>9.0</v>
      </c>
      <c r="B90" s="80" t="s">
        <v>172</v>
      </c>
      <c r="C90" s="80" t="s">
        <v>173</v>
      </c>
      <c r="D90" s="80" t="s">
        <v>177</v>
      </c>
      <c r="E90" s="80" t="s">
        <v>181</v>
      </c>
      <c r="F90" s="80" t="s">
        <v>138</v>
      </c>
      <c r="G90" s="80" t="s">
        <v>501</v>
      </c>
      <c r="H90" s="80" t="s">
        <v>382</v>
      </c>
      <c r="I90" s="80" t="s">
        <v>502</v>
      </c>
      <c r="J90" s="80">
        <v>5.0</v>
      </c>
      <c r="K90" s="80">
        <v>3.0</v>
      </c>
      <c r="L90" s="80">
        <f>IF(OR(J90&lt;&gt;"",K90&lt;&gt;""),OFFSET('PARÁMETROS'!$B$2,K90,J90),"")</f>
        <v>2</v>
      </c>
      <c r="M90" s="80">
        <v>4.0</v>
      </c>
      <c r="N90" s="80">
        <f>IFERROR(L90*M90,"")</f>
        <v>8</v>
      </c>
      <c r="O90" s="89" t="str">
        <f>IF(N90="","",IFERROR(IF(N90&lt;=2,"ACEPTABLE",IF(N90&lt;=6,"BAJA",IF(N90&lt;=10,"ACEPTABLE CON REVISIÓN",IF(N90&lt;=15,"SUSTANCIAL","INACEPTABLE")))),""))</f>
        <v>ACEPTABLE CON REVISIÓN</v>
      </c>
      <c r="P90" s="109" t="s">
        <v>302</v>
      </c>
      <c r="Q90" s="110" t="s">
        <v>503</v>
      </c>
      <c r="R90" s="110" t="s">
        <v>106</v>
      </c>
      <c r="S90" s="110" t="s">
        <v>265</v>
      </c>
      <c r="T90" s="111" t="s">
        <v>7</v>
      </c>
      <c r="U90" s="111" t="s">
        <v>182</v>
      </c>
      <c r="V90" s="111" t="str">
        <f>IFERROR(IF(AA90="SEGURIDAD",OFFSET('PARÁMETROS'!$K$2,MATCH(U90,JC_SE,0),MATCH(T90,CC_SE,0)),
IF(OR(AA90="DSRC/Estratégico",AA90="DSRC/Operativo"),OFFSET('PARÁMETROS'!$K$11,MATCH(U90,JC_DS,0),MATCH(T90,CC_DS,0)),
IF(AA90="SALUD",OFFSET('PARÁMETROS'!$K$29,MATCH(U90,JC_SA,0),MATCH(T90,CC_SA,0)),
IF(AA90="MEDIO AMBIENTE",OFFSET('PARÁMETROS'!$K$20,MATCH(U90,JC_MA,0),MATCH(T90,CC_MA,0)),
IF(AA90="Rel. Gubernamentales",OFFSET('PARÁMETROS'!$K$48,MATCH(U90,JC_G,0),MATCH(T90,CC_G,0)),
IF(AA90="OPERACIONAL",OFFSET('PARÁMETROS'!$K$56,MATCH(U90,JC_OP,0),MATCH(T90,CC_OP,0)),
IF(AA90="FINANCIERO",OFFSET('PARÁMETROS'!$K$56,MATCH(U90,JC_FI,0),MATCH(T90,CC_FI,0)),
OFFSET('PARÁMETROS'!$K$38,MATCH(U90,JC_L,0),MATCH(T90,CC_L,0))))))))),"")</f>
        <v>Control/Acción Satisfactorio</v>
      </c>
      <c r="W90" s="89" t="str">
        <f>IF(E90="","",
IF(COUNTA( V90:V93)-COUNTBLANK( V90:V93)=1,
IF(O90="INACEPTABLE",IF(COUNTIF( V90:V93,"Control/Acción Eficaz")&gt;=1,"SUSTANCIAL","INACEPTABLE"),
IF(O90="SUSTANCIAL",IF(COUNTIF( V90:V93,"Control/Acción Eficaz")&gt;=1,"ACEPTABLE CON REVISIÓN","SUSTANCIAL"),
IF(O90="ACEPTABLE CON REVISIÓN",IF(COUNTIF( V90:V93,"Control/Acción Eficaz")&gt;=1,"BAJA","ACEPTABLE CON REVISIÓN"),
IF(O90="BAJA",IF(COUNTIF( V90:V93,"Control/Acción Eficaz")&gt;=1,"ACEPTABLE","BAJA"),)))),
IF(COUNTA( V90:V93)-COUNTBLANK( V90:V93)=2,
IF(O90="INACEPTABLE",IF(COUNTIF( V90:V93,"Control/Acción Eficaz")=2,"ACEPTABLE CON REVISIÓN",
IF(OR(AND(COUNTIF( V90:V93,"Control/Acción Eficaz")=1,COUNTIF( V90:V93,"Control/Acción Satisfactorio")=1),
AND(COUNTIF( V90:V93,"Control/Acción Eficaz")=1,COUNTIF( V90:V93,"Control/Acción No Eficaz")=1)),"SUSTANCIAL","INACEPTABLE")),
IF(O90="SUSTANCIAL",IF(COUNTIF( V90:V93,"Control/Acción Eficaz")=2,"BAJA",
IF(OR(AND(COUNTIF( V90:V93,"Control/Acción Eficaz")=1,COUNTIF( V90:V93,"Control/Acción Satisfactorio")=1),
AND(COUNTIF( V90:V93,"Control/Acción Eficaz")=1,COUNTIF( V90:V93,"Control/Acción No Eficaz")=1)),"ACEPTABLE CON REVISIÓN ","SUSTANCIAL")),
IF(O90="ACEPTABLE CON REVISIÓN",IF(COUNTIF( V90:V93,"Control/Acción Eficaz")=2,"ACEPTABLE",
IF(OR(AND(COUNTIF( V90:V93,"Control/Acción Eficaz")=1,COUNTIF( V90:V93,"Control/Acción Satisfactorio")=1),
AND(COUNTIF( V90:V93,"Control/Acción Eficaz")=1,COUNTIF( V90:V93,"Control/Acción No Eficaz")=1)),"BAJA","ACEPTABLE CON REVISIÓN")),
IF(O90="BAJA",IF(COUNTIF( V90:V93,"Control/Acción Eficaz")&gt;=2,"ACEPTABLE","BAJA"),)))),
IF(COUNTA( V90:V93)-COUNTBLANK( V90:V93)&gt;=3,
IF(O90="INACEPTABLE",
IF(COUNTBLANK( V90:V93)=COUNTA( V90:V93),"",
IF(COUNTIF( V90:V93,"Control/Acción No Eficaz")&gt;=2,"INACEPTABLE",
IF(AND(COUNTIF( V90:V93,"Control/Acción No Eficaz")=0,COUNTIF( V90:V93,"Control/Acción Eficaz")&gt;=2),"ACEPTABLE CON REVISIÓN ","SUSTANCIAL"))),
IF(O90="SUSTANCIAL",
IF(COUNTBLANK( V90:V93)=COUNTA( V90:V93),"",
IF(COUNTIF( V90:V93,"Control/Acción No Eficaz")&gt;=2,"SUSTANCIAL",
IF(AND(COUNTIF( V90:V93,"Control/Acción No Eficaz")=0,COUNTIF( V90:V93,"Control/Acción Eficaz")&gt;=2),"BAJA","ACEPTABLE CON REVISIÓN"))),
IF(O90="ACEPTABLE CON REVISIÓN",
IF(COUNTBLANK( V90:V93)=COUNTA( V90:V93),"",
IF(COUNTIF( V90:V93,"Control/Acción No Eficaz")&gt;=2,"ACEPTABLE CON REVISIÓN",
IF(AND(COUNTIF( V90:V93,"Control/Acción No Eficaz")=0,COUNTIF( V90:V93,"Control/Acción Eficaz")&gt;=2),"ACEPTABLE","BAJA"))),
IF(O90="BAJA",
IF(COUNTBLANK( V90:V93)=COUNTA( V90:V93),"",
IF(AND(COUNTBLANK( V90:V93)&lt;1,COUNTA( V90:V93)=1),
IF(COUNTIF( V90:V93,"Control/Acción No Eficaz")&gt;=2,"BAJA",
IF(AND(COUNTIF( V90:V93,"Control/Acción No Eficaz")=0,COUNTIF( V90:V93,"Control/Acción Eficaz")&gt;=2),"ACEPTABLE","BAJA")),
IF(COUNTIF( V90:V93,"Control/Acción No Eficaz")&gt;=2,"BAJA",
IF(AND(COUNTIF( V90:V93,"Control/Acción No Eficaz")=0,COUNTIF( V90:V93,"Control/Acción Eficaz")&gt;=2),"ACEPTABLE","BAJA")))),
IF(COUNTIF( V90:V93,"")&gt;=5,"",O90))))),
""))))</f>
        <v>ACEPTABLE</v>
      </c>
      <c r="X90" s="111"/>
      <c r="Y90" s="115"/>
      <c r="Z90" s="30" t="s">
        <v>314</v>
      </c>
      <c r="AA90" s="32" t="str">
        <f>E90</f>
        <v>Seguridad</v>
      </c>
      <c r="AB90" s="33"/>
    </row>
    <row r="91" ht="105.0" customHeight="1">
      <c r="A91" s="116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8" t="s">
        <v>166</v>
      </c>
      <c r="Q91" s="119" t="s">
        <v>437</v>
      </c>
      <c r="R91" s="119" t="s">
        <v>142</v>
      </c>
      <c r="S91" s="119" t="s">
        <v>325</v>
      </c>
      <c r="T91" s="120" t="s">
        <v>7</v>
      </c>
      <c r="U91" s="120" t="s">
        <v>162</v>
      </c>
      <c r="V91" s="120" t="str">
        <f>IFERROR(IF(AA91="SEGURIDAD",OFFSET('PARÁMETROS'!$K$2,MATCH(U91,JC_SE,0),MATCH(T91,CC_SE,0)),
IF(OR(AA91="DSRC/Estratégico",AA91="DSRC/Operativo"),OFFSET('PARÁMETROS'!$K$11,MATCH(U91,JC_DS,0),MATCH(T91,CC_DS,0)),
IF(AA91="SALUD",OFFSET('PARÁMETROS'!$K$29,MATCH(U91,JC_SA,0),MATCH(T91,CC_SA,0)),
IF(AA91="MEDIO AMBIENTE",OFFSET('PARÁMETROS'!$K$20,MATCH(U91,JC_MA,0),MATCH(T91,CC_MA,0)),
IF(AA91="Rel. Gubernamentales",OFFSET('PARÁMETROS'!$K$48,MATCH(U91,JC_G,0),MATCH(T91,CC_G,0)),
IF(AA91="OPERACIONAL",OFFSET('PARÁMETROS'!$K$56,MATCH(U91,JC_OP,0),MATCH(T91,CC_OP,0)),
IF(AA91="FINANCIERO",OFFSET('PARÁMETROS'!$K$56,MATCH(U91,JC_FI,0),MATCH(T91,CC_FI,0)),
OFFSET('PARÁMETROS'!$K$38,MATCH(U91,JC_L,0),MATCH(T91,CC_L,0))))))))),"")</f>
        <v>Control/Acción Eficaz</v>
      </c>
      <c r="W91" s="117"/>
      <c r="X91" s="120"/>
      <c r="Y91" s="121"/>
      <c r="Z91" s="30" t="s">
        <v>314</v>
      </c>
      <c r="AA91" s="32" t="str">
        <f>E90</f>
        <v>Seguridad</v>
      </c>
      <c r="AB91" s="33"/>
    </row>
    <row r="92" ht="105.0" customHeight="1">
      <c r="A92" s="116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8" t="s">
        <v>258</v>
      </c>
      <c r="Q92" s="119" t="s">
        <v>505</v>
      </c>
      <c r="R92" s="119" t="s">
        <v>83</v>
      </c>
      <c r="S92" s="119" t="s">
        <v>84</v>
      </c>
      <c r="T92" s="120" t="s">
        <v>6</v>
      </c>
      <c r="U92" s="120" t="s">
        <v>162</v>
      </c>
      <c r="V92" s="120" t="str">
        <f>IFERROR(IF(AA92="SEGURIDAD",OFFSET('PARÁMETROS'!$K$2,MATCH(U92,JC_SE,0),MATCH(T92,CC_SE,0)),
IF(OR(AA92="DSRC/Estratégico",AA92="DSRC/Operativo"),OFFSET('PARÁMETROS'!$K$11,MATCH(U92,JC_DS,0),MATCH(T92,CC_DS,0)),
IF(AA92="SALUD",OFFSET('PARÁMETROS'!$K$29,MATCH(U92,JC_SA,0),MATCH(T92,CC_SA,0)),
IF(AA92="MEDIO AMBIENTE",OFFSET('PARÁMETROS'!$K$20,MATCH(U92,JC_MA,0),MATCH(T92,CC_MA,0)),
IF(AA92="Rel. Gubernamentales",OFFSET('PARÁMETROS'!$K$48,MATCH(U92,JC_G,0),MATCH(T92,CC_G,0)),
IF(AA92="OPERACIONAL",OFFSET('PARÁMETROS'!$K$56,MATCH(U92,JC_OP,0),MATCH(T92,CC_OP,0)),
IF(AA92="FINANCIERO",OFFSET('PARÁMETROS'!$K$56,MATCH(U92,JC_FI,0),MATCH(T92,CC_FI,0)),
OFFSET('PARÁMETROS'!$K$38,MATCH(U92,JC_L,0),MATCH(T92,CC_L,0))))))))),"")</f>
        <v>Control/Acción Satisfactorio</v>
      </c>
      <c r="W92" s="117"/>
      <c r="X92" s="120"/>
      <c r="Y92" s="121"/>
      <c r="Z92" s="30" t="s">
        <v>314</v>
      </c>
      <c r="AA92" s="32"/>
      <c r="AB92" s="33"/>
    </row>
    <row r="93" ht="105.0" customHeight="1">
      <c r="A93" s="139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1" t="s">
        <v>196</v>
      </c>
      <c r="Q93" s="142" t="s">
        <v>440</v>
      </c>
      <c r="R93" s="142" t="s">
        <v>106</v>
      </c>
      <c r="S93" s="142" t="s">
        <v>265</v>
      </c>
      <c r="T93" s="143" t="s">
        <v>7</v>
      </c>
      <c r="U93" s="143" t="s">
        <v>162</v>
      </c>
      <c r="V93" s="143" t="str">
        <f>IFERROR(IF(AA93="SEGURIDAD",OFFSET('PARÁMETROS'!$K$2,MATCH(U93,JC_SE,0),MATCH(T93,CC_SE,0)),
IF(OR(AA93="DSRC/Estratégico",AA93="DSRC/Operativo"),OFFSET('PARÁMETROS'!$K$11,MATCH(U93,JC_DS,0),MATCH(T93,CC_DS,0)),
IF(AA93="SALUD",OFFSET('PARÁMETROS'!$K$29,MATCH(U93,JC_SA,0),MATCH(T93,CC_SA,0)),
IF(AA93="MEDIO AMBIENTE",OFFSET('PARÁMETROS'!$K$20,MATCH(U93,JC_MA,0),MATCH(T93,CC_MA,0)),
IF(AA93="Rel. Gubernamentales",OFFSET('PARÁMETROS'!$K$48,MATCH(U93,JC_G,0),MATCH(T93,CC_G,0)),
IF(AA93="OPERACIONAL",OFFSET('PARÁMETROS'!$K$56,MATCH(U93,JC_OP,0),MATCH(T93,CC_OP,0)),
IF(AA93="FINANCIERO",OFFSET('PARÁMETROS'!$K$56,MATCH(U93,JC_FI,0),MATCH(T93,CC_FI,0)),
OFFSET('PARÁMETROS'!$K$38,MATCH(U93,JC_L,0),MATCH(T93,CC_L,0))))))))),"")</f>
        <v>Control/Acción Eficaz</v>
      </c>
      <c r="W93" s="140"/>
      <c r="X93" s="143"/>
      <c r="Y93" s="144"/>
      <c r="Z93" s="30" t="s">
        <v>314</v>
      </c>
      <c r="AA93" s="32" t="str">
        <f>E90</f>
        <v>Seguridad</v>
      </c>
      <c r="AB93" s="33"/>
    </row>
    <row r="94" ht="105.0" customHeight="1">
      <c r="A94" s="145">
        <v>10.0</v>
      </c>
      <c r="B94" s="146" t="s">
        <v>172</v>
      </c>
      <c r="C94" s="146" t="s">
        <v>173</v>
      </c>
      <c r="D94" s="146" t="s">
        <v>177</v>
      </c>
      <c r="E94" s="146" t="s">
        <v>181</v>
      </c>
      <c r="F94" s="146" t="s">
        <v>267</v>
      </c>
      <c r="G94" s="146" t="s">
        <v>506</v>
      </c>
      <c r="H94" s="146" t="s">
        <v>371</v>
      </c>
      <c r="I94" s="146" t="s">
        <v>507</v>
      </c>
      <c r="J94" s="146">
        <v>4.0</v>
      </c>
      <c r="K94" s="146">
        <v>3.0</v>
      </c>
      <c r="L94" s="146">
        <f>IF(OR(J94&lt;&gt;"",K94&lt;&gt;""),OFFSET('PARÁMETROS'!$B$2,K94,J94),"")</f>
        <v>3</v>
      </c>
      <c r="M94" s="146">
        <v>1.0</v>
      </c>
      <c r="N94" s="146">
        <f t="shared" ref="N94:N95" si="4">IFERROR(L94*M94,"")</f>
        <v>3</v>
      </c>
      <c r="O94" s="147" t="str">
        <f t="shared" ref="O94:O95" si="5">IF(N94="","",IFERROR(IF(N94&lt;=2,"ACEPTABLE",IF(N94&lt;=6,"BAJA",IF(N94&lt;=10,"ACEPTABLE CON REVISIÓN",IF(N94&lt;=15,"SUSTANCIAL","INACEPTABLE")))),""))</f>
        <v>BAJA</v>
      </c>
      <c r="P94" s="148" t="s">
        <v>302</v>
      </c>
      <c r="Q94" s="149" t="s">
        <v>508</v>
      </c>
      <c r="R94" s="149" t="s">
        <v>106</v>
      </c>
      <c r="S94" s="149" t="s">
        <v>265</v>
      </c>
      <c r="T94" s="146" t="s">
        <v>7</v>
      </c>
      <c r="U94" s="146" t="s">
        <v>182</v>
      </c>
      <c r="V94" s="146" t="str">
        <f>IFERROR(IF(AA94="SEGURIDAD",OFFSET('PARÁMETROS'!$K$2,MATCH(U94,JC_SE,0),MATCH(T94,CC_SE,0)),
IF(OR(AA94="DSRC/Estratégico",AA94="DSRC/Operativo"),OFFSET('PARÁMETROS'!$K$11,MATCH(U94,JC_DS,0),MATCH(T94,CC_DS,0)),
IF(AA94="SALUD",OFFSET('PARÁMETROS'!$K$29,MATCH(U94,JC_SA,0),MATCH(T94,CC_SA,0)),
IF(AA94="MEDIO AMBIENTE",OFFSET('PARÁMETROS'!$K$20,MATCH(U94,JC_MA,0),MATCH(T94,CC_MA,0)),
IF(AA94="Rel. Gubernamentales",OFFSET('PARÁMETROS'!$K$48,MATCH(U94,JC_G,0),MATCH(T94,CC_G,0)),
IF(AA94="OPERACIONAL",OFFSET('PARÁMETROS'!$K$56,MATCH(U94,JC_OP,0),MATCH(T94,CC_OP,0)),
IF(AA94="FINANCIERO",OFFSET('PARÁMETROS'!$K$56,MATCH(U94,JC_FI,0),MATCH(T94,CC_FI,0)),
OFFSET('PARÁMETROS'!$K$38,MATCH(U94,JC_L,0),MATCH(T94,CC_L,0))))))))),"")</f>
        <v>Control/Acción Satisfactorio</v>
      </c>
      <c r="W94" s="147" t="str">
        <f>IF(E94="","",
IF(COUNTA( V94)-COUNTBLANK( V94)=1,
IF(O94="INACEPTABLE",IF(COUNTIF( V94,"Control/Acción Eficaz")&gt;=1,"SUSTANCIAL","INACEPTABLE"),
IF(O94="SUSTANCIAL",IF(COUNTIF( V94,"Control/Acción Eficaz")&gt;=1,"ACEPTABLE CON REVISIÓN","SUSTANCIAL"),
IF(O94="ACEPTABLE CON REVISIÓN",IF(COUNTIF( V94,"Control/Acción Eficaz")&gt;=1,"BAJA","ACEPTABLE CON REVISIÓN"),
IF(O94="BAJA",IF(COUNTIF( V94,"Control/Acción Eficaz")&gt;=1,"ACEPTABLE","BAJA"),)))),
IF(COUNTA( V94)-COUNTBLANK( V94)=2,
IF(O94="INACEPTABLE",IF(COUNTIF( V94,"Control/Acción Eficaz")=2,"ACEPTABLE CON REVISIÓN",
IF(OR(AND(COUNTIF( V94,"Control/Acción Eficaz")=1,COUNTIF( V94,"Control/Acción Satisfactorio")=1),
AND(COUNTIF( V94,"Control/Acción Eficaz")=1,COUNTIF( V94,"Control/Acción No Eficaz")=1)),"SUSTANCIAL","INACEPTABLE")),
IF(O94="SUSTANCIAL",IF(COUNTIF( V94,"Control/Acción Eficaz")=2,"BAJA",
IF(OR(AND(COUNTIF( V94,"Control/Acción Eficaz")=1,COUNTIF( V94,"Control/Acción Satisfactorio")=1),
AND(COUNTIF( V94,"Control/Acción Eficaz")=1,COUNTIF( V94,"Control/Acción No Eficaz")=1)),"ACEPTABLE CON REVISIÓN ","SUSTANCIAL")),
IF(O94="ACEPTABLE CON REVISIÓN",IF(COUNTIF( V94,"Control/Acción Eficaz")=2,"ACEPTABLE",
IF(OR(AND(COUNTIF( V94,"Control/Acción Eficaz")=1,COUNTIF( V94,"Control/Acción Satisfactorio")=1),
AND(COUNTIF( V94,"Control/Acción Eficaz")=1,COUNTIF( V94,"Control/Acción No Eficaz")=1)),"BAJA","ACEPTABLE CON REVISIÓN")),
IF(O94="BAJA",IF(COUNTIF( V94,"Control/Acción Eficaz")&gt;=2,"ACEPTABLE","BAJA"),)))),
IF(COUNTA( V94)-COUNTBLANK( V94)&gt;=3,
IF(O94="INACEPTABLE",
IF(COUNTBLANK( V94)=COUNTA( V94),"",
IF(COUNTIF( V94,"Control/Acción No Eficaz")&gt;=2,"INACEPTABLE",
IF(AND(COUNTIF( V94,"Control/Acción No Eficaz")=0,COUNTIF( V94,"Control/Acción Eficaz")&gt;=2),"ACEPTABLE CON REVISIÓN ","SUSTANCIAL"))),
IF(O94="SUSTANCIAL",
IF(COUNTBLANK( V94)=COUNTA( V94),"",
IF(COUNTIF( V94,"Control/Acción No Eficaz")&gt;=2,"SUSTANCIAL",
IF(AND(COUNTIF( V94,"Control/Acción No Eficaz")=0,COUNTIF( V94,"Control/Acción Eficaz")&gt;=2),"BAJA","ACEPTABLE CON REVISIÓN"))),
IF(O94="ACEPTABLE CON REVISIÓN",
IF(COUNTBLANK( V94)=COUNTA( V94),"",
IF(COUNTIF( V94,"Control/Acción No Eficaz")&gt;=2,"ACEPTABLE CON REVISIÓN",
IF(AND(COUNTIF( V94,"Control/Acción No Eficaz")=0,COUNTIF( V94,"Control/Acción Eficaz")&gt;=2),"ACEPTABLE","BAJA"))),
IF(O94="BAJA",
IF(COUNTBLANK( V94)=COUNTA( V94),"",
IF(AND(COUNTBLANK( V94)&lt;1,COUNTA( V94)=1),
IF(COUNTIF( V94,"Control/Acción No Eficaz")&gt;=2,"BAJA",
IF(AND(COUNTIF( V94,"Control/Acción No Eficaz")=0,COUNTIF( V94,"Control/Acción Eficaz")&gt;=2),"ACEPTABLE","BAJA")),
IF(COUNTIF( V94,"Control/Acción No Eficaz")&gt;=2,"BAJA",
IF(AND(COUNTIF( V94,"Control/Acción No Eficaz")=0,COUNTIF( V94,"Control/Acción Eficaz")&gt;=2),"ACEPTABLE","BAJA")))),
IF(COUNTIF( V94,"")&gt;=5,"",O94))))),
""))))</f>
        <v>BAJA</v>
      </c>
      <c r="X94" s="146"/>
      <c r="Y94" s="150"/>
      <c r="Z94" s="30" t="s">
        <v>314</v>
      </c>
      <c r="AA94" s="32" t="str">
        <f t="shared" ref="AA94:AA95" si="6">E94</f>
        <v>Seguridad</v>
      </c>
      <c r="AB94" s="33"/>
    </row>
    <row r="95" ht="105.0" customHeight="1">
      <c r="A95" s="79">
        <v>11.0</v>
      </c>
      <c r="B95" s="80" t="s">
        <v>172</v>
      </c>
      <c r="C95" s="80" t="s">
        <v>173</v>
      </c>
      <c r="D95" s="80" t="s">
        <v>177</v>
      </c>
      <c r="E95" s="80" t="s">
        <v>181</v>
      </c>
      <c r="F95" s="80" t="s">
        <v>387</v>
      </c>
      <c r="G95" s="80" t="s">
        <v>509</v>
      </c>
      <c r="H95" s="80" t="s">
        <v>379</v>
      </c>
      <c r="I95" s="80" t="s">
        <v>510</v>
      </c>
      <c r="J95" s="80">
        <v>3.0</v>
      </c>
      <c r="K95" s="80">
        <v>2.0</v>
      </c>
      <c r="L95" s="80">
        <f>IF(OR(J95&lt;&gt;"",K95&lt;&gt;""),OFFSET('PARÁMETROS'!$B$2,K95,J95),"")</f>
        <v>4</v>
      </c>
      <c r="M95" s="80">
        <v>4.0</v>
      </c>
      <c r="N95" s="80">
        <f t="shared" si="4"/>
        <v>16</v>
      </c>
      <c r="O95" s="89" t="str">
        <f t="shared" si="5"/>
        <v>INACEPTABLE</v>
      </c>
      <c r="P95" s="109" t="s">
        <v>302</v>
      </c>
      <c r="Q95" s="110" t="s">
        <v>511</v>
      </c>
      <c r="R95" s="110" t="s">
        <v>106</v>
      </c>
      <c r="S95" s="110" t="s">
        <v>265</v>
      </c>
      <c r="T95" s="111" t="s">
        <v>7</v>
      </c>
      <c r="U95" s="111" t="s">
        <v>182</v>
      </c>
      <c r="V95" s="111" t="str">
        <f>IFERROR(IF(AA95="SEGURIDAD",OFFSET('PARÁMETROS'!$K$2,MATCH(U95,JC_SE,0),MATCH(T95,CC_SE,0)),
IF(OR(AA95="DSRC/Estratégico",AA95="DSRC/Operativo"),OFFSET('PARÁMETROS'!$K$11,MATCH(U95,JC_DS,0),MATCH(T95,CC_DS,0)),
IF(AA95="SALUD",OFFSET('PARÁMETROS'!$K$29,MATCH(U95,JC_SA,0),MATCH(T95,CC_SA,0)),
IF(AA95="MEDIO AMBIENTE",OFFSET('PARÁMETROS'!$K$20,MATCH(U95,JC_MA,0),MATCH(T95,CC_MA,0)),
IF(AA95="Rel. Gubernamentales",OFFSET('PARÁMETROS'!$K$48,MATCH(U95,JC_G,0),MATCH(T95,CC_G,0)),
IF(AA95="OPERACIONAL",OFFSET('PARÁMETROS'!$K$56,MATCH(U95,JC_OP,0),MATCH(T95,CC_OP,0)),
IF(AA95="FINANCIERO",OFFSET('PARÁMETROS'!$K$56,MATCH(U95,JC_FI,0),MATCH(T95,CC_FI,0)),
OFFSET('PARÁMETROS'!$K$38,MATCH(U95,JC_L,0),MATCH(T95,CC_L,0))))))))),"")</f>
        <v>Control/Acción Satisfactorio</v>
      </c>
      <c r="W95" s="89" t="str">
        <f>IF(E95="","",
IF(COUNTA( V95:V97)-COUNTBLANK( V95:V97)=1,
IF(O95="INACEPTABLE",IF(COUNTIF( V95:V97,"Control/Acción Eficaz")&gt;=1,"SUSTANCIAL","INACEPTABLE"),
IF(O95="SUSTANCIAL",IF(COUNTIF( V95:V97,"Control/Acción Eficaz")&gt;=1,"ACEPTABLE CON REVISIÓN","SUSTANCIAL"),
IF(O95="ACEPTABLE CON REVISIÓN",IF(COUNTIF( V95:V97,"Control/Acción Eficaz")&gt;=1,"BAJA","ACEPTABLE CON REVISIÓN"),
IF(O95="BAJA",IF(COUNTIF( V95:V97,"Control/Acción Eficaz")&gt;=1,"ACEPTABLE","BAJA"),)))),
IF(COUNTA( V95:V97)-COUNTBLANK( V95:V97)=2,
IF(O95="INACEPTABLE",IF(COUNTIF( V95:V97,"Control/Acción Eficaz")=2,"ACEPTABLE CON REVISIÓN",
IF(OR(AND(COUNTIF( V95:V97,"Control/Acción Eficaz")=1,COUNTIF( V95:V97,"Control/Acción Satisfactorio")=1),
AND(COUNTIF( V95:V97,"Control/Acción Eficaz")=1,COUNTIF( V95:V97,"Control/Acción No Eficaz")=1)),"SUSTANCIAL","INACEPTABLE")),
IF(O95="SUSTANCIAL",IF(COUNTIF( V95:V97,"Control/Acción Eficaz")=2,"BAJA",
IF(OR(AND(COUNTIF( V95:V97,"Control/Acción Eficaz")=1,COUNTIF( V95:V97,"Control/Acción Satisfactorio")=1),
AND(COUNTIF( V95:V97,"Control/Acción Eficaz")=1,COUNTIF( V95:V97,"Control/Acción No Eficaz")=1)),"ACEPTABLE CON REVISIÓN ","SUSTANCIAL")),
IF(O95="ACEPTABLE CON REVISIÓN",IF(COUNTIF( V95:V97,"Control/Acción Eficaz")=2,"ACEPTABLE",
IF(OR(AND(COUNTIF( V95:V97,"Control/Acción Eficaz")=1,COUNTIF( V95:V97,"Control/Acción Satisfactorio")=1),
AND(COUNTIF( V95:V97,"Control/Acción Eficaz")=1,COUNTIF( V95:V97,"Control/Acción No Eficaz")=1)),"BAJA","ACEPTABLE CON REVISIÓN")),
IF(O95="BAJA",IF(COUNTIF( V95:V97,"Control/Acción Eficaz")&gt;=2,"ACEPTABLE","BAJA"),)))),
IF(COUNTA( V95:V97)-COUNTBLANK( V95:V97)&gt;=3,
IF(O95="INACEPTABLE",
IF(COUNTBLANK( V95:V97)=COUNTA( V95:V97),"",
IF(COUNTIF( V95:V97,"Control/Acción No Eficaz")&gt;=2,"INACEPTABLE",
IF(AND(COUNTIF( V95:V97,"Control/Acción No Eficaz")=0,COUNTIF( V95:V97,"Control/Acción Eficaz")&gt;=2),"ACEPTABLE CON REVISIÓN ","SUSTANCIAL"))),
IF(O95="SUSTANCIAL",
IF(COUNTBLANK( V95:V97)=COUNTA( V95:V97),"",
IF(COUNTIF( V95:V97,"Control/Acción No Eficaz")&gt;=2,"SUSTANCIAL",
IF(AND(COUNTIF( V95:V97,"Control/Acción No Eficaz")=0,COUNTIF( V95:V97,"Control/Acción Eficaz")&gt;=2),"BAJA","ACEPTABLE CON REVISIÓN"))),
IF(O95="ACEPTABLE CON REVISIÓN",
IF(COUNTBLANK( V95:V97)=COUNTA( V95:V97),"",
IF(COUNTIF( V95:V97,"Control/Acción No Eficaz")&gt;=2,"ACEPTABLE CON REVISIÓN",
IF(AND(COUNTIF( V95:V97,"Control/Acción No Eficaz")=0,COUNTIF( V95:V97,"Control/Acción Eficaz")&gt;=2),"ACEPTABLE","BAJA"))),
IF(O95="BAJA",
IF(COUNTBLANK( V95:V97)=COUNTA( V95:V97),"",
IF(AND(COUNTBLANK( V95:V97)&lt;1,COUNTA( V95:V97)=1),
IF(COUNTIF( V95:V97,"Control/Acción No Eficaz")&gt;=2,"BAJA",
IF(AND(COUNTIF( V95:V97,"Control/Acción No Eficaz")=0,COUNTIF( V95:V97,"Control/Acción Eficaz")&gt;=2),"ACEPTABLE","BAJA")),
IF(COUNTIF( V95:V97,"Control/Acción No Eficaz")&gt;=2,"BAJA",
IF(AND(COUNTIF( V95:V97,"Control/Acción No Eficaz")=0,COUNTIF( V95:V97,"Control/Acción Eficaz")&gt;=2),"ACEPTABLE","BAJA")))),
IF(COUNTIF( V95:V97,"")&gt;=5,"",O95))))),
""))))</f>
        <v>SUSTANCIAL</v>
      </c>
      <c r="X95" s="111"/>
      <c r="Y95" s="115"/>
      <c r="Z95" s="30" t="s">
        <v>314</v>
      </c>
      <c r="AA95" s="32" t="str">
        <f t="shared" si="6"/>
        <v>Seguridad</v>
      </c>
      <c r="AB95" s="33"/>
    </row>
    <row r="96" ht="105.0" customHeight="1">
      <c r="A96" s="116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09" t="s">
        <v>196</v>
      </c>
      <c r="Q96" s="110" t="s">
        <v>512</v>
      </c>
      <c r="R96" s="110" t="s">
        <v>106</v>
      </c>
      <c r="S96" s="110" t="s">
        <v>265</v>
      </c>
      <c r="T96" s="111" t="s">
        <v>7</v>
      </c>
      <c r="U96" s="111" t="s">
        <v>182</v>
      </c>
      <c r="V96" s="111" t="str">
        <f>IFERROR(IF(AA96="SEGURIDAD",OFFSET('PARÁMETROS'!$K$2,MATCH(U96,JC_SE,0),MATCH(T96,CC_SE,0)),
IF(OR(AA96="DSRC/Estratégico",AA96="DSRC/Operativo"),OFFSET('PARÁMETROS'!$K$11,MATCH(U96,JC_DS,0),MATCH(T96,CC_DS,0)),
IF(AA96="SALUD",OFFSET('PARÁMETROS'!$K$29,MATCH(U96,JC_SA,0),MATCH(T96,CC_SA,0)),
IF(AA96="MEDIO AMBIENTE",OFFSET('PARÁMETROS'!$K$20,MATCH(U96,JC_MA,0),MATCH(T96,CC_MA,0)),
IF(AA96="Rel. Gubernamentales",OFFSET('PARÁMETROS'!$K$48,MATCH(U96,JC_G,0),MATCH(T96,CC_G,0)),
IF(AA96="OPERACIONAL",OFFSET('PARÁMETROS'!$K$56,MATCH(U96,JC_OP,0),MATCH(T96,CC_OP,0)),
IF(AA96="FINANCIERO",OFFSET('PARÁMETROS'!$K$56,MATCH(U96,JC_FI,0),MATCH(T96,CC_FI,0)),
OFFSET('PARÁMETROS'!$K$38,MATCH(U96,JC_L,0),MATCH(T96,CC_L,0))))))))),"")</f>
        <v>Control/Acción Satisfactorio</v>
      </c>
      <c r="W96" s="117"/>
      <c r="X96" s="151"/>
      <c r="Y96" s="152"/>
      <c r="Z96" s="30"/>
      <c r="AA96" s="32" t="str">
        <f>E95</f>
        <v>Seguridad</v>
      </c>
      <c r="AB96" s="33"/>
    </row>
    <row r="97" ht="105.0" customHeight="1">
      <c r="A97" s="68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134" t="s">
        <v>196</v>
      </c>
      <c r="Q97" s="135" t="s">
        <v>440</v>
      </c>
      <c r="R97" s="135" t="s">
        <v>106</v>
      </c>
      <c r="S97" s="135" t="s">
        <v>265</v>
      </c>
      <c r="T97" s="136" t="s">
        <v>7</v>
      </c>
      <c r="U97" s="136" t="s">
        <v>162</v>
      </c>
      <c r="V97" s="136" t="str">
        <f>IFERROR(IF(AA97="SEGURIDAD",OFFSET('PARÁMETROS'!$K$2,MATCH(U97,JC_SE,0),MATCH(T97,CC_SE,0)),
IF(OR(AA97="DSRC/Estratégico",AA97="DSRC/Operativo"),OFFSET('PARÁMETROS'!$K$11,MATCH(U97,JC_DS,0),MATCH(T97,CC_DS,0)),
IF(AA97="SALUD",OFFSET('PARÁMETROS'!$K$29,MATCH(U97,JC_SA,0),MATCH(T97,CC_SA,0)),
IF(AA97="MEDIO AMBIENTE",OFFSET('PARÁMETROS'!$K$20,MATCH(U97,JC_MA,0),MATCH(T97,CC_MA,0)),
IF(AA97="Rel. Gubernamentales",OFFSET('PARÁMETROS'!$K$48,MATCH(U97,JC_G,0),MATCH(T97,CC_G,0)),
IF(AA97="OPERACIONAL",OFFSET('PARÁMETROS'!$K$56,MATCH(U97,JC_OP,0),MATCH(T97,CC_OP,0)),
IF(AA97="FINANCIERO",OFFSET('PARÁMETROS'!$K$56,MATCH(U97,JC_FI,0),MATCH(T97,CC_FI,0)),
OFFSET('PARÁMETROS'!$K$38,MATCH(U97,JC_L,0),MATCH(T97,CC_L,0))))))))),"")</f>
        <v>Control/Acción Eficaz</v>
      </c>
      <c r="W97" s="69"/>
      <c r="X97" s="136"/>
      <c r="Y97" s="137"/>
      <c r="Z97" s="30" t="s">
        <v>513</v>
      </c>
      <c r="AA97" s="32" t="str">
        <f>E95</f>
        <v>Seguridad</v>
      </c>
      <c r="AB97" s="30" t="s">
        <v>514</v>
      </c>
    </row>
    <row r="98" ht="105.0" customHeight="1">
      <c r="A98" s="79">
        <v>12.0</v>
      </c>
      <c r="B98" s="80" t="s">
        <v>172</v>
      </c>
      <c r="C98" s="80" t="s">
        <v>173</v>
      </c>
      <c r="D98" s="80" t="s">
        <v>177</v>
      </c>
      <c r="E98" s="80" t="s">
        <v>181</v>
      </c>
      <c r="F98" s="80" t="s">
        <v>348</v>
      </c>
      <c r="G98" s="80" t="s">
        <v>515</v>
      </c>
      <c r="H98" s="80" t="s">
        <v>366</v>
      </c>
      <c r="I98" s="80" t="s">
        <v>516</v>
      </c>
      <c r="J98" s="80">
        <v>5.0</v>
      </c>
      <c r="K98" s="80">
        <v>2.0</v>
      </c>
      <c r="L98" s="80">
        <f>IF(OR(J98&lt;&gt;"",K98&lt;&gt;""),OFFSET('PARÁMETROS'!$B$2,K98,J98),"")</f>
        <v>3</v>
      </c>
      <c r="M98" s="80">
        <v>4.0</v>
      </c>
      <c r="N98" s="80">
        <f>IFERROR(L98*M98,"")</f>
        <v>12</v>
      </c>
      <c r="O98" s="89" t="str">
        <f>IF(N98="","",IFERROR(IF(N98&lt;=2,"ACEPTABLE",IF(N98&lt;=6,"BAJA",IF(N98&lt;=10,"ACEPTABLE CON REVISIÓN",IF(N98&lt;=15,"SUSTANCIAL","INACEPTABLE")))),""))</f>
        <v>SUSTANCIAL</v>
      </c>
      <c r="P98" s="109" t="s">
        <v>302</v>
      </c>
      <c r="Q98" s="110" t="s">
        <v>508</v>
      </c>
      <c r="R98" s="110" t="s">
        <v>106</v>
      </c>
      <c r="S98" s="110" t="s">
        <v>265</v>
      </c>
      <c r="T98" s="111" t="s">
        <v>7</v>
      </c>
      <c r="U98" s="111" t="s">
        <v>182</v>
      </c>
      <c r="V98" s="111" t="str">
        <f>IFERROR(IF(AA98="SEGURIDAD",OFFSET('PARÁMETROS'!$K$2,MATCH(U98,JC_SE,0),MATCH(T98,CC_SE,0)),
IF(OR(AA98="DSRC/Estratégico",AA98="DSRC/Operativo"),OFFSET('PARÁMETROS'!$K$11,MATCH(U98,JC_DS,0),MATCH(T98,CC_DS,0)),
IF(AA98="SALUD",OFFSET('PARÁMETROS'!$K$29,MATCH(U98,JC_SA,0),MATCH(T98,CC_SA,0)),
IF(AA98="MEDIO AMBIENTE",OFFSET('PARÁMETROS'!$K$20,MATCH(U98,JC_MA,0),MATCH(T98,CC_MA,0)),
IF(AA98="Rel. Gubernamentales",OFFSET('PARÁMETROS'!$K$48,MATCH(U98,JC_G,0),MATCH(T98,CC_G,0)),
IF(AA98="OPERACIONAL",OFFSET('PARÁMETROS'!$K$56,MATCH(U98,JC_OP,0),MATCH(T98,CC_OP,0)),
IF(AA98="FINANCIERO",OFFSET('PARÁMETROS'!$K$56,MATCH(U98,JC_FI,0),MATCH(T98,CC_FI,0)),
OFFSET('PARÁMETROS'!$K$38,MATCH(U98,JC_L,0),MATCH(T98,CC_L,0))))))))),"")</f>
        <v>Control/Acción Satisfactorio</v>
      </c>
      <c r="W98" s="89" t="str">
        <f>IF(E98="","",
IF(COUNTA( V98:V102)-COUNTBLANK( V98:V102)=1,
IF(O98="INACEPTABLE",IF(COUNTIF( V98:V102,"Control/Acción Eficaz")&gt;=1,"SUSTANCIAL","INACEPTABLE"),
IF(O98="SUSTANCIAL",IF(COUNTIF( V98:V102,"Control/Acción Eficaz")&gt;=1,"ACEPTABLE CON REVISIÓN","SUSTANCIAL"),
IF(O98="ACEPTABLE CON REVISIÓN",IF(COUNTIF( V98:V102,"Control/Acción Eficaz")&gt;=1,"BAJA","ACEPTABLE CON REVISIÓN"),
IF(O98="BAJA",IF(COUNTIF( V98:V102,"Control/Acción Eficaz")&gt;=1,"ACEPTABLE","BAJA"),)))),
IF(COUNTA( V98:V102)-COUNTBLANK( V98:V102)=2,
IF(O98="INACEPTABLE",IF(COUNTIF( V98:V102,"Control/Acción Eficaz")=2,"ACEPTABLE CON REVISIÓN",
IF(OR(AND(COUNTIF( V98:V102,"Control/Acción Eficaz")=1,COUNTIF( V98:V102,"Control/Acción Satisfactorio")=1),
AND(COUNTIF( V98:V102,"Control/Acción Eficaz")=1,COUNTIF( V98:V102,"Control/Acción No Eficaz")=1)),"SUSTANCIAL","INACEPTABLE")),
IF(O98="SUSTANCIAL",IF(COUNTIF( V98:V102,"Control/Acción Eficaz")=2,"BAJA",
IF(OR(AND(COUNTIF( V98:V102,"Control/Acción Eficaz")=1,COUNTIF( V98:V102,"Control/Acción Satisfactorio")=1),
AND(COUNTIF( V98:V102,"Control/Acción Eficaz")=1,COUNTIF( V98:V102,"Control/Acción No Eficaz")=1)),"ACEPTABLE CON REVISIÓN ","SUSTANCIAL")),
IF(O98="ACEPTABLE CON REVISIÓN",IF(COUNTIF( V98:V102,"Control/Acción Eficaz")=2,"ACEPTABLE",
IF(OR(AND(COUNTIF( V98:V102,"Control/Acción Eficaz")=1,COUNTIF( V98:V102,"Control/Acción Satisfactorio")=1),
AND(COUNTIF( V98:V102,"Control/Acción Eficaz")=1,COUNTIF( V98:V102,"Control/Acción No Eficaz")=1)),"BAJA","ACEPTABLE CON REVISIÓN")),
IF(O98="BAJA",IF(COUNTIF( V98:V102,"Control/Acción Eficaz")&gt;=2,"ACEPTABLE","BAJA"),)))),
IF(COUNTA( V98:V102)-COUNTBLANK( V98:V102)&gt;=3,
IF(O98="INACEPTABLE",
IF(COUNTBLANK( V98:V102)=COUNTA( V98:V102),"",
IF(COUNTIF( V98:V102,"Control/Acción No Eficaz")&gt;=2,"INACEPTABLE",
IF(AND(COUNTIF( V98:V102,"Control/Acción No Eficaz")=0,COUNTIF( V98:V102,"Control/Acción Eficaz")&gt;=2),"ACEPTABLE CON REVISIÓN ","SUSTANCIAL"))),
IF(O98="SUSTANCIAL",
IF(COUNTBLANK( V98:V102)=COUNTA( V98:V102),"",
IF(COUNTIF( V98:V102,"Control/Acción No Eficaz")&gt;=2,"SUSTANCIAL",
IF(AND(COUNTIF( V98:V102,"Control/Acción No Eficaz")=0,COUNTIF( V98:V102,"Control/Acción Eficaz")&gt;=2),"BAJA","ACEPTABLE CON REVISIÓN"))),
IF(O98="ACEPTABLE CON REVISIÓN",
IF(COUNTBLANK( V98:V102)=COUNTA( V98:V102),"",
IF(COUNTIF( V98:V102,"Control/Acción No Eficaz")&gt;=2,"ACEPTABLE CON REVISIÓN",
IF(AND(COUNTIF( V98:V102,"Control/Acción No Eficaz")=0,COUNTIF( V98:V102,"Control/Acción Eficaz")&gt;=2),"ACEPTABLE","BAJA"))),
IF(O98="BAJA",
IF(COUNTBLANK( V98:V102)=COUNTA( V98:V102),"",
IF(AND(COUNTBLANK( V98:V102)&lt;1,COUNTA( V98:V102)=1),
IF(COUNTIF( V98:V102,"Control/Acción No Eficaz")&gt;=2,"BAJA",
IF(AND(COUNTIF( V98:V102,"Control/Acción No Eficaz")=0,COUNTIF( V98:V102,"Control/Acción Eficaz")&gt;=2),"ACEPTABLE","BAJA")),
IF(COUNTIF( V98:V102,"Control/Acción No Eficaz")&gt;=2,"BAJA",
IF(AND(COUNTIF( V98:V102,"Control/Acción No Eficaz")=0,COUNTIF( V98:V102,"Control/Acción Eficaz")&gt;=2),"ACEPTABLE","BAJA")))),
IF(COUNTIF( V98:V102,"")&gt;=5,"",O98))))),
""))))</f>
        <v>BAJA</v>
      </c>
      <c r="X98" s="111"/>
      <c r="Y98" s="115"/>
      <c r="Z98" s="30" t="s">
        <v>314</v>
      </c>
      <c r="AA98" s="32" t="str">
        <f>E98</f>
        <v>Seguridad</v>
      </c>
      <c r="AB98" s="33"/>
    </row>
    <row r="99" ht="105.0" customHeight="1">
      <c r="A99" s="116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8" t="s">
        <v>166</v>
      </c>
      <c r="Q99" s="119" t="s">
        <v>437</v>
      </c>
      <c r="R99" s="119" t="s">
        <v>142</v>
      </c>
      <c r="S99" s="119" t="s">
        <v>325</v>
      </c>
      <c r="T99" s="120" t="s">
        <v>7</v>
      </c>
      <c r="U99" s="120" t="s">
        <v>162</v>
      </c>
      <c r="V99" s="120" t="str">
        <f>IFERROR(IF(AA99="SEGURIDAD",OFFSET('PARÁMETROS'!$K$2,MATCH(U99,JC_SE,0),MATCH(T99,CC_SE,0)),
IF(OR(AA99="DSRC/Estratégico",AA99="DSRC/Operativo"),OFFSET('PARÁMETROS'!$K$11,MATCH(U99,JC_DS,0),MATCH(T99,CC_DS,0)),
IF(AA99="SALUD",OFFSET('PARÁMETROS'!$K$29,MATCH(U99,JC_SA,0),MATCH(T99,CC_SA,0)),
IF(AA99="MEDIO AMBIENTE",OFFSET('PARÁMETROS'!$K$20,MATCH(U99,JC_MA,0),MATCH(T99,CC_MA,0)),
IF(AA99="Rel. Gubernamentales",OFFSET('PARÁMETROS'!$K$48,MATCH(U99,JC_G,0),MATCH(T99,CC_G,0)),
IF(AA99="OPERACIONAL",OFFSET('PARÁMETROS'!$K$56,MATCH(U99,JC_OP,0),MATCH(T99,CC_OP,0)),
IF(AA99="FINANCIERO",OFFSET('PARÁMETROS'!$K$56,MATCH(U99,JC_FI,0),MATCH(T99,CC_FI,0)),
OFFSET('PARÁMETROS'!$K$38,MATCH(U99,JC_L,0),MATCH(T99,CC_L,0))))))))),"")</f>
        <v>Control/Acción Eficaz</v>
      </c>
      <c r="W99" s="117"/>
      <c r="X99" s="120"/>
      <c r="Y99" s="121"/>
      <c r="Z99" s="30" t="s">
        <v>314</v>
      </c>
      <c r="AA99" s="32" t="str">
        <f>E98</f>
        <v>Seguridad</v>
      </c>
      <c r="AB99" s="33"/>
    </row>
    <row r="100" ht="105.0" customHeight="1">
      <c r="A100" s="116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8" t="s">
        <v>117</v>
      </c>
      <c r="Q100" s="119" t="s">
        <v>491</v>
      </c>
      <c r="R100" s="119" t="s">
        <v>142</v>
      </c>
      <c r="S100" s="119" t="s">
        <v>295</v>
      </c>
      <c r="T100" s="120" t="s">
        <v>7</v>
      </c>
      <c r="U100" s="120" t="s">
        <v>111</v>
      </c>
      <c r="V100" s="120" t="str">
        <f>IFERROR(IF(AA100="SEGURIDAD",OFFSET('PARÁMETROS'!$K$2,MATCH(U100,JC_SE,0),MATCH(T100,CC_SE,0)),
IF(OR(AA100="DSRC/Estratégico",AA100="DSRC/Operativo"),OFFSET('PARÁMETROS'!$K$11,MATCH(U100,JC_DS,0),MATCH(T100,CC_DS,0)),
IF(AA100="SALUD",OFFSET('PARÁMETROS'!$K$29,MATCH(U100,JC_SA,0),MATCH(T100,CC_SA,0)),
IF(AA100="MEDIO AMBIENTE",OFFSET('PARÁMETROS'!$K$20,MATCH(U100,JC_MA,0),MATCH(T100,CC_MA,0)),
IF(AA100="Rel. Gubernamentales",OFFSET('PARÁMETROS'!$K$48,MATCH(U100,JC_G,0),MATCH(T100,CC_G,0)),
IF(AA100="OPERACIONAL",OFFSET('PARÁMETROS'!$K$56,MATCH(U100,JC_OP,0),MATCH(T100,CC_OP,0)),
IF(AA100="FINANCIERO",OFFSET('PARÁMETROS'!$K$56,MATCH(U100,JC_FI,0),MATCH(T100,CC_FI,0)),
OFFSET('PARÁMETROS'!$K$38,MATCH(U100,JC_L,0),MATCH(T100,CC_L,0))))))))),"")</f>
        <v>Control/Acción Eficaz</v>
      </c>
      <c r="W100" s="117"/>
      <c r="X100" s="120"/>
      <c r="Y100" s="121"/>
      <c r="Z100" s="30" t="s">
        <v>314</v>
      </c>
      <c r="AA100" s="32" t="str">
        <f>E98</f>
        <v>Seguridad</v>
      </c>
      <c r="AB100" s="33"/>
    </row>
    <row r="101" ht="105.0" customHeight="1">
      <c r="A101" s="116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8" t="s">
        <v>258</v>
      </c>
      <c r="Q101" s="119" t="s">
        <v>488</v>
      </c>
      <c r="R101" s="119" t="s">
        <v>83</v>
      </c>
      <c r="S101" s="119" t="s">
        <v>84</v>
      </c>
      <c r="T101" s="120" t="s">
        <v>6</v>
      </c>
      <c r="U101" s="120" t="s">
        <v>162</v>
      </c>
      <c r="V101" s="120" t="str">
        <f>IFERROR(IF(AA101="SEGURIDAD",OFFSET('PARÁMETROS'!$K$2,MATCH(U101,JC_SE,0),MATCH(T101,CC_SE,0)),
IF(OR(AA101="DSRC/Estratégico",AA101="DSRC/Operativo"),OFFSET('PARÁMETROS'!$K$11,MATCH(U101,JC_DS,0),MATCH(T101,CC_DS,0)),
IF(AA101="SALUD",OFFSET('PARÁMETROS'!$K$29,MATCH(U101,JC_SA,0),MATCH(T101,CC_SA,0)),
IF(AA101="MEDIO AMBIENTE",OFFSET('PARÁMETROS'!$K$20,MATCH(U101,JC_MA,0),MATCH(T101,CC_MA,0)),
IF(AA101="Rel. Gubernamentales",OFFSET('PARÁMETROS'!$K$48,MATCH(U101,JC_G,0),MATCH(T101,CC_G,0)),
IF(AA101="OPERACIONAL",OFFSET('PARÁMETROS'!$K$56,MATCH(U101,JC_OP,0),MATCH(T101,CC_OP,0)),
IF(AA101="FINANCIERO",OFFSET('PARÁMETROS'!$K$56,MATCH(U101,JC_FI,0),MATCH(T101,CC_FI,0)),
OFFSET('PARÁMETROS'!$K$38,MATCH(U101,JC_L,0),MATCH(T101,CC_L,0))))))))),"")</f>
        <v>Control/Acción Satisfactorio</v>
      </c>
      <c r="W101" s="117"/>
      <c r="X101" s="120"/>
      <c r="Y101" s="121"/>
      <c r="Z101" s="30" t="s">
        <v>314</v>
      </c>
      <c r="AA101" s="32" t="str">
        <f>E98</f>
        <v>Seguridad</v>
      </c>
      <c r="AB101" s="33"/>
    </row>
    <row r="102" ht="105.0" customHeight="1">
      <c r="A102" s="68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134" t="s">
        <v>196</v>
      </c>
      <c r="Q102" s="135" t="s">
        <v>440</v>
      </c>
      <c r="R102" s="135" t="s">
        <v>106</v>
      </c>
      <c r="S102" s="135" t="s">
        <v>265</v>
      </c>
      <c r="T102" s="136" t="s">
        <v>7</v>
      </c>
      <c r="U102" s="136" t="s">
        <v>162</v>
      </c>
      <c r="V102" s="136" t="str">
        <f>IFERROR(IF(AA102="SEGURIDAD",OFFSET('PARÁMETROS'!$K$2,MATCH(U102,JC_SE,0),MATCH(T102,CC_SE,0)),
IF(OR(AA102="DSRC/Estratégico",AA102="DSRC/Operativo"),OFFSET('PARÁMETROS'!$K$11,MATCH(U102,JC_DS,0),MATCH(T102,CC_DS,0)),
IF(AA102="SALUD",OFFSET('PARÁMETROS'!$K$29,MATCH(U102,JC_SA,0),MATCH(T102,CC_SA,0)),
IF(AA102="MEDIO AMBIENTE",OFFSET('PARÁMETROS'!$K$20,MATCH(U102,JC_MA,0),MATCH(T102,CC_MA,0)),
IF(AA102="Rel. Gubernamentales",OFFSET('PARÁMETROS'!$K$48,MATCH(U102,JC_G,0),MATCH(T102,CC_G,0)),
IF(AA102="OPERACIONAL",OFFSET('PARÁMETROS'!$K$56,MATCH(U102,JC_OP,0),MATCH(T102,CC_OP,0)),
IF(AA102="FINANCIERO",OFFSET('PARÁMETROS'!$K$56,MATCH(U102,JC_FI,0),MATCH(T102,CC_FI,0)),
OFFSET('PARÁMETROS'!$K$38,MATCH(U102,JC_L,0),MATCH(T102,CC_L,0))))))))),"")</f>
        <v>Control/Acción Eficaz</v>
      </c>
      <c r="W102" s="69"/>
      <c r="X102" s="136"/>
      <c r="Y102" s="137"/>
      <c r="Z102" s="30" t="s">
        <v>513</v>
      </c>
      <c r="AA102" s="32" t="str">
        <f>E98</f>
        <v>Seguridad</v>
      </c>
      <c r="AB102" s="33" t="s">
        <v>517</v>
      </c>
    </row>
    <row r="103" ht="105.0" customHeight="1">
      <c r="A103" s="79">
        <v>13.0</v>
      </c>
      <c r="B103" s="80" t="s">
        <v>172</v>
      </c>
      <c r="C103" s="80" t="s">
        <v>173</v>
      </c>
      <c r="D103" s="80" t="s">
        <v>177</v>
      </c>
      <c r="E103" s="80" t="s">
        <v>181</v>
      </c>
      <c r="F103" s="80" t="s">
        <v>308</v>
      </c>
      <c r="G103" s="80" t="s">
        <v>518</v>
      </c>
      <c r="H103" s="80" t="s">
        <v>384</v>
      </c>
      <c r="I103" s="80" t="s">
        <v>519</v>
      </c>
      <c r="J103" s="80">
        <v>5.0</v>
      </c>
      <c r="K103" s="80">
        <v>2.0</v>
      </c>
      <c r="L103" s="80">
        <f>IF(OR(J103&lt;&gt;"",K103&lt;&gt;""),OFFSET('PARÁMETROS'!$B$2,K103,J103),"")</f>
        <v>3</v>
      </c>
      <c r="M103" s="80">
        <v>4.0</v>
      </c>
      <c r="N103" s="80">
        <f>IFERROR(L103*M103,"")</f>
        <v>12</v>
      </c>
      <c r="O103" s="89" t="str">
        <f>IF(N103="","",IFERROR(IF(N103&lt;=2,"ACEPTABLE",IF(N103&lt;=6,"BAJA",IF(N103&lt;=10,"ACEPTABLE CON REVISIÓN",IF(N103&lt;=15,"SUSTANCIAL","INACEPTABLE")))),""))</f>
        <v>SUSTANCIAL</v>
      </c>
      <c r="P103" s="109" t="s">
        <v>258</v>
      </c>
      <c r="Q103" s="110" t="s">
        <v>479</v>
      </c>
      <c r="R103" s="110" t="s">
        <v>142</v>
      </c>
      <c r="S103" s="110" t="s">
        <v>120</v>
      </c>
      <c r="T103" s="111" t="s">
        <v>5</v>
      </c>
      <c r="U103" s="111" t="s">
        <v>162</v>
      </c>
      <c r="V103" s="111" t="str">
        <f>IFERROR(IF(AA103="SEGURIDAD",OFFSET('PARÁMETROS'!$K$2,MATCH(U103,JC_SE,0),MATCH(T103,CC_SE,0)),
IF(OR(AA103="DSRC/Estratégico",AA103="DSRC/Operativo"),OFFSET('PARÁMETROS'!$K$11,MATCH(U103,JC_DS,0),MATCH(T103,CC_DS,0)),
IF(AA103="SALUD",OFFSET('PARÁMETROS'!$K$29,MATCH(U103,JC_SA,0),MATCH(T103,CC_SA,0)),
IF(AA103="MEDIO AMBIENTE",OFFSET('PARÁMETROS'!$K$20,MATCH(U103,JC_MA,0),MATCH(T103,CC_MA,0)),
IF(AA103="Rel. Gubernamentales",OFFSET('PARÁMETROS'!$K$48,MATCH(U103,JC_G,0),MATCH(T103,CC_G,0)),
IF(AA103="OPERACIONAL",OFFSET('PARÁMETROS'!$K$56,MATCH(U103,JC_OP,0),MATCH(T103,CC_OP,0)),
IF(AA103="FINANCIERO",OFFSET('PARÁMETROS'!$K$56,MATCH(U103,JC_FI,0),MATCH(T103,CC_FI,0)),
OFFSET('PARÁMETROS'!$K$38,MATCH(U103,JC_L,0),MATCH(T103,CC_L,0))))))))),"")</f>
        <v>Control/Acción No Eficaz</v>
      </c>
      <c r="W103" s="89" t="str">
        <f>IF(E103="","",
IF(COUNTA( V103:V109)-COUNTBLANK( V103:V109)=1,
IF(O103="INACEPTABLE",IF(COUNTIF( V103:V109,"Control/Acción Eficaz")&gt;=1,"SUSTANCIAL","INACEPTABLE"),
IF(O103="SUSTANCIAL",IF(COUNTIF( V103:V109,"Control/Acción Eficaz")&gt;=1,"ACEPTABLE CON REVISIÓN","SUSTANCIAL"),
IF(O103="ACEPTABLE CON REVISIÓN",IF(COUNTIF( V103:V109,"Control/Acción Eficaz")&gt;=1,"BAJA","ACEPTABLE CON REVISIÓN"),
IF(O103="BAJA",IF(COUNTIF( V103:V109,"Control/Acción Eficaz")&gt;=1,"ACEPTABLE","BAJA"),)))),
IF(COUNTA( V103:V109)-COUNTBLANK( V103:V109)=2,
IF(O103="INACEPTABLE",IF(COUNTIF( V103:V109,"Control/Acción Eficaz")=2,"ACEPTABLE CON REVISIÓN",
IF(OR(AND(COUNTIF( V103:V109,"Control/Acción Eficaz")=1,COUNTIF( V103:V109,"Control/Acción Satisfactorio")=1),
AND(COUNTIF( V103:V109,"Control/Acción Eficaz")=1,COUNTIF( V103:V109,"Control/Acción No Eficaz")=1)),"SUSTANCIAL","INACEPTABLE")),
IF(O103="SUSTANCIAL",IF(COUNTIF( V103:V109,"Control/Acción Eficaz")=2,"BAJA",
IF(OR(AND(COUNTIF( V103:V109,"Control/Acción Eficaz")=1,COUNTIF( V103:V109,"Control/Acción Satisfactorio")=1),
AND(COUNTIF( V103:V109,"Control/Acción Eficaz")=1,COUNTIF( V103:V109,"Control/Acción No Eficaz")=1)),"ACEPTABLE CON REVISIÓN ","SUSTANCIAL")),
IF(O103="ACEPTABLE CON REVISIÓN",IF(COUNTIF( V103:V109,"Control/Acción Eficaz")=2,"ACEPTABLE",
IF(OR(AND(COUNTIF( V103:V109,"Control/Acción Eficaz")=1,COUNTIF( V103:V109,"Control/Acción Satisfactorio")=1),
AND(COUNTIF( V103:V109,"Control/Acción Eficaz")=1,COUNTIF( V103:V109,"Control/Acción No Eficaz")=1)),"BAJA","ACEPTABLE CON REVISIÓN")),
IF(O103="BAJA",IF(COUNTIF( V103:V109,"Control/Acción Eficaz")&gt;=2,"ACEPTABLE","BAJA"),)))),
IF(COUNTA( V103:V109)-COUNTBLANK( V103:V109)&gt;=3,
IF(O103="INACEPTABLE",
IF(COUNTBLANK( V103:V109)=COUNTA( V103:V109),"",
IF(COUNTIF( V103:V109,"Control/Acción No Eficaz")&gt;=2,"INACEPTABLE",
IF(AND(COUNTIF( V103:V109,"Control/Acción No Eficaz")=0,COUNTIF( V103:V109,"Control/Acción Eficaz")&gt;=2),"ACEPTABLE CON REVISIÓN ","SUSTANCIAL"))),
IF(O103="SUSTANCIAL",
IF(COUNTBLANK( V103:V109)=COUNTA( V103:V109),"",
IF(COUNTIF( V103:V109,"Control/Acción No Eficaz")&gt;=2,"SUSTANCIAL",
IF(AND(COUNTIF( V103:V109,"Control/Acción No Eficaz")=0,COUNTIF( V103:V109,"Control/Acción Eficaz")&gt;=2),"BAJA","ACEPTABLE CON REVISIÓN"))),
IF(O103="ACEPTABLE CON REVISIÓN",
IF(COUNTBLANK( V103:V109)=COUNTA( V103:V109),"",
IF(COUNTIF( V103:V109,"Control/Acción No Eficaz")&gt;=2,"ACEPTABLE CON REVISIÓN",
IF(AND(COUNTIF( V103:V109,"Control/Acción No Eficaz")=0,COUNTIF( V103:V109,"Control/Acción Eficaz")&gt;=2),"ACEPTABLE","BAJA"))),
IF(O103="BAJA",
IF(COUNTBLANK( V103:V109)=COUNTA( V103:V109),"",
IF(AND(COUNTBLANK( V103:V109)&lt;1,COUNTA( V103:V109)=1),
IF(COUNTIF( V103:V109,"Control/Acción No Eficaz")&gt;=2,"BAJA",
IF(AND(COUNTIF( V103:V109,"Control/Acción No Eficaz")=0,COUNTIF( V103:V109,"Control/Acción Eficaz")&gt;=2),"ACEPTABLE","BAJA")),
IF(COUNTIF( V103:V109,"Control/Acción No Eficaz")&gt;=2,"BAJA",
IF(AND(COUNTIF( V103:V109,"Control/Acción No Eficaz")=0,COUNTIF( V103:V109,"Control/Acción Eficaz")&gt;=2),"ACEPTABLE","BAJA")))),
IF(COUNTIF( V103:V109,"")&gt;=5,"",O103))))),
""))))</f>
        <v>SUSTANCIAL</v>
      </c>
      <c r="X103" s="111"/>
      <c r="Y103" s="115"/>
      <c r="Z103" s="30" t="s">
        <v>314</v>
      </c>
      <c r="AA103" s="32" t="str">
        <f>E103</f>
        <v>Seguridad</v>
      </c>
      <c r="AB103" s="33"/>
    </row>
    <row r="104" ht="105.0" customHeight="1">
      <c r="A104" s="116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8" t="s">
        <v>258</v>
      </c>
      <c r="Q104" s="119" t="s">
        <v>436</v>
      </c>
      <c r="R104" s="119" t="s">
        <v>83</v>
      </c>
      <c r="S104" s="119" t="s">
        <v>51</v>
      </c>
      <c r="T104" s="120" t="s">
        <v>7</v>
      </c>
      <c r="U104" s="120" t="s">
        <v>162</v>
      </c>
      <c r="V104" s="120" t="str">
        <f>IFERROR(IF(AA104="SEGURIDAD",OFFSET('PARÁMETROS'!$K$2,MATCH(U104,JC_SE,0),MATCH(T104,CC_SE,0)),
IF(OR(AA104="DSRC/Estratégico",AA104="DSRC/Operativo"),OFFSET('PARÁMETROS'!$K$11,MATCH(U104,JC_DS,0),MATCH(T104,CC_DS,0)),
IF(AA104="SALUD",OFFSET('PARÁMETROS'!$K$29,MATCH(U104,JC_SA,0),MATCH(T104,CC_SA,0)),
IF(AA104="MEDIO AMBIENTE",OFFSET('PARÁMETROS'!$K$20,MATCH(U104,JC_MA,0),MATCH(T104,CC_MA,0)),
IF(AA104="Rel. Gubernamentales",OFFSET('PARÁMETROS'!$K$48,MATCH(U104,JC_G,0),MATCH(T104,CC_G,0)),
IF(AA104="OPERACIONAL",OFFSET('PARÁMETROS'!$K$56,MATCH(U104,JC_OP,0),MATCH(T104,CC_OP,0)),
IF(AA104="FINANCIERO",OFFSET('PARÁMETROS'!$K$56,MATCH(U104,JC_FI,0),MATCH(T104,CC_FI,0)),
OFFSET('PARÁMETROS'!$K$38,MATCH(U104,JC_L,0),MATCH(T104,CC_L,0))))))))),"")</f>
        <v>Control/Acción Eficaz</v>
      </c>
      <c r="W104" s="117"/>
      <c r="X104" s="120"/>
      <c r="Y104" s="121"/>
      <c r="Z104" s="30" t="s">
        <v>314</v>
      </c>
      <c r="AA104" s="32" t="str">
        <f>E103</f>
        <v>Seguridad</v>
      </c>
      <c r="AB104" s="33"/>
    </row>
    <row r="105" ht="105.0" customHeight="1">
      <c r="A105" s="116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8" t="s">
        <v>105</v>
      </c>
      <c r="Q105" s="119" t="s">
        <v>481</v>
      </c>
      <c r="R105" s="119" t="s">
        <v>142</v>
      </c>
      <c r="S105" s="119" t="s">
        <v>295</v>
      </c>
      <c r="T105" s="120" t="s">
        <v>7</v>
      </c>
      <c r="U105" s="120" t="s">
        <v>162</v>
      </c>
      <c r="V105" s="120" t="str">
        <f>IFERROR(IF(AA105="SEGURIDAD",OFFSET('PARÁMETROS'!$K$2,MATCH(U105,JC_SE,0),MATCH(T105,CC_SE,0)),
IF(OR(AA105="DSRC/Estratégico",AA105="DSRC/Operativo"),OFFSET('PARÁMETROS'!$K$11,MATCH(U105,JC_DS,0),MATCH(T105,CC_DS,0)),
IF(AA105="SALUD",OFFSET('PARÁMETROS'!$K$29,MATCH(U105,JC_SA,0),MATCH(T105,CC_SA,0)),
IF(AA105="MEDIO AMBIENTE",OFFSET('PARÁMETROS'!$K$20,MATCH(U105,JC_MA,0),MATCH(T105,CC_MA,0)),
IF(AA105="Rel. Gubernamentales",OFFSET('PARÁMETROS'!$K$48,MATCH(U105,JC_G,0),MATCH(T105,CC_G,0)),
IF(AA105="OPERACIONAL",OFFSET('PARÁMETROS'!$K$56,MATCH(U105,JC_OP,0),MATCH(T105,CC_OP,0)),
IF(AA105="FINANCIERO",OFFSET('PARÁMETROS'!$K$56,MATCH(U105,JC_FI,0),MATCH(T105,CC_FI,0)),
OFFSET('PARÁMETROS'!$K$38,MATCH(U105,JC_L,0),MATCH(T105,CC_L,0))))))))),"")</f>
        <v>Control/Acción Eficaz</v>
      </c>
      <c r="W105" s="117"/>
      <c r="X105" s="120"/>
      <c r="Y105" s="121"/>
      <c r="Z105" s="30" t="s">
        <v>314</v>
      </c>
      <c r="AA105" s="32" t="str">
        <f>E103</f>
        <v>Seguridad</v>
      </c>
      <c r="AB105" s="33"/>
    </row>
    <row r="106" ht="105.0" customHeight="1">
      <c r="A106" s="116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8" t="s">
        <v>258</v>
      </c>
      <c r="Q106" s="119" t="s">
        <v>520</v>
      </c>
      <c r="R106" s="119" t="s">
        <v>83</v>
      </c>
      <c r="S106" s="119" t="s">
        <v>84</v>
      </c>
      <c r="T106" s="120" t="s">
        <v>6</v>
      </c>
      <c r="U106" s="120" t="s">
        <v>162</v>
      </c>
      <c r="V106" s="120" t="str">
        <f>IFERROR(IF(AA106="SEGURIDAD",OFFSET('PARÁMETROS'!$K$2,MATCH(U106,JC_SE,0),MATCH(T106,CC_SE,0)),
IF(OR(AA106="DSRC/Estratégico",AA106="DSRC/Operativo"),OFFSET('PARÁMETROS'!$K$11,MATCH(U106,JC_DS,0),MATCH(T106,CC_DS,0)),
IF(AA106="SALUD",OFFSET('PARÁMETROS'!$K$29,MATCH(U106,JC_SA,0),MATCH(T106,CC_SA,0)),
IF(AA106="MEDIO AMBIENTE",OFFSET('PARÁMETROS'!$K$20,MATCH(U106,JC_MA,0),MATCH(T106,CC_MA,0)),
IF(AA106="Rel. Gubernamentales",OFFSET('PARÁMETROS'!$K$48,MATCH(U106,JC_G,0),MATCH(T106,CC_G,0)),
IF(AA106="OPERACIONAL",OFFSET('PARÁMETROS'!$K$56,MATCH(U106,JC_OP,0),MATCH(T106,CC_OP,0)),
IF(AA106="FINANCIERO",OFFSET('PARÁMETROS'!$K$56,MATCH(U106,JC_FI,0),MATCH(T106,CC_FI,0)),
OFFSET('PARÁMETROS'!$K$38,MATCH(U106,JC_L,0),MATCH(T106,CC_L,0))))))))),"")</f>
        <v>Control/Acción Satisfactorio</v>
      </c>
      <c r="W106" s="117"/>
      <c r="X106" s="120"/>
      <c r="Y106" s="121"/>
      <c r="Z106" s="30" t="s">
        <v>314</v>
      </c>
      <c r="AA106" s="32" t="str">
        <f>E103</f>
        <v>Seguridad</v>
      </c>
      <c r="AB106" s="33"/>
    </row>
    <row r="107" ht="105.0" customHeight="1">
      <c r="A107" s="116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8" t="s">
        <v>258</v>
      </c>
      <c r="Q107" s="119" t="s">
        <v>480</v>
      </c>
      <c r="R107" s="119" t="s">
        <v>142</v>
      </c>
      <c r="S107" s="119" t="s">
        <v>120</v>
      </c>
      <c r="T107" s="120" t="s">
        <v>5</v>
      </c>
      <c r="U107" s="120" t="s">
        <v>162</v>
      </c>
      <c r="V107" s="120" t="str">
        <f>IFERROR(IF(AA107="SEGURIDAD",OFFSET('PARÁMETROS'!$K$2,MATCH(U107,JC_SE,0),MATCH(T107,CC_SE,0)),
IF(OR(AA107="DSRC/Estratégico",AA107="DSRC/Operativo"),OFFSET('PARÁMETROS'!$K$11,MATCH(U107,JC_DS,0),MATCH(T107,CC_DS,0)),
IF(AA107="SALUD",OFFSET('PARÁMETROS'!$K$29,MATCH(U107,JC_SA,0),MATCH(T107,CC_SA,0)),
IF(AA107="MEDIO AMBIENTE",OFFSET('PARÁMETROS'!$K$20,MATCH(U107,JC_MA,0),MATCH(T107,CC_MA,0)),
IF(AA107="Rel. Gubernamentales",OFFSET('PARÁMETROS'!$K$48,MATCH(U107,JC_G,0),MATCH(T107,CC_G,0)),
IF(AA107="OPERACIONAL",OFFSET('PARÁMETROS'!$K$56,MATCH(U107,JC_OP,0),MATCH(T107,CC_OP,0)),
IF(AA107="FINANCIERO",OFFSET('PARÁMETROS'!$K$56,MATCH(U107,JC_FI,0),MATCH(T107,CC_FI,0)),
OFFSET('PARÁMETROS'!$K$38,MATCH(U107,JC_L,0),MATCH(T107,CC_L,0))))))))),"")</f>
        <v>Control/Acción No Eficaz</v>
      </c>
      <c r="W107" s="117"/>
      <c r="X107" s="120"/>
      <c r="Y107" s="121"/>
      <c r="Z107" s="30" t="s">
        <v>314</v>
      </c>
      <c r="AA107" s="32" t="str">
        <f>E103</f>
        <v>Seguridad</v>
      </c>
      <c r="AB107" s="33"/>
    </row>
    <row r="108" ht="105.0" customHeight="1">
      <c r="A108" s="116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31" t="s">
        <v>196</v>
      </c>
      <c r="Q108" s="132" t="s">
        <v>521</v>
      </c>
      <c r="R108" s="132" t="s">
        <v>142</v>
      </c>
      <c r="S108" s="132" t="s">
        <v>295</v>
      </c>
      <c r="T108" s="133" t="s">
        <v>7</v>
      </c>
      <c r="U108" s="133" t="s">
        <v>162</v>
      </c>
      <c r="V108" s="120" t="str">
        <f>IFERROR(IF(AA108="SEGURIDAD",OFFSET('PARÁMETROS'!$K$2,MATCH(U108,JC_SE,0),MATCH(T108,CC_SE,0)),
IF(OR(AA108="DSRC/Estratégico",AA108="DSRC/Operativo"),OFFSET('PARÁMETROS'!$K$11,MATCH(U108,JC_DS,0),MATCH(T108,CC_DS,0)),
IF(AA108="SALUD",OFFSET('PARÁMETROS'!$K$29,MATCH(U108,JC_SA,0),MATCH(T108,CC_SA,0)),
IF(AA108="MEDIO AMBIENTE",OFFSET('PARÁMETROS'!$K$20,MATCH(U108,JC_MA,0),MATCH(T108,CC_MA,0)),
IF(AA108="Rel. Gubernamentales",OFFSET('PARÁMETROS'!$K$48,MATCH(U108,JC_G,0),MATCH(T108,CC_G,0)),
IF(AA108="OPERACIONAL",OFFSET('PARÁMETROS'!$K$56,MATCH(U108,JC_OP,0),MATCH(T108,CC_OP,0)),
IF(AA108="FINANCIERO",OFFSET('PARÁMETROS'!$K$56,MATCH(U108,JC_FI,0),MATCH(T108,CC_FI,0)),
OFFSET('PARÁMETROS'!$K$38,MATCH(U108,JC_L,0),MATCH(T108,CC_L,0))))))))),"")</f>
        <v>Control/Acción Eficaz</v>
      </c>
      <c r="W108" s="117"/>
      <c r="X108" s="120"/>
      <c r="Y108" s="121"/>
      <c r="Z108" s="30" t="s">
        <v>314</v>
      </c>
      <c r="AA108" s="32" t="str">
        <f>E103</f>
        <v>Seguridad</v>
      </c>
      <c r="AB108" s="33"/>
    </row>
    <row r="109" ht="105.0" customHeight="1">
      <c r="A109" s="68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134" t="s">
        <v>117</v>
      </c>
      <c r="Q109" s="153" t="s">
        <v>522</v>
      </c>
      <c r="R109" s="153" t="s">
        <v>142</v>
      </c>
      <c r="S109" s="153" t="s">
        <v>295</v>
      </c>
      <c r="T109" s="154" t="s">
        <v>7</v>
      </c>
      <c r="U109" s="154" t="s">
        <v>111</v>
      </c>
      <c r="V109" s="136" t="str">
        <f>IFERROR(IF(AA109="SEGURIDAD",OFFSET('PARÁMETROS'!$K$2,MATCH(U109,JC_SE,0),MATCH(T109,CC_SE,0)),
IF(OR(AA109="DSRC/Estratégico",AA109="DSRC/Operativo"),OFFSET('PARÁMETROS'!$K$11,MATCH(U109,JC_DS,0),MATCH(T109,CC_DS,0)),
IF(AA109="SALUD",OFFSET('PARÁMETROS'!$K$29,MATCH(U109,JC_SA,0),MATCH(T109,CC_SA,0)),
IF(AA109="MEDIO AMBIENTE",OFFSET('PARÁMETROS'!$K$20,MATCH(U109,JC_MA,0),MATCH(T109,CC_MA,0)),
IF(AA109="Rel. Gubernamentales",OFFSET('PARÁMETROS'!$K$48,MATCH(U109,JC_G,0),MATCH(T109,CC_G,0)),
IF(AA109="OPERACIONAL",OFFSET('PARÁMETROS'!$K$56,MATCH(U109,JC_OP,0),MATCH(T109,CC_OP,0)),
IF(AA109="FINANCIERO",OFFSET('PARÁMETROS'!$K$56,MATCH(U109,JC_FI,0),MATCH(T109,CC_FI,0)),
OFFSET('PARÁMETROS'!$K$38,MATCH(U109,JC_L,0),MATCH(T109,CC_L,0))))))))),"")</f>
        <v>Control/Acción Eficaz</v>
      </c>
      <c r="W109" s="69"/>
      <c r="X109" s="136"/>
      <c r="Y109" s="137"/>
      <c r="Z109" s="30" t="s">
        <v>314</v>
      </c>
      <c r="AA109" s="32" t="str">
        <f>E103</f>
        <v>Seguridad</v>
      </c>
      <c r="AB109" s="33"/>
    </row>
    <row r="110" ht="105.0" customHeight="1">
      <c r="A110" s="79">
        <v>14.0</v>
      </c>
      <c r="B110" s="80" t="s">
        <v>172</v>
      </c>
      <c r="C110" s="80" t="s">
        <v>173</v>
      </c>
      <c r="D110" s="80" t="s">
        <v>177</v>
      </c>
      <c r="E110" s="80" t="s">
        <v>181</v>
      </c>
      <c r="F110" s="80" t="s">
        <v>340</v>
      </c>
      <c r="G110" s="80" t="s">
        <v>523</v>
      </c>
      <c r="H110" s="80" t="s">
        <v>268</v>
      </c>
      <c r="I110" s="80" t="s">
        <v>524</v>
      </c>
      <c r="J110" s="80">
        <v>4.0</v>
      </c>
      <c r="K110" s="80">
        <v>2.0</v>
      </c>
      <c r="L110" s="80">
        <f>IF(OR(J110&lt;&gt;"",K110&lt;&gt;""),OFFSET('PARÁMETROS'!$B$2,K110,J110),"")</f>
        <v>3</v>
      </c>
      <c r="M110" s="80">
        <v>3.0</v>
      </c>
      <c r="N110" s="80">
        <f>IFERROR(L110*M110,"")</f>
        <v>9</v>
      </c>
      <c r="O110" s="89" t="str">
        <f>IF(N110="","",IFERROR(IF(N110&lt;=2,"ACEPTABLE",IF(N110&lt;=6,"BAJA",IF(N110&lt;=10,"ACEPTABLE CON REVISIÓN",IF(N110&lt;=15,"SUSTANCIAL","INACEPTABLE")))),""))</f>
        <v>ACEPTABLE CON REVISIÓN</v>
      </c>
      <c r="P110" s="109" t="s">
        <v>258</v>
      </c>
      <c r="Q110" s="110" t="s">
        <v>483</v>
      </c>
      <c r="R110" s="110" t="s">
        <v>142</v>
      </c>
      <c r="S110" s="110" t="s">
        <v>120</v>
      </c>
      <c r="T110" s="111" t="s">
        <v>5</v>
      </c>
      <c r="U110" s="111" t="s">
        <v>162</v>
      </c>
      <c r="V110" s="111" t="str">
        <f>IFERROR(IF(AA110="SEGURIDAD",OFFSET('PARÁMETROS'!$K$2,MATCH(U110,JC_SE,0),MATCH(T110,CC_SE,0)),
IF(OR(AA110="DSRC/Estratégico",AA110="DSRC/Operativo"),OFFSET('PARÁMETROS'!$K$11,MATCH(U110,JC_DS,0),MATCH(T110,CC_DS,0)),
IF(AA110="SALUD",OFFSET('PARÁMETROS'!$K$29,MATCH(U110,JC_SA,0),MATCH(T110,CC_SA,0)),
IF(AA110="MEDIO AMBIENTE",OFFSET('PARÁMETROS'!$K$20,MATCH(U110,JC_MA,0),MATCH(T110,CC_MA,0)),
IF(AA110="Rel. Gubernamentales",OFFSET('PARÁMETROS'!$K$48,MATCH(U110,JC_G,0),MATCH(T110,CC_G,0)),
IF(AA110="OPERACIONAL",OFFSET('PARÁMETROS'!$K$56,MATCH(U110,JC_OP,0),MATCH(T110,CC_OP,0)),
IF(AA110="FINANCIERO",OFFSET('PARÁMETROS'!$K$56,MATCH(U110,JC_FI,0),MATCH(T110,CC_FI,0)),
OFFSET('PARÁMETROS'!$K$38,MATCH(U110,JC_L,0),MATCH(T110,CC_L,0))))))))),"")</f>
        <v>Control/Acción No Eficaz</v>
      </c>
      <c r="W110" s="89" t="str">
        <f>IF(E110="","",
IF(COUNTA( V110:V113)-COUNTBLANK( V110:V113)=1,
IF(O110="INACEPTABLE",IF(COUNTIF( V110:V113,"Control/Acción Eficaz")&gt;=1,"SUSTANCIAL","INACEPTABLE"),
IF(O110="SUSTANCIAL",IF(COUNTIF( V110:V113,"Control/Acción Eficaz")&gt;=1,"ACEPTABLE CON REVISIÓN","SUSTANCIAL"),
IF(O110="ACEPTABLE CON REVISIÓN",IF(COUNTIF( V110:V113,"Control/Acción Eficaz")&gt;=1,"BAJA","ACEPTABLE CON REVISIÓN"),
IF(O110="BAJA",IF(COUNTIF( V110:V113,"Control/Acción Eficaz")&gt;=1,"ACEPTABLE","BAJA"),)))),
IF(COUNTA( V110:V113)-COUNTBLANK( V110:V113)=2,
IF(O110="INACEPTABLE",IF(COUNTIF( V110:V113,"Control/Acción Eficaz")=2,"ACEPTABLE CON REVISIÓN",
IF(OR(AND(COUNTIF( V110:V113,"Control/Acción Eficaz")=1,COUNTIF( V110:V113,"Control/Acción Satisfactorio")=1),
AND(COUNTIF( V110:V113,"Control/Acción Eficaz")=1,COUNTIF( V110:V113,"Control/Acción No Eficaz")=1)),"SUSTANCIAL","INACEPTABLE")),
IF(O110="SUSTANCIAL",IF(COUNTIF( V110:V113,"Control/Acción Eficaz")=2,"BAJA",
IF(OR(AND(COUNTIF( V110:V113,"Control/Acción Eficaz")=1,COUNTIF( V110:V113,"Control/Acción Satisfactorio")=1),
AND(COUNTIF( V110:V113,"Control/Acción Eficaz")=1,COUNTIF( V110:V113,"Control/Acción No Eficaz")=1)),"ACEPTABLE CON REVISIÓN ","SUSTANCIAL")),
IF(O110="ACEPTABLE CON REVISIÓN",IF(COUNTIF( V110:V113,"Control/Acción Eficaz")=2,"ACEPTABLE",
IF(OR(AND(COUNTIF( V110:V113,"Control/Acción Eficaz")=1,COUNTIF( V110:V113,"Control/Acción Satisfactorio")=1),
AND(COUNTIF( V110:V113,"Control/Acción Eficaz")=1,COUNTIF( V110:V113,"Control/Acción No Eficaz")=1)),"BAJA","ACEPTABLE CON REVISIÓN")),
IF(O110="BAJA",IF(COUNTIF( V110:V113,"Control/Acción Eficaz")&gt;=2,"ACEPTABLE","BAJA"),)))),
IF(COUNTA( V110:V113)-COUNTBLANK( V110:V113)&gt;=3,
IF(O110="INACEPTABLE",
IF(COUNTBLANK( V110:V113)=COUNTA( V110:V113),"",
IF(COUNTIF( V110:V113,"Control/Acción No Eficaz")&gt;=2,"INACEPTABLE",
IF(AND(COUNTIF( V110:V113,"Control/Acción No Eficaz")=0,COUNTIF( V110:V113,"Control/Acción Eficaz")&gt;=2),"ACEPTABLE CON REVISIÓN ","SUSTANCIAL"))),
IF(O110="SUSTANCIAL",
IF(COUNTBLANK( V110:V113)=COUNTA( V110:V113),"",
IF(COUNTIF( V110:V113,"Control/Acción No Eficaz")&gt;=2,"SUSTANCIAL",
IF(AND(COUNTIF( V110:V113,"Control/Acción No Eficaz")=0,COUNTIF( V110:V113,"Control/Acción Eficaz")&gt;=2),"BAJA","ACEPTABLE CON REVISIÓN"))),
IF(O110="ACEPTABLE CON REVISIÓN",
IF(COUNTBLANK( V110:V113)=COUNTA( V110:V113),"",
IF(COUNTIF( V110:V113,"Control/Acción No Eficaz")&gt;=2,"ACEPTABLE CON REVISIÓN",
IF(AND(COUNTIF( V110:V113,"Control/Acción No Eficaz")=0,COUNTIF( V110:V113,"Control/Acción Eficaz")&gt;=2),"ACEPTABLE","BAJA"))),
IF(O110="BAJA",
IF(COUNTBLANK( V110:V113)=COUNTA( V110:V113),"",
IF(AND(COUNTBLANK( V110:V113)&lt;1,COUNTA( V110:V113)=1),
IF(COUNTIF( V110:V113,"Control/Acción No Eficaz")&gt;=2,"BAJA",
IF(AND(COUNTIF( V110:V113,"Control/Acción No Eficaz")=0,COUNTIF( V110:V113,"Control/Acción Eficaz")&gt;=2),"ACEPTABLE","BAJA")),
IF(COUNTIF( V110:V113,"Control/Acción No Eficaz")&gt;=2,"BAJA",
IF(AND(COUNTIF( V110:V113,"Control/Acción No Eficaz")=0,COUNTIF( V110:V113,"Control/Acción Eficaz")&gt;=2),"ACEPTABLE","BAJA")))),
IF(COUNTIF( V110:V113,"")&gt;=5,"",O110))))),
""))))</f>
        <v>BAJA</v>
      </c>
      <c r="X110" s="111"/>
      <c r="Y110" s="115"/>
      <c r="Z110" s="30" t="s">
        <v>314</v>
      </c>
      <c r="AA110" s="32" t="str">
        <f>E110</f>
        <v>Seguridad</v>
      </c>
      <c r="AB110" s="33"/>
    </row>
    <row r="111" ht="105.0" customHeight="1">
      <c r="A111" s="116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8" t="s">
        <v>105</v>
      </c>
      <c r="Q111" s="119" t="s">
        <v>484</v>
      </c>
      <c r="R111" s="119" t="s">
        <v>142</v>
      </c>
      <c r="S111" s="119" t="s">
        <v>295</v>
      </c>
      <c r="T111" s="120" t="s">
        <v>6</v>
      </c>
      <c r="U111" s="120" t="s">
        <v>162</v>
      </c>
      <c r="V111" s="120" t="str">
        <f>IFERROR(IF(AA111="SEGURIDAD",OFFSET('PARÁMETROS'!$K$2,MATCH(U111,JC_SE,0),MATCH(T111,CC_SE,0)),
IF(OR(AA111="DSRC/Estratégico",AA111="DSRC/Operativo"),OFFSET('PARÁMETROS'!$K$11,MATCH(U111,JC_DS,0),MATCH(T111,CC_DS,0)),
IF(AA111="SALUD",OFFSET('PARÁMETROS'!$K$29,MATCH(U111,JC_SA,0),MATCH(T111,CC_SA,0)),
IF(AA111="MEDIO AMBIENTE",OFFSET('PARÁMETROS'!$K$20,MATCH(U111,JC_MA,0),MATCH(T111,CC_MA,0)),
IF(AA111="Rel. Gubernamentales",OFFSET('PARÁMETROS'!$K$48,MATCH(U111,JC_G,0),MATCH(T111,CC_G,0)),
IF(AA111="OPERACIONAL",OFFSET('PARÁMETROS'!$K$56,MATCH(U111,JC_OP,0),MATCH(T111,CC_OP,0)),
IF(AA111="FINANCIERO",OFFSET('PARÁMETROS'!$K$56,MATCH(U111,JC_FI,0),MATCH(T111,CC_FI,0)),
OFFSET('PARÁMETROS'!$K$38,MATCH(U111,JC_L,0),MATCH(T111,CC_L,0))))))))),"")</f>
        <v>Control/Acción Satisfactorio</v>
      </c>
      <c r="W111" s="117"/>
      <c r="X111" s="120"/>
      <c r="Y111" s="121"/>
      <c r="Z111" s="30" t="s">
        <v>314</v>
      </c>
      <c r="AA111" s="32" t="str">
        <f>E110</f>
        <v>Seguridad</v>
      </c>
      <c r="AB111" s="33"/>
    </row>
    <row r="112" ht="105.0" customHeight="1">
      <c r="A112" s="116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8" t="s">
        <v>258</v>
      </c>
      <c r="Q112" s="119" t="s">
        <v>525</v>
      </c>
      <c r="R112" s="119" t="s">
        <v>83</v>
      </c>
      <c r="S112" s="119" t="s">
        <v>84</v>
      </c>
      <c r="T112" s="120" t="s">
        <v>6</v>
      </c>
      <c r="U112" s="120" t="s">
        <v>162</v>
      </c>
      <c r="V112" s="120" t="str">
        <f>IFERROR(IF(AA112="SEGURIDAD",OFFSET('PARÁMETROS'!$K$2,MATCH(U112,JC_SE,0),MATCH(T112,CC_SE,0)),
IF(OR(AA112="DSRC/Estratégico",AA112="DSRC/Operativo"),OFFSET('PARÁMETROS'!$K$11,MATCH(U112,JC_DS,0),MATCH(T112,CC_DS,0)),
IF(AA112="SALUD",OFFSET('PARÁMETROS'!$K$29,MATCH(U112,JC_SA,0),MATCH(T112,CC_SA,0)),
IF(AA112="MEDIO AMBIENTE",OFFSET('PARÁMETROS'!$K$20,MATCH(U112,JC_MA,0),MATCH(T112,CC_MA,0)),
IF(AA112="Rel. Gubernamentales",OFFSET('PARÁMETROS'!$K$48,MATCH(U112,JC_G,0),MATCH(T112,CC_G,0)),
IF(AA112="OPERACIONAL",OFFSET('PARÁMETROS'!$K$56,MATCH(U112,JC_OP,0),MATCH(T112,CC_OP,0)),
IF(AA112="FINANCIERO",OFFSET('PARÁMETROS'!$K$56,MATCH(U112,JC_FI,0),MATCH(T112,CC_FI,0)),
OFFSET('PARÁMETROS'!$K$38,MATCH(U112,JC_L,0),MATCH(T112,CC_L,0))))))))),"")</f>
        <v>Control/Acción Satisfactorio</v>
      </c>
      <c r="W112" s="117"/>
      <c r="X112" s="120"/>
      <c r="Y112" s="121"/>
      <c r="Z112" s="30" t="s">
        <v>314</v>
      </c>
      <c r="AA112" s="32" t="str">
        <f>E110</f>
        <v>Seguridad</v>
      </c>
      <c r="AB112" s="33"/>
    </row>
    <row r="113" ht="105.0" customHeight="1">
      <c r="A113" s="68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134" t="s">
        <v>302</v>
      </c>
      <c r="Q113" s="135" t="s">
        <v>526</v>
      </c>
      <c r="R113" s="135" t="s">
        <v>106</v>
      </c>
      <c r="S113" s="135" t="s">
        <v>265</v>
      </c>
      <c r="T113" s="136" t="s">
        <v>7</v>
      </c>
      <c r="U113" s="136" t="s">
        <v>182</v>
      </c>
      <c r="V113" s="136" t="str">
        <f>IFERROR(IF(AA113="SEGURIDAD",OFFSET('PARÁMETROS'!$K$2,MATCH(U113,JC_SE,0),MATCH(T113,CC_SE,0)),
IF(OR(AA113="DSRC/Estratégico",AA113="DSRC/Operativo"),OFFSET('PARÁMETROS'!$K$11,MATCH(U113,JC_DS,0),MATCH(T113,CC_DS,0)),
IF(AA113="SALUD",OFFSET('PARÁMETROS'!$K$29,MATCH(U113,JC_SA,0),MATCH(T113,CC_SA,0)),
IF(AA113="MEDIO AMBIENTE",OFFSET('PARÁMETROS'!$K$20,MATCH(U113,JC_MA,0),MATCH(T113,CC_MA,0)),
IF(AA113="Rel. Gubernamentales",OFFSET('PARÁMETROS'!$K$48,MATCH(U113,JC_G,0),MATCH(T113,CC_G,0)),
IF(AA113="OPERACIONAL",OFFSET('PARÁMETROS'!$K$56,MATCH(U113,JC_OP,0),MATCH(T113,CC_OP,0)),
IF(AA113="FINANCIERO",OFFSET('PARÁMETROS'!$K$56,MATCH(U113,JC_FI,0),MATCH(T113,CC_FI,0)),
OFFSET('PARÁMETROS'!$K$38,MATCH(U113,JC_L,0),MATCH(T113,CC_L,0))))))))),"")</f>
        <v>Control/Acción Satisfactorio</v>
      </c>
      <c r="W113" s="69"/>
      <c r="X113" s="136"/>
      <c r="Y113" s="137"/>
      <c r="Z113" s="30" t="s">
        <v>314</v>
      </c>
      <c r="AA113" s="32" t="str">
        <f>E110</f>
        <v>Seguridad</v>
      </c>
      <c r="AB113" s="33"/>
    </row>
    <row r="114" ht="105.0" customHeight="1">
      <c r="A114" s="145">
        <v>15.0</v>
      </c>
      <c r="B114" s="146" t="s">
        <v>172</v>
      </c>
      <c r="C114" s="146" t="s">
        <v>173</v>
      </c>
      <c r="D114" s="146" t="s">
        <v>177</v>
      </c>
      <c r="E114" s="146" t="s">
        <v>181</v>
      </c>
      <c r="F114" s="146" t="s">
        <v>329</v>
      </c>
      <c r="G114" s="146" t="s">
        <v>527</v>
      </c>
      <c r="H114" s="146" t="s">
        <v>413</v>
      </c>
      <c r="I114" s="146" t="s">
        <v>528</v>
      </c>
      <c r="J114" s="146">
        <v>4.0</v>
      </c>
      <c r="K114" s="146">
        <v>3.0</v>
      </c>
      <c r="L114" s="146">
        <f>IF(OR(J114&lt;&gt;"",K114&lt;&gt;""),OFFSET('PARÁMETROS'!$B$2,K114,J114),"")</f>
        <v>3</v>
      </c>
      <c r="M114" s="146">
        <v>2.0</v>
      </c>
      <c r="N114" s="146">
        <f t="shared" ref="N114:N115" si="7">IFERROR(L114*M114,"")</f>
        <v>6</v>
      </c>
      <c r="O114" s="147" t="str">
        <f t="shared" ref="O114:O115" si="8">IF(N114="","",IFERROR(IF(N114&lt;=2,"ACEPTABLE",IF(N114&lt;=6,"BAJA",IF(N114&lt;=10,"ACEPTABLE CON REVISIÓN",IF(N114&lt;=15,"SUSTANCIAL","INACEPTABLE")))),""))</f>
        <v>BAJA</v>
      </c>
      <c r="P114" s="148" t="s">
        <v>258</v>
      </c>
      <c r="Q114" s="149" t="s">
        <v>457</v>
      </c>
      <c r="R114" s="149" t="s">
        <v>142</v>
      </c>
      <c r="S114" s="149" t="s">
        <v>120</v>
      </c>
      <c r="T114" s="146" t="s">
        <v>6</v>
      </c>
      <c r="U114" s="146" t="s">
        <v>162</v>
      </c>
      <c r="V114" s="146" t="str">
        <f>IFERROR(IF(AA114="SEGURIDAD",OFFSET('PARÁMETROS'!$K$2,MATCH(U114,JC_SE,0),MATCH(T114,CC_SE,0)),
IF(OR(AA114="DSRC/Estratégico",AA114="DSRC/Operativo"),OFFSET('PARÁMETROS'!$K$11,MATCH(U114,JC_DS,0),MATCH(T114,CC_DS,0)),
IF(AA114="SALUD",OFFSET('PARÁMETROS'!$K$29,MATCH(U114,JC_SA,0),MATCH(T114,CC_SA,0)),
IF(AA114="MEDIO AMBIENTE",OFFSET('PARÁMETROS'!$K$20,MATCH(U114,JC_MA,0),MATCH(T114,CC_MA,0)),
IF(AA114="Rel. Gubernamentales",OFFSET('PARÁMETROS'!$K$48,MATCH(U114,JC_G,0),MATCH(T114,CC_G,0)),
IF(AA114="OPERACIONAL",OFFSET('PARÁMETROS'!$K$56,MATCH(U114,JC_OP,0),MATCH(T114,CC_OP,0)),
IF(AA114="FINANCIERO",OFFSET('PARÁMETROS'!$K$56,MATCH(U114,JC_FI,0),MATCH(T114,CC_FI,0)),
OFFSET('PARÁMETROS'!$K$38,MATCH(U114,JC_L,0),MATCH(T114,CC_L,0))))))))),"")</f>
        <v>Control/Acción Satisfactorio</v>
      </c>
      <c r="W114" s="147" t="str">
        <f>IF(E114="","",
IF(COUNTA( V114)-COUNTBLANK( V114)=1,
IF(O114="INACEPTABLE",IF(COUNTIF( V114,"Control/Acción Eficaz")&gt;=1,"SUSTANCIAL","INACEPTABLE"),
IF(O114="SUSTANCIAL",IF(COUNTIF( V114,"Control/Acción Eficaz")&gt;=1,"ACEPTABLE CON REVISIÓN","SUSTANCIAL"),
IF(O114="ACEPTABLE CON REVISIÓN",IF(COUNTIF( V114,"Control/Acción Eficaz")&gt;=1,"BAJA","ACEPTABLE CON REVISIÓN"),
IF(O114="BAJA",IF(COUNTIF( V114,"Control/Acción Eficaz")&gt;=1,"ACEPTABLE","BAJA"),)))),
IF(COUNTA( V114)-COUNTBLANK( V114)=2,
IF(O114="INACEPTABLE",IF(COUNTIF( V114,"Control/Acción Eficaz")=2,"ACEPTABLE CON REVISIÓN",
IF(OR(AND(COUNTIF( V114,"Control/Acción Eficaz")=1,COUNTIF( V114,"Control/Acción Satisfactorio")=1),
AND(COUNTIF( V114,"Control/Acción Eficaz")=1,COUNTIF( V114,"Control/Acción No Eficaz")=1)),"SUSTANCIAL","INACEPTABLE")),
IF(O114="SUSTANCIAL",IF(COUNTIF( V114,"Control/Acción Eficaz")=2,"BAJA",
IF(OR(AND(COUNTIF( V114,"Control/Acción Eficaz")=1,COUNTIF( V114,"Control/Acción Satisfactorio")=1),
AND(COUNTIF( V114,"Control/Acción Eficaz")=1,COUNTIF( V114,"Control/Acción No Eficaz")=1)),"ACEPTABLE CON REVISIÓN ","SUSTANCIAL")),
IF(O114="ACEPTABLE CON REVISIÓN",IF(COUNTIF( V114,"Control/Acción Eficaz")=2,"ACEPTABLE",
IF(OR(AND(COUNTIF( V114,"Control/Acción Eficaz")=1,COUNTIF( V114,"Control/Acción Satisfactorio")=1),
AND(COUNTIF( V114,"Control/Acción Eficaz")=1,COUNTIF( V114,"Control/Acción No Eficaz")=1)),"BAJA","ACEPTABLE CON REVISIÓN")),
IF(O114="BAJA",IF(COUNTIF( V114,"Control/Acción Eficaz")&gt;=2,"ACEPTABLE","BAJA"),)))),
IF(COUNTA( V114)-COUNTBLANK( V114)&gt;=3,
IF(O114="INACEPTABLE",
IF(COUNTBLANK( V114)=COUNTA( V114),"",
IF(COUNTIF( V114,"Control/Acción No Eficaz")&gt;=2,"INACEPTABLE",
IF(AND(COUNTIF( V114,"Control/Acción No Eficaz")=0,COUNTIF( V114,"Control/Acción Eficaz")&gt;=2),"ACEPTABLE CON REVISIÓN ","SUSTANCIAL"))),
IF(O114="SUSTANCIAL",
IF(COUNTBLANK( V114)=COUNTA( V114),"",
IF(COUNTIF( V114,"Control/Acción No Eficaz")&gt;=2,"SUSTANCIAL",
IF(AND(COUNTIF( V114,"Control/Acción No Eficaz")=0,COUNTIF( V114,"Control/Acción Eficaz")&gt;=2),"BAJA","ACEPTABLE CON REVISIÓN"))),
IF(O114="ACEPTABLE CON REVISIÓN",
IF(COUNTBLANK( V114)=COUNTA( V114),"",
IF(COUNTIF( V114,"Control/Acción No Eficaz")&gt;=2,"ACEPTABLE CON REVISIÓN",
IF(AND(COUNTIF( V114,"Control/Acción No Eficaz")=0,COUNTIF( V114,"Control/Acción Eficaz")&gt;=2),"ACEPTABLE","BAJA"))),
IF(O114="BAJA",
IF(COUNTBLANK( V114)=COUNTA( V114),"",
IF(AND(COUNTBLANK( V114)&lt;1,COUNTA( V114)=1),
IF(COUNTIF( V114,"Control/Acción No Eficaz")&gt;=2,"BAJA",
IF(AND(COUNTIF( V114,"Control/Acción No Eficaz")=0,COUNTIF( V114,"Control/Acción Eficaz")&gt;=2),"ACEPTABLE","BAJA")),
IF(COUNTIF( V114,"Control/Acción No Eficaz")&gt;=2,"BAJA",
IF(AND(COUNTIF( V114,"Control/Acción No Eficaz")=0,COUNTIF( V114,"Control/Acción Eficaz")&gt;=2),"ACEPTABLE","BAJA")))),
IF(COUNTIF( V114,"")&gt;=5,"",O114))))),
""))))</f>
        <v>BAJA</v>
      </c>
      <c r="X114" s="146"/>
      <c r="Y114" s="150"/>
      <c r="Z114" s="30" t="s">
        <v>314</v>
      </c>
      <c r="AA114" s="32" t="str">
        <f t="shared" ref="AA114:AA115" si="9">E114</f>
        <v>Seguridad</v>
      </c>
      <c r="AB114" s="33"/>
    </row>
    <row r="115" ht="105.0" customHeight="1">
      <c r="A115" s="79">
        <v>16.0</v>
      </c>
      <c r="B115" s="80" t="s">
        <v>172</v>
      </c>
      <c r="C115" s="80" t="s">
        <v>173</v>
      </c>
      <c r="D115" s="80" t="s">
        <v>177</v>
      </c>
      <c r="E115" s="80" t="s">
        <v>181</v>
      </c>
      <c r="F115" s="80" t="s">
        <v>378</v>
      </c>
      <c r="G115" s="80" t="s">
        <v>529</v>
      </c>
      <c r="H115" s="80" t="s">
        <v>384</v>
      </c>
      <c r="I115" s="80" t="s">
        <v>530</v>
      </c>
      <c r="J115" s="80">
        <v>4.0</v>
      </c>
      <c r="K115" s="80">
        <v>2.0</v>
      </c>
      <c r="L115" s="80">
        <f>IF(OR(J115&lt;&gt;"",K115&lt;&gt;""),OFFSET('PARÁMETROS'!$B$2,K115,J115),"")</f>
        <v>3</v>
      </c>
      <c r="M115" s="80">
        <v>4.0</v>
      </c>
      <c r="N115" s="80">
        <f t="shared" si="7"/>
        <v>12</v>
      </c>
      <c r="O115" s="89" t="str">
        <f t="shared" si="8"/>
        <v>SUSTANCIAL</v>
      </c>
      <c r="P115" s="109" t="s">
        <v>258</v>
      </c>
      <c r="Q115" s="110" t="s">
        <v>531</v>
      </c>
      <c r="R115" s="110" t="s">
        <v>142</v>
      </c>
      <c r="S115" s="110" t="s">
        <v>84</v>
      </c>
      <c r="T115" s="111" t="s">
        <v>7</v>
      </c>
      <c r="U115" s="111" t="s">
        <v>162</v>
      </c>
      <c r="V115" s="111" t="str">
        <f>IFERROR(IF(AA115="SEGURIDAD",OFFSET('PARÁMETROS'!$K$2,MATCH(U115,JC_SE,0),MATCH(T115,CC_SE,0)),
IF(OR(AA115="DSRC/Estratégico",AA115="DSRC/Operativo"),OFFSET('PARÁMETROS'!$K$11,MATCH(U115,JC_DS,0),MATCH(T115,CC_DS,0)),
IF(AA115="SALUD",OFFSET('PARÁMETROS'!$K$29,MATCH(U115,JC_SA,0),MATCH(T115,CC_SA,0)),
IF(AA115="MEDIO AMBIENTE",OFFSET('PARÁMETROS'!$K$20,MATCH(U115,JC_MA,0),MATCH(T115,CC_MA,0)),
IF(AA115="Rel. Gubernamentales",OFFSET('PARÁMETROS'!$K$48,MATCH(U115,JC_G,0),MATCH(T115,CC_G,0)),
IF(AA115="OPERACIONAL",OFFSET('PARÁMETROS'!$K$56,MATCH(U115,JC_OP,0),MATCH(T115,CC_OP,0)),
IF(AA115="FINANCIERO",OFFSET('PARÁMETROS'!$K$56,MATCH(U115,JC_FI,0),MATCH(T115,CC_FI,0)),
OFFSET('PARÁMETROS'!$K$38,MATCH(U115,JC_L,0),MATCH(T115,CC_L,0))))))))),"")</f>
        <v>Control/Acción Eficaz</v>
      </c>
      <c r="W115" s="89" t="str">
        <f>IF(E115="","",
IF(COUNTA( V115:V118)-COUNTBLANK( V115:V118)=1,
IF(O115="INACEPTABLE",IF(COUNTIF( V115:V118,"Control/Acción Eficaz")&gt;=1,"SUSTANCIAL","INACEPTABLE"),
IF(O115="SUSTANCIAL",IF(COUNTIF( V115:V118,"Control/Acción Eficaz")&gt;=1,"ACEPTABLE CON REVISIÓN","SUSTANCIAL"),
IF(O115="ACEPTABLE CON REVISIÓN",IF(COUNTIF( V115:V118,"Control/Acción Eficaz")&gt;=1,"BAJA","ACEPTABLE CON REVISIÓN"),
IF(O115="BAJA",IF(COUNTIF( V115:V118,"Control/Acción Eficaz")&gt;=1,"ACEPTABLE","BAJA"),)))),
IF(COUNTA( V115:V118)-COUNTBLANK( V115:V118)=2,
IF(O115="INACEPTABLE",IF(COUNTIF( V115:V118,"Control/Acción Eficaz")=2,"ACEPTABLE CON REVISIÓN",
IF(OR(AND(COUNTIF( V115:V118,"Control/Acción Eficaz")=1,COUNTIF( V115:V118,"Control/Acción Satisfactorio")=1),
AND(COUNTIF( V115:V118,"Control/Acción Eficaz")=1,COUNTIF( V115:V118,"Control/Acción No Eficaz")=1)),"SUSTANCIAL","INACEPTABLE")),
IF(O115="SUSTANCIAL",IF(COUNTIF( V115:V118,"Control/Acción Eficaz")=2,"BAJA",
IF(OR(AND(COUNTIF( V115:V118,"Control/Acción Eficaz")=1,COUNTIF( V115:V118,"Control/Acción Satisfactorio")=1),
AND(COUNTIF( V115:V118,"Control/Acción Eficaz")=1,COUNTIF( V115:V118,"Control/Acción No Eficaz")=1)),"ACEPTABLE CON REVISIÓN ","SUSTANCIAL")),
IF(O115="ACEPTABLE CON REVISIÓN",IF(COUNTIF( V115:V118,"Control/Acción Eficaz")=2,"ACEPTABLE",
IF(OR(AND(COUNTIF( V115:V118,"Control/Acción Eficaz")=1,COUNTIF( V115:V118,"Control/Acción Satisfactorio")=1),
AND(COUNTIF( V115:V118,"Control/Acción Eficaz")=1,COUNTIF( V115:V118,"Control/Acción No Eficaz")=1)),"BAJA","ACEPTABLE CON REVISIÓN")),
IF(O115="BAJA",IF(COUNTIF( V115:V118,"Control/Acción Eficaz")&gt;=2,"ACEPTABLE","BAJA"),)))),
IF(COUNTA( V115:V118)-COUNTBLANK( V115:V118)&gt;=3,
IF(O115="INACEPTABLE",
IF(COUNTBLANK( V115:V118)=COUNTA( V115:V118),"",
IF(COUNTIF( V115:V118,"Control/Acción No Eficaz")&gt;=2,"INACEPTABLE",
IF(AND(COUNTIF( V115:V118,"Control/Acción No Eficaz")=0,COUNTIF( V115:V118,"Control/Acción Eficaz")&gt;=2),"ACEPTABLE CON REVISIÓN ","SUSTANCIAL"))),
IF(O115="SUSTANCIAL",
IF(COUNTBLANK( V115:V118)=COUNTA( V115:V118),"",
IF(COUNTIF( V115:V118,"Control/Acción No Eficaz")&gt;=2,"SUSTANCIAL",
IF(AND(COUNTIF( V115:V118,"Control/Acción No Eficaz")=0,COUNTIF( V115:V118,"Control/Acción Eficaz")&gt;=2),"BAJA","ACEPTABLE CON REVISIÓN"))),
IF(O115="ACEPTABLE CON REVISIÓN",
IF(COUNTBLANK( V115:V118)=COUNTA( V115:V118),"",
IF(COUNTIF( V115:V118,"Control/Acción No Eficaz")&gt;=2,"ACEPTABLE CON REVISIÓN",
IF(AND(COUNTIF( V115:V118,"Control/Acción No Eficaz")=0,COUNTIF( V115:V118,"Control/Acción Eficaz")&gt;=2),"ACEPTABLE","BAJA"))),
IF(O115="BAJA",
IF(COUNTBLANK( V115:V118)=COUNTA( V115:V118),"",
IF(AND(COUNTBLANK( V115:V118)&lt;1,COUNTA( V115:V118)=1),
IF(COUNTIF( V115:V118,"Control/Acción No Eficaz")&gt;=2,"BAJA",
IF(AND(COUNTIF( V115:V118,"Control/Acción No Eficaz")=0,COUNTIF( V115:V118,"Control/Acción Eficaz")&gt;=2),"ACEPTABLE","BAJA")),
IF(COUNTIF( V115:V118,"Control/Acción No Eficaz")&gt;=2,"BAJA",
IF(AND(COUNTIF( V115:V118,"Control/Acción No Eficaz")=0,COUNTIF( V115:V118,"Control/Acción Eficaz")&gt;=2),"ACEPTABLE","BAJA")))),
IF(COUNTIF( V115:V118,"")&gt;=5,"",O115))))),
""))))</f>
        <v>BAJA</v>
      </c>
      <c r="X115" s="111"/>
      <c r="Y115" s="115"/>
      <c r="Z115" s="30" t="s">
        <v>314</v>
      </c>
      <c r="AA115" s="32" t="str">
        <f t="shared" si="9"/>
        <v>Seguridad</v>
      </c>
      <c r="AB115" s="33"/>
    </row>
    <row r="116" ht="105.0" customHeight="1">
      <c r="A116" s="116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9" t="s">
        <v>302</v>
      </c>
      <c r="Q116" s="119" t="s">
        <v>532</v>
      </c>
      <c r="R116" s="119" t="s">
        <v>142</v>
      </c>
      <c r="S116" s="119" t="s">
        <v>217</v>
      </c>
      <c r="T116" s="120" t="s">
        <v>7</v>
      </c>
      <c r="U116" s="120" t="s">
        <v>182</v>
      </c>
      <c r="V116" s="120" t="str">
        <f>IFERROR(IF(AA116="SEGURIDAD",OFFSET('PARÁMETROS'!$K$2,MATCH(U116,JC_SE,0),MATCH(T116,CC_SE,0)),
IF(OR(AA116="DSRC/Estratégico",AA116="DSRC/Operativo"),OFFSET('PARÁMETROS'!$K$11,MATCH(U116,JC_DS,0),MATCH(T116,CC_DS,0)),
IF(AA116="SALUD",OFFSET('PARÁMETROS'!$K$29,MATCH(U116,JC_SA,0),MATCH(T116,CC_SA,0)),
IF(AA116="MEDIO AMBIENTE",OFFSET('PARÁMETROS'!$K$20,MATCH(U116,JC_MA,0),MATCH(T116,CC_MA,0)),
IF(AA116="Rel. Gubernamentales",OFFSET('PARÁMETROS'!$K$48,MATCH(U116,JC_G,0),MATCH(T116,CC_G,0)),
IF(AA116="OPERACIONAL",OFFSET('PARÁMETROS'!$K$56,MATCH(U116,JC_OP,0),MATCH(T116,CC_OP,0)),
IF(AA116="FINANCIERO",OFFSET('PARÁMETROS'!$K$56,MATCH(U116,JC_FI,0),MATCH(T116,CC_FI,0)),
OFFSET('PARÁMETROS'!$K$38,MATCH(U116,JC_L,0),MATCH(T116,CC_L,0))))))))),"")</f>
        <v>Control/Acción Satisfactorio</v>
      </c>
      <c r="W116" s="117"/>
      <c r="X116" s="120"/>
      <c r="Y116" s="121"/>
      <c r="Z116" s="30" t="s">
        <v>314</v>
      </c>
      <c r="AA116" s="32" t="str">
        <f>E115</f>
        <v>Seguridad</v>
      </c>
      <c r="AB116" s="33"/>
    </row>
    <row r="117" ht="105.0" customHeight="1">
      <c r="A117" s="116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8" t="s">
        <v>258</v>
      </c>
      <c r="Q117" s="119" t="s">
        <v>533</v>
      </c>
      <c r="R117" s="119" t="s">
        <v>83</v>
      </c>
      <c r="S117" s="119" t="s">
        <v>84</v>
      </c>
      <c r="T117" s="120" t="s">
        <v>6</v>
      </c>
      <c r="U117" s="120" t="s">
        <v>162</v>
      </c>
      <c r="V117" s="120" t="str">
        <f>IFERROR(IF(AA117="SEGURIDAD",OFFSET('PARÁMETROS'!$K$2,MATCH(U117,JC_SE,0),MATCH(T117,CC_SE,0)),
IF(OR(AA117="DSRC/Estratégico",AA117="DSRC/Operativo"),OFFSET('PARÁMETROS'!$K$11,MATCH(U117,JC_DS,0),MATCH(T117,CC_DS,0)),
IF(AA117="SALUD",OFFSET('PARÁMETROS'!$K$29,MATCH(U117,JC_SA,0),MATCH(T117,CC_SA,0)),
IF(AA117="MEDIO AMBIENTE",OFFSET('PARÁMETROS'!$K$20,MATCH(U117,JC_MA,0),MATCH(T117,CC_MA,0)),
IF(AA117="Rel. Gubernamentales",OFFSET('PARÁMETROS'!$K$48,MATCH(U117,JC_G,0),MATCH(T117,CC_G,0)),
IF(AA117="OPERACIONAL",OFFSET('PARÁMETROS'!$K$56,MATCH(U117,JC_OP,0),MATCH(T117,CC_OP,0)),
IF(AA117="FINANCIERO",OFFSET('PARÁMETROS'!$K$56,MATCH(U117,JC_FI,0),MATCH(T117,CC_FI,0)),
OFFSET('PARÁMETROS'!$K$38,MATCH(U117,JC_L,0),MATCH(T117,CC_L,0))))))))),"")</f>
        <v>Control/Acción Satisfactorio</v>
      </c>
      <c r="W117" s="117"/>
      <c r="X117" s="120"/>
      <c r="Y117" s="121"/>
      <c r="Z117" s="30" t="s">
        <v>314</v>
      </c>
      <c r="AA117" s="32" t="str">
        <f>E115</f>
        <v>Seguridad</v>
      </c>
      <c r="AB117" s="33"/>
    </row>
    <row r="118" ht="105.0" customHeight="1">
      <c r="A118" s="68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134" t="s">
        <v>196</v>
      </c>
      <c r="Q118" s="135" t="s">
        <v>440</v>
      </c>
      <c r="R118" s="135" t="s">
        <v>106</v>
      </c>
      <c r="S118" s="135" t="s">
        <v>265</v>
      </c>
      <c r="T118" s="136" t="s">
        <v>7</v>
      </c>
      <c r="U118" s="136" t="s">
        <v>162</v>
      </c>
      <c r="V118" s="136" t="str">
        <f>IFERROR(IF(AA118="SEGURIDAD",OFFSET('PARÁMETROS'!$K$2,MATCH(U118,JC_SE,0),MATCH(T118,CC_SE,0)),
IF(OR(AA118="DSRC/Estratégico",AA118="DSRC/Operativo"),OFFSET('PARÁMETROS'!$K$11,MATCH(U118,JC_DS,0),MATCH(T118,CC_DS,0)),
IF(AA118="SALUD",OFFSET('PARÁMETROS'!$K$29,MATCH(U118,JC_SA,0),MATCH(T118,CC_SA,0)),
IF(AA118="MEDIO AMBIENTE",OFFSET('PARÁMETROS'!$K$20,MATCH(U118,JC_MA,0),MATCH(T118,CC_MA,0)),
IF(AA118="Rel. Gubernamentales",OFFSET('PARÁMETROS'!$K$48,MATCH(U118,JC_G,0),MATCH(T118,CC_G,0)),
IF(AA118="OPERACIONAL",OFFSET('PARÁMETROS'!$K$56,MATCH(U118,JC_OP,0),MATCH(T118,CC_OP,0)),
IF(AA118="FINANCIERO",OFFSET('PARÁMETROS'!$K$56,MATCH(U118,JC_FI,0),MATCH(T118,CC_FI,0)),
OFFSET('PARÁMETROS'!$K$38,MATCH(U118,JC_L,0),MATCH(T118,CC_L,0))))))))),"")</f>
        <v>Control/Acción Eficaz</v>
      </c>
      <c r="W118" s="69"/>
      <c r="X118" s="136"/>
      <c r="Y118" s="137"/>
      <c r="Z118" s="30" t="s">
        <v>534</v>
      </c>
      <c r="AA118" s="32" t="str">
        <f>E115</f>
        <v>Seguridad</v>
      </c>
      <c r="AB118" s="33" t="s">
        <v>535</v>
      </c>
    </row>
    <row r="119" ht="105.0" customHeight="1">
      <c r="A119" s="79">
        <v>17.0</v>
      </c>
      <c r="B119" s="80" t="s">
        <v>172</v>
      </c>
      <c r="C119" s="80" t="s">
        <v>536</v>
      </c>
      <c r="D119" s="80" t="s">
        <v>177</v>
      </c>
      <c r="E119" s="80" t="s">
        <v>181</v>
      </c>
      <c r="F119" s="80" t="s">
        <v>340</v>
      </c>
      <c r="G119" s="80" t="s">
        <v>455</v>
      </c>
      <c r="H119" s="80" t="s">
        <v>401</v>
      </c>
      <c r="I119" s="80" t="s">
        <v>456</v>
      </c>
      <c r="J119" s="80">
        <v>4.0</v>
      </c>
      <c r="K119" s="80">
        <v>3.0</v>
      </c>
      <c r="L119" s="80">
        <f>IF(OR(J119&lt;&gt;"",K119&lt;&gt;""),OFFSET('PARÁMETROS'!$B$2,K119,J119),"")</f>
        <v>3</v>
      </c>
      <c r="M119" s="80">
        <v>3.0</v>
      </c>
      <c r="N119" s="80">
        <f>IFERROR(L119*M119,"")</f>
        <v>9</v>
      </c>
      <c r="O119" s="89" t="str">
        <f>IF(N119="","",IFERROR(IF(N119&lt;=2,"ACEPTABLE",IF(N119&lt;=6,"BAJA",IF(N119&lt;=10,"ACEPTABLE CON REVISIÓN",IF(N119&lt;=15,"SUSTANCIAL","INACEPTABLE")))),""))</f>
        <v>ACEPTABLE CON REVISIÓN</v>
      </c>
      <c r="P119" s="109" t="s">
        <v>105</v>
      </c>
      <c r="Q119" s="110" t="s">
        <v>463</v>
      </c>
      <c r="R119" s="110" t="s">
        <v>142</v>
      </c>
      <c r="S119" s="110" t="s">
        <v>167</v>
      </c>
      <c r="T119" s="111" t="s">
        <v>7</v>
      </c>
      <c r="U119" s="111" t="s">
        <v>162</v>
      </c>
      <c r="V119" s="111" t="str">
        <f>IFERROR(IF(AA119="SEGURIDAD",OFFSET('PARÁMETROS'!$K$2,MATCH(U119,JC_SE,0),MATCH(T119,CC_SE,0)),
IF(OR(AA119="DSRC/Estratégico",AA119="DSRC/Operativo"),OFFSET('PARÁMETROS'!$K$11,MATCH(U119,JC_DS,0),MATCH(T119,CC_DS,0)),
IF(AA119="SALUD",OFFSET('PARÁMETROS'!$K$29,MATCH(U119,JC_SA,0),MATCH(T119,CC_SA,0)),
IF(AA119="MEDIO AMBIENTE",OFFSET('PARÁMETROS'!$K$20,MATCH(U119,JC_MA,0),MATCH(T119,CC_MA,0)),
IF(AA119="Rel. Gubernamentales",OFFSET('PARÁMETROS'!$K$48,MATCH(U119,JC_G,0),MATCH(T119,CC_G,0)),
IF(AA119="OPERACIONAL",OFFSET('PARÁMETROS'!$K$56,MATCH(U119,JC_OP,0),MATCH(T119,CC_OP,0)),
IF(AA119="FINANCIERO",OFFSET('PARÁMETROS'!$K$56,MATCH(U119,JC_FI,0),MATCH(T119,CC_FI,0)),
OFFSET('PARÁMETROS'!$K$38,MATCH(U119,JC_L,0),MATCH(T119,CC_L,0))))))))),"")</f>
        <v>Control/Acción Eficaz</v>
      </c>
      <c r="W119" s="89" t="str">
        <f>IF(E119="","",
IF(COUNTA( V119:V120)-COUNTBLANK( V119:V120)=1,
IF(O119="INACEPTABLE",IF(COUNTIF( V119:V120,"Control/Acción Eficaz")&gt;=1,"SUSTANCIAL","INACEPTABLE"),
IF(O119="SUSTANCIAL",IF(COUNTIF( V119:V120,"Control/Acción Eficaz")&gt;=1,"ACEPTABLE CON REVISIÓN","SUSTANCIAL"),
IF(O119="ACEPTABLE CON REVISIÓN",IF(COUNTIF( V119:V120,"Control/Acción Eficaz")&gt;=1,"BAJA","ACEPTABLE CON REVISIÓN"),
IF(O119="BAJA",IF(COUNTIF( V119:V120,"Control/Acción Eficaz")&gt;=1,"ACEPTABLE","BAJA"),)))),
IF(COUNTA( V119:V120)-COUNTBLANK( V119:V120)=2,
IF(O119="INACEPTABLE",IF(COUNTIF( V119:V120,"Control/Acción Eficaz")=2,"ACEPTABLE CON REVISIÓN",
IF(OR(AND(COUNTIF( V119:V120,"Control/Acción Eficaz")=1,COUNTIF( V119:V120,"Control/Acción Satisfactorio")=1),
AND(COUNTIF( V119:V120,"Control/Acción Eficaz")=1,COUNTIF( V119:V120,"Control/Acción No Eficaz")=1)),"SUSTANCIAL","INACEPTABLE")),
IF(O119="SUSTANCIAL",IF(COUNTIF( V119:V120,"Control/Acción Eficaz")=2,"BAJA",
IF(OR(AND(COUNTIF( V119:V120,"Control/Acción Eficaz")=1,COUNTIF( V119:V120,"Control/Acción Satisfactorio")=1),
AND(COUNTIF( V119:V120,"Control/Acción Eficaz")=1,COUNTIF( V119:V120,"Control/Acción No Eficaz")=1)),"ACEPTABLE CON REVISIÓN ","SUSTANCIAL")),
IF(O119="ACEPTABLE CON REVISIÓN",IF(COUNTIF( V119:V120,"Control/Acción Eficaz")=2,"ACEPTABLE",
IF(OR(AND(COUNTIF( V119:V120,"Control/Acción Eficaz")=1,COUNTIF( V119:V120,"Control/Acción Satisfactorio")=1),
AND(COUNTIF( V119:V120,"Control/Acción Eficaz")=1,COUNTIF( V119:V120,"Control/Acción No Eficaz")=1)),"BAJA","ACEPTABLE CON REVISIÓN")),
IF(O119="BAJA",IF(COUNTIF( V119:V120,"Control/Acción Eficaz")&gt;=2,"ACEPTABLE","BAJA"),)))),
IF(COUNTA( V119:V120)-COUNTBLANK( V119:V120)&gt;=3,
IF(O119="INACEPTABLE",
IF(COUNTBLANK( V119:V120)=COUNTA( V119:V120),"",
IF(COUNTIF( V119:V120,"Control/Acción No Eficaz")&gt;=2,"INACEPTABLE",
IF(AND(COUNTIF( V119:V120,"Control/Acción No Eficaz")=0,COUNTIF( V119:V120,"Control/Acción Eficaz")&gt;=2),"ACEPTABLE CON REVISIÓN ","SUSTANCIAL"))),
IF(O119="SUSTANCIAL",
IF(COUNTBLANK( V119:V120)=COUNTA( V119:V120),"",
IF(COUNTIF( V119:V120,"Control/Acción No Eficaz")&gt;=2,"SUSTANCIAL",
IF(AND(COUNTIF( V119:V120,"Control/Acción No Eficaz")=0,COUNTIF( V119:V120,"Control/Acción Eficaz")&gt;=2),"BAJA","ACEPTABLE CON REVISIÓN"))),
IF(O119="ACEPTABLE CON REVISIÓN",
IF(COUNTBLANK( V119:V120)=COUNTA( V119:V120),"",
IF(COUNTIF( V119:V120,"Control/Acción No Eficaz")&gt;=2,"ACEPTABLE CON REVISIÓN",
IF(AND(COUNTIF( V119:V120,"Control/Acción No Eficaz")=0,COUNTIF( V119:V120,"Control/Acción Eficaz")&gt;=2),"ACEPTABLE","BAJA"))),
IF(O119="BAJA",
IF(COUNTBLANK( V119:V120)=COUNTA( V119:V120),"",
IF(AND(COUNTBLANK( V119:V120)&lt;1,COUNTA( V119:V120)=1),
IF(COUNTIF( V119:V120,"Control/Acción No Eficaz")&gt;=2,"BAJA",
IF(AND(COUNTIF( V119:V120,"Control/Acción No Eficaz")=0,COUNTIF( V119:V120,"Control/Acción Eficaz")&gt;=2),"ACEPTABLE","BAJA")),
IF(COUNTIF( V119:V120,"Control/Acción No Eficaz")&gt;=2,"BAJA",
IF(AND(COUNTIF( V119:V120,"Control/Acción No Eficaz")=0,COUNTIF( V119:V120,"Control/Acción Eficaz")&gt;=2),"ACEPTABLE","BAJA")))),
IF(COUNTIF( V119:V120,"")&gt;=5,"",O119))))),
""))))</f>
        <v>BAJA</v>
      </c>
      <c r="X119" s="111"/>
      <c r="Y119" s="115"/>
      <c r="Z119" s="30" t="s">
        <v>314</v>
      </c>
      <c r="AA119" s="32" t="str">
        <f>E119</f>
        <v>Seguridad</v>
      </c>
      <c r="AB119" s="33"/>
    </row>
    <row r="120" ht="105.0" customHeight="1">
      <c r="A120" s="68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134" t="s">
        <v>302</v>
      </c>
      <c r="Q120" s="135" t="s">
        <v>537</v>
      </c>
      <c r="R120" s="135" t="s">
        <v>106</v>
      </c>
      <c r="S120" s="135" t="s">
        <v>265</v>
      </c>
      <c r="T120" s="136" t="s">
        <v>7</v>
      </c>
      <c r="U120" s="136" t="s">
        <v>182</v>
      </c>
      <c r="V120" s="136" t="str">
        <f>IFERROR(IF(AA120="SEGURIDAD",OFFSET('PARÁMETROS'!$K$2,MATCH(U120,JC_SE,0),MATCH(T120,CC_SE,0)),
IF(OR(AA120="DSRC/Estratégico",AA120="DSRC/Operativo"),OFFSET('PARÁMETROS'!$K$11,MATCH(U120,JC_DS,0),MATCH(T120,CC_DS,0)),
IF(AA120="SALUD",OFFSET('PARÁMETROS'!$K$29,MATCH(U120,JC_SA,0),MATCH(T120,CC_SA,0)),
IF(AA120="MEDIO AMBIENTE",OFFSET('PARÁMETROS'!$K$20,MATCH(U120,JC_MA,0),MATCH(T120,CC_MA,0)),
IF(AA120="Rel. Gubernamentales",OFFSET('PARÁMETROS'!$K$48,MATCH(U120,JC_G,0),MATCH(T120,CC_G,0)),
IF(AA120="OPERACIONAL",OFFSET('PARÁMETROS'!$K$56,MATCH(U120,JC_OP,0),MATCH(T120,CC_OP,0)),
IF(AA120="FINANCIERO",OFFSET('PARÁMETROS'!$K$56,MATCH(U120,JC_FI,0),MATCH(T120,CC_FI,0)),
OFFSET('PARÁMETROS'!$K$38,MATCH(U120,JC_L,0),MATCH(T120,CC_L,0))))))))),"")</f>
        <v>Control/Acción Satisfactorio</v>
      </c>
      <c r="W120" s="69"/>
      <c r="X120" s="136"/>
      <c r="Y120" s="137"/>
      <c r="Z120" s="30" t="s">
        <v>314</v>
      </c>
      <c r="AA120" s="32" t="str">
        <f>E119</f>
        <v>Seguridad</v>
      </c>
      <c r="AB120" s="33"/>
    </row>
    <row r="121" ht="105.0" customHeight="1">
      <c r="A121" s="79">
        <v>18.0</v>
      </c>
      <c r="B121" s="80" t="s">
        <v>172</v>
      </c>
      <c r="C121" s="80" t="s">
        <v>536</v>
      </c>
      <c r="D121" s="80" t="s">
        <v>177</v>
      </c>
      <c r="E121" s="80" t="s">
        <v>181</v>
      </c>
      <c r="F121" s="80" t="s">
        <v>277</v>
      </c>
      <c r="G121" s="80" t="s">
        <v>443</v>
      </c>
      <c r="H121" s="80" t="s">
        <v>410</v>
      </c>
      <c r="I121" s="80" t="s">
        <v>538</v>
      </c>
      <c r="J121" s="80">
        <v>4.0</v>
      </c>
      <c r="K121" s="80">
        <v>2.0</v>
      </c>
      <c r="L121" s="80">
        <f>IF(OR(J121&lt;&gt;"",K121&lt;&gt;""),OFFSET('PARÁMETROS'!$B$2,K121,J121),"")</f>
        <v>3</v>
      </c>
      <c r="M121" s="80">
        <v>5.0</v>
      </c>
      <c r="N121" s="80">
        <f>IFERROR(L121*M121,"")</f>
        <v>15</v>
      </c>
      <c r="O121" s="89" t="str">
        <f>IF(N121="","",IFERROR(IF(N121&lt;=2,"ACEPTABLE",IF(N121&lt;=6,"BAJA",IF(N121&lt;=10,"ACEPTABLE CON REVISIÓN",IF(N121&lt;=15,"SUSTANCIAL","INACEPTABLE")))),""))</f>
        <v>SUSTANCIAL</v>
      </c>
      <c r="P121" s="109" t="s">
        <v>258</v>
      </c>
      <c r="Q121" s="110" t="s">
        <v>445</v>
      </c>
      <c r="R121" s="110" t="s">
        <v>142</v>
      </c>
      <c r="S121" s="110" t="s">
        <v>120</v>
      </c>
      <c r="T121" s="111" t="s">
        <v>6</v>
      </c>
      <c r="U121" s="111" t="s">
        <v>162</v>
      </c>
      <c r="V121" s="111" t="str">
        <f>IFERROR(IF(AA121="SEGURIDAD",OFFSET('PARÁMETROS'!$K$2,MATCH(U121,JC_SE,0),MATCH(T121,CC_SE,0)),
IF(OR(AA121="DSRC/Estratégico",AA121="DSRC/Operativo"),OFFSET('PARÁMETROS'!$K$11,MATCH(U121,JC_DS,0),MATCH(T121,CC_DS,0)),
IF(AA121="SALUD",OFFSET('PARÁMETROS'!$K$29,MATCH(U121,JC_SA,0),MATCH(T121,CC_SA,0)),
IF(AA121="MEDIO AMBIENTE",OFFSET('PARÁMETROS'!$K$20,MATCH(U121,JC_MA,0),MATCH(T121,CC_MA,0)),
IF(AA121="Rel. Gubernamentales",OFFSET('PARÁMETROS'!$K$48,MATCH(U121,JC_G,0),MATCH(T121,CC_G,0)),
IF(AA121="OPERACIONAL",OFFSET('PARÁMETROS'!$K$56,MATCH(U121,JC_OP,0),MATCH(T121,CC_OP,0)),
IF(AA121="FINANCIERO",OFFSET('PARÁMETROS'!$K$56,MATCH(U121,JC_FI,0),MATCH(T121,CC_FI,0)),
OFFSET('PARÁMETROS'!$K$38,MATCH(U121,JC_L,0),MATCH(T121,CC_L,0))))))))),"")</f>
        <v>Control/Acción Satisfactorio</v>
      </c>
      <c r="W121" s="89" t="str">
        <f>IF(E121="","",
IF(COUNTA( V121:V126)-COUNTBLANK( V121:V126)=1,
IF(O121="INACEPTABLE",IF(COUNTIF( V121:V126,"Control/Acción Eficaz")&gt;=1,"SUSTANCIAL","INACEPTABLE"),
IF(O121="SUSTANCIAL",IF(COUNTIF( V121:V126,"Control/Acción Eficaz")&gt;=1,"ACEPTABLE CON REVISIÓN","SUSTANCIAL"),
IF(O121="ACEPTABLE CON REVISIÓN",IF(COUNTIF( V121:V126,"Control/Acción Eficaz")&gt;=1,"BAJA","ACEPTABLE CON REVISIÓN"),
IF(O121="BAJA",IF(COUNTIF( V121:V126,"Control/Acción Eficaz")&gt;=1,"ACEPTABLE","BAJA"),)))),
IF(COUNTA( V121:V126)-COUNTBLANK( V121:V126)=2,
IF(O121="INACEPTABLE",IF(COUNTIF( V121:V126,"Control/Acción Eficaz")=2,"ACEPTABLE CON REVISIÓN",
IF(OR(AND(COUNTIF( V121:V126,"Control/Acción Eficaz")=1,COUNTIF( V121:V126,"Control/Acción Satisfactorio")=1),
AND(COUNTIF( V121:V126,"Control/Acción Eficaz")=1,COUNTIF( V121:V126,"Control/Acción No Eficaz")=1)),"SUSTANCIAL","INACEPTABLE")),
IF(O121="SUSTANCIAL",IF(COUNTIF( V121:V126,"Control/Acción Eficaz")=2,"BAJA",
IF(OR(AND(COUNTIF( V121:V126,"Control/Acción Eficaz")=1,COUNTIF( V121:V126,"Control/Acción Satisfactorio")=1),
AND(COUNTIF( V121:V126,"Control/Acción Eficaz")=1,COUNTIF( V121:V126,"Control/Acción No Eficaz")=1)),"ACEPTABLE CON REVISIÓN ","SUSTANCIAL")),
IF(O121="ACEPTABLE CON REVISIÓN",IF(COUNTIF( V121:V126,"Control/Acción Eficaz")=2,"ACEPTABLE",
IF(OR(AND(COUNTIF( V121:V126,"Control/Acción Eficaz")=1,COUNTIF( V121:V126,"Control/Acción Satisfactorio")=1),
AND(COUNTIF( V121:V126,"Control/Acción Eficaz")=1,COUNTIF( V121:V126,"Control/Acción No Eficaz")=1)),"BAJA","ACEPTABLE CON REVISIÓN")),
IF(O121="BAJA",IF(COUNTIF( V121:V126,"Control/Acción Eficaz")&gt;=2,"ACEPTABLE","BAJA"),)))),
IF(COUNTA( V121:V126)-COUNTBLANK( V121:V126)&gt;=3,
IF(O121="INACEPTABLE",
IF(COUNTBLANK( V121:V126)=COUNTA( V121:V126),"",
IF(COUNTIF( V121:V126,"Control/Acción No Eficaz")&gt;=2,"INACEPTABLE",
IF(AND(COUNTIF( V121:V126,"Control/Acción No Eficaz")=0,COUNTIF( V121:V126,"Control/Acción Eficaz")&gt;=2),"ACEPTABLE CON REVISIÓN ","SUSTANCIAL"))),
IF(O121="SUSTANCIAL",
IF(COUNTBLANK( V121:V126)=COUNTA( V121:V126),"",
IF(COUNTIF( V121:V126,"Control/Acción No Eficaz")&gt;=2,"SUSTANCIAL",
IF(AND(COUNTIF( V121:V126,"Control/Acción No Eficaz")=0,COUNTIF( V121:V126,"Control/Acción Eficaz")&gt;=2),"BAJA","ACEPTABLE CON REVISIÓN"))),
IF(O121="ACEPTABLE CON REVISIÓN",
IF(COUNTBLANK( V121:V126)=COUNTA( V121:V126),"",
IF(COUNTIF( V121:V126,"Control/Acción No Eficaz")&gt;=2,"ACEPTABLE CON REVISIÓN",
IF(AND(COUNTIF( V121:V126,"Control/Acción No Eficaz")=0,COUNTIF( V121:V126,"Control/Acción Eficaz")&gt;=2),"ACEPTABLE","BAJA"))),
IF(O121="BAJA",
IF(COUNTBLANK( V121:V126)=COUNTA( V121:V126),"",
IF(AND(COUNTBLANK( V121:V126)&lt;1,COUNTA( V121:V126)=1),
IF(COUNTIF( V121:V126,"Control/Acción No Eficaz")&gt;=2,"BAJA",
IF(AND(COUNTIF( V121:V126,"Control/Acción No Eficaz")=0,COUNTIF( V121:V126,"Control/Acción Eficaz")&gt;=2),"ACEPTABLE","BAJA")),
IF(COUNTIF( V121:V126,"Control/Acción No Eficaz")&gt;=2,"BAJA",
IF(AND(COUNTIF( V121:V126,"Control/Acción No Eficaz")=0,COUNTIF( V121:V126,"Control/Acción Eficaz")&gt;=2),"ACEPTABLE","BAJA")))),
IF(COUNTIF( V121:V126,"")&gt;=5,"",O121))))),
""))))</f>
        <v>BAJA</v>
      </c>
      <c r="X121" s="111"/>
      <c r="Y121" s="115"/>
      <c r="Z121" s="30" t="s">
        <v>314</v>
      </c>
      <c r="AA121" s="32" t="str">
        <f>E121</f>
        <v>Seguridad</v>
      </c>
      <c r="AB121" s="33"/>
    </row>
    <row r="122" ht="105.0" customHeight="1">
      <c r="A122" s="116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8" t="s">
        <v>230</v>
      </c>
      <c r="Q122" s="119" t="s">
        <v>447</v>
      </c>
      <c r="R122" s="119" t="s">
        <v>83</v>
      </c>
      <c r="S122" s="119" t="s">
        <v>51</v>
      </c>
      <c r="T122" s="120" t="s">
        <v>7</v>
      </c>
      <c r="U122" s="120" t="s">
        <v>162</v>
      </c>
      <c r="V122" s="120" t="str">
        <f>IFERROR(IF(AA122="SEGURIDAD",OFFSET('PARÁMETROS'!$K$2,MATCH(U122,JC_SE,0),MATCH(T122,CC_SE,0)),
IF(OR(AA122="DSRC/Estratégico",AA122="DSRC/Operativo"),OFFSET('PARÁMETROS'!$K$11,MATCH(U122,JC_DS,0),MATCH(T122,CC_DS,0)),
IF(AA122="SALUD",OFFSET('PARÁMETROS'!$K$29,MATCH(U122,JC_SA,0),MATCH(T122,CC_SA,0)),
IF(AA122="MEDIO AMBIENTE",OFFSET('PARÁMETROS'!$K$20,MATCH(U122,JC_MA,0),MATCH(T122,CC_MA,0)),
IF(AA122="Rel. Gubernamentales",OFFSET('PARÁMETROS'!$K$48,MATCH(U122,JC_G,0),MATCH(T122,CC_G,0)),
IF(AA122="OPERACIONAL",OFFSET('PARÁMETROS'!$K$56,MATCH(U122,JC_OP,0),MATCH(T122,CC_OP,0)),
IF(AA122="FINANCIERO",OFFSET('PARÁMETROS'!$K$56,MATCH(U122,JC_FI,0),MATCH(T122,CC_FI,0)),
OFFSET('PARÁMETROS'!$K$38,MATCH(U122,JC_L,0),MATCH(T122,CC_L,0))))))))),"")</f>
        <v>Control/Acción Eficaz</v>
      </c>
      <c r="W122" s="117"/>
      <c r="X122" s="120"/>
      <c r="Y122" s="121"/>
      <c r="Z122" s="30" t="s">
        <v>314</v>
      </c>
      <c r="AA122" s="32" t="str">
        <f>E121</f>
        <v>Seguridad</v>
      </c>
      <c r="AB122" s="33"/>
    </row>
    <row r="123" ht="105.0" customHeight="1">
      <c r="A123" s="116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8" t="s">
        <v>196</v>
      </c>
      <c r="Q123" s="119" t="s">
        <v>539</v>
      </c>
      <c r="R123" s="119" t="s">
        <v>142</v>
      </c>
      <c r="S123" s="119" t="s">
        <v>186</v>
      </c>
      <c r="T123" s="120" t="s">
        <v>7</v>
      </c>
      <c r="U123" s="120" t="s">
        <v>162</v>
      </c>
      <c r="V123" s="120" t="str">
        <f>IFERROR(IF(AA123="SEGURIDAD",OFFSET('PARÁMETROS'!$K$2,MATCH(U123,JC_SE,0),MATCH(T123,CC_SE,0)),
IF(OR(AA123="DSRC/Estratégico",AA123="DSRC/Operativo"),OFFSET('PARÁMETROS'!$K$11,MATCH(U123,JC_DS,0),MATCH(T123,CC_DS,0)),
IF(AA123="SALUD",OFFSET('PARÁMETROS'!$K$29,MATCH(U123,JC_SA,0),MATCH(T123,CC_SA,0)),
IF(AA123="MEDIO AMBIENTE",OFFSET('PARÁMETROS'!$K$20,MATCH(U123,JC_MA,0),MATCH(T123,CC_MA,0)),
IF(AA123="Rel. Gubernamentales",OFFSET('PARÁMETROS'!$K$48,MATCH(U123,JC_G,0),MATCH(T123,CC_G,0)),
IF(AA123="OPERACIONAL",OFFSET('PARÁMETROS'!$K$56,MATCH(U123,JC_OP,0),MATCH(T123,CC_OP,0)),
IF(AA123="FINANCIERO",OFFSET('PARÁMETROS'!$K$56,MATCH(U123,JC_FI,0),MATCH(T123,CC_FI,0)),
OFFSET('PARÁMETROS'!$K$38,MATCH(U123,JC_L,0),MATCH(T123,CC_L,0))))))))),"")</f>
        <v>Control/Acción Eficaz</v>
      </c>
      <c r="W123" s="117"/>
      <c r="X123" s="120"/>
      <c r="Y123" s="121"/>
      <c r="Z123" s="30" t="s">
        <v>314</v>
      </c>
      <c r="AA123" s="32" t="str">
        <f>E121</f>
        <v>Seguridad</v>
      </c>
      <c r="AB123" s="33"/>
    </row>
    <row r="124" ht="105.0" customHeight="1">
      <c r="A124" s="116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8" t="s">
        <v>258</v>
      </c>
      <c r="Q124" s="119" t="s">
        <v>452</v>
      </c>
      <c r="R124" s="119" t="s">
        <v>83</v>
      </c>
      <c r="S124" s="119" t="s">
        <v>84</v>
      </c>
      <c r="T124" s="120" t="s">
        <v>7</v>
      </c>
      <c r="U124" s="120" t="s">
        <v>162</v>
      </c>
      <c r="V124" s="120" t="str">
        <f>IFERROR(IF(AA124="SEGURIDAD",OFFSET('PARÁMETROS'!$K$2,MATCH(U124,JC_SE,0),MATCH(T124,CC_SE,0)),
IF(OR(AA124="DSRC/Estratégico",AA124="DSRC/Operativo"),OFFSET('PARÁMETROS'!$K$11,MATCH(U124,JC_DS,0),MATCH(T124,CC_DS,0)),
IF(AA124="SALUD",OFFSET('PARÁMETROS'!$K$29,MATCH(U124,JC_SA,0),MATCH(T124,CC_SA,0)),
IF(AA124="MEDIO AMBIENTE",OFFSET('PARÁMETROS'!$K$20,MATCH(U124,JC_MA,0),MATCH(T124,CC_MA,0)),
IF(AA124="Rel. Gubernamentales",OFFSET('PARÁMETROS'!$K$48,MATCH(U124,JC_G,0),MATCH(T124,CC_G,0)),
IF(AA124="OPERACIONAL",OFFSET('PARÁMETROS'!$K$56,MATCH(U124,JC_OP,0),MATCH(T124,CC_OP,0)),
IF(AA124="FINANCIERO",OFFSET('PARÁMETROS'!$K$56,MATCH(U124,JC_FI,0),MATCH(T124,CC_FI,0)),
OFFSET('PARÁMETROS'!$K$38,MATCH(U124,JC_L,0),MATCH(T124,CC_L,0))))))))),"")</f>
        <v>Control/Acción Eficaz</v>
      </c>
      <c r="W124" s="117"/>
      <c r="X124" s="120"/>
      <c r="Y124" s="121"/>
      <c r="Z124" s="30" t="s">
        <v>314</v>
      </c>
      <c r="AA124" s="32" t="str">
        <f>E121</f>
        <v>Seguridad</v>
      </c>
      <c r="AB124" s="33"/>
    </row>
    <row r="125" ht="105.0" customHeight="1">
      <c r="A125" s="116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8" t="s">
        <v>230</v>
      </c>
      <c r="Q125" s="119" t="s">
        <v>447</v>
      </c>
      <c r="R125" s="119" t="s">
        <v>83</v>
      </c>
      <c r="S125" s="119" t="s">
        <v>51</v>
      </c>
      <c r="T125" s="120" t="s">
        <v>7</v>
      </c>
      <c r="U125" s="120" t="s">
        <v>162</v>
      </c>
      <c r="V125" s="120" t="str">
        <f>IFERROR(IF(AA125="SEGURIDAD",OFFSET('PARÁMETROS'!$K$2,MATCH(U125,JC_SE,0),MATCH(T125,CC_SE,0)),
IF(OR(AA125="DSRC/Estratégico",AA125="DSRC/Operativo"),OFFSET('PARÁMETROS'!$K$11,MATCH(U125,JC_DS,0),MATCH(T125,CC_DS,0)),
IF(AA125="SALUD",OFFSET('PARÁMETROS'!$K$29,MATCH(U125,JC_SA,0),MATCH(T125,CC_SA,0)),
IF(AA125="MEDIO AMBIENTE",OFFSET('PARÁMETROS'!$K$20,MATCH(U125,JC_MA,0),MATCH(T125,CC_MA,0)),
IF(AA125="Rel. Gubernamentales",OFFSET('PARÁMETROS'!$K$48,MATCH(U125,JC_G,0),MATCH(T125,CC_G,0)),
IF(AA125="OPERACIONAL",OFFSET('PARÁMETROS'!$K$56,MATCH(U125,JC_OP,0),MATCH(T125,CC_OP,0)),
IF(AA125="FINANCIERO",OFFSET('PARÁMETROS'!$K$56,MATCH(U125,JC_FI,0),MATCH(T125,CC_FI,0)),
OFFSET('PARÁMETROS'!$K$38,MATCH(U125,JC_L,0),MATCH(T125,CC_L,0))))))))),"")</f>
        <v>Control/Acción Eficaz</v>
      </c>
      <c r="W125" s="117"/>
      <c r="X125" s="120"/>
      <c r="Y125" s="121"/>
      <c r="Z125" s="30" t="s">
        <v>314</v>
      </c>
      <c r="AA125" s="32" t="str">
        <f>E121</f>
        <v>Seguridad</v>
      </c>
      <c r="AB125" s="33"/>
    </row>
    <row r="126" ht="105.0" customHeight="1">
      <c r="A126" s="68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134" t="s">
        <v>196</v>
      </c>
      <c r="Q126" s="135" t="s">
        <v>540</v>
      </c>
      <c r="R126" s="135" t="s">
        <v>142</v>
      </c>
      <c r="S126" s="135" t="s">
        <v>167</v>
      </c>
      <c r="T126" s="136" t="s">
        <v>7</v>
      </c>
      <c r="U126" s="136" t="s">
        <v>162</v>
      </c>
      <c r="V126" s="136" t="str">
        <f>IFERROR(IF(AA126="SEGURIDAD",OFFSET('PARÁMETROS'!$K$2,MATCH(U126,JC_SE,0),MATCH(T126,CC_SE,0)),
IF(OR(AA126="DSRC/Estratégico",AA126="DSRC/Operativo"),OFFSET('PARÁMETROS'!$K$11,MATCH(U126,JC_DS,0),MATCH(T126,CC_DS,0)),
IF(AA126="SALUD",OFFSET('PARÁMETROS'!$K$29,MATCH(U126,JC_SA,0),MATCH(T126,CC_SA,0)),
IF(AA126="MEDIO AMBIENTE",OFFSET('PARÁMETROS'!$K$20,MATCH(U126,JC_MA,0),MATCH(T126,CC_MA,0)),
IF(AA126="Rel. Gubernamentales",OFFSET('PARÁMETROS'!$K$48,MATCH(U126,JC_G,0),MATCH(T126,CC_G,0)),
IF(AA126="OPERACIONAL",OFFSET('PARÁMETROS'!$K$56,MATCH(U126,JC_OP,0),MATCH(T126,CC_OP,0)),
IF(AA126="FINANCIERO",OFFSET('PARÁMETROS'!$K$56,MATCH(U126,JC_FI,0),MATCH(T126,CC_FI,0)),
OFFSET('PARÁMETROS'!$K$38,MATCH(U126,JC_L,0),MATCH(T126,CC_L,0))))))))),"")</f>
        <v>Control/Acción Eficaz</v>
      </c>
      <c r="W126" s="69"/>
      <c r="X126" s="136"/>
      <c r="Y126" s="137"/>
      <c r="Z126" s="30" t="s">
        <v>314</v>
      </c>
      <c r="AA126" s="32" t="str">
        <f>E121</f>
        <v>Seguridad</v>
      </c>
      <c r="AB126" s="33"/>
    </row>
    <row r="127" ht="105.0" customHeight="1">
      <c r="A127" s="79">
        <v>19.0</v>
      </c>
      <c r="B127" s="80" t="s">
        <v>172</v>
      </c>
      <c r="C127" s="80" t="s">
        <v>536</v>
      </c>
      <c r="D127" s="80" t="s">
        <v>177</v>
      </c>
      <c r="E127" s="80" t="s">
        <v>181</v>
      </c>
      <c r="F127" s="80" t="s">
        <v>318</v>
      </c>
      <c r="G127" s="80" t="s">
        <v>541</v>
      </c>
      <c r="H127" s="80" t="s">
        <v>216</v>
      </c>
      <c r="I127" s="80" t="s">
        <v>542</v>
      </c>
      <c r="J127" s="80">
        <v>3.0</v>
      </c>
      <c r="K127" s="80">
        <v>2.0</v>
      </c>
      <c r="L127" s="80">
        <f>IF(OR(J127&lt;&gt;"",K127&lt;&gt;""),OFFSET('PARÁMETROS'!$B$2,K127,J127),"")</f>
        <v>4</v>
      </c>
      <c r="M127" s="80">
        <v>5.0</v>
      </c>
      <c r="N127" s="80">
        <f>IFERROR(L127*M127,"")</f>
        <v>20</v>
      </c>
      <c r="O127" s="89" t="str">
        <f>IF(N127="","",IFERROR(IF(N127&lt;=2,"ACEPTABLE",IF(N127&lt;=6,"BAJA",IF(N127&lt;=10,"ACEPTABLE CON REVISIÓN",IF(N127&lt;=15,"SUSTANCIAL","INACEPTABLE")))),""))</f>
        <v>INACEPTABLE</v>
      </c>
      <c r="P127" s="109" t="s">
        <v>230</v>
      </c>
      <c r="Q127" s="110" t="s">
        <v>335</v>
      </c>
      <c r="R127" s="110" t="s">
        <v>83</v>
      </c>
      <c r="S127" s="110" t="s">
        <v>51</v>
      </c>
      <c r="T127" s="111" t="s">
        <v>7</v>
      </c>
      <c r="U127" s="111" t="s">
        <v>162</v>
      </c>
      <c r="V127" s="111" t="str">
        <f>IFERROR(IF(AA127="SEGURIDAD",OFFSET('PARÁMETROS'!$K$2,MATCH(U127,JC_SE,0),MATCH(T127,CC_SE,0)),
IF(OR(AA127="DSRC/Estratégico",AA127="DSRC/Operativo"),OFFSET('PARÁMETROS'!$K$11,MATCH(U127,JC_DS,0),MATCH(T127,CC_DS,0)),
IF(AA127="SALUD",OFFSET('PARÁMETROS'!$K$29,MATCH(U127,JC_SA,0),MATCH(T127,CC_SA,0)),
IF(AA127="MEDIO AMBIENTE",OFFSET('PARÁMETROS'!$K$20,MATCH(U127,JC_MA,0),MATCH(T127,CC_MA,0)),
IF(AA127="Rel. Gubernamentales",OFFSET('PARÁMETROS'!$K$48,MATCH(U127,JC_G,0),MATCH(T127,CC_G,0)),
IF(AA127="OPERACIONAL",OFFSET('PARÁMETROS'!$K$56,MATCH(U127,JC_OP,0),MATCH(T127,CC_OP,0)),
IF(AA127="FINANCIERO",OFFSET('PARÁMETROS'!$K$56,MATCH(U127,JC_FI,0),MATCH(T127,CC_FI,0)),
OFFSET('PARÁMETROS'!$K$38,MATCH(U127,JC_L,0),MATCH(T127,CC_L,0))))))))),"")</f>
        <v>Control/Acción Eficaz</v>
      </c>
      <c r="W127" s="89" t="str">
        <f>IF(E127="","",
IF(COUNTA( V127:V136)-COUNTBLANK( V127:V136)=1,
IF(O127="INACEPTABLE",IF(COUNTIF( V127:V136,"Control/Acción Eficaz")&gt;=1,"SUSTANCIAL","INACEPTABLE"),
IF(O127="SUSTANCIAL",IF(COUNTIF( V127:V136,"Control/Acción Eficaz")&gt;=1,"ACEPTABLE CON REVISIÓN","SUSTANCIAL"),
IF(O127="ACEPTABLE CON REVISIÓN",IF(COUNTIF( V127:V136,"Control/Acción Eficaz")&gt;=1,"BAJA","ACEPTABLE CON REVISIÓN"),
IF(O127="BAJA",IF(COUNTIF( V127:V136,"Control/Acción Eficaz")&gt;=1,"ACEPTABLE","BAJA"),)))),
IF(COUNTA( V127:V136)-COUNTBLANK( V127:V136)=2,
IF(O127="INACEPTABLE",IF(COUNTIF( V127:V136,"Control/Acción Eficaz")=2,"ACEPTABLE CON REVISIÓN",
IF(OR(AND(COUNTIF( V127:V136,"Control/Acción Eficaz")=1,COUNTIF( V127:V136,"Control/Acción Satisfactorio")=1),
AND(COUNTIF( V127:V136,"Control/Acción Eficaz")=1,COUNTIF( V127:V136,"Control/Acción No Eficaz")=1)),"SUSTANCIAL","INACEPTABLE")),
IF(O127="SUSTANCIAL",IF(COUNTIF( V127:V136,"Control/Acción Eficaz")=2,"BAJA",
IF(OR(AND(COUNTIF( V127:V136,"Control/Acción Eficaz")=1,COUNTIF( V127:V136,"Control/Acción Satisfactorio")=1),
AND(COUNTIF( V127:V136,"Control/Acción Eficaz")=1,COUNTIF( V127:V136,"Control/Acción No Eficaz")=1)),"ACEPTABLE CON REVISIÓN ","SUSTANCIAL")),
IF(O127="ACEPTABLE CON REVISIÓN",IF(COUNTIF( V127:V136,"Control/Acción Eficaz")=2,"ACEPTABLE",
IF(OR(AND(COUNTIF( V127:V136,"Control/Acción Eficaz")=1,COUNTIF( V127:V136,"Control/Acción Satisfactorio")=1),
AND(COUNTIF( V127:V136,"Control/Acción Eficaz")=1,COUNTIF( V127:V136,"Control/Acción No Eficaz")=1)),"BAJA","ACEPTABLE CON REVISIÓN")),
IF(O127="BAJA",IF(COUNTIF( V127:V136,"Control/Acción Eficaz")&gt;=2,"ACEPTABLE","BAJA"),)))),
IF(COUNTA( V127:V136)-COUNTBLANK( V127:V136)&gt;=3,
IF(O127="INACEPTABLE",
IF(COUNTBLANK( V127:V136)=COUNTA( V127:V136),"",
IF(COUNTIF( V127:V136,"Control/Acción No Eficaz")&gt;=2,"INACEPTABLE",
IF(AND(COUNTIF( V127:V136,"Control/Acción No Eficaz")=0,COUNTIF( V127:V136,"Control/Acción Eficaz")&gt;=2),"ACEPTABLE CON REVISIÓN ","SUSTANCIAL"))),
IF(O127="SUSTANCIAL",
IF(COUNTBLANK( V127:V136)=COUNTA( V127:V136),"",
IF(COUNTIF( V127:V136,"Control/Acción No Eficaz")&gt;=2,"SUSTANCIAL",
IF(AND(COUNTIF( V127:V136,"Control/Acción No Eficaz")=0,COUNTIF( V127:V136,"Control/Acción Eficaz")&gt;=2),"BAJA","ACEPTABLE CON REVISIÓN"))),
IF(O127="ACEPTABLE CON REVISIÓN",
IF(COUNTBLANK( V127:V136)=COUNTA( V127:V136),"",
IF(COUNTIF( V127:V136,"Control/Acción No Eficaz")&gt;=2,"ACEPTABLE CON REVISIÓN",
IF(AND(COUNTIF( V127:V136,"Control/Acción No Eficaz")=0,COUNTIF( V127:V136,"Control/Acción Eficaz")&gt;=2),"ACEPTABLE","BAJA"))),
IF(O127="BAJA",
IF(COUNTBLANK( V127:V136)=COUNTA( V127:V136),"",
IF(AND(COUNTBLANK( V127:V136)&lt;1,COUNTA( V127:V136)=1),
IF(COUNTIF( V127:V136,"Control/Acción No Eficaz")&gt;=2,"BAJA",
IF(AND(COUNTIF( V127:V136,"Control/Acción No Eficaz")=0,COUNTIF( V127:V136,"Control/Acción Eficaz")&gt;=2),"ACEPTABLE","BAJA")),
IF(COUNTIF( V127:V136,"Control/Acción No Eficaz")&gt;=2,"BAJA",
IF(AND(COUNTIF( V127:V136,"Control/Acción No Eficaz")=0,COUNTIF( V127:V136,"Control/Acción Eficaz")&gt;=2),"ACEPTABLE","BAJA")))),
IF(COUNTIF( V127:V136,"")&gt;=5,"",O127))))),
""))))</f>
        <v>ACEPTABLE CON REVISIÓN </v>
      </c>
      <c r="X127" s="111"/>
      <c r="Y127" s="115"/>
      <c r="Z127" s="30" t="s">
        <v>314</v>
      </c>
      <c r="AA127" s="32" t="str">
        <f>E127</f>
        <v>Seguridad</v>
      </c>
      <c r="AB127" s="33"/>
    </row>
    <row r="128" ht="105.0" customHeight="1">
      <c r="A128" s="116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8" t="s">
        <v>258</v>
      </c>
      <c r="Q128" s="119" t="s">
        <v>374</v>
      </c>
      <c r="R128" s="119" t="s">
        <v>142</v>
      </c>
      <c r="S128" s="119" t="s">
        <v>120</v>
      </c>
      <c r="T128" s="120" t="s">
        <v>6</v>
      </c>
      <c r="U128" s="120" t="s">
        <v>162</v>
      </c>
      <c r="V128" s="120" t="str">
        <f>IFERROR(IF(AA128="SEGURIDAD",OFFSET('PARÁMETROS'!$K$2,MATCH(U128,JC_SE,0),MATCH(T128,CC_SE,0)),
IF(OR(AA128="DSRC/Estratégico",AA128="DSRC/Operativo"),OFFSET('PARÁMETROS'!$K$11,MATCH(U128,JC_DS,0),MATCH(T128,CC_DS,0)),
IF(AA128="SALUD",OFFSET('PARÁMETROS'!$K$29,MATCH(U128,JC_SA,0),MATCH(T128,CC_SA,0)),
IF(AA128="MEDIO AMBIENTE",OFFSET('PARÁMETROS'!$K$20,MATCH(U128,JC_MA,0),MATCH(T128,CC_MA,0)),
IF(AA128="Rel. Gubernamentales",OFFSET('PARÁMETROS'!$K$48,MATCH(U128,JC_G,0),MATCH(T128,CC_G,0)),
IF(AA128="OPERACIONAL",OFFSET('PARÁMETROS'!$K$56,MATCH(U128,JC_OP,0),MATCH(T128,CC_OP,0)),
IF(AA128="FINANCIERO",OFFSET('PARÁMETROS'!$K$56,MATCH(U128,JC_FI,0),MATCH(T128,CC_FI,0)),
OFFSET('PARÁMETROS'!$K$38,MATCH(U128,JC_L,0),MATCH(T128,CC_L,0))))))))),"")</f>
        <v>Control/Acción Satisfactorio</v>
      </c>
      <c r="W128" s="117"/>
      <c r="X128" s="120"/>
      <c r="Y128" s="121"/>
      <c r="Z128" s="30" t="s">
        <v>314</v>
      </c>
      <c r="AA128" s="32" t="str">
        <f>E127</f>
        <v>Seguridad</v>
      </c>
      <c r="AB128" s="33"/>
    </row>
    <row r="129" ht="105.0" customHeight="1">
      <c r="A129" s="116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8" t="s">
        <v>196</v>
      </c>
      <c r="Q129" s="119" t="s">
        <v>543</v>
      </c>
      <c r="R129" s="119" t="s">
        <v>142</v>
      </c>
      <c r="S129" s="119" t="s">
        <v>270</v>
      </c>
      <c r="T129" s="120" t="s">
        <v>7</v>
      </c>
      <c r="U129" s="120" t="s">
        <v>162</v>
      </c>
      <c r="V129" s="120" t="str">
        <f>IFERROR(IF(AA129="SEGURIDAD",OFFSET('PARÁMETROS'!$K$2,MATCH(U129,JC_SE,0),MATCH(T129,CC_SE,0)),
IF(OR(AA129="DSRC/Estratégico",AA129="DSRC/Operativo"),OFFSET('PARÁMETROS'!$K$11,MATCH(U129,JC_DS,0),MATCH(T129,CC_DS,0)),
IF(AA129="SALUD",OFFSET('PARÁMETROS'!$K$29,MATCH(U129,JC_SA,0),MATCH(T129,CC_SA,0)),
IF(AA129="MEDIO AMBIENTE",OFFSET('PARÁMETROS'!$K$20,MATCH(U129,JC_MA,0),MATCH(T129,CC_MA,0)),
IF(AA129="Rel. Gubernamentales",OFFSET('PARÁMETROS'!$K$48,MATCH(U129,JC_G,0),MATCH(T129,CC_G,0)),
IF(AA129="OPERACIONAL",OFFSET('PARÁMETROS'!$K$56,MATCH(U129,JC_OP,0),MATCH(T129,CC_OP,0)),
IF(AA129="FINANCIERO",OFFSET('PARÁMETROS'!$K$56,MATCH(U129,JC_FI,0),MATCH(T129,CC_FI,0)),
OFFSET('PARÁMETROS'!$K$38,MATCH(U129,JC_L,0),MATCH(T129,CC_L,0))))))))),"")</f>
        <v>Control/Acción Eficaz</v>
      </c>
      <c r="W129" s="117"/>
      <c r="X129" s="120"/>
      <c r="Y129" s="121"/>
      <c r="Z129" s="30" t="s">
        <v>314</v>
      </c>
      <c r="AA129" s="32" t="str">
        <f>E127</f>
        <v>Seguridad</v>
      </c>
      <c r="AB129" s="33"/>
    </row>
    <row r="130" ht="105.0" customHeight="1">
      <c r="A130" s="116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8" t="s">
        <v>166</v>
      </c>
      <c r="Q130" s="119" t="s">
        <v>437</v>
      </c>
      <c r="R130" s="119" t="s">
        <v>142</v>
      </c>
      <c r="S130" s="119" t="s">
        <v>325</v>
      </c>
      <c r="T130" s="120" t="s">
        <v>7</v>
      </c>
      <c r="U130" s="120" t="s">
        <v>162</v>
      </c>
      <c r="V130" s="120" t="str">
        <f>IFERROR(IF(AA130="SEGURIDAD",OFFSET('PARÁMETROS'!$K$2,MATCH(U130,JC_SE,0),MATCH(T130,CC_SE,0)),
IF(OR(AA130="DSRC/Estratégico",AA130="DSRC/Operativo"),OFFSET('PARÁMETROS'!$K$11,MATCH(U130,JC_DS,0),MATCH(T130,CC_DS,0)),
IF(AA130="SALUD",OFFSET('PARÁMETROS'!$K$29,MATCH(U130,JC_SA,0),MATCH(T130,CC_SA,0)),
IF(AA130="MEDIO AMBIENTE",OFFSET('PARÁMETROS'!$K$20,MATCH(U130,JC_MA,0),MATCH(T130,CC_MA,0)),
IF(AA130="Rel. Gubernamentales",OFFSET('PARÁMETROS'!$K$48,MATCH(U130,JC_G,0),MATCH(T130,CC_G,0)),
IF(AA130="OPERACIONAL",OFFSET('PARÁMETROS'!$K$56,MATCH(U130,JC_OP,0),MATCH(T130,CC_OP,0)),
IF(AA130="FINANCIERO",OFFSET('PARÁMETROS'!$K$56,MATCH(U130,JC_FI,0),MATCH(T130,CC_FI,0)),
OFFSET('PARÁMETROS'!$K$38,MATCH(U130,JC_L,0),MATCH(T130,CC_L,0))))))))),"")</f>
        <v>Control/Acción Eficaz</v>
      </c>
      <c r="W130" s="117"/>
      <c r="X130" s="120"/>
      <c r="Y130" s="121"/>
      <c r="Z130" s="30" t="s">
        <v>314</v>
      </c>
      <c r="AA130" s="32" t="str">
        <f>E127</f>
        <v>Seguridad</v>
      </c>
      <c r="AB130" s="33"/>
    </row>
    <row r="131" ht="105.0" customHeight="1">
      <c r="A131" s="116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8" t="s">
        <v>258</v>
      </c>
      <c r="Q131" s="119" t="s">
        <v>431</v>
      </c>
      <c r="R131" s="119" t="s">
        <v>83</v>
      </c>
      <c r="S131" s="119" t="s">
        <v>84</v>
      </c>
      <c r="T131" s="120" t="s">
        <v>7</v>
      </c>
      <c r="U131" s="120" t="s">
        <v>162</v>
      </c>
      <c r="V131" s="120" t="str">
        <f>IFERROR(IF(AA131="SEGURIDAD",OFFSET('PARÁMETROS'!$K$2,MATCH(U131,JC_SE,0),MATCH(T131,CC_SE,0)),
IF(OR(AA131="DSRC/Estratégico",AA131="DSRC/Operativo"),OFFSET('PARÁMETROS'!$K$11,MATCH(U131,JC_DS,0),MATCH(T131,CC_DS,0)),
IF(AA131="SALUD",OFFSET('PARÁMETROS'!$K$29,MATCH(U131,JC_SA,0),MATCH(T131,CC_SA,0)),
IF(AA131="MEDIO AMBIENTE",OFFSET('PARÁMETROS'!$K$20,MATCH(U131,JC_MA,0),MATCH(T131,CC_MA,0)),
IF(AA131="Rel. Gubernamentales",OFFSET('PARÁMETROS'!$K$48,MATCH(U131,JC_G,0),MATCH(T131,CC_G,0)),
IF(AA131="OPERACIONAL",OFFSET('PARÁMETROS'!$K$56,MATCH(U131,JC_OP,0),MATCH(T131,CC_OP,0)),
IF(AA131="FINANCIERO",OFFSET('PARÁMETROS'!$K$56,MATCH(U131,JC_FI,0),MATCH(T131,CC_FI,0)),
OFFSET('PARÁMETROS'!$K$38,MATCH(U131,JC_L,0),MATCH(T131,CC_L,0))))))))),"")</f>
        <v>Control/Acción Eficaz</v>
      </c>
      <c r="W131" s="117"/>
      <c r="X131" s="120"/>
      <c r="Y131" s="121"/>
      <c r="Z131" s="30" t="s">
        <v>314</v>
      </c>
      <c r="AA131" s="32" t="str">
        <f>E127</f>
        <v>Seguridad</v>
      </c>
      <c r="AB131" s="33"/>
    </row>
    <row r="132" ht="105.0" customHeight="1">
      <c r="A132" s="116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8" t="s">
        <v>258</v>
      </c>
      <c r="Q132" s="119" t="s">
        <v>432</v>
      </c>
      <c r="R132" s="119" t="s">
        <v>83</v>
      </c>
      <c r="S132" s="119" t="s">
        <v>84</v>
      </c>
      <c r="T132" s="120" t="s">
        <v>7</v>
      </c>
      <c r="U132" s="120" t="s">
        <v>162</v>
      </c>
      <c r="V132" s="120" t="str">
        <f>IFERROR(IF(AA132="SEGURIDAD",OFFSET('PARÁMETROS'!$K$2,MATCH(U132,JC_SE,0),MATCH(T132,CC_SE,0)),
IF(OR(AA132="DSRC/Estratégico",AA132="DSRC/Operativo"),OFFSET('PARÁMETROS'!$K$11,MATCH(U132,JC_DS,0),MATCH(T132,CC_DS,0)),
IF(AA132="SALUD",OFFSET('PARÁMETROS'!$K$29,MATCH(U132,JC_SA,0),MATCH(T132,CC_SA,0)),
IF(AA132="MEDIO AMBIENTE",OFFSET('PARÁMETROS'!$K$20,MATCH(U132,JC_MA,0),MATCH(T132,CC_MA,0)),
IF(AA132="Rel. Gubernamentales",OFFSET('PARÁMETROS'!$K$48,MATCH(U132,JC_G,0),MATCH(T132,CC_G,0)),
IF(AA132="OPERACIONAL",OFFSET('PARÁMETROS'!$K$56,MATCH(U132,JC_OP,0),MATCH(T132,CC_OP,0)),
IF(AA132="FINANCIERO",OFFSET('PARÁMETROS'!$K$56,MATCH(U132,JC_FI,0),MATCH(T132,CC_FI,0)),
OFFSET('PARÁMETROS'!$K$38,MATCH(U132,JC_L,0),MATCH(T132,CC_L,0))))))))),"")</f>
        <v>Control/Acción Eficaz</v>
      </c>
      <c r="W132" s="117"/>
      <c r="X132" s="120"/>
      <c r="Y132" s="121"/>
      <c r="Z132" s="30" t="s">
        <v>314</v>
      </c>
      <c r="AA132" s="32" t="str">
        <f>E127</f>
        <v>Seguridad</v>
      </c>
      <c r="AB132" s="33"/>
    </row>
    <row r="133" ht="105.0" customHeight="1">
      <c r="A133" s="116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8" t="s">
        <v>258</v>
      </c>
      <c r="Q133" s="119" t="s">
        <v>544</v>
      </c>
      <c r="R133" s="119" t="s">
        <v>83</v>
      </c>
      <c r="S133" s="119" t="s">
        <v>84</v>
      </c>
      <c r="T133" s="120" t="s">
        <v>7</v>
      </c>
      <c r="U133" s="120" t="s">
        <v>162</v>
      </c>
      <c r="V133" s="120" t="str">
        <f>IFERROR(IF(AA133="SEGURIDAD",OFFSET('PARÁMETROS'!$K$2,MATCH(U133,JC_SE,0),MATCH(T133,CC_SE,0)),
IF(OR(AA133="DSRC/Estratégico",AA133="DSRC/Operativo"),OFFSET('PARÁMETROS'!$K$11,MATCH(U133,JC_DS,0),MATCH(T133,CC_DS,0)),
IF(AA133="SALUD",OFFSET('PARÁMETROS'!$K$29,MATCH(U133,JC_SA,0),MATCH(T133,CC_SA,0)),
IF(AA133="MEDIO AMBIENTE",OFFSET('PARÁMETROS'!$K$20,MATCH(U133,JC_MA,0),MATCH(T133,CC_MA,0)),
IF(AA133="Rel. Gubernamentales",OFFSET('PARÁMETROS'!$K$48,MATCH(U133,JC_G,0),MATCH(T133,CC_G,0)),
IF(AA133="OPERACIONAL",OFFSET('PARÁMETROS'!$K$56,MATCH(U133,JC_OP,0),MATCH(T133,CC_OP,0)),
IF(AA133="FINANCIERO",OFFSET('PARÁMETROS'!$K$56,MATCH(U133,JC_FI,0),MATCH(T133,CC_FI,0)),
OFFSET('PARÁMETROS'!$K$38,MATCH(U133,JC_L,0),MATCH(T133,CC_L,0))))))))),"")</f>
        <v>Control/Acción Eficaz</v>
      </c>
      <c r="W133" s="117"/>
      <c r="X133" s="120"/>
      <c r="Y133" s="121"/>
      <c r="Z133" s="30" t="s">
        <v>314</v>
      </c>
      <c r="AA133" s="32" t="str">
        <f>E127</f>
        <v>Seguridad</v>
      </c>
      <c r="AB133" s="33"/>
    </row>
    <row r="134" ht="105.0" customHeight="1">
      <c r="A134" s="116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8" t="s">
        <v>105</v>
      </c>
      <c r="Q134" s="119" t="s">
        <v>545</v>
      </c>
      <c r="R134" s="119" t="s">
        <v>142</v>
      </c>
      <c r="S134" s="119" t="s">
        <v>143</v>
      </c>
      <c r="T134" s="120" t="s">
        <v>7</v>
      </c>
      <c r="U134" s="120" t="s">
        <v>162</v>
      </c>
      <c r="V134" s="120" t="str">
        <f>IFERROR(IF(AA134="SEGURIDAD",OFFSET('PARÁMETROS'!$K$2,MATCH(U134,JC_SE,0),MATCH(T134,CC_SE,0)),
IF(OR(AA134="DSRC/Estratégico",AA134="DSRC/Operativo"),OFFSET('PARÁMETROS'!$K$11,MATCH(U134,JC_DS,0),MATCH(T134,CC_DS,0)),
IF(AA134="SALUD",OFFSET('PARÁMETROS'!$K$29,MATCH(U134,JC_SA,0),MATCH(T134,CC_SA,0)),
IF(AA134="MEDIO AMBIENTE",OFFSET('PARÁMETROS'!$K$20,MATCH(U134,JC_MA,0),MATCH(T134,CC_MA,0)),
IF(AA134="Rel. Gubernamentales",OFFSET('PARÁMETROS'!$K$48,MATCH(U134,JC_G,0),MATCH(T134,CC_G,0)),
IF(AA134="OPERACIONAL",OFFSET('PARÁMETROS'!$K$56,MATCH(U134,JC_OP,0),MATCH(T134,CC_OP,0)),
IF(AA134="FINANCIERO",OFFSET('PARÁMETROS'!$K$56,MATCH(U134,JC_FI,0),MATCH(T134,CC_FI,0)),
OFFSET('PARÁMETROS'!$K$38,MATCH(U134,JC_L,0),MATCH(T134,CC_L,0))))))))),"")</f>
        <v>Control/Acción Eficaz</v>
      </c>
      <c r="W134" s="117"/>
      <c r="X134" s="120"/>
      <c r="Y134" s="121"/>
      <c r="Z134" s="30" t="s">
        <v>314</v>
      </c>
      <c r="AA134" s="32" t="str">
        <f>E127</f>
        <v>Seguridad</v>
      </c>
      <c r="AB134" s="33"/>
    </row>
    <row r="135" ht="105.0" customHeight="1">
      <c r="A135" s="116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8" t="s">
        <v>105</v>
      </c>
      <c r="Q135" s="119" t="s">
        <v>438</v>
      </c>
      <c r="R135" s="119" t="s">
        <v>142</v>
      </c>
      <c r="S135" s="119" t="s">
        <v>270</v>
      </c>
      <c r="T135" s="120" t="s">
        <v>6</v>
      </c>
      <c r="U135" s="120" t="s">
        <v>162</v>
      </c>
      <c r="V135" s="120" t="str">
        <f>IFERROR(IF(AA135="SEGURIDAD",OFFSET('PARÁMETROS'!$K$2,MATCH(U135,JC_SE,0),MATCH(T135,CC_SE,0)),
IF(OR(AA135="DSRC/Estratégico",AA135="DSRC/Operativo"),OFFSET('PARÁMETROS'!$K$11,MATCH(U135,JC_DS,0),MATCH(T135,CC_DS,0)),
IF(AA135="SALUD",OFFSET('PARÁMETROS'!$K$29,MATCH(U135,JC_SA,0),MATCH(T135,CC_SA,0)),
IF(AA135="MEDIO AMBIENTE",OFFSET('PARÁMETROS'!$K$20,MATCH(U135,JC_MA,0),MATCH(T135,CC_MA,0)),
IF(AA135="Rel. Gubernamentales",OFFSET('PARÁMETROS'!$K$48,MATCH(U135,JC_G,0),MATCH(T135,CC_G,0)),
IF(AA135="OPERACIONAL",OFFSET('PARÁMETROS'!$K$56,MATCH(U135,JC_OP,0),MATCH(T135,CC_OP,0)),
IF(AA135="FINANCIERO",OFFSET('PARÁMETROS'!$K$56,MATCH(U135,JC_FI,0),MATCH(T135,CC_FI,0)),
OFFSET('PARÁMETROS'!$K$38,MATCH(U135,JC_L,0),MATCH(T135,CC_L,0))))))))),"")</f>
        <v>Control/Acción Satisfactorio</v>
      </c>
      <c r="W135" s="117"/>
      <c r="X135" s="120"/>
      <c r="Y135" s="121"/>
      <c r="Z135" s="30" t="s">
        <v>314</v>
      </c>
      <c r="AA135" s="32" t="str">
        <f>E127</f>
        <v>Seguridad</v>
      </c>
      <c r="AB135" s="33"/>
    </row>
    <row r="136" ht="105.0" customHeight="1">
      <c r="A136" s="68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134" t="s">
        <v>302</v>
      </c>
      <c r="Q136" s="135" t="s">
        <v>435</v>
      </c>
      <c r="R136" s="135" t="s">
        <v>142</v>
      </c>
      <c r="S136" s="135" t="s">
        <v>270</v>
      </c>
      <c r="T136" s="136" t="s">
        <v>7</v>
      </c>
      <c r="U136" s="136" t="s">
        <v>182</v>
      </c>
      <c r="V136" s="136" t="str">
        <f>IFERROR(IF(AA136="SEGURIDAD",OFFSET('PARÁMETROS'!$K$2,MATCH(U136,JC_SE,0),MATCH(T136,CC_SE,0)),
IF(OR(AA136="DSRC/Estratégico",AA136="DSRC/Operativo"),OFFSET('PARÁMETROS'!$K$11,MATCH(U136,JC_DS,0),MATCH(T136,CC_DS,0)),
IF(AA136="SALUD",OFFSET('PARÁMETROS'!$K$29,MATCH(U136,JC_SA,0),MATCH(T136,CC_SA,0)),
IF(AA136="MEDIO AMBIENTE",OFFSET('PARÁMETROS'!$K$20,MATCH(U136,JC_MA,0),MATCH(T136,CC_MA,0)),
IF(AA136="Rel. Gubernamentales",OFFSET('PARÁMETROS'!$K$48,MATCH(U136,JC_G,0),MATCH(T136,CC_G,0)),
IF(AA136="OPERACIONAL",OFFSET('PARÁMETROS'!$K$56,MATCH(U136,JC_OP,0),MATCH(T136,CC_OP,0)),
IF(AA136="FINANCIERO",OFFSET('PARÁMETROS'!$K$56,MATCH(U136,JC_FI,0),MATCH(T136,CC_FI,0)),
OFFSET('PARÁMETROS'!$K$38,MATCH(U136,JC_L,0),MATCH(T136,CC_L,0))))))))),"")</f>
        <v>Control/Acción Satisfactorio</v>
      </c>
      <c r="W136" s="69"/>
      <c r="X136" s="136"/>
      <c r="Y136" s="137"/>
      <c r="Z136" s="30" t="s">
        <v>314</v>
      </c>
      <c r="AA136" s="32" t="str">
        <f>E127</f>
        <v>Seguridad</v>
      </c>
      <c r="AB136" s="33"/>
    </row>
    <row r="137" ht="105.0" customHeight="1">
      <c r="A137" s="79">
        <v>20.0</v>
      </c>
      <c r="B137" s="80" t="s">
        <v>172</v>
      </c>
      <c r="C137" s="80" t="s">
        <v>546</v>
      </c>
      <c r="D137" s="80" t="s">
        <v>177</v>
      </c>
      <c r="E137" s="80" t="s">
        <v>181</v>
      </c>
      <c r="F137" s="80" t="s">
        <v>318</v>
      </c>
      <c r="G137" s="80" t="s">
        <v>547</v>
      </c>
      <c r="H137" s="80" t="s">
        <v>216</v>
      </c>
      <c r="I137" s="80" t="s">
        <v>542</v>
      </c>
      <c r="J137" s="80">
        <v>3.0</v>
      </c>
      <c r="K137" s="80">
        <v>2.0</v>
      </c>
      <c r="L137" s="80">
        <f>IF(OR(J137&lt;&gt;"",K137&lt;&gt;""),OFFSET('PARÁMETROS'!$B$2,K137,J137),"")</f>
        <v>4</v>
      </c>
      <c r="M137" s="80">
        <v>5.0</v>
      </c>
      <c r="N137" s="80">
        <f>IFERROR(L137*M137,"")</f>
        <v>20</v>
      </c>
      <c r="O137" s="89" t="str">
        <f>IF(N137="","",IFERROR(IF(N137&lt;=2,"ACEPTABLE",IF(N137&lt;=6,"BAJA",IF(N137&lt;=10,"ACEPTABLE CON REVISIÓN",IF(N137&lt;=15,"SUSTANCIAL","INACEPTABLE")))),""))</f>
        <v>INACEPTABLE</v>
      </c>
      <c r="P137" s="109" t="s">
        <v>230</v>
      </c>
      <c r="Q137" s="110" t="s">
        <v>548</v>
      </c>
      <c r="R137" s="110" t="s">
        <v>83</v>
      </c>
      <c r="S137" s="110" t="s">
        <v>51</v>
      </c>
      <c r="T137" s="111" t="s">
        <v>7</v>
      </c>
      <c r="U137" s="111" t="s">
        <v>162</v>
      </c>
      <c r="V137" s="111" t="str">
        <f>IFERROR(IF(AA137="SEGURIDAD",OFFSET('PARÁMETROS'!$K$2,MATCH(U137,JC_SE,0),MATCH(T137,CC_SE,0)),
IF(OR(AA137="DSRC/Estratégico",AA137="DSRC/Operativo"),OFFSET('PARÁMETROS'!$K$11,MATCH(U137,JC_DS,0),MATCH(T137,CC_DS,0)),
IF(AA137="SALUD",OFFSET('PARÁMETROS'!$K$29,MATCH(U137,JC_SA,0),MATCH(T137,CC_SA,0)),
IF(AA137="MEDIO AMBIENTE",OFFSET('PARÁMETROS'!$K$20,MATCH(U137,JC_MA,0),MATCH(T137,CC_MA,0)),
IF(AA137="Rel. Gubernamentales",OFFSET('PARÁMETROS'!$K$48,MATCH(U137,JC_G,0),MATCH(T137,CC_G,0)),
IF(AA137="OPERACIONAL",OFFSET('PARÁMETROS'!$K$56,MATCH(U137,JC_OP,0),MATCH(T137,CC_OP,0)),
IF(AA137="FINANCIERO",OFFSET('PARÁMETROS'!$K$56,MATCH(U137,JC_FI,0),MATCH(T137,CC_FI,0)),
OFFSET('PARÁMETROS'!$K$38,MATCH(U137,JC_L,0),MATCH(T137,CC_L,0))))))))),"")</f>
        <v>Control/Acción Eficaz</v>
      </c>
      <c r="W137" s="89" t="str">
        <f>IF(E137="","",
IF(COUNTA( V137:V152)-COUNTBLANK( V137:V152)=1,
IF(O137="INACEPTABLE",IF(COUNTIF( V137:V152,"Control/Acción Eficaz")&gt;=1,"SUSTANCIAL","INACEPTABLE"),
IF(O137="SUSTANCIAL",IF(COUNTIF( V137:V152,"Control/Acción Eficaz")&gt;=1,"ACEPTABLE CON REVISIÓN","SUSTANCIAL"),
IF(O137="ACEPTABLE CON REVISIÓN",IF(COUNTIF( V137:V152,"Control/Acción Eficaz")&gt;=1,"BAJA","ACEPTABLE CON REVISIÓN"),
IF(O137="BAJA",IF(COUNTIF( V137:V152,"Control/Acción Eficaz")&gt;=1,"ACEPTABLE","BAJA"),)))),
IF(COUNTA( V137:V152)-COUNTBLANK( V137:V152)=2,
IF(O137="INACEPTABLE",IF(COUNTIF( V137:V152,"Control/Acción Eficaz")=2,"ACEPTABLE CON REVISIÓN",
IF(OR(AND(COUNTIF( V137:V152,"Control/Acción Eficaz")=1,COUNTIF( V137:V152,"Control/Acción Satisfactorio")=1),
AND(COUNTIF( V137:V152,"Control/Acción Eficaz")=1,COUNTIF( V137:V152,"Control/Acción No Eficaz")=1)),"SUSTANCIAL","INACEPTABLE")),
IF(O137="SUSTANCIAL",IF(COUNTIF( V137:V152,"Control/Acción Eficaz")=2,"BAJA",
IF(OR(AND(COUNTIF( V137:V152,"Control/Acción Eficaz")=1,COUNTIF( V137:V152,"Control/Acción Satisfactorio")=1),
AND(COUNTIF( V137:V152,"Control/Acción Eficaz")=1,COUNTIF( V137:V152,"Control/Acción No Eficaz")=1)),"ACEPTABLE CON REVISIÓN ","SUSTANCIAL")),
IF(O137="ACEPTABLE CON REVISIÓN",IF(COUNTIF( V137:V152,"Control/Acción Eficaz")=2,"ACEPTABLE",
IF(OR(AND(COUNTIF( V137:V152,"Control/Acción Eficaz")=1,COUNTIF( V137:V152,"Control/Acción Satisfactorio")=1),
AND(COUNTIF( V137:V152,"Control/Acción Eficaz")=1,COUNTIF( V137:V152,"Control/Acción No Eficaz")=1)),"BAJA","ACEPTABLE CON REVISIÓN")),
IF(O137="BAJA",IF(COUNTIF( V137:V152,"Control/Acción Eficaz")&gt;=2,"ACEPTABLE","BAJA"),)))),
IF(COUNTA( V137:V152)-COUNTBLANK( V137:V152)&gt;=3,
IF(O137="INACEPTABLE",
IF(COUNTBLANK( V137:V152)=COUNTA( V137:V152),"",
IF(COUNTIF( V137:V152,"Control/Acción No Eficaz")&gt;=2,"INACEPTABLE",
IF(AND(COUNTIF( V137:V152,"Control/Acción No Eficaz")=0,COUNTIF( V137:V152,"Control/Acción Eficaz")&gt;=2),"ACEPTABLE CON REVISIÓN ","SUSTANCIAL"))),
IF(O137="SUSTANCIAL",
IF(COUNTBLANK( V137:V152)=COUNTA( V137:V152),"",
IF(COUNTIF( V137:V152,"Control/Acción No Eficaz")&gt;=2,"SUSTANCIAL",
IF(AND(COUNTIF( V137:V152,"Control/Acción No Eficaz")=0,COUNTIF( V137:V152,"Control/Acción Eficaz")&gt;=2),"BAJA","ACEPTABLE CON REVISIÓN"))),
IF(O137="ACEPTABLE CON REVISIÓN",
IF(COUNTBLANK( V137:V152)=COUNTA( V137:V152),"",
IF(COUNTIF( V137:V152,"Control/Acción No Eficaz")&gt;=2,"ACEPTABLE CON REVISIÓN",
IF(AND(COUNTIF( V137:V152,"Control/Acción No Eficaz")=0,COUNTIF( V137:V152,"Control/Acción Eficaz")&gt;=2),"ACEPTABLE","BAJA"))),
IF(O137="BAJA",
IF(COUNTBLANK( V137:V152)=COUNTA( V137:V152),"",
IF(AND(COUNTBLANK( V137:V152)&lt;1,COUNTA( V137:V152)=1),
IF(COUNTIF( V137:V152,"Control/Acción No Eficaz")&gt;=2,"BAJA",
IF(AND(COUNTIF( V137:V152,"Control/Acción No Eficaz")=0,COUNTIF( V137:V152,"Control/Acción Eficaz")&gt;=2),"ACEPTABLE","BAJA")),
IF(COUNTIF( V137:V152,"Control/Acción No Eficaz")&gt;=2,"BAJA",
IF(AND(COUNTIF( V137:V152,"Control/Acción No Eficaz")=0,COUNTIF( V137:V152,"Control/Acción Eficaz")&gt;=2),"ACEPTABLE","BAJA")))),
IF(COUNTIF( V137:V152,"")&gt;=5,"",O137))))),
""))))</f>
        <v>INACEPTABLE</v>
      </c>
      <c r="X137" s="111"/>
      <c r="Y137" s="115"/>
      <c r="Z137" s="30" t="s">
        <v>549</v>
      </c>
      <c r="AA137" s="32" t="str">
        <f>E137</f>
        <v>Seguridad</v>
      </c>
      <c r="AB137" s="33"/>
    </row>
    <row r="138" ht="105.0" customHeight="1">
      <c r="A138" s="116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8" t="s">
        <v>258</v>
      </c>
      <c r="Q138" s="119" t="s">
        <v>550</v>
      </c>
      <c r="R138" s="119" t="s">
        <v>142</v>
      </c>
      <c r="S138" s="119" t="s">
        <v>120</v>
      </c>
      <c r="T138" s="120" t="s">
        <v>5</v>
      </c>
      <c r="U138" s="120" t="s">
        <v>162</v>
      </c>
      <c r="V138" s="120" t="str">
        <f>IFERROR(IF(AA138="SEGURIDAD",OFFSET('PARÁMETROS'!$K$2,MATCH(U138,JC_SE,0),MATCH(T138,CC_SE,0)),
IF(OR(AA138="DSRC/Estratégico",AA138="DSRC/Operativo"),OFFSET('PARÁMETROS'!$K$11,MATCH(U138,JC_DS,0),MATCH(T138,CC_DS,0)),
IF(AA138="SALUD",OFFSET('PARÁMETROS'!$K$29,MATCH(U138,JC_SA,0),MATCH(T138,CC_SA,0)),
IF(AA138="MEDIO AMBIENTE",OFFSET('PARÁMETROS'!$K$20,MATCH(U138,JC_MA,0),MATCH(T138,CC_MA,0)),
IF(AA138="Rel. Gubernamentales",OFFSET('PARÁMETROS'!$K$48,MATCH(U138,JC_G,0),MATCH(T138,CC_G,0)),
IF(AA138="OPERACIONAL",OFFSET('PARÁMETROS'!$K$56,MATCH(U138,JC_OP,0),MATCH(T138,CC_OP,0)),
IF(AA138="FINANCIERO",OFFSET('PARÁMETROS'!$K$56,MATCH(U138,JC_FI,0),MATCH(T138,CC_FI,0)),
OFFSET('PARÁMETROS'!$K$38,MATCH(U138,JC_L,0),MATCH(T138,CC_L,0))))))))),"")</f>
        <v>Control/Acción No Eficaz</v>
      </c>
      <c r="W138" s="117"/>
      <c r="X138" s="120"/>
      <c r="Y138" s="121"/>
      <c r="Z138" s="30" t="s">
        <v>549</v>
      </c>
      <c r="AA138" s="32" t="str">
        <f>E137</f>
        <v>Seguridad</v>
      </c>
      <c r="AB138" s="33"/>
    </row>
    <row r="139" ht="105.0" customHeight="1">
      <c r="A139" s="116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8" t="s">
        <v>230</v>
      </c>
      <c r="Q139" s="119" t="s">
        <v>335</v>
      </c>
      <c r="R139" s="119" t="s">
        <v>83</v>
      </c>
      <c r="S139" s="119" t="s">
        <v>51</v>
      </c>
      <c r="T139" s="120" t="s">
        <v>7</v>
      </c>
      <c r="U139" s="120" t="s">
        <v>162</v>
      </c>
      <c r="V139" s="120" t="str">
        <f>IFERROR(IF(AA139="SEGURIDAD",OFFSET('PARÁMETROS'!$K$2,MATCH(U139,JC_SE,0),MATCH(T139,CC_SE,0)),
IF(OR(AA139="DSRC/Estratégico",AA139="DSRC/Operativo"),OFFSET('PARÁMETROS'!$K$11,MATCH(U139,JC_DS,0),MATCH(T139,CC_DS,0)),
IF(AA139="SALUD",OFFSET('PARÁMETROS'!$K$29,MATCH(U139,JC_SA,0),MATCH(T139,CC_SA,0)),
IF(AA139="MEDIO AMBIENTE",OFFSET('PARÁMETROS'!$K$20,MATCH(U139,JC_MA,0),MATCH(T139,CC_MA,0)),
IF(AA139="Rel. Gubernamentales",OFFSET('PARÁMETROS'!$K$48,MATCH(U139,JC_G,0),MATCH(T139,CC_G,0)),
IF(AA139="OPERACIONAL",OFFSET('PARÁMETROS'!$K$56,MATCH(U139,JC_OP,0),MATCH(T139,CC_OP,0)),
IF(AA139="FINANCIERO",OFFSET('PARÁMETROS'!$K$56,MATCH(U139,JC_FI,0),MATCH(T139,CC_FI,0)),
OFFSET('PARÁMETROS'!$K$38,MATCH(U139,JC_L,0),MATCH(T139,CC_L,0))))))))),"")</f>
        <v>Control/Acción Eficaz</v>
      </c>
      <c r="W139" s="117"/>
      <c r="X139" s="120"/>
      <c r="Y139" s="121"/>
      <c r="Z139" s="30" t="s">
        <v>549</v>
      </c>
      <c r="AA139" s="32" t="str">
        <f>E137</f>
        <v>Seguridad</v>
      </c>
      <c r="AB139" s="33"/>
    </row>
    <row r="140" ht="105.0" customHeight="1">
      <c r="A140" s="116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8" t="s">
        <v>258</v>
      </c>
      <c r="Q140" s="119" t="s">
        <v>374</v>
      </c>
      <c r="R140" s="119" t="s">
        <v>142</v>
      </c>
      <c r="S140" s="119" t="s">
        <v>120</v>
      </c>
      <c r="T140" s="120" t="s">
        <v>6</v>
      </c>
      <c r="U140" s="120" t="s">
        <v>162</v>
      </c>
      <c r="V140" s="120" t="str">
        <f>IFERROR(IF(AA140="SEGURIDAD",OFFSET('PARÁMETROS'!$K$2,MATCH(U140,JC_SE,0),MATCH(T140,CC_SE,0)),
IF(OR(AA140="DSRC/Estratégico",AA140="DSRC/Operativo"),OFFSET('PARÁMETROS'!$K$11,MATCH(U140,JC_DS,0),MATCH(T140,CC_DS,0)),
IF(AA140="SALUD",OFFSET('PARÁMETROS'!$K$29,MATCH(U140,JC_SA,0),MATCH(T140,CC_SA,0)),
IF(AA140="MEDIO AMBIENTE",OFFSET('PARÁMETROS'!$K$20,MATCH(U140,JC_MA,0),MATCH(T140,CC_MA,0)),
IF(AA140="Rel. Gubernamentales",OFFSET('PARÁMETROS'!$K$48,MATCH(U140,JC_G,0),MATCH(T140,CC_G,0)),
IF(AA140="OPERACIONAL",OFFSET('PARÁMETROS'!$K$56,MATCH(U140,JC_OP,0),MATCH(T140,CC_OP,0)),
IF(AA140="FINANCIERO",OFFSET('PARÁMETROS'!$K$56,MATCH(U140,JC_FI,0),MATCH(T140,CC_FI,0)),
OFFSET('PARÁMETROS'!$K$38,MATCH(U140,JC_L,0),MATCH(T140,CC_L,0))))))))),"")</f>
        <v>Control/Acción Satisfactorio</v>
      </c>
      <c r="W140" s="117"/>
      <c r="X140" s="120"/>
      <c r="Y140" s="121"/>
      <c r="Z140" s="30" t="s">
        <v>549</v>
      </c>
      <c r="AA140" s="32" t="str">
        <f>E137</f>
        <v>Seguridad</v>
      </c>
      <c r="AB140" s="33"/>
    </row>
    <row r="141" ht="105.0" customHeight="1">
      <c r="A141" s="116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8" t="s">
        <v>196</v>
      </c>
      <c r="Q141" s="119" t="s">
        <v>543</v>
      </c>
      <c r="R141" s="119" t="s">
        <v>142</v>
      </c>
      <c r="S141" s="119" t="s">
        <v>270</v>
      </c>
      <c r="T141" s="120" t="s">
        <v>7</v>
      </c>
      <c r="U141" s="120" t="s">
        <v>162</v>
      </c>
      <c r="V141" s="120" t="str">
        <f>IFERROR(IF(AA141="SEGURIDAD",OFFSET('PARÁMETROS'!$K$2,MATCH(U141,JC_SE,0),MATCH(T141,CC_SE,0)),
IF(OR(AA141="DSRC/Estratégico",AA141="DSRC/Operativo"),OFFSET('PARÁMETROS'!$K$11,MATCH(U141,JC_DS,0),MATCH(T141,CC_DS,0)),
IF(AA141="SALUD",OFFSET('PARÁMETROS'!$K$29,MATCH(U141,JC_SA,0),MATCH(T141,CC_SA,0)),
IF(AA141="MEDIO AMBIENTE",OFFSET('PARÁMETROS'!$K$20,MATCH(U141,JC_MA,0),MATCH(T141,CC_MA,0)),
IF(AA141="Rel. Gubernamentales",OFFSET('PARÁMETROS'!$K$48,MATCH(U141,JC_G,0),MATCH(T141,CC_G,0)),
IF(AA141="OPERACIONAL",OFFSET('PARÁMETROS'!$K$56,MATCH(U141,JC_OP,0),MATCH(T141,CC_OP,0)),
IF(AA141="FINANCIERO",OFFSET('PARÁMETROS'!$K$56,MATCH(U141,JC_FI,0),MATCH(T141,CC_FI,0)),
OFFSET('PARÁMETROS'!$K$38,MATCH(U141,JC_L,0),MATCH(T141,CC_L,0))))))))),"")</f>
        <v>Control/Acción Eficaz</v>
      </c>
      <c r="W141" s="117"/>
      <c r="X141" s="120"/>
      <c r="Y141" s="121"/>
      <c r="Z141" s="30" t="s">
        <v>549</v>
      </c>
      <c r="AA141" s="32" t="str">
        <f>E137</f>
        <v>Seguridad</v>
      </c>
      <c r="AB141" s="33"/>
    </row>
    <row r="142" ht="105.0" customHeight="1">
      <c r="A142" s="116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8" t="s">
        <v>166</v>
      </c>
      <c r="Q142" s="119" t="s">
        <v>437</v>
      </c>
      <c r="R142" s="119" t="s">
        <v>142</v>
      </c>
      <c r="S142" s="119" t="s">
        <v>325</v>
      </c>
      <c r="T142" s="120" t="s">
        <v>7</v>
      </c>
      <c r="U142" s="120" t="s">
        <v>162</v>
      </c>
      <c r="V142" s="120" t="str">
        <f>IFERROR(IF(AA142="SEGURIDAD",OFFSET('PARÁMETROS'!$K$2,MATCH(U142,JC_SE,0),MATCH(T142,CC_SE,0)),
IF(OR(AA142="DSRC/Estratégico",AA142="DSRC/Operativo"),OFFSET('PARÁMETROS'!$K$11,MATCH(U142,JC_DS,0),MATCH(T142,CC_DS,0)),
IF(AA142="SALUD",OFFSET('PARÁMETROS'!$K$29,MATCH(U142,JC_SA,0),MATCH(T142,CC_SA,0)),
IF(AA142="MEDIO AMBIENTE",OFFSET('PARÁMETROS'!$K$20,MATCH(U142,JC_MA,0),MATCH(T142,CC_MA,0)),
IF(AA142="Rel. Gubernamentales",OFFSET('PARÁMETROS'!$K$48,MATCH(U142,JC_G,0),MATCH(T142,CC_G,0)),
IF(AA142="OPERACIONAL",OFFSET('PARÁMETROS'!$K$56,MATCH(U142,JC_OP,0),MATCH(T142,CC_OP,0)),
IF(AA142="FINANCIERO",OFFSET('PARÁMETROS'!$K$56,MATCH(U142,JC_FI,0),MATCH(T142,CC_FI,0)),
OFFSET('PARÁMETROS'!$K$38,MATCH(U142,JC_L,0),MATCH(T142,CC_L,0))))))))),"")</f>
        <v>Control/Acción Eficaz</v>
      </c>
      <c r="W142" s="117"/>
      <c r="X142" s="120"/>
      <c r="Y142" s="121"/>
      <c r="Z142" s="30" t="s">
        <v>314</v>
      </c>
      <c r="AA142" s="32" t="str">
        <f>E137</f>
        <v>Seguridad</v>
      </c>
      <c r="AB142" s="33"/>
    </row>
    <row r="143" ht="105.0" customHeight="1">
      <c r="A143" s="116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8" t="s">
        <v>105</v>
      </c>
      <c r="Q143" s="119" t="s">
        <v>545</v>
      </c>
      <c r="R143" s="119" t="s">
        <v>142</v>
      </c>
      <c r="S143" s="119" t="s">
        <v>143</v>
      </c>
      <c r="T143" s="120" t="s">
        <v>7</v>
      </c>
      <c r="U143" s="120" t="s">
        <v>162</v>
      </c>
      <c r="V143" s="120" t="str">
        <f>IFERROR(IF(AA143="SEGURIDAD",OFFSET('PARÁMETROS'!$K$2,MATCH(U143,JC_SE,0),MATCH(T143,CC_SE,0)),
IF(OR(AA143="DSRC/Estratégico",AA143="DSRC/Operativo"),OFFSET('PARÁMETROS'!$K$11,MATCH(U143,JC_DS,0),MATCH(T143,CC_DS,0)),
IF(AA143="SALUD",OFFSET('PARÁMETROS'!$K$29,MATCH(U143,JC_SA,0),MATCH(T143,CC_SA,0)),
IF(AA143="MEDIO AMBIENTE",OFFSET('PARÁMETROS'!$K$20,MATCH(U143,JC_MA,0),MATCH(T143,CC_MA,0)),
IF(AA143="Rel. Gubernamentales",OFFSET('PARÁMETROS'!$K$48,MATCH(U143,JC_G,0),MATCH(T143,CC_G,0)),
IF(AA143="OPERACIONAL",OFFSET('PARÁMETROS'!$K$56,MATCH(U143,JC_OP,0),MATCH(T143,CC_OP,0)),
IF(AA143="FINANCIERO",OFFSET('PARÁMETROS'!$K$56,MATCH(U143,JC_FI,0),MATCH(T143,CC_FI,0)),
OFFSET('PARÁMETROS'!$K$38,MATCH(U143,JC_L,0),MATCH(T143,CC_L,0))))))))),"")</f>
        <v>Control/Acción Eficaz</v>
      </c>
      <c r="W143" s="117"/>
      <c r="X143" s="120"/>
      <c r="Y143" s="121"/>
      <c r="Z143" s="30" t="s">
        <v>549</v>
      </c>
      <c r="AA143" s="32" t="str">
        <f>E137</f>
        <v>Seguridad</v>
      </c>
      <c r="AB143" s="33"/>
    </row>
    <row r="144" ht="105.0" customHeight="1">
      <c r="A144" s="116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8" t="s">
        <v>105</v>
      </c>
      <c r="Q144" s="119" t="s">
        <v>438</v>
      </c>
      <c r="R144" s="119" t="s">
        <v>142</v>
      </c>
      <c r="S144" s="119" t="s">
        <v>270</v>
      </c>
      <c r="T144" s="120" t="s">
        <v>6</v>
      </c>
      <c r="U144" s="120" t="s">
        <v>162</v>
      </c>
      <c r="V144" s="120" t="str">
        <f>IFERROR(IF(AA144="SEGURIDAD",OFFSET('PARÁMETROS'!$K$2,MATCH(U144,JC_SE,0),MATCH(T144,CC_SE,0)),
IF(OR(AA144="DSRC/Estratégico",AA144="DSRC/Operativo"),OFFSET('PARÁMETROS'!$K$11,MATCH(U144,JC_DS,0),MATCH(T144,CC_DS,0)),
IF(AA144="SALUD",OFFSET('PARÁMETROS'!$K$29,MATCH(U144,JC_SA,0),MATCH(T144,CC_SA,0)),
IF(AA144="MEDIO AMBIENTE",OFFSET('PARÁMETROS'!$K$20,MATCH(U144,JC_MA,0),MATCH(T144,CC_MA,0)),
IF(AA144="Rel. Gubernamentales",OFFSET('PARÁMETROS'!$K$48,MATCH(U144,JC_G,0),MATCH(T144,CC_G,0)),
IF(AA144="OPERACIONAL",OFFSET('PARÁMETROS'!$K$56,MATCH(U144,JC_OP,0),MATCH(T144,CC_OP,0)),
IF(AA144="FINANCIERO",OFFSET('PARÁMETROS'!$K$56,MATCH(U144,JC_FI,0),MATCH(T144,CC_FI,0)),
OFFSET('PARÁMETROS'!$K$38,MATCH(U144,JC_L,0),MATCH(T144,CC_L,0))))))))),"")</f>
        <v>Control/Acción Satisfactorio</v>
      </c>
      <c r="W144" s="117"/>
      <c r="X144" s="120"/>
      <c r="Y144" s="121"/>
      <c r="Z144" s="30" t="s">
        <v>549</v>
      </c>
      <c r="AA144" s="32" t="str">
        <f>E137</f>
        <v>Seguridad</v>
      </c>
      <c r="AB144" s="33"/>
    </row>
    <row r="145" ht="105.0" customHeight="1">
      <c r="A145" s="116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8" t="s">
        <v>258</v>
      </c>
      <c r="Q145" s="119" t="s">
        <v>431</v>
      </c>
      <c r="R145" s="119" t="s">
        <v>83</v>
      </c>
      <c r="S145" s="119" t="s">
        <v>84</v>
      </c>
      <c r="T145" s="120" t="s">
        <v>7</v>
      </c>
      <c r="U145" s="120" t="s">
        <v>162</v>
      </c>
      <c r="V145" s="120" t="str">
        <f>IFERROR(IF(AA145="SEGURIDAD",OFFSET('PARÁMETROS'!$K$2,MATCH(U145,JC_SE,0),MATCH(T145,CC_SE,0)),
IF(OR(AA145="DSRC/Estratégico",AA145="DSRC/Operativo"),OFFSET('PARÁMETROS'!$K$11,MATCH(U145,JC_DS,0),MATCH(T145,CC_DS,0)),
IF(AA145="SALUD",OFFSET('PARÁMETROS'!$K$29,MATCH(U145,JC_SA,0),MATCH(T145,CC_SA,0)),
IF(AA145="MEDIO AMBIENTE",OFFSET('PARÁMETROS'!$K$20,MATCH(U145,JC_MA,0),MATCH(T145,CC_MA,0)),
IF(AA145="Rel. Gubernamentales",OFFSET('PARÁMETROS'!$K$48,MATCH(U145,JC_G,0),MATCH(T145,CC_G,0)),
IF(AA145="OPERACIONAL",OFFSET('PARÁMETROS'!$K$56,MATCH(U145,JC_OP,0),MATCH(T145,CC_OP,0)),
IF(AA145="FINANCIERO",OFFSET('PARÁMETROS'!$K$56,MATCH(U145,JC_FI,0),MATCH(T145,CC_FI,0)),
OFFSET('PARÁMETROS'!$K$38,MATCH(U145,JC_L,0),MATCH(T145,CC_L,0))))))))),"")</f>
        <v>Control/Acción Eficaz</v>
      </c>
      <c r="W145" s="117"/>
      <c r="X145" s="120"/>
      <c r="Y145" s="121"/>
      <c r="Z145" s="30" t="s">
        <v>549</v>
      </c>
      <c r="AA145" s="32" t="str">
        <f>E137</f>
        <v>Seguridad</v>
      </c>
      <c r="AB145" s="33"/>
    </row>
    <row r="146" ht="105.0" customHeight="1">
      <c r="A146" s="116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8" t="s">
        <v>258</v>
      </c>
      <c r="Q146" s="119" t="s">
        <v>432</v>
      </c>
      <c r="R146" s="119" t="s">
        <v>83</v>
      </c>
      <c r="S146" s="119" t="s">
        <v>84</v>
      </c>
      <c r="T146" s="120" t="s">
        <v>7</v>
      </c>
      <c r="U146" s="120" t="s">
        <v>162</v>
      </c>
      <c r="V146" s="120" t="str">
        <f>IFERROR(IF(AA146="SEGURIDAD",OFFSET('PARÁMETROS'!$K$2,MATCH(U146,JC_SE,0),MATCH(T146,CC_SE,0)),
IF(OR(AA146="DSRC/Estratégico",AA146="DSRC/Operativo"),OFFSET('PARÁMETROS'!$K$11,MATCH(U146,JC_DS,0),MATCH(T146,CC_DS,0)),
IF(AA146="SALUD",OFFSET('PARÁMETROS'!$K$29,MATCH(U146,JC_SA,0),MATCH(T146,CC_SA,0)),
IF(AA146="MEDIO AMBIENTE",OFFSET('PARÁMETROS'!$K$20,MATCH(U146,JC_MA,0),MATCH(T146,CC_MA,0)),
IF(AA146="Rel. Gubernamentales",OFFSET('PARÁMETROS'!$K$48,MATCH(U146,JC_G,0),MATCH(T146,CC_G,0)),
IF(AA146="OPERACIONAL",OFFSET('PARÁMETROS'!$K$56,MATCH(U146,JC_OP,0),MATCH(T146,CC_OP,0)),
IF(AA146="FINANCIERO",OFFSET('PARÁMETROS'!$K$56,MATCH(U146,JC_FI,0),MATCH(T146,CC_FI,0)),
OFFSET('PARÁMETROS'!$K$38,MATCH(U146,JC_L,0),MATCH(T146,CC_L,0))))))))),"")</f>
        <v>Control/Acción Eficaz</v>
      </c>
      <c r="W146" s="117"/>
      <c r="X146" s="120"/>
      <c r="Y146" s="121"/>
      <c r="Z146" s="30" t="s">
        <v>549</v>
      </c>
      <c r="AA146" s="32" t="str">
        <f>E137</f>
        <v>Seguridad</v>
      </c>
      <c r="AB146" s="33"/>
    </row>
    <row r="147" ht="105.0" customHeight="1">
      <c r="A147" s="116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8" t="s">
        <v>302</v>
      </c>
      <c r="Q147" s="119" t="s">
        <v>435</v>
      </c>
      <c r="R147" s="119" t="s">
        <v>142</v>
      </c>
      <c r="S147" s="119" t="s">
        <v>270</v>
      </c>
      <c r="T147" s="120" t="s">
        <v>7</v>
      </c>
      <c r="U147" s="120" t="s">
        <v>182</v>
      </c>
      <c r="V147" s="120" t="str">
        <f>IFERROR(IF(AA147="SEGURIDAD",OFFSET('PARÁMETROS'!$K$2,MATCH(U147,JC_SE,0),MATCH(T147,CC_SE,0)),
IF(OR(AA147="DSRC/Estratégico",AA147="DSRC/Operativo"),OFFSET('PARÁMETROS'!$K$11,MATCH(U147,JC_DS,0),MATCH(T147,CC_DS,0)),
IF(AA147="SALUD",OFFSET('PARÁMETROS'!$K$29,MATCH(U147,JC_SA,0),MATCH(T147,CC_SA,0)),
IF(AA147="MEDIO AMBIENTE",OFFSET('PARÁMETROS'!$K$20,MATCH(U147,JC_MA,0),MATCH(T147,CC_MA,0)),
IF(AA147="Rel. Gubernamentales",OFFSET('PARÁMETROS'!$K$48,MATCH(U147,JC_G,0),MATCH(T147,CC_G,0)),
IF(AA147="OPERACIONAL",OFFSET('PARÁMETROS'!$K$56,MATCH(U147,JC_OP,0),MATCH(T147,CC_OP,0)),
IF(AA147="FINANCIERO",OFFSET('PARÁMETROS'!$K$56,MATCH(U147,JC_FI,0),MATCH(T147,CC_FI,0)),
OFFSET('PARÁMETROS'!$K$38,MATCH(U147,JC_L,0),MATCH(T147,CC_L,0))))))))),"")</f>
        <v>Control/Acción Satisfactorio</v>
      </c>
      <c r="W147" s="117"/>
      <c r="X147" s="120"/>
      <c r="Y147" s="121"/>
      <c r="Z147" s="30" t="s">
        <v>549</v>
      </c>
      <c r="AA147" s="32" t="str">
        <f>E137</f>
        <v>Seguridad</v>
      </c>
      <c r="AB147" s="33"/>
    </row>
    <row r="148" ht="105.0" customHeight="1">
      <c r="A148" s="116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8" t="s">
        <v>117</v>
      </c>
      <c r="Q148" s="119" t="s">
        <v>551</v>
      </c>
      <c r="R148" s="119" t="s">
        <v>106</v>
      </c>
      <c r="S148" s="119" t="s">
        <v>265</v>
      </c>
      <c r="T148" s="120" t="s">
        <v>7</v>
      </c>
      <c r="U148" s="120" t="s">
        <v>111</v>
      </c>
      <c r="V148" s="120" t="str">
        <f>IFERROR(IF(AA148="SEGURIDAD",OFFSET('PARÁMETROS'!$K$2,MATCH(U148,JC_SE,0),MATCH(T148,CC_SE,0)),
IF(OR(AA148="DSRC/Estratégico",AA148="DSRC/Operativo"),OFFSET('PARÁMETROS'!$K$11,MATCH(U148,JC_DS,0),MATCH(T148,CC_DS,0)),
IF(AA148="SALUD",OFFSET('PARÁMETROS'!$K$29,MATCH(U148,JC_SA,0),MATCH(T148,CC_SA,0)),
IF(AA148="MEDIO AMBIENTE",OFFSET('PARÁMETROS'!$K$20,MATCH(U148,JC_MA,0),MATCH(T148,CC_MA,0)),
IF(AA148="Rel. Gubernamentales",OFFSET('PARÁMETROS'!$K$48,MATCH(U148,JC_G,0),MATCH(T148,CC_G,0)),
IF(AA148="OPERACIONAL",OFFSET('PARÁMETROS'!$K$56,MATCH(U148,JC_OP,0),MATCH(T148,CC_OP,0)),
IF(AA148="FINANCIERO",OFFSET('PARÁMETROS'!$K$56,MATCH(U148,JC_FI,0),MATCH(T148,CC_FI,0)),
OFFSET('PARÁMETROS'!$K$38,MATCH(U148,JC_L,0),MATCH(T148,CC_L,0))))))))),"")</f>
        <v>Control/Acción Eficaz</v>
      </c>
      <c r="W148" s="117"/>
      <c r="X148" s="120"/>
      <c r="Y148" s="121"/>
      <c r="Z148" s="30" t="s">
        <v>552</v>
      </c>
      <c r="AA148" s="32" t="str">
        <f>E137</f>
        <v>Seguridad</v>
      </c>
      <c r="AB148" s="33"/>
    </row>
    <row r="149" ht="105.0" customHeight="1">
      <c r="A149" s="116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8" t="s">
        <v>117</v>
      </c>
      <c r="Q149" s="119" t="s">
        <v>430</v>
      </c>
      <c r="R149" s="119" t="s">
        <v>142</v>
      </c>
      <c r="S149" s="119" t="s">
        <v>270</v>
      </c>
      <c r="T149" s="120" t="s">
        <v>7</v>
      </c>
      <c r="U149" s="120" t="s">
        <v>111</v>
      </c>
      <c r="V149" s="120" t="str">
        <f>IFERROR(IF(AA149="SEGURIDAD",OFFSET('PARÁMETROS'!$K$2,MATCH(U149,JC_SE,0),MATCH(T149,CC_SE,0)),
IF(OR(AA149="DSRC/Estratégico",AA149="DSRC/Operativo"),OFFSET('PARÁMETROS'!$K$11,MATCH(U149,JC_DS,0),MATCH(T149,CC_DS,0)),
IF(AA149="SALUD",OFFSET('PARÁMETROS'!$K$29,MATCH(U149,JC_SA,0),MATCH(T149,CC_SA,0)),
IF(AA149="MEDIO AMBIENTE",OFFSET('PARÁMETROS'!$K$20,MATCH(U149,JC_MA,0),MATCH(T149,CC_MA,0)),
IF(AA149="Rel. Gubernamentales",OFFSET('PARÁMETROS'!$K$48,MATCH(U149,JC_G,0),MATCH(T149,CC_G,0)),
IF(AA149="OPERACIONAL",OFFSET('PARÁMETROS'!$K$56,MATCH(U149,JC_OP,0),MATCH(T149,CC_OP,0)),
IF(AA149="FINANCIERO",OFFSET('PARÁMETROS'!$K$56,MATCH(U149,JC_FI,0),MATCH(T149,CC_FI,0)),
OFFSET('PARÁMETROS'!$K$38,MATCH(U149,JC_L,0),MATCH(T149,CC_L,0))))))))),"")</f>
        <v>Control/Acción Eficaz</v>
      </c>
      <c r="W149" s="117"/>
      <c r="X149" s="120"/>
      <c r="Y149" s="121"/>
      <c r="Z149" s="30" t="s">
        <v>549</v>
      </c>
      <c r="AA149" s="32" t="str">
        <f>E137</f>
        <v>Seguridad</v>
      </c>
      <c r="AB149" s="33"/>
    </row>
    <row r="150" ht="105.0" customHeight="1">
      <c r="A150" s="116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8" t="s">
        <v>196</v>
      </c>
      <c r="Q150" s="119" t="s">
        <v>553</v>
      </c>
      <c r="R150" s="119" t="s">
        <v>142</v>
      </c>
      <c r="S150" s="119" t="s">
        <v>270</v>
      </c>
      <c r="T150" s="120" t="s">
        <v>7</v>
      </c>
      <c r="U150" s="120" t="s">
        <v>137</v>
      </c>
      <c r="V150" s="120" t="str">
        <f>IFERROR(IF(AA150="SEGURIDAD",OFFSET('PARÁMETROS'!$K$2,MATCH(U150,JC_SE,0),MATCH(T150,CC_SE,0)),
IF(OR(AA150="DSRC/Estratégico",AA150="DSRC/Operativo"),OFFSET('PARÁMETROS'!$K$11,MATCH(U150,JC_DS,0),MATCH(T150,CC_DS,0)),
IF(AA150="SALUD",OFFSET('PARÁMETROS'!$K$29,MATCH(U150,JC_SA,0),MATCH(T150,CC_SA,0)),
IF(AA150="MEDIO AMBIENTE",OFFSET('PARÁMETROS'!$K$20,MATCH(U150,JC_MA,0),MATCH(T150,CC_MA,0)),
IF(AA150="Rel. Gubernamentales",OFFSET('PARÁMETROS'!$K$48,MATCH(U150,JC_G,0),MATCH(T150,CC_G,0)),
IF(AA150="OPERACIONAL",OFFSET('PARÁMETROS'!$K$56,MATCH(U150,JC_OP,0),MATCH(T150,CC_OP,0)),
IF(AA150="FINANCIERO",OFFSET('PARÁMETROS'!$K$56,MATCH(U150,JC_FI,0),MATCH(T150,CC_FI,0)),
OFFSET('PARÁMETROS'!$K$38,MATCH(U150,JC_L,0),MATCH(T150,CC_L,0))))))))),"")</f>
        <v>Control/Acción Eficaz</v>
      </c>
      <c r="W150" s="117"/>
      <c r="X150" s="120"/>
      <c r="Y150" s="121"/>
      <c r="Z150" s="30" t="s">
        <v>549</v>
      </c>
      <c r="AA150" s="32" t="str">
        <f>E137</f>
        <v>Seguridad</v>
      </c>
      <c r="AB150" s="33"/>
    </row>
    <row r="151" ht="105.0" customHeight="1">
      <c r="A151" s="116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8" t="s">
        <v>117</v>
      </c>
      <c r="Q151" s="119" t="s">
        <v>554</v>
      </c>
      <c r="R151" s="119" t="s">
        <v>106</v>
      </c>
      <c r="S151" s="119" t="s">
        <v>265</v>
      </c>
      <c r="T151" s="120" t="s">
        <v>5</v>
      </c>
      <c r="U151" s="120" t="s">
        <v>111</v>
      </c>
      <c r="V151" s="120" t="str">
        <f>IFERROR(IF(AA151="SEGURIDAD",OFFSET('PARÁMETROS'!$K$2,MATCH(U151,JC_SE,0),MATCH(T151,CC_SE,0)),
IF(OR(AA151="DSRC/Estratégico",AA151="DSRC/Operativo"),OFFSET('PARÁMETROS'!$K$11,MATCH(U151,JC_DS,0),MATCH(T151,CC_DS,0)),
IF(AA151="SALUD",OFFSET('PARÁMETROS'!$K$29,MATCH(U151,JC_SA,0),MATCH(T151,CC_SA,0)),
IF(AA151="MEDIO AMBIENTE",OFFSET('PARÁMETROS'!$K$20,MATCH(U151,JC_MA,0),MATCH(T151,CC_MA,0)),
IF(AA151="Rel. Gubernamentales",OFFSET('PARÁMETROS'!$K$48,MATCH(U151,JC_G,0),MATCH(T151,CC_G,0)),
IF(AA151="OPERACIONAL",OFFSET('PARÁMETROS'!$K$56,MATCH(U151,JC_OP,0),MATCH(T151,CC_OP,0)),
IF(AA151="FINANCIERO",OFFSET('PARÁMETROS'!$K$56,MATCH(U151,JC_FI,0),MATCH(T151,CC_FI,0)),
OFFSET('PARÁMETROS'!$K$38,MATCH(U151,JC_L,0),MATCH(T151,CC_L,0))))))))),"")</f>
        <v>Control/Acción No Eficaz</v>
      </c>
      <c r="W151" s="117"/>
      <c r="X151" s="120"/>
      <c r="Y151" s="121"/>
      <c r="Z151" s="30" t="s">
        <v>552</v>
      </c>
      <c r="AA151" s="32" t="str">
        <f>E137</f>
        <v>Seguridad</v>
      </c>
      <c r="AB151" s="33"/>
    </row>
    <row r="152" ht="105.0" customHeight="1">
      <c r="A152" s="68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134" t="s">
        <v>196</v>
      </c>
      <c r="Q152" s="135" t="s">
        <v>555</v>
      </c>
      <c r="R152" s="135" t="s">
        <v>142</v>
      </c>
      <c r="S152" s="135" t="s">
        <v>167</v>
      </c>
      <c r="T152" s="136" t="s">
        <v>7</v>
      </c>
      <c r="U152" s="136" t="s">
        <v>162</v>
      </c>
      <c r="V152" s="136" t="str">
        <f>IFERROR(IF(AA152="SEGURIDAD",OFFSET('PARÁMETROS'!$K$2,MATCH(U152,JC_SE,0),MATCH(T152,CC_SE,0)),
IF(OR(AA152="DSRC/Estratégico",AA152="DSRC/Operativo"),OFFSET('PARÁMETROS'!$K$11,MATCH(U152,JC_DS,0),MATCH(T152,CC_DS,0)),
IF(AA152="SALUD",OFFSET('PARÁMETROS'!$K$29,MATCH(U152,JC_SA,0),MATCH(T152,CC_SA,0)),
IF(AA152="MEDIO AMBIENTE",OFFSET('PARÁMETROS'!$K$20,MATCH(U152,JC_MA,0),MATCH(T152,CC_MA,0)),
IF(AA152="Rel. Gubernamentales",OFFSET('PARÁMETROS'!$K$48,MATCH(U152,JC_G,0),MATCH(T152,CC_G,0)),
IF(AA152="OPERACIONAL",OFFSET('PARÁMETROS'!$K$56,MATCH(U152,JC_OP,0),MATCH(T152,CC_OP,0)),
IF(AA152="FINANCIERO",OFFSET('PARÁMETROS'!$K$56,MATCH(U152,JC_FI,0),MATCH(T152,CC_FI,0)),
OFFSET('PARÁMETROS'!$K$38,MATCH(U152,JC_L,0),MATCH(T152,CC_L,0))))))))),"")</f>
        <v>Control/Acción Eficaz</v>
      </c>
      <c r="W152" s="69"/>
      <c r="X152" s="136"/>
      <c r="Y152" s="137"/>
      <c r="Z152" s="30" t="s">
        <v>549</v>
      </c>
      <c r="AA152" s="32" t="str">
        <f>E137</f>
        <v>Seguridad</v>
      </c>
      <c r="AB152" s="33"/>
    </row>
    <row r="153" ht="105.0" customHeight="1">
      <c r="A153" s="79">
        <v>21.0</v>
      </c>
      <c r="B153" s="80" t="s">
        <v>172</v>
      </c>
      <c r="C153" s="80" t="s">
        <v>546</v>
      </c>
      <c r="D153" s="80" t="s">
        <v>177</v>
      </c>
      <c r="E153" s="80" t="s">
        <v>181</v>
      </c>
      <c r="F153" s="80" t="s">
        <v>387</v>
      </c>
      <c r="G153" s="80" t="s">
        <v>474</v>
      </c>
      <c r="H153" s="80" t="s">
        <v>404</v>
      </c>
      <c r="I153" s="80" t="s">
        <v>475</v>
      </c>
      <c r="J153" s="80">
        <v>3.0</v>
      </c>
      <c r="K153" s="80">
        <v>2.0</v>
      </c>
      <c r="L153" s="80">
        <f>IF(OR(J153&lt;&gt;"",K153&lt;&gt;""),OFFSET('PARÁMETROS'!$B$2,K153,J153),"")</f>
        <v>4</v>
      </c>
      <c r="M153" s="80">
        <v>4.0</v>
      </c>
      <c r="N153" s="80">
        <f>IFERROR(L153*M153,"")</f>
        <v>16</v>
      </c>
      <c r="O153" s="89" t="str">
        <f>IF(N153="","",IFERROR(IF(N153&lt;=2,"ACEPTABLE",IF(N153&lt;=6,"BAJA",IF(N153&lt;=10,"ACEPTABLE CON REVISIÓN",IF(N153&lt;=15,"SUSTANCIAL","INACEPTABLE")))),""))</f>
        <v>INACEPTABLE</v>
      </c>
      <c r="P153" s="109" t="s">
        <v>258</v>
      </c>
      <c r="Q153" s="110" t="s">
        <v>476</v>
      </c>
      <c r="R153" s="110" t="s">
        <v>142</v>
      </c>
      <c r="S153" s="110" t="s">
        <v>120</v>
      </c>
      <c r="T153" s="111" t="s">
        <v>5</v>
      </c>
      <c r="U153" s="111" t="s">
        <v>162</v>
      </c>
      <c r="V153" s="111" t="str">
        <f>IFERROR(IF(AA153="SEGURIDAD",OFFSET('PARÁMETROS'!$K$2,MATCH(U153,JC_SE,0),MATCH(T153,CC_SE,0)),
IF(OR(AA153="DSRC/Estratégico",AA153="DSRC/Operativo"),OFFSET('PARÁMETROS'!$K$11,MATCH(U153,JC_DS,0),MATCH(T153,CC_DS,0)),
IF(AA153="SALUD",OFFSET('PARÁMETROS'!$K$29,MATCH(U153,JC_SA,0),MATCH(T153,CC_SA,0)),
IF(AA153="MEDIO AMBIENTE",OFFSET('PARÁMETROS'!$K$20,MATCH(U153,JC_MA,0),MATCH(T153,CC_MA,0)),
IF(AA153="Rel. Gubernamentales",OFFSET('PARÁMETROS'!$K$48,MATCH(U153,JC_G,0),MATCH(T153,CC_G,0)),
IF(AA153="OPERACIONAL",OFFSET('PARÁMETROS'!$K$56,MATCH(U153,JC_OP,0),MATCH(T153,CC_OP,0)),
IF(AA153="FINANCIERO",OFFSET('PARÁMETROS'!$K$56,MATCH(U153,JC_FI,0),MATCH(T153,CC_FI,0)),
OFFSET('PARÁMETROS'!$K$38,MATCH(U153,JC_L,0),MATCH(T153,CC_L,0))))))))),"")</f>
        <v>Control/Acción No Eficaz</v>
      </c>
      <c r="W153" s="89" t="str">
        <f>IF(E153="","",
IF(COUNTA( V153:V168)-COUNTBLANK( V153:V168)=1,
IF(O153="INACEPTABLE",IF(COUNTIF( V153:V168,"Control/Acción Eficaz")&gt;=1,"SUSTANCIAL","INACEPTABLE"),
IF(O153="SUSTANCIAL",IF(COUNTIF( V153:V168,"Control/Acción Eficaz")&gt;=1,"ACEPTABLE CON REVISIÓN","SUSTANCIAL"),
IF(O153="ACEPTABLE CON REVISIÓN",IF(COUNTIF( V153:V168,"Control/Acción Eficaz")&gt;=1,"BAJA","ACEPTABLE CON REVISIÓN"),
IF(O153="BAJA",IF(COUNTIF( V153:V168,"Control/Acción Eficaz")&gt;=1,"ACEPTABLE","BAJA"),)))),
IF(COUNTA( V153:V168)-COUNTBLANK( V153:V168)=2,
IF(O153="INACEPTABLE",IF(COUNTIF( V153:V168,"Control/Acción Eficaz")=2,"ACEPTABLE CON REVISIÓN",
IF(OR(AND(COUNTIF( V153:V168,"Control/Acción Eficaz")=1,COUNTIF( V153:V168,"Control/Acción Satisfactorio")=1),
AND(COUNTIF( V153:V168,"Control/Acción Eficaz")=1,COUNTIF( V153:V168,"Control/Acción No Eficaz")=1)),"SUSTANCIAL","INACEPTABLE")),
IF(O153="SUSTANCIAL",IF(COUNTIF( V153:V168,"Control/Acción Eficaz")=2,"BAJA",
IF(OR(AND(COUNTIF( V153:V168,"Control/Acción Eficaz")=1,COUNTIF( V153:V168,"Control/Acción Satisfactorio")=1),
AND(COUNTIF( V153:V168,"Control/Acción Eficaz")=1,COUNTIF( V153:V168,"Control/Acción No Eficaz")=1)),"ACEPTABLE CON REVISIÓN ","SUSTANCIAL")),
IF(O153="ACEPTABLE CON REVISIÓN",IF(COUNTIF( V153:V168,"Control/Acción Eficaz")=2,"ACEPTABLE",
IF(OR(AND(COUNTIF( V153:V168,"Control/Acción Eficaz")=1,COUNTIF( V153:V168,"Control/Acción Satisfactorio")=1),
AND(COUNTIF( V153:V168,"Control/Acción Eficaz")=1,COUNTIF( V153:V168,"Control/Acción No Eficaz")=1)),"BAJA","ACEPTABLE CON REVISIÓN")),
IF(O153="BAJA",IF(COUNTIF( V153:V168,"Control/Acción Eficaz")&gt;=2,"ACEPTABLE","BAJA"),)))),
IF(COUNTA( V153:V168)-COUNTBLANK( V153:V168)&gt;=3,
IF(O153="INACEPTABLE",
IF(COUNTBLANK( V153:V168)=COUNTA( V153:V168),"",
IF(COUNTIF( V153:V168,"Control/Acción No Eficaz")&gt;=2,"INACEPTABLE",
IF(AND(COUNTIF( V153:V168,"Control/Acción No Eficaz")=0,COUNTIF( V153:V168,"Control/Acción Eficaz")&gt;=2),"ACEPTABLE CON REVISIÓN ","SUSTANCIAL"))),
IF(O153="SUSTANCIAL",
IF(COUNTBLANK( V153:V168)=COUNTA( V153:V168),"",
IF(COUNTIF( V153:V168,"Control/Acción No Eficaz")&gt;=2,"SUSTANCIAL",
IF(AND(COUNTIF( V153:V168,"Control/Acción No Eficaz")=0,COUNTIF( V153:V168,"Control/Acción Eficaz")&gt;=2),"BAJA","ACEPTABLE CON REVISIÓN"))),
IF(O153="ACEPTABLE CON REVISIÓN",
IF(COUNTBLANK( V153:V168)=COUNTA( V153:V168),"",
IF(COUNTIF( V153:V168,"Control/Acción No Eficaz")&gt;=2,"ACEPTABLE CON REVISIÓN",
IF(AND(COUNTIF( V153:V168,"Control/Acción No Eficaz")=0,COUNTIF( V153:V168,"Control/Acción Eficaz")&gt;=2),"ACEPTABLE","BAJA"))),
IF(O153="BAJA",
IF(COUNTBLANK( V153:V168)=COUNTA( V153:V168),"",
IF(AND(COUNTBLANK( V153:V168)&lt;1,COUNTA( V153:V168)=1),
IF(COUNTIF( V153:V168,"Control/Acción No Eficaz")&gt;=2,"BAJA",
IF(AND(COUNTIF( V153:V168,"Control/Acción No Eficaz")=0,COUNTIF( V153:V168,"Control/Acción Eficaz")&gt;=2),"ACEPTABLE","BAJA")),
IF(COUNTIF( V153:V168,"Control/Acción No Eficaz")&gt;=2,"BAJA",
IF(AND(COUNTIF( V153:V168,"Control/Acción No Eficaz")=0,COUNTIF( V153:V168,"Control/Acción Eficaz")&gt;=2),"ACEPTABLE","BAJA")))),
IF(COUNTIF( V153:V168,"")&gt;=5,"",O153))))),
""))))</f>
        <v>INACEPTABLE</v>
      </c>
      <c r="X153" s="111"/>
      <c r="Y153" s="115"/>
      <c r="Z153" s="30" t="s">
        <v>314</v>
      </c>
      <c r="AA153" s="32" t="str">
        <f>E153</f>
        <v>Seguridad</v>
      </c>
      <c r="AB153" s="33"/>
    </row>
    <row r="154" ht="105.0" customHeight="1">
      <c r="A154" s="116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8" t="s">
        <v>105</v>
      </c>
      <c r="Q154" s="119" t="s">
        <v>556</v>
      </c>
      <c r="R154" s="119" t="s">
        <v>142</v>
      </c>
      <c r="S154" s="119" t="s">
        <v>295</v>
      </c>
      <c r="T154" s="120" t="s">
        <v>7</v>
      </c>
      <c r="U154" s="120" t="s">
        <v>162</v>
      </c>
      <c r="V154" s="120" t="str">
        <f>IFERROR(IF(AA154="SEGURIDAD",OFFSET('PARÁMETROS'!$K$2,MATCH(U154,JC_SE,0),MATCH(T154,CC_SE,0)),
IF(OR(AA154="DSRC/Estratégico",AA154="DSRC/Operativo"),OFFSET('PARÁMETROS'!$K$11,MATCH(U154,JC_DS,0),MATCH(T154,CC_DS,0)),
IF(AA154="SALUD",OFFSET('PARÁMETROS'!$K$29,MATCH(U154,JC_SA,0),MATCH(T154,CC_SA,0)),
IF(AA154="MEDIO AMBIENTE",OFFSET('PARÁMETROS'!$K$20,MATCH(U154,JC_MA,0),MATCH(T154,CC_MA,0)),
IF(AA154="Rel. Gubernamentales",OFFSET('PARÁMETROS'!$K$48,MATCH(U154,JC_G,0),MATCH(T154,CC_G,0)),
IF(AA154="OPERACIONAL",OFFSET('PARÁMETROS'!$K$56,MATCH(U154,JC_OP,0),MATCH(T154,CC_OP,0)),
IF(AA154="FINANCIERO",OFFSET('PARÁMETROS'!$K$56,MATCH(U154,JC_FI,0),MATCH(T154,CC_FI,0)),
OFFSET('PARÁMETROS'!$K$38,MATCH(U154,JC_L,0),MATCH(T154,CC_L,0))))))))),"")</f>
        <v>Control/Acción Eficaz</v>
      </c>
      <c r="W154" s="117"/>
      <c r="X154" s="120"/>
      <c r="Y154" s="121"/>
      <c r="Z154" s="30" t="s">
        <v>314</v>
      </c>
      <c r="AA154" s="32" t="str">
        <f>E153</f>
        <v>Seguridad</v>
      </c>
      <c r="AB154" s="33"/>
    </row>
    <row r="155" ht="105.0" customHeight="1">
      <c r="A155" s="116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8" t="s">
        <v>258</v>
      </c>
      <c r="Q155" s="119" t="s">
        <v>479</v>
      </c>
      <c r="R155" s="119" t="s">
        <v>142</v>
      </c>
      <c r="S155" s="119" t="s">
        <v>120</v>
      </c>
      <c r="T155" s="120" t="s">
        <v>5</v>
      </c>
      <c r="U155" s="120" t="s">
        <v>162</v>
      </c>
      <c r="V155" s="120" t="str">
        <f>IFERROR(IF(AA155="SEGURIDAD",OFFSET('PARÁMETROS'!$K$2,MATCH(U155,JC_SE,0),MATCH(T155,CC_SE,0)),
IF(OR(AA155="DSRC/Estratégico",AA155="DSRC/Operativo"),OFFSET('PARÁMETROS'!$K$11,MATCH(U155,JC_DS,0),MATCH(T155,CC_DS,0)),
IF(AA155="SALUD",OFFSET('PARÁMETROS'!$K$29,MATCH(U155,JC_SA,0),MATCH(T155,CC_SA,0)),
IF(AA155="MEDIO AMBIENTE",OFFSET('PARÁMETROS'!$K$20,MATCH(U155,JC_MA,0),MATCH(T155,CC_MA,0)),
IF(AA155="Rel. Gubernamentales",OFFSET('PARÁMETROS'!$K$48,MATCH(U155,JC_G,0),MATCH(T155,CC_G,0)),
IF(AA155="OPERACIONAL",OFFSET('PARÁMETROS'!$K$56,MATCH(U155,JC_OP,0),MATCH(T155,CC_OP,0)),
IF(AA155="FINANCIERO",OFFSET('PARÁMETROS'!$K$56,MATCH(U155,JC_FI,0),MATCH(T155,CC_FI,0)),
OFFSET('PARÁMETROS'!$K$38,MATCH(U155,JC_L,0),MATCH(T155,CC_L,0))))))))),"")</f>
        <v>Control/Acción No Eficaz</v>
      </c>
      <c r="W155" s="117"/>
      <c r="X155" s="120"/>
      <c r="Y155" s="121"/>
      <c r="Z155" s="30" t="s">
        <v>314</v>
      </c>
      <c r="AA155" s="32" t="str">
        <f>E153</f>
        <v>Seguridad</v>
      </c>
      <c r="AB155" s="33"/>
    </row>
    <row r="156" ht="105.0" customHeight="1">
      <c r="A156" s="116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8" t="s">
        <v>258</v>
      </c>
      <c r="Q156" s="119" t="s">
        <v>480</v>
      </c>
      <c r="R156" s="119" t="s">
        <v>142</v>
      </c>
      <c r="S156" s="119" t="s">
        <v>120</v>
      </c>
      <c r="T156" s="120" t="s">
        <v>5</v>
      </c>
      <c r="U156" s="120" t="s">
        <v>162</v>
      </c>
      <c r="V156" s="120" t="str">
        <f>IFERROR(IF(AA156="SEGURIDAD",OFFSET('PARÁMETROS'!$K$2,MATCH(U156,JC_SE,0),MATCH(T156,CC_SE,0)),
IF(OR(AA156="DSRC/Estratégico",AA156="DSRC/Operativo"),OFFSET('PARÁMETROS'!$K$11,MATCH(U156,JC_DS,0),MATCH(T156,CC_DS,0)),
IF(AA156="SALUD",OFFSET('PARÁMETROS'!$K$29,MATCH(U156,JC_SA,0),MATCH(T156,CC_SA,0)),
IF(AA156="MEDIO AMBIENTE",OFFSET('PARÁMETROS'!$K$20,MATCH(U156,JC_MA,0),MATCH(T156,CC_MA,0)),
IF(AA156="Rel. Gubernamentales",OFFSET('PARÁMETROS'!$K$48,MATCH(U156,JC_G,0),MATCH(T156,CC_G,0)),
IF(AA156="OPERACIONAL",OFFSET('PARÁMETROS'!$K$56,MATCH(U156,JC_OP,0),MATCH(T156,CC_OP,0)),
IF(AA156="FINANCIERO",OFFSET('PARÁMETROS'!$K$56,MATCH(U156,JC_FI,0),MATCH(T156,CC_FI,0)),
OFFSET('PARÁMETROS'!$K$38,MATCH(U156,JC_L,0),MATCH(T156,CC_L,0))))))))),"")</f>
        <v>Control/Acción No Eficaz</v>
      </c>
      <c r="W156" s="117"/>
      <c r="X156" s="120"/>
      <c r="Y156" s="121"/>
      <c r="Z156" s="30" t="s">
        <v>314</v>
      </c>
      <c r="AA156" s="32" t="str">
        <f>E153</f>
        <v>Seguridad</v>
      </c>
      <c r="AB156" s="33"/>
    </row>
    <row r="157" ht="105.0" customHeight="1">
      <c r="A157" s="116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8" t="s">
        <v>105</v>
      </c>
      <c r="Q157" s="119" t="s">
        <v>481</v>
      </c>
      <c r="R157" s="119" t="s">
        <v>142</v>
      </c>
      <c r="S157" s="119" t="s">
        <v>295</v>
      </c>
      <c r="T157" s="120" t="s">
        <v>7</v>
      </c>
      <c r="U157" s="120" t="s">
        <v>162</v>
      </c>
      <c r="V157" s="120" t="str">
        <f>IFERROR(IF(AA157="SEGURIDAD",OFFSET('PARÁMETROS'!$K$2,MATCH(U157,JC_SE,0),MATCH(T157,CC_SE,0)),
IF(OR(AA157="DSRC/Estratégico",AA157="DSRC/Operativo"),OFFSET('PARÁMETROS'!$K$11,MATCH(U157,JC_DS,0),MATCH(T157,CC_DS,0)),
IF(AA157="SALUD",OFFSET('PARÁMETROS'!$K$29,MATCH(U157,JC_SA,0),MATCH(T157,CC_SA,0)),
IF(AA157="MEDIO AMBIENTE",OFFSET('PARÁMETROS'!$K$20,MATCH(U157,JC_MA,0),MATCH(T157,CC_MA,0)),
IF(AA157="Rel. Gubernamentales",OFFSET('PARÁMETROS'!$K$48,MATCH(U157,JC_G,0),MATCH(T157,CC_G,0)),
IF(AA157="OPERACIONAL",OFFSET('PARÁMETROS'!$K$56,MATCH(U157,JC_OP,0),MATCH(T157,CC_OP,0)),
IF(AA157="FINANCIERO",OFFSET('PARÁMETROS'!$K$56,MATCH(U157,JC_FI,0),MATCH(T157,CC_FI,0)),
OFFSET('PARÁMETROS'!$K$38,MATCH(U157,JC_L,0),MATCH(T157,CC_L,0))))))))),"")</f>
        <v>Control/Acción Eficaz</v>
      </c>
      <c r="W157" s="117"/>
      <c r="X157" s="120"/>
      <c r="Y157" s="121"/>
      <c r="Z157" s="30" t="s">
        <v>314</v>
      </c>
      <c r="AA157" s="32" t="str">
        <f>E153</f>
        <v>Seguridad</v>
      </c>
      <c r="AB157" s="33"/>
    </row>
    <row r="158" ht="105.0" customHeight="1">
      <c r="A158" s="116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8" t="s">
        <v>117</v>
      </c>
      <c r="Q158" s="119" t="s">
        <v>482</v>
      </c>
      <c r="R158" s="119" t="s">
        <v>142</v>
      </c>
      <c r="S158" s="119" t="s">
        <v>295</v>
      </c>
      <c r="T158" s="120" t="s">
        <v>6</v>
      </c>
      <c r="U158" s="120" t="s">
        <v>111</v>
      </c>
      <c r="V158" s="120" t="str">
        <f>IFERROR(IF(AA158="SEGURIDAD",OFFSET('PARÁMETROS'!$K$2,MATCH(U158,JC_SE,0),MATCH(T158,CC_SE,0)),
IF(OR(AA158="DSRC/Estratégico",AA158="DSRC/Operativo"),OFFSET('PARÁMETROS'!$K$11,MATCH(U158,JC_DS,0),MATCH(T158,CC_DS,0)),
IF(AA158="SALUD",OFFSET('PARÁMETROS'!$K$29,MATCH(U158,JC_SA,0),MATCH(T158,CC_SA,0)),
IF(AA158="MEDIO AMBIENTE",OFFSET('PARÁMETROS'!$K$20,MATCH(U158,JC_MA,0),MATCH(T158,CC_MA,0)),
IF(AA158="Rel. Gubernamentales",OFFSET('PARÁMETROS'!$K$48,MATCH(U158,JC_G,0),MATCH(T158,CC_G,0)),
IF(AA158="OPERACIONAL",OFFSET('PARÁMETROS'!$K$56,MATCH(U158,JC_OP,0),MATCH(T158,CC_OP,0)),
IF(AA158="FINANCIERO",OFFSET('PARÁMETROS'!$K$56,MATCH(U158,JC_FI,0),MATCH(T158,CC_FI,0)),
OFFSET('PARÁMETROS'!$K$38,MATCH(U158,JC_L,0),MATCH(T158,CC_L,0))))))))),"")</f>
        <v>Control/Acción Satisfactorio</v>
      </c>
      <c r="W158" s="117"/>
      <c r="X158" s="120"/>
      <c r="Y158" s="121"/>
      <c r="Z158" s="30" t="s">
        <v>314</v>
      </c>
      <c r="AA158" s="32" t="str">
        <f>E153</f>
        <v>Seguridad</v>
      </c>
      <c r="AB158" s="33"/>
    </row>
    <row r="159" ht="105.0" customHeight="1">
      <c r="A159" s="116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8" t="s">
        <v>258</v>
      </c>
      <c r="Q159" s="119" t="s">
        <v>483</v>
      </c>
      <c r="R159" s="119" t="s">
        <v>142</v>
      </c>
      <c r="S159" s="119" t="s">
        <v>120</v>
      </c>
      <c r="T159" s="120" t="s">
        <v>5</v>
      </c>
      <c r="U159" s="120" t="s">
        <v>162</v>
      </c>
      <c r="V159" s="120" t="str">
        <f>IFERROR(IF(AA159="SEGURIDAD",OFFSET('PARÁMETROS'!$K$2,MATCH(U159,JC_SE,0),MATCH(T159,CC_SE,0)),
IF(OR(AA159="DSRC/Estratégico",AA159="DSRC/Operativo"),OFFSET('PARÁMETROS'!$K$11,MATCH(U159,JC_DS,0),MATCH(T159,CC_DS,0)),
IF(AA159="SALUD",OFFSET('PARÁMETROS'!$K$29,MATCH(U159,JC_SA,0),MATCH(T159,CC_SA,0)),
IF(AA159="MEDIO AMBIENTE",OFFSET('PARÁMETROS'!$K$20,MATCH(U159,JC_MA,0),MATCH(T159,CC_MA,0)),
IF(AA159="Rel. Gubernamentales",OFFSET('PARÁMETROS'!$K$48,MATCH(U159,JC_G,0),MATCH(T159,CC_G,0)),
IF(AA159="OPERACIONAL",OFFSET('PARÁMETROS'!$K$56,MATCH(U159,JC_OP,0),MATCH(T159,CC_OP,0)),
IF(AA159="FINANCIERO",OFFSET('PARÁMETROS'!$K$56,MATCH(U159,JC_FI,0),MATCH(T159,CC_FI,0)),
OFFSET('PARÁMETROS'!$K$38,MATCH(U159,JC_L,0),MATCH(T159,CC_L,0))))))))),"")</f>
        <v>Control/Acción No Eficaz</v>
      </c>
      <c r="W159" s="117"/>
      <c r="X159" s="120"/>
      <c r="Y159" s="121"/>
      <c r="Z159" s="30" t="s">
        <v>314</v>
      </c>
      <c r="AA159" s="32" t="str">
        <f>E153</f>
        <v>Seguridad</v>
      </c>
      <c r="AB159" s="33"/>
    </row>
    <row r="160" ht="105.0" customHeight="1">
      <c r="A160" s="116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8" t="s">
        <v>105</v>
      </c>
      <c r="Q160" s="119" t="s">
        <v>484</v>
      </c>
      <c r="R160" s="119" t="s">
        <v>142</v>
      </c>
      <c r="S160" s="119" t="s">
        <v>295</v>
      </c>
      <c r="T160" s="120" t="s">
        <v>6</v>
      </c>
      <c r="U160" s="120" t="s">
        <v>162</v>
      </c>
      <c r="V160" s="120" t="str">
        <f>IFERROR(IF(AA160="SEGURIDAD",OFFSET('PARÁMETROS'!$K$2,MATCH(U160,JC_SE,0),MATCH(T160,CC_SE,0)),
IF(OR(AA160="DSRC/Estratégico",AA160="DSRC/Operativo"),OFFSET('PARÁMETROS'!$K$11,MATCH(U160,JC_DS,0),MATCH(T160,CC_DS,0)),
IF(AA160="SALUD",OFFSET('PARÁMETROS'!$K$29,MATCH(U160,JC_SA,0),MATCH(T160,CC_SA,0)),
IF(AA160="MEDIO AMBIENTE",OFFSET('PARÁMETROS'!$K$20,MATCH(U160,JC_MA,0),MATCH(T160,CC_MA,0)),
IF(AA160="Rel. Gubernamentales",OFFSET('PARÁMETROS'!$K$48,MATCH(U160,JC_G,0),MATCH(T160,CC_G,0)),
IF(AA160="OPERACIONAL",OFFSET('PARÁMETROS'!$K$56,MATCH(U160,JC_OP,0),MATCH(T160,CC_OP,0)),
IF(AA160="FINANCIERO",OFFSET('PARÁMETROS'!$K$56,MATCH(U160,JC_FI,0),MATCH(T160,CC_FI,0)),
OFFSET('PARÁMETROS'!$K$38,MATCH(U160,JC_L,0),MATCH(T160,CC_L,0))))))))),"")</f>
        <v>Control/Acción Satisfactorio</v>
      </c>
      <c r="W160" s="117"/>
      <c r="X160" s="120"/>
      <c r="Y160" s="121"/>
      <c r="Z160" s="30" t="s">
        <v>314</v>
      </c>
      <c r="AA160" s="32" t="str">
        <f>E153</f>
        <v>Seguridad</v>
      </c>
      <c r="AB160" s="33"/>
    </row>
    <row r="161" ht="105.0" customHeight="1">
      <c r="A161" s="116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8" t="s">
        <v>258</v>
      </c>
      <c r="Q161" s="119" t="s">
        <v>436</v>
      </c>
      <c r="R161" s="119" t="s">
        <v>83</v>
      </c>
      <c r="S161" s="119" t="s">
        <v>51</v>
      </c>
      <c r="T161" s="120" t="s">
        <v>7</v>
      </c>
      <c r="U161" s="120" t="s">
        <v>162</v>
      </c>
      <c r="V161" s="120" t="str">
        <f>IFERROR(IF(AA161="SEGURIDAD",OFFSET('PARÁMETROS'!$K$2,MATCH(U161,JC_SE,0),MATCH(T161,CC_SE,0)),
IF(OR(AA161="DSRC/Estratégico",AA161="DSRC/Operativo"),OFFSET('PARÁMETROS'!$K$11,MATCH(U161,JC_DS,0),MATCH(T161,CC_DS,0)),
IF(AA161="SALUD",OFFSET('PARÁMETROS'!$K$29,MATCH(U161,JC_SA,0),MATCH(T161,CC_SA,0)),
IF(AA161="MEDIO AMBIENTE",OFFSET('PARÁMETROS'!$K$20,MATCH(U161,JC_MA,0),MATCH(T161,CC_MA,0)),
IF(AA161="Rel. Gubernamentales",OFFSET('PARÁMETROS'!$K$48,MATCH(U161,JC_G,0),MATCH(T161,CC_G,0)),
IF(AA161="OPERACIONAL",OFFSET('PARÁMETROS'!$K$56,MATCH(U161,JC_OP,0),MATCH(T161,CC_OP,0)),
IF(AA161="FINANCIERO",OFFSET('PARÁMETROS'!$K$56,MATCH(U161,JC_FI,0),MATCH(T161,CC_FI,0)),
OFFSET('PARÁMETROS'!$K$38,MATCH(U161,JC_L,0),MATCH(T161,CC_L,0))))))))),"")</f>
        <v>Control/Acción Eficaz</v>
      </c>
      <c r="W161" s="117"/>
      <c r="X161" s="120"/>
      <c r="Y161" s="121"/>
      <c r="Z161" s="30" t="s">
        <v>314</v>
      </c>
      <c r="AA161" s="32" t="str">
        <f>E153</f>
        <v>Seguridad</v>
      </c>
      <c r="AB161" s="33"/>
    </row>
    <row r="162" ht="105.0" customHeight="1">
      <c r="A162" s="116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8" t="s">
        <v>230</v>
      </c>
      <c r="Q162" s="119" t="s">
        <v>485</v>
      </c>
      <c r="R162" s="119" t="s">
        <v>83</v>
      </c>
      <c r="S162" s="119" t="s">
        <v>51</v>
      </c>
      <c r="T162" s="120" t="s">
        <v>7</v>
      </c>
      <c r="U162" s="120" t="s">
        <v>162</v>
      </c>
      <c r="V162" s="120" t="str">
        <f>IFERROR(IF(AA162="SEGURIDAD",OFFSET('PARÁMETROS'!$K$2,MATCH(U162,JC_SE,0),MATCH(T162,CC_SE,0)),
IF(OR(AA162="DSRC/Estratégico",AA162="DSRC/Operativo"),OFFSET('PARÁMETROS'!$K$11,MATCH(U162,JC_DS,0),MATCH(T162,CC_DS,0)),
IF(AA162="SALUD",OFFSET('PARÁMETROS'!$K$29,MATCH(U162,JC_SA,0),MATCH(T162,CC_SA,0)),
IF(AA162="MEDIO AMBIENTE",OFFSET('PARÁMETROS'!$K$20,MATCH(U162,JC_MA,0),MATCH(T162,CC_MA,0)),
IF(AA162="Rel. Gubernamentales",OFFSET('PARÁMETROS'!$K$48,MATCH(U162,JC_G,0),MATCH(T162,CC_G,0)),
IF(AA162="OPERACIONAL",OFFSET('PARÁMETROS'!$K$56,MATCH(U162,JC_OP,0),MATCH(T162,CC_OP,0)),
IF(AA162="FINANCIERO",OFFSET('PARÁMETROS'!$K$56,MATCH(U162,JC_FI,0),MATCH(T162,CC_FI,0)),
OFFSET('PARÁMETROS'!$K$38,MATCH(U162,JC_L,0),MATCH(T162,CC_L,0))))))))),"")</f>
        <v>Control/Acción Eficaz</v>
      </c>
      <c r="W162" s="117"/>
      <c r="X162" s="120"/>
      <c r="Y162" s="121"/>
      <c r="Z162" s="30" t="s">
        <v>314</v>
      </c>
      <c r="AA162" s="32" t="str">
        <f>E153</f>
        <v>Seguridad</v>
      </c>
      <c r="AB162" s="33"/>
    </row>
    <row r="163" ht="105.0" customHeight="1">
      <c r="A163" s="116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8" t="s">
        <v>258</v>
      </c>
      <c r="Q163" s="119" t="s">
        <v>486</v>
      </c>
      <c r="R163" s="119" t="s">
        <v>83</v>
      </c>
      <c r="S163" s="119" t="s">
        <v>84</v>
      </c>
      <c r="T163" s="120" t="s">
        <v>6</v>
      </c>
      <c r="U163" s="120" t="s">
        <v>162</v>
      </c>
      <c r="V163" s="120" t="str">
        <f>IFERROR(IF(AA163="SEGURIDAD",OFFSET('PARÁMETROS'!$K$2,MATCH(U163,JC_SE,0),MATCH(T163,CC_SE,0)),
IF(OR(AA163="DSRC/Estratégico",AA163="DSRC/Operativo"),OFFSET('PARÁMETROS'!$K$11,MATCH(U163,JC_DS,0),MATCH(T163,CC_DS,0)),
IF(AA163="SALUD",OFFSET('PARÁMETROS'!$K$29,MATCH(U163,JC_SA,0),MATCH(T163,CC_SA,0)),
IF(AA163="MEDIO AMBIENTE",OFFSET('PARÁMETROS'!$K$20,MATCH(U163,JC_MA,0),MATCH(T163,CC_MA,0)),
IF(AA163="Rel. Gubernamentales",OFFSET('PARÁMETROS'!$K$48,MATCH(U163,JC_G,0),MATCH(T163,CC_G,0)),
IF(AA163="OPERACIONAL",OFFSET('PARÁMETROS'!$K$56,MATCH(U163,JC_OP,0),MATCH(T163,CC_OP,0)),
IF(AA163="FINANCIERO",OFFSET('PARÁMETROS'!$K$56,MATCH(U163,JC_FI,0),MATCH(T163,CC_FI,0)),
OFFSET('PARÁMETROS'!$K$38,MATCH(U163,JC_L,0),MATCH(T163,CC_L,0))))))))),"")</f>
        <v>Control/Acción Satisfactorio</v>
      </c>
      <c r="W163" s="117"/>
      <c r="X163" s="120"/>
      <c r="Y163" s="121"/>
      <c r="Z163" s="30" t="s">
        <v>314</v>
      </c>
      <c r="AA163" s="32" t="str">
        <f>E153</f>
        <v>Seguridad</v>
      </c>
      <c r="AB163" s="33"/>
    </row>
    <row r="164" ht="105.0" customHeight="1">
      <c r="A164" s="116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8" t="s">
        <v>258</v>
      </c>
      <c r="Q164" s="119" t="s">
        <v>489</v>
      </c>
      <c r="R164" s="119" t="s">
        <v>142</v>
      </c>
      <c r="S164" s="119" t="s">
        <v>120</v>
      </c>
      <c r="T164" s="120" t="s">
        <v>6</v>
      </c>
      <c r="U164" s="120" t="s">
        <v>162</v>
      </c>
      <c r="V164" s="120" t="str">
        <f>IFERROR(IF(AA164="SEGURIDAD",OFFSET('PARÁMETROS'!$K$2,MATCH(U164,JC_SE,0),MATCH(T164,CC_SE,0)),
IF(OR(AA164="DSRC/Estratégico",AA164="DSRC/Operativo"),OFFSET('PARÁMETROS'!$K$11,MATCH(U164,JC_DS,0),MATCH(T164,CC_DS,0)),
IF(AA164="SALUD",OFFSET('PARÁMETROS'!$K$29,MATCH(U164,JC_SA,0),MATCH(T164,CC_SA,0)),
IF(AA164="MEDIO AMBIENTE",OFFSET('PARÁMETROS'!$K$20,MATCH(U164,JC_MA,0),MATCH(T164,CC_MA,0)),
IF(AA164="Rel. Gubernamentales",OFFSET('PARÁMETROS'!$K$48,MATCH(U164,JC_G,0),MATCH(T164,CC_G,0)),
IF(AA164="OPERACIONAL",OFFSET('PARÁMETROS'!$K$56,MATCH(U164,JC_OP,0),MATCH(T164,CC_OP,0)),
IF(AA164="FINANCIERO",OFFSET('PARÁMETROS'!$K$56,MATCH(U164,JC_FI,0),MATCH(T164,CC_FI,0)),
OFFSET('PARÁMETROS'!$K$38,MATCH(U164,JC_L,0),MATCH(T164,CC_L,0))))))))),"")</f>
        <v>Control/Acción Satisfactorio</v>
      </c>
      <c r="W164" s="117"/>
      <c r="X164" s="120"/>
      <c r="Y164" s="121"/>
      <c r="Z164" s="30" t="s">
        <v>314</v>
      </c>
      <c r="AA164" s="32" t="str">
        <f>E153</f>
        <v>Seguridad</v>
      </c>
      <c r="AB164" s="33"/>
    </row>
    <row r="165" ht="105.0" customHeight="1">
      <c r="A165" s="116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8" t="s">
        <v>196</v>
      </c>
      <c r="Q165" s="119" t="s">
        <v>557</v>
      </c>
      <c r="R165" s="119" t="s">
        <v>142</v>
      </c>
      <c r="S165" s="119" t="s">
        <v>295</v>
      </c>
      <c r="T165" s="120" t="s">
        <v>7</v>
      </c>
      <c r="U165" s="120" t="s">
        <v>162</v>
      </c>
      <c r="V165" s="120" t="str">
        <f>IFERROR(IF(AA165="SEGURIDAD",OFFSET('PARÁMETROS'!$K$2,MATCH(U165,JC_SE,0),MATCH(T165,CC_SE,0)),
IF(OR(AA165="DSRC/Estratégico",AA165="DSRC/Operativo"),OFFSET('PARÁMETROS'!$K$11,MATCH(U165,JC_DS,0),MATCH(T165,CC_DS,0)),
IF(AA165="SALUD",OFFSET('PARÁMETROS'!$K$29,MATCH(U165,JC_SA,0),MATCH(T165,CC_SA,0)),
IF(AA165="MEDIO AMBIENTE",OFFSET('PARÁMETROS'!$K$20,MATCH(U165,JC_MA,0),MATCH(T165,CC_MA,0)),
IF(AA165="Rel. Gubernamentales",OFFSET('PARÁMETROS'!$K$48,MATCH(U165,JC_G,0),MATCH(T165,CC_G,0)),
IF(AA165="OPERACIONAL",OFFSET('PARÁMETROS'!$K$56,MATCH(U165,JC_OP,0),MATCH(T165,CC_OP,0)),
IF(AA165="FINANCIERO",OFFSET('PARÁMETROS'!$K$56,MATCH(U165,JC_FI,0),MATCH(T165,CC_FI,0)),
OFFSET('PARÁMETROS'!$K$38,MATCH(U165,JC_L,0),MATCH(T165,CC_L,0))))))))),"")</f>
        <v>Control/Acción Eficaz</v>
      </c>
      <c r="W165" s="117"/>
      <c r="X165" s="120"/>
      <c r="Y165" s="121"/>
      <c r="Z165" s="30" t="s">
        <v>314</v>
      </c>
      <c r="AA165" s="32" t="str">
        <f>E153</f>
        <v>Seguridad</v>
      </c>
      <c r="AB165" s="33" t="s">
        <v>558</v>
      </c>
    </row>
    <row r="166" ht="105.0" customHeight="1">
      <c r="A166" s="116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8" t="s">
        <v>117</v>
      </c>
      <c r="Q166" s="119" t="s">
        <v>491</v>
      </c>
      <c r="R166" s="119" t="s">
        <v>142</v>
      </c>
      <c r="S166" s="119" t="s">
        <v>295</v>
      </c>
      <c r="T166" s="120" t="s">
        <v>7</v>
      </c>
      <c r="U166" s="120" t="s">
        <v>111</v>
      </c>
      <c r="V166" s="120" t="str">
        <f>IFERROR(IF(AA166="SEGURIDAD",OFFSET('PARÁMETROS'!$K$2,MATCH(U166,JC_SE,0),MATCH(T166,CC_SE,0)),
IF(OR(AA166="DSRC/Estratégico",AA166="DSRC/Operativo"),OFFSET('PARÁMETROS'!$K$11,MATCH(U166,JC_DS,0),MATCH(T166,CC_DS,0)),
IF(AA166="SALUD",OFFSET('PARÁMETROS'!$K$29,MATCH(U166,JC_SA,0),MATCH(T166,CC_SA,0)),
IF(AA166="MEDIO AMBIENTE",OFFSET('PARÁMETROS'!$K$20,MATCH(U166,JC_MA,0),MATCH(T166,CC_MA,0)),
IF(AA166="Rel. Gubernamentales",OFFSET('PARÁMETROS'!$K$48,MATCH(U166,JC_G,0),MATCH(T166,CC_G,0)),
IF(AA166="OPERACIONAL",OFFSET('PARÁMETROS'!$K$56,MATCH(U166,JC_OP,0),MATCH(T166,CC_OP,0)),
IF(AA166="FINANCIERO",OFFSET('PARÁMETROS'!$K$56,MATCH(U166,JC_FI,0),MATCH(T166,CC_FI,0)),
OFFSET('PARÁMETROS'!$K$38,MATCH(U166,JC_L,0),MATCH(T166,CC_L,0))))))))),"")</f>
        <v>Control/Acción Eficaz</v>
      </c>
      <c r="W166" s="117"/>
      <c r="X166" s="120"/>
      <c r="Y166" s="121"/>
      <c r="Z166" s="30" t="s">
        <v>314</v>
      </c>
      <c r="AA166" s="32" t="str">
        <f>E153</f>
        <v>Seguridad</v>
      </c>
      <c r="AB166" s="33"/>
    </row>
    <row r="167" ht="105.0" customHeight="1">
      <c r="A167" s="116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8" t="s">
        <v>258</v>
      </c>
      <c r="Q167" s="119" t="s">
        <v>492</v>
      </c>
      <c r="R167" s="119" t="s">
        <v>142</v>
      </c>
      <c r="S167" s="119" t="s">
        <v>84</v>
      </c>
      <c r="T167" s="120" t="s">
        <v>5</v>
      </c>
      <c r="U167" s="120" t="s">
        <v>162</v>
      </c>
      <c r="V167" s="120" t="str">
        <f>IFERROR(IF(AA167="SEGURIDAD",OFFSET('PARÁMETROS'!$K$2,MATCH(U167,JC_SE,0),MATCH(T167,CC_SE,0)),
IF(OR(AA167="DSRC/Estratégico",AA167="DSRC/Operativo"),OFFSET('PARÁMETROS'!$K$11,MATCH(U167,JC_DS,0),MATCH(T167,CC_DS,0)),
IF(AA167="SALUD",OFFSET('PARÁMETROS'!$K$29,MATCH(U167,JC_SA,0),MATCH(T167,CC_SA,0)),
IF(AA167="MEDIO AMBIENTE",OFFSET('PARÁMETROS'!$K$20,MATCH(U167,JC_MA,0),MATCH(T167,CC_MA,0)),
IF(AA167="Rel. Gubernamentales",OFFSET('PARÁMETROS'!$K$48,MATCH(U167,JC_G,0),MATCH(T167,CC_G,0)),
IF(AA167="OPERACIONAL",OFFSET('PARÁMETROS'!$K$56,MATCH(U167,JC_OP,0),MATCH(T167,CC_OP,0)),
IF(AA167="FINANCIERO",OFFSET('PARÁMETROS'!$K$56,MATCH(U167,JC_FI,0),MATCH(T167,CC_FI,0)),
OFFSET('PARÁMETROS'!$K$38,MATCH(U167,JC_L,0),MATCH(T167,CC_L,0))))))))),"")</f>
        <v>Control/Acción No Eficaz</v>
      </c>
      <c r="W167" s="117"/>
      <c r="X167" s="120"/>
      <c r="Y167" s="121"/>
      <c r="Z167" s="30" t="s">
        <v>314</v>
      </c>
      <c r="AA167" s="32" t="str">
        <f>E153</f>
        <v>Seguridad</v>
      </c>
      <c r="AB167" s="33"/>
    </row>
    <row r="168" ht="105.0" customHeight="1">
      <c r="A168" s="68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134" t="s">
        <v>196</v>
      </c>
      <c r="Q168" s="135" t="s">
        <v>555</v>
      </c>
      <c r="R168" s="135" t="s">
        <v>142</v>
      </c>
      <c r="S168" s="135" t="s">
        <v>167</v>
      </c>
      <c r="T168" s="136" t="s">
        <v>7</v>
      </c>
      <c r="U168" s="136" t="s">
        <v>162</v>
      </c>
      <c r="V168" s="136" t="str">
        <f>IFERROR(IF(AA168="SEGURIDAD",OFFSET('PARÁMETROS'!$K$2,MATCH(U168,JC_SE,0),MATCH(T168,CC_SE,0)),
IF(OR(AA168="DSRC/Estratégico",AA168="DSRC/Operativo"),OFFSET('PARÁMETROS'!$K$11,MATCH(U168,JC_DS,0),MATCH(T168,CC_DS,0)),
IF(AA168="SALUD",OFFSET('PARÁMETROS'!$K$29,MATCH(U168,JC_SA,0),MATCH(T168,CC_SA,0)),
IF(AA168="MEDIO AMBIENTE",OFFSET('PARÁMETROS'!$K$20,MATCH(U168,JC_MA,0),MATCH(T168,CC_MA,0)),
IF(AA168="Rel. Gubernamentales",OFFSET('PARÁMETROS'!$K$48,MATCH(U168,JC_G,0),MATCH(T168,CC_G,0)),
IF(AA168="OPERACIONAL",OFFSET('PARÁMETROS'!$K$56,MATCH(U168,JC_OP,0),MATCH(T168,CC_OP,0)),
IF(AA168="FINANCIERO",OFFSET('PARÁMETROS'!$K$56,MATCH(U168,JC_FI,0),MATCH(T168,CC_FI,0)),
OFFSET('PARÁMETROS'!$K$38,MATCH(U168,JC_L,0),MATCH(T168,CC_L,0))))))))),"")</f>
        <v>Control/Acción Eficaz</v>
      </c>
      <c r="W168" s="69"/>
      <c r="X168" s="136"/>
      <c r="Y168" s="137"/>
      <c r="Z168" s="30" t="s">
        <v>534</v>
      </c>
      <c r="AA168" s="32" t="str">
        <f>E153</f>
        <v>Seguridad</v>
      </c>
      <c r="AB168" s="33"/>
    </row>
    <row r="169" ht="105.0" customHeight="1">
      <c r="A169" s="79">
        <v>22.0</v>
      </c>
      <c r="B169" s="80" t="s">
        <v>172</v>
      </c>
      <c r="C169" s="80" t="s">
        <v>546</v>
      </c>
      <c r="D169" s="80" t="s">
        <v>177</v>
      </c>
      <c r="E169" s="80" t="s">
        <v>181</v>
      </c>
      <c r="F169" s="80" t="s">
        <v>387</v>
      </c>
      <c r="G169" s="80" t="s">
        <v>493</v>
      </c>
      <c r="H169" s="80" t="s">
        <v>278</v>
      </c>
      <c r="I169" s="80" t="s">
        <v>494</v>
      </c>
      <c r="J169" s="80">
        <v>3.0</v>
      </c>
      <c r="K169" s="80">
        <v>2.0</v>
      </c>
      <c r="L169" s="80">
        <f>IF(OR(J169&lt;&gt;"",K169&lt;&gt;""),OFFSET('PARÁMETROS'!$B$2,K169,J169),"")</f>
        <v>4</v>
      </c>
      <c r="M169" s="80">
        <v>4.0</v>
      </c>
      <c r="N169" s="80">
        <f>IFERROR(L169*M169,"")</f>
        <v>16</v>
      </c>
      <c r="O169" s="89" t="str">
        <f>IF(N169="","",IFERROR(IF(N169&lt;=2,"ACEPTABLE",IF(N169&lt;=6,"BAJA",IF(N169&lt;=10,"ACEPTABLE CON REVISIÓN",IF(N169&lt;=15,"SUSTANCIAL","INACEPTABLE")))),""))</f>
        <v>INACEPTABLE</v>
      </c>
      <c r="P169" s="109" t="s">
        <v>302</v>
      </c>
      <c r="Q169" s="110" t="s">
        <v>495</v>
      </c>
      <c r="R169" s="110" t="s">
        <v>106</v>
      </c>
      <c r="S169" s="110" t="s">
        <v>265</v>
      </c>
      <c r="T169" s="111" t="s">
        <v>7</v>
      </c>
      <c r="U169" s="111" t="s">
        <v>182</v>
      </c>
      <c r="V169" s="111" t="str">
        <f>IFERROR(IF(AA169="SEGURIDAD",OFFSET('PARÁMETROS'!$K$2,MATCH(U169,JC_SE,0),MATCH(T169,CC_SE,0)),
IF(OR(AA169="DSRC/Estratégico",AA169="DSRC/Operativo"),OFFSET('PARÁMETROS'!$K$11,MATCH(U169,JC_DS,0),MATCH(T169,CC_DS,0)),
IF(AA169="SALUD",OFFSET('PARÁMETROS'!$K$29,MATCH(U169,JC_SA,0),MATCH(T169,CC_SA,0)),
IF(AA169="MEDIO AMBIENTE",OFFSET('PARÁMETROS'!$K$20,MATCH(U169,JC_MA,0),MATCH(T169,CC_MA,0)),
IF(AA169="Rel. Gubernamentales",OFFSET('PARÁMETROS'!$K$48,MATCH(U169,JC_G,0),MATCH(T169,CC_G,0)),
IF(AA169="OPERACIONAL",OFFSET('PARÁMETROS'!$K$56,MATCH(U169,JC_OP,0),MATCH(T169,CC_OP,0)),
IF(AA169="FINANCIERO",OFFSET('PARÁMETROS'!$K$56,MATCH(U169,JC_FI,0),MATCH(T169,CC_FI,0)),
OFFSET('PARÁMETROS'!$K$38,MATCH(U169,JC_L,0),MATCH(T169,CC_L,0))))))))),"")</f>
        <v>Control/Acción Satisfactorio</v>
      </c>
      <c r="W169" s="89" t="str">
        <f>IF(E169="","",
IF(COUNTA( V169:V173)-COUNTBLANK( V169:V173)=1,
IF(O169="INACEPTABLE",IF(COUNTIF( V169:V173,"Control/Acción Eficaz")&gt;=1,"SUSTANCIAL","INACEPTABLE"),
IF(O169="SUSTANCIAL",IF(COUNTIF( V169:V173,"Control/Acción Eficaz")&gt;=1,"ACEPTABLE CON REVISIÓN","SUSTANCIAL"),
IF(O169="ACEPTABLE CON REVISIÓN",IF(COUNTIF( V169:V173,"Control/Acción Eficaz")&gt;=1,"BAJA","ACEPTABLE CON REVISIÓN"),
IF(O169="BAJA",IF(COUNTIF( V169:V173,"Control/Acción Eficaz")&gt;=1,"ACEPTABLE","BAJA"),)))),
IF(COUNTA( V169:V173)-COUNTBLANK( V169:V173)=2,
IF(O169="INACEPTABLE",IF(COUNTIF( V169:V173,"Control/Acción Eficaz")=2,"ACEPTABLE CON REVISIÓN",
IF(OR(AND(COUNTIF( V169:V173,"Control/Acción Eficaz")=1,COUNTIF( V169:V173,"Control/Acción Satisfactorio")=1),
AND(COUNTIF( V169:V173,"Control/Acción Eficaz")=1,COUNTIF( V169:V173,"Control/Acción No Eficaz")=1)),"SUSTANCIAL","INACEPTABLE")),
IF(O169="SUSTANCIAL",IF(COUNTIF( V169:V173,"Control/Acción Eficaz")=2,"BAJA",
IF(OR(AND(COUNTIF( V169:V173,"Control/Acción Eficaz")=1,COUNTIF( V169:V173,"Control/Acción Satisfactorio")=1),
AND(COUNTIF( V169:V173,"Control/Acción Eficaz")=1,COUNTIF( V169:V173,"Control/Acción No Eficaz")=1)),"ACEPTABLE CON REVISIÓN ","SUSTANCIAL")),
IF(O169="ACEPTABLE CON REVISIÓN",IF(COUNTIF( V169:V173,"Control/Acción Eficaz")=2,"ACEPTABLE",
IF(OR(AND(COUNTIF( V169:V173,"Control/Acción Eficaz")=1,COUNTIF( V169:V173,"Control/Acción Satisfactorio")=1),
AND(COUNTIF( V169:V173,"Control/Acción Eficaz")=1,COUNTIF( V169:V173,"Control/Acción No Eficaz")=1)),"BAJA","ACEPTABLE CON REVISIÓN")),
IF(O169="BAJA",IF(COUNTIF( V169:V173,"Control/Acción Eficaz")&gt;=2,"ACEPTABLE","BAJA"),)))),
IF(COUNTA( V169:V173)-COUNTBLANK( V169:V173)&gt;=3,
IF(O169="INACEPTABLE",
IF(COUNTBLANK( V169:V173)=COUNTA( V169:V173),"",
IF(COUNTIF( V169:V173,"Control/Acción No Eficaz")&gt;=2,"INACEPTABLE",
IF(AND(COUNTIF( V169:V173,"Control/Acción No Eficaz")=0,COUNTIF( V169:V173,"Control/Acción Eficaz")&gt;=2),"ACEPTABLE CON REVISIÓN ","SUSTANCIAL"))),
IF(O169="SUSTANCIAL",
IF(COUNTBLANK( V169:V173)=COUNTA( V169:V173),"",
IF(COUNTIF( V169:V173,"Control/Acción No Eficaz")&gt;=2,"SUSTANCIAL",
IF(AND(COUNTIF( V169:V173,"Control/Acción No Eficaz")=0,COUNTIF( V169:V173,"Control/Acción Eficaz")&gt;=2),"BAJA","ACEPTABLE CON REVISIÓN"))),
IF(O169="ACEPTABLE CON REVISIÓN",
IF(COUNTBLANK( V169:V173)=COUNTA( V169:V173),"",
IF(COUNTIF( V169:V173,"Control/Acción No Eficaz")&gt;=2,"ACEPTABLE CON REVISIÓN",
IF(AND(COUNTIF( V169:V173,"Control/Acción No Eficaz")=0,COUNTIF( V169:V173,"Control/Acción Eficaz")&gt;=2),"ACEPTABLE","BAJA"))),
IF(O169="BAJA",
IF(COUNTBLANK( V169:V173)=COUNTA( V169:V173),"",
IF(AND(COUNTBLANK( V169:V173)&lt;1,COUNTA( V169:V173)=1),
IF(COUNTIF( V169:V173,"Control/Acción No Eficaz")&gt;=2,"BAJA",
IF(AND(COUNTIF( V169:V173,"Control/Acción No Eficaz")=0,COUNTIF( V169:V173,"Control/Acción Eficaz")&gt;=2),"ACEPTABLE","BAJA")),
IF(COUNTIF( V169:V173,"Control/Acción No Eficaz")&gt;=2,"BAJA",
IF(AND(COUNTIF( V169:V173,"Control/Acción No Eficaz")=0,COUNTIF( V169:V173,"Control/Acción Eficaz")&gt;=2),"ACEPTABLE","BAJA")))),
IF(COUNTIF( V169:V173,"")&gt;=5,"",O169))))),
""))))</f>
        <v>ACEPTABLE CON REVISIÓN </v>
      </c>
      <c r="X169" s="111"/>
      <c r="Y169" s="115"/>
      <c r="Z169" s="30" t="s">
        <v>314</v>
      </c>
      <c r="AA169" s="32" t="str">
        <f>E169</f>
        <v>Seguridad</v>
      </c>
      <c r="AB169" s="33"/>
    </row>
    <row r="170" ht="105.0" customHeight="1">
      <c r="A170" s="116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8" t="s">
        <v>258</v>
      </c>
      <c r="Q170" s="119" t="s">
        <v>559</v>
      </c>
      <c r="R170" s="119" t="s">
        <v>142</v>
      </c>
      <c r="S170" s="119" t="s">
        <v>84</v>
      </c>
      <c r="T170" s="120" t="s">
        <v>6</v>
      </c>
      <c r="U170" s="120" t="s">
        <v>162</v>
      </c>
      <c r="V170" s="120" t="str">
        <f>IFERROR(IF(AA170="SEGURIDAD",OFFSET('PARÁMETROS'!$K$2,MATCH(U170,JC_SE,0),MATCH(T170,CC_SE,0)),
IF(OR(AA170="DSRC/Estratégico",AA170="DSRC/Operativo"),OFFSET('PARÁMETROS'!$K$11,MATCH(U170,JC_DS,0),MATCH(T170,CC_DS,0)),
IF(AA170="SALUD",OFFSET('PARÁMETROS'!$K$29,MATCH(U170,JC_SA,0),MATCH(T170,CC_SA,0)),
IF(AA170="MEDIO AMBIENTE",OFFSET('PARÁMETROS'!$K$20,MATCH(U170,JC_MA,0),MATCH(T170,CC_MA,0)),
IF(AA170="Rel. Gubernamentales",OFFSET('PARÁMETROS'!$K$48,MATCH(U170,JC_G,0),MATCH(T170,CC_G,0)),
IF(AA170="OPERACIONAL",OFFSET('PARÁMETROS'!$K$56,MATCH(U170,JC_OP,0),MATCH(T170,CC_OP,0)),
IF(AA170="FINANCIERO",OFFSET('PARÁMETROS'!$K$56,MATCH(U170,JC_FI,0),MATCH(T170,CC_FI,0)),
OFFSET('PARÁMETROS'!$K$38,MATCH(U170,JC_L,0),MATCH(T170,CC_L,0))))))))),"")</f>
        <v>Control/Acción Satisfactorio</v>
      </c>
      <c r="W170" s="117"/>
      <c r="X170" s="120"/>
      <c r="Y170" s="121"/>
      <c r="Z170" s="30" t="s">
        <v>314</v>
      </c>
      <c r="AA170" s="32" t="str">
        <f>E169</f>
        <v>Seguridad</v>
      </c>
      <c r="AB170" s="33"/>
    </row>
    <row r="171" ht="105.0" customHeight="1">
      <c r="A171" s="116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8" t="s">
        <v>196</v>
      </c>
      <c r="Q171" s="119" t="s">
        <v>557</v>
      </c>
      <c r="R171" s="119" t="s">
        <v>142</v>
      </c>
      <c r="S171" s="119" t="s">
        <v>295</v>
      </c>
      <c r="T171" s="120" t="s">
        <v>7</v>
      </c>
      <c r="U171" s="120" t="s">
        <v>162</v>
      </c>
      <c r="V171" s="120" t="str">
        <f>IFERROR(IF(AA171="SEGURIDAD",OFFSET('PARÁMETROS'!$K$2,MATCH(U171,JC_SE,0),MATCH(T171,CC_SE,0)),
IF(OR(AA171="DSRC/Estratégico",AA171="DSRC/Operativo"),OFFSET('PARÁMETROS'!$K$11,MATCH(U171,JC_DS,0),MATCH(T171,CC_DS,0)),
IF(AA171="SALUD",OFFSET('PARÁMETROS'!$K$29,MATCH(U171,JC_SA,0),MATCH(T171,CC_SA,0)),
IF(AA171="MEDIO AMBIENTE",OFFSET('PARÁMETROS'!$K$20,MATCH(U171,JC_MA,0),MATCH(T171,CC_MA,0)),
IF(AA171="Rel. Gubernamentales",OFFSET('PARÁMETROS'!$K$48,MATCH(U171,JC_G,0),MATCH(T171,CC_G,0)),
IF(AA171="OPERACIONAL",OFFSET('PARÁMETROS'!$K$56,MATCH(U171,JC_OP,0),MATCH(T171,CC_OP,0)),
IF(AA171="FINANCIERO",OFFSET('PARÁMETROS'!$K$56,MATCH(U171,JC_FI,0),MATCH(T171,CC_FI,0)),
OFFSET('PARÁMETROS'!$K$38,MATCH(U171,JC_L,0),MATCH(T171,CC_L,0))))))))),"")</f>
        <v>Control/Acción Eficaz</v>
      </c>
      <c r="W171" s="117"/>
      <c r="X171" s="120"/>
      <c r="Y171" s="121"/>
      <c r="Z171" s="30"/>
      <c r="AA171" s="32" t="str">
        <f>E169</f>
        <v>Seguridad</v>
      </c>
      <c r="AB171" s="155" t="s">
        <v>558</v>
      </c>
    </row>
    <row r="172" ht="105.0" customHeight="1">
      <c r="A172" s="116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8" t="s">
        <v>117</v>
      </c>
      <c r="Q172" s="119" t="s">
        <v>491</v>
      </c>
      <c r="R172" s="119" t="s">
        <v>142</v>
      </c>
      <c r="S172" s="119" t="s">
        <v>295</v>
      </c>
      <c r="T172" s="120" t="s">
        <v>7</v>
      </c>
      <c r="U172" s="120" t="s">
        <v>111</v>
      </c>
      <c r="V172" s="120" t="str">
        <f>IFERROR(IF(AA172="SEGURIDAD",OFFSET('PARÁMETROS'!$K$2,MATCH(U172,JC_SE,0),MATCH(T172,CC_SE,0)),
IF(OR(AA172="DSRC/Estratégico",AA172="DSRC/Operativo"),OFFSET('PARÁMETROS'!$K$11,MATCH(U172,JC_DS,0),MATCH(T172,CC_DS,0)),
IF(AA172="SALUD",OFFSET('PARÁMETROS'!$K$29,MATCH(U172,JC_SA,0),MATCH(T172,CC_SA,0)),
IF(AA172="MEDIO AMBIENTE",OFFSET('PARÁMETROS'!$K$20,MATCH(U172,JC_MA,0),MATCH(T172,CC_MA,0)),
IF(AA172="Rel. Gubernamentales",OFFSET('PARÁMETROS'!$K$48,MATCH(U172,JC_G,0),MATCH(T172,CC_G,0)),
IF(AA172="OPERACIONAL",OFFSET('PARÁMETROS'!$K$56,MATCH(U172,JC_OP,0),MATCH(T172,CC_OP,0)),
IF(AA172="FINANCIERO",OFFSET('PARÁMETROS'!$K$56,MATCH(U172,JC_FI,0),MATCH(T172,CC_FI,0)),
OFFSET('PARÁMETROS'!$K$38,MATCH(U172,JC_L,0),MATCH(T172,CC_L,0))))))))),"")</f>
        <v>Control/Acción Eficaz</v>
      </c>
      <c r="W172" s="117"/>
      <c r="X172" s="120"/>
      <c r="Y172" s="121"/>
      <c r="Z172" s="30" t="s">
        <v>314</v>
      </c>
      <c r="AA172" s="32" t="str">
        <f>E169</f>
        <v>Seguridad</v>
      </c>
      <c r="AB172" s="33"/>
    </row>
    <row r="173" ht="105.0" customHeight="1">
      <c r="A173" s="68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134" t="s">
        <v>196</v>
      </c>
      <c r="Q173" s="135" t="s">
        <v>555</v>
      </c>
      <c r="R173" s="135" t="s">
        <v>142</v>
      </c>
      <c r="S173" s="135" t="s">
        <v>167</v>
      </c>
      <c r="T173" s="136" t="s">
        <v>7</v>
      </c>
      <c r="U173" s="136" t="s">
        <v>162</v>
      </c>
      <c r="V173" s="136" t="str">
        <f>IFERROR(IF(AA173="SEGURIDAD",OFFSET('PARÁMETROS'!$K$2,MATCH(U173,JC_SE,0),MATCH(T173,CC_SE,0)),
IF(OR(AA173="DSRC/Estratégico",AA173="DSRC/Operativo"),OFFSET('PARÁMETROS'!$K$11,MATCH(U173,JC_DS,0),MATCH(T173,CC_DS,0)),
IF(AA173="SALUD",OFFSET('PARÁMETROS'!$K$29,MATCH(U173,JC_SA,0),MATCH(T173,CC_SA,0)),
IF(AA173="MEDIO AMBIENTE",OFFSET('PARÁMETROS'!$K$20,MATCH(U173,JC_MA,0),MATCH(T173,CC_MA,0)),
IF(AA173="Rel. Gubernamentales",OFFSET('PARÁMETROS'!$K$48,MATCH(U173,JC_G,0),MATCH(T173,CC_G,0)),
IF(AA173="OPERACIONAL",OFFSET('PARÁMETROS'!$K$56,MATCH(U173,JC_OP,0),MATCH(T173,CC_OP,0)),
IF(AA173="FINANCIERO",OFFSET('PARÁMETROS'!$K$56,MATCH(U173,JC_FI,0),MATCH(T173,CC_FI,0)),
OFFSET('PARÁMETROS'!$K$38,MATCH(U173,JC_L,0),MATCH(T173,CC_L,0))))))))),"")</f>
        <v>Control/Acción Eficaz</v>
      </c>
      <c r="W173" s="69"/>
      <c r="X173" s="136"/>
      <c r="Y173" s="137"/>
      <c r="Z173" s="30" t="s">
        <v>534</v>
      </c>
      <c r="AA173" s="32" t="str">
        <f>E169</f>
        <v>Seguridad</v>
      </c>
      <c r="AB173" s="33"/>
    </row>
    <row r="174" ht="105.0" customHeight="1">
      <c r="A174" s="79">
        <v>23.0</v>
      </c>
      <c r="B174" s="80" t="s">
        <v>172</v>
      </c>
      <c r="C174" s="80" t="s">
        <v>560</v>
      </c>
      <c r="D174" s="80" t="s">
        <v>177</v>
      </c>
      <c r="E174" s="80" t="s">
        <v>181</v>
      </c>
      <c r="F174" s="80" t="s">
        <v>277</v>
      </c>
      <c r="G174" s="80" t="s">
        <v>443</v>
      </c>
      <c r="H174" s="80" t="s">
        <v>410</v>
      </c>
      <c r="I174" s="80" t="s">
        <v>444</v>
      </c>
      <c r="J174" s="80">
        <v>3.0</v>
      </c>
      <c r="K174" s="80">
        <v>2.0</v>
      </c>
      <c r="L174" s="80">
        <f>IF(OR(J174&lt;&gt;"",K174&lt;&gt;""),OFFSET('PARÁMETROS'!$B$2,K174,J174),"")</f>
        <v>4</v>
      </c>
      <c r="M174" s="80">
        <v>5.0</v>
      </c>
      <c r="N174" s="80">
        <f>IFERROR(L174*M174,"")</f>
        <v>20</v>
      </c>
      <c r="O174" s="89" t="str">
        <f>IF(N174="","",IFERROR(IF(N174&lt;=2,"ACEPTABLE",IF(N174&lt;=6,"BAJA",IF(N174&lt;=10,"ACEPTABLE CON REVISIÓN",IF(N174&lt;=15,"SUSTANCIAL","INACEPTABLE")))),""))</f>
        <v>INACEPTABLE</v>
      </c>
      <c r="P174" s="109" t="s">
        <v>258</v>
      </c>
      <c r="Q174" s="110" t="s">
        <v>445</v>
      </c>
      <c r="R174" s="110" t="s">
        <v>142</v>
      </c>
      <c r="S174" s="110" t="s">
        <v>120</v>
      </c>
      <c r="T174" s="111" t="s">
        <v>6</v>
      </c>
      <c r="U174" s="111" t="s">
        <v>162</v>
      </c>
      <c r="V174" s="111" t="str">
        <f>IFERROR(IF(AA174="SEGURIDAD",OFFSET('PARÁMETROS'!$K$2,MATCH(U174,JC_SE,0),MATCH(T174,CC_SE,0)),
IF(OR(AA174="DSRC/Estratégico",AA174="DSRC/Operativo"),OFFSET('PARÁMETROS'!$K$11,MATCH(U174,JC_DS,0),MATCH(T174,CC_DS,0)),
IF(AA174="SALUD",OFFSET('PARÁMETROS'!$K$29,MATCH(U174,JC_SA,0),MATCH(T174,CC_SA,0)),
IF(AA174="MEDIO AMBIENTE",OFFSET('PARÁMETROS'!$K$20,MATCH(U174,JC_MA,0),MATCH(T174,CC_MA,0)),
IF(AA174="Rel. Gubernamentales",OFFSET('PARÁMETROS'!$K$48,MATCH(U174,JC_G,0),MATCH(T174,CC_G,0)),
IF(AA174="OPERACIONAL",OFFSET('PARÁMETROS'!$K$56,MATCH(U174,JC_OP,0),MATCH(T174,CC_OP,0)),
IF(AA174="FINANCIERO",OFFSET('PARÁMETROS'!$K$56,MATCH(U174,JC_FI,0),MATCH(T174,CC_FI,0)),
OFFSET('PARÁMETROS'!$K$38,MATCH(U174,JC_L,0),MATCH(T174,CC_L,0))))))))),"")</f>
        <v>Control/Acción Satisfactorio</v>
      </c>
      <c r="W174" s="89" t="str">
        <f>IF(E174="","",
IF(COUNTA( V174:V182)-COUNTBLANK( V174:V182)=1,
IF(O174="INACEPTABLE",IF(COUNTIF( V174:V182,"Control/Acción Eficaz")&gt;=1,"SUSTANCIAL","INACEPTABLE"),
IF(O174="SUSTANCIAL",IF(COUNTIF( V174:V182,"Control/Acción Eficaz")&gt;=1,"ACEPTABLE CON REVISIÓN","SUSTANCIAL"),
IF(O174="ACEPTABLE CON REVISIÓN",IF(COUNTIF( V174:V182,"Control/Acción Eficaz")&gt;=1,"BAJA","ACEPTABLE CON REVISIÓN"),
IF(O174="BAJA",IF(COUNTIF( V174:V182,"Control/Acción Eficaz")&gt;=1,"ACEPTABLE","BAJA"),)))),
IF(COUNTA( V174:V182)-COUNTBLANK( V174:V182)=2,
IF(O174="INACEPTABLE",IF(COUNTIF( V174:V182,"Control/Acción Eficaz")=2,"ACEPTABLE CON REVISIÓN",
IF(OR(AND(COUNTIF( V174:V182,"Control/Acción Eficaz")=1,COUNTIF( V174:V182,"Control/Acción Satisfactorio")=1),
AND(COUNTIF( V174:V182,"Control/Acción Eficaz")=1,COUNTIF( V174:V182,"Control/Acción No Eficaz")=1)),"SUSTANCIAL","INACEPTABLE")),
IF(O174="SUSTANCIAL",IF(COUNTIF( V174:V182,"Control/Acción Eficaz")=2,"BAJA",
IF(OR(AND(COUNTIF( V174:V182,"Control/Acción Eficaz")=1,COUNTIF( V174:V182,"Control/Acción Satisfactorio")=1),
AND(COUNTIF( V174:V182,"Control/Acción Eficaz")=1,COUNTIF( V174:V182,"Control/Acción No Eficaz")=1)),"ACEPTABLE CON REVISIÓN ","SUSTANCIAL")),
IF(O174="ACEPTABLE CON REVISIÓN",IF(COUNTIF( V174:V182,"Control/Acción Eficaz")=2,"ACEPTABLE",
IF(OR(AND(COUNTIF( V174:V182,"Control/Acción Eficaz")=1,COUNTIF( V174:V182,"Control/Acción Satisfactorio")=1),
AND(COUNTIF( V174:V182,"Control/Acción Eficaz")=1,COUNTIF( V174:V182,"Control/Acción No Eficaz")=1)),"BAJA","ACEPTABLE CON REVISIÓN")),
IF(O174="BAJA",IF(COUNTIF( V174:V182,"Control/Acción Eficaz")&gt;=2,"ACEPTABLE","BAJA"),)))),
IF(COUNTA( V174:V182)-COUNTBLANK( V174:V182)&gt;=3,
IF(O174="INACEPTABLE",
IF(COUNTBLANK( V174:V182)=COUNTA( V174:V182),"",
IF(COUNTIF( V174:V182,"Control/Acción No Eficaz")&gt;=2,"INACEPTABLE",
IF(AND(COUNTIF( V174:V182,"Control/Acción No Eficaz")=0,COUNTIF( V174:V182,"Control/Acción Eficaz")&gt;=2),"ACEPTABLE CON REVISIÓN ","SUSTANCIAL"))),
IF(O174="SUSTANCIAL",
IF(COUNTBLANK( V174:V182)=COUNTA( V174:V182),"",
IF(COUNTIF( V174:V182,"Control/Acción No Eficaz")&gt;=2,"SUSTANCIAL",
IF(AND(COUNTIF( V174:V182,"Control/Acción No Eficaz")=0,COUNTIF( V174:V182,"Control/Acción Eficaz")&gt;=2),"BAJA","ACEPTABLE CON REVISIÓN"))),
IF(O174="ACEPTABLE CON REVISIÓN",
IF(COUNTBLANK( V174:V182)=COUNTA( V174:V182),"",
IF(COUNTIF( V174:V182,"Control/Acción No Eficaz")&gt;=2,"ACEPTABLE CON REVISIÓN",
IF(AND(COUNTIF( V174:V182,"Control/Acción No Eficaz")=0,COUNTIF( V174:V182,"Control/Acción Eficaz")&gt;=2),"ACEPTABLE","BAJA"))),
IF(O174="BAJA",
IF(COUNTBLANK( V174:V182)=COUNTA( V174:V182),"",
IF(AND(COUNTBLANK( V174:V182)&lt;1,COUNTA( V174:V182)=1),
IF(COUNTIF( V174:V182,"Control/Acción No Eficaz")&gt;=2,"BAJA",
IF(AND(COUNTIF( V174:V182,"Control/Acción No Eficaz")=0,COUNTIF( V174:V182,"Control/Acción Eficaz")&gt;=2),"ACEPTABLE","BAJA")),
IF(COUNTIF( V174:V182,"Control/Acción No Eficaz")&gt;=2,"BAJA",
IF(AND(COUNTIF( V174:V182,"Control/Acción No Eficaz")=0,COUNTIF( V174:V182,"Control/Acción Eficaz")&gt;=2),"ACEPTABLE","BAJA")))),
IF(COUNTIF( V174:V182,"")&gt;=5,"",O174))))),
""))))</f>
        <v>INACEPTABLE</v>
      </c>
      <c r="X174" s="111"/>
      <c r="Y174" s="115"/>
      <c r="Z174" s="30" t="s">
        <v>314</v>
      </c>
      <c r="AA174" s="32" t="str">
        <f>E174</f>
        <v>Seguridad</v>
      </c>
      <c r="AB174" s="33"/>
    </row>
    <row r="175" ht="105.0" customHeight="1">
      <c r="A175" s="116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8" t="s">
        <v>230</v>
      </c>
      <c r="Q175" s="119" t="s">
        <v>447</v>
      </c>
      <c r="R175" s="119" t="s">
        <v>83</v>
      </c>
      <c r="S175" s="119" t="s">
        <v>51</v>
      </c>
      <c r="T175" s="120" t="s">
        <v>7</v>
      </c>
      <c r="U175" s="120" t="s">
        <v>162</v>
      </c>
      <c r="V175" s="120" t="str">
        <f>IFERROR(IF(AA175="SEGURIDAD",OFFSET('PARÁMETROS'!$K$2,MATCH(U175,JC_SE,0),MATCH(T175,CC_SE,0)),
IF(OR(AA175="DSRC/Estratégico",AA175="DSRC/Operativo"),OFFSET('PARÁMETROS'!$K$11,MATCH(U175,JC_DS,0),MATCH(T175,CC_DS,0)),
IF(AA175="SALUD",OFFSET('PARÁMETROS'!$K$29,MATCH(U175,JC_SA,0),MATCH(T175,CC_SA,0)),
IF(AA175="MEDIO AMBIENTE",OFFSET('PARÁMETROS'!$K$20,MATCH(U175,JC_MA,0),MATCH(T175,CC_MA,0)),
IF(AA175="Rel. Gubernamentales",OFFSET('PARÁMETROS'!$K$48,MATCH(U175,JC_G,0),MATCH(T175,CC_G,0)),
IF(AA175="OPERACIONAL",OFFSET('PARÁMETROS'!$K$56,MATCH(U175,JC_OP,0),MATCH(T175,CC_OP,0)),
IF(AA175="FINANCIERO",OFFSET('PARÁMETROS'!$K$56,MATCH(U175,JC_FI,0),MATCH(T175,CC_FI,0)),
OFFSET('PARÁMETROS'!$K$38,MATCH(U175,JC_L,0),MATCH(T175,CC_L,0))))))))),"")</f>
        <v>Control/Acción Eficaz</v>
      </c>
      <c r="W175" s="117"/>
      <c r="X175" s="120"/>
      <c r="Y175" s="121"/>
      <c r="Z175" s="30" t="s">
        <v>314</v>
      </c>
      <c r="AA175" s="32" t="str">
        <f>E174</f>
        <v>Seguridad</v>
      </c>
      <c r="AB175" s="33"/>
    </row>
    <row r="176" ht="105.0" customHeight="1">
      <c r="A176" s="116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8" t="s">
        <v>196</v>
      </c>
      <c r="Q176" s="119" t="s">
        <v>539</v>
      </c>
      <c r="R176" s="119" t="s">
        <v>142</v>
      </c>
      <c r="S176" s="119" t="s">
        <v>186</v>
      </c>
      <c r="T176" s="120" t="s">
        <v>7</v>
      </c>
      <c r="U176" s="120" t="s">
        <v>162</v>
      </c>
      <c r="V176" s="120" t="str">
        <f>IFERROR(IF(AA176="SEGURIDAD",OFFSET('PARÁMETROS'!$K$2,MATCH(U176,JC_SE,0),MATCH(T176,CC_SE,0)),
IF(OR(AA176="DSRC/Estratégico",AA176="DSRC/Operativo"),OFFSET('PARÁMETROS'!$K$11,MATCH(U176,JC_DS,0),MATCH(T176,CC_DS,0)),
IF(AA176="SALUD",OFFSET('PARÁMETROS'!$K$29,MATCH(U176,JC_SA,0),MATCH(T176,CC_SA,0)),
IF(AA176="MEDIO AMBIENTE",OFFSET('PARÁMETROS'!$K$20,MATCH(U176,JC_MA,0),MATCH(T176,CC_MA,0)),
IF(AA176="Rel. Gubernamentales",OFFSET('PARÁMETROS'!$K$48,MATCH(U176,JC_G,0),MATCH(T176,CC_G,0)),
IF(AA176="OPERACIONAL",OFFSET('PARÁMETROS'!$K$56,MATCH(U176,JC_OP,0),MATCH(T176,CC_OP,0)),
IF(AA176="FINANCIERO",OFFSET('PARÁMETROS'!$K$56,MATCH(U176,JC_FI,0),MATCH(T176,CC_FI,0)),
OFFSET('PARÁMETROS'!$K$38,MATCH(U176,JC_L,0),MATCH(T176,CC_L,0))))))))),"")</f>
        <v>Control/Acción Eficaz</v>
      </c>
      <c r="W176" s="117"/>
      <c r="X176" s="120"/>
      <c r="Y176" s="121"/>
      <c r="Z176" s="30" t="s">
        <v>314</v>
      </c>
      <c r="AA176" s="32" t="str">
        <f>E174</f>
        <v>Seguridad</v>
      </c>
      <c r="AB176" s="33"/>
    </row>
    <row r="177" ht="105.0" customHeight="1">
      <c r="A177" s="116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8" t="s">
        <v>258</v>
      </c>
      <c r="Q177" s="119" t="s">
        <v>561</v>
      </c>
      <c r="R177" s="119" t="s">
        <v>142</v>
      </c>
      <c r="S177" s="119" t="s">
        <v>120</v>
      </c>
      <c r="T177" s="120" t="s">
        <v>5</v>
      </c>
      <c r="U177" s="120" t="s">
        <v>162</v>
      </c>
      <c r="V177" s="120" t="str">
        <f>IFERROR(IF(AA177="SEGURIDAD",OFFSET('PARÁMETROS'!$K$2,MATCH(U177,JC_SE,0),MATCH(T177,CC_SE,0)),
IF(OR(AA177="DSRC/Estratégico",AA177="DSRC/Operativo"),OFFSET('PARÁMETROS'!$K$11,MATCH(U177,JC_DS,0),MATCH(T177,CC_DS,0)),
IF(AA177="SALUD",OFFSET('PARÁMETROS'!$K$29,MATCH(U177,JC_SA,0),MATCH(T177,CC_SA,0)),
IF(AA177="MEDIO AMBIENTE",OFFSET('PARÁMETROS'!$K$20,MATCH(U177,JC_MA,0),MATCH(T177,CC_MA,0)),
IF(AA177="Rel. Gubernamentales",OFFSET('PARÁMETROS'!$K$48,MATCH(U177,JC_G,0),MATCH(T177,CC_G,0)),
IF(AA177="OPERACIONAL",OFFSET('PARÁMETROS'!$K$56,MATCH(U177,JC_OP,0),MATCH(T177,CC_OP,0)),
IF(AA177="FINANCIERO",OFFSET('PARÁMETROS'!$K$56,MATCH(U177,JC_FI,0),MATCH(T177,CC_FI,0)),
OFFSET('PARÁMETROS'!$K$38,MATCH(U177,JC_L,0),MATCH(T177,CC_L,0))))))))),"")</f>
        <v>Control/Acción No Eficaz</v>
      </c>
      <c r="W177" s="117"/>
      <c r="X177" s="120"/>
      <c r="Y177" s="121"/>
      <c r="Z177" s="30" t="s">
        <v>314</v>
      </c>
      <c r="AA177" s="32" t="str">
        <f>E174</f>
        <v>Seguridad</v>
      </c>
      <c r="AB177" s="33"/>
    </row>
    <row r="178" ht="105.0" customHeight="1">
      <c r="A178" s="116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8" t="s">
        <v>230</v>
      </c>
      <c r="Q178" s="119" t="s">
        <v>562</v>
      </c>
      <c r="R178" s="119" t="s">
        <v>83</v>
      </c>
      <c r="S178" s="119" t="s">
        <v>51</v>
      </c>
      <c r="T178" s="120" t="s">
        <v>7</v>
      </c>
      <c r="U178" s="120" t="s">
        <v>162</v>
      </c>
      <c r="V178" s="120" t="str">
        <f>IFERROR(IF(AA178="SEGURIDAD",OFFSET('PARÁMETROS'!$K$2,MATCH(U178,JC_SE,0),MATCH(T178,CC_SE,0)),
IF(OR(AA178="DSRC/Estratégico",AA178="DSRC/Operativo"),OFFSET('PARÁMETROS'!$K$11,MATCH(U178,JC_DS,0),MATCH(T178,CC_DS,0)),
IF(AA178="SALUD",OFFSET('PARÁMETROS'!$K$29,MATCH(U178,JC_SA,0),MATCH(T178,CC_SA,0)),
IF(AA178="MEDIO AMBIENTE",OFFSET('PARÁMETROS'!$K$20,MATCH(U178,JC_MA,0),MATCH(T178,CC_MA,0)),
IF(AA178="Rel. Gubernamentales",OFFSET('PARÁMETROS'!$K$48,MATCH(U178,JC_G,0),MATCH(T178,CC_G,0)),
IF(AA178="OPERACIONAL",OFFSET('PARÁMETROS'!$K$56,MATCH(U178,JC_OP,0),MATCH(T178,CC_OP,0)),
IF(AA178="FINANCIERO",OFFSET('PARÁMETROS'!$K$56,MATCH(U178,JC_FI,0),MATCH(T178,CC_FI,0)),
OFFSET('PARÁMETROS'!$K$38,MATCH(U178,JC_L,0),MATCH(T178,CC_L,0))))))))),"")</f>
        <v>Control/Acción Eficaz</v>
      </c>
      <c r="W178" s="117"/>
      <c r="X178" s="120"/>
      <c r="Y178" s="121"/>
      <c r="Z178" s="30" t="s">
        <v>314</v>
      </c>
      <c r="AA178" s="32" t="str">
        <f>E174</f>
        <v>Seguridad</v>
      </c>
      <c r="AB178" s="33"/>
    </row>
    <row r="179" ht="105.0" customHeight="1">
      <c r="A179" s="116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8" t="s">
        <v>258</v>
      </c>
      <c r="Q179" s="119" t="s">
        <v>563</v>
      </c>
      <c r="R179" s="119" t="s">
        <v>142</v>
      </c>
      <c r="S179" s="119" t="s">
        <v>84</v>
      </c>
      <c r="T179" s="120" t="s">
        <v>5</v>
      </c>
      <c r="U179" s="120" t="s">
        <v>162</v>
      </c>
      <c r="V179" s="120" t="str">
        <f>IFERROR(IF(AA179="SEGURIDAD",OFFSET('PARÁMETROS'!$K$2,MATCH(U179,JC_SE,0),MATCH(T179,CC_SE,0)),
IF(OR(AA179="DSRC/Estratégico",AA179="DSRC/Operativo"),OFFSET('PARÁMETROS'!$K$11,MATCH(U179,JC_DS,0),MATCH(T179,CC_DS,0)),
IF(AA179="SALUD",OFFSET('PARÁMETROS'!$K$29,MATCH(U179,JC_SA,0),MATCH(T179,CC_SA,0)),
IF(AA179="MEDIO AMBIENTE",OFFSET('PARÁMETROS'!$K$20,MATCH(U179,JC_MA,0),MATCH(T179,CC_MA,0)),
IF(AA179="Rel. Gubernamentales",OFFSET('PARÁMETROS'!$K$48,MATCH(U179,JC_G,0),MATCH(T179,CC_G,0)),
IF(AA179="OPERACIONAL",OFFSET('PARÁMETROS'!$K$56,MATCH(U179,JC_OP,0),MATCH(T179,CC_OP,0)),
IF(AA179="FINANCIERO",OFFSET('PARÁMETROS'!$K$56,MATCH(U179,JC_FI,0),MATCH(T179,CC_FI,0)),
OFFSET('PARÁMETROS'!$K$38,MATCH(U179,JC_L,0),MATCH(T179,CC_L,0))))))))),"")</f>
        <v>Control/Acción No Eficaz</v>
      </c>
      <c r="W179" s="117"/>
      <c r="X179" s="120"/>
      <c r="Y179" s="121"/>
      <c r="Z179" s="30" t="s">
        <v>314</v>
      </c>
      <c r="AA179" s="32" t="str">
        <f>E174</f>
        <v>Seguridad</v>
      </c>
      <c r="AB179" s="33"/>
    </row>
    <row r="180" ht="105.0" customHeight="1">
      <c r="A180" s="116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8" t="s">
        <v>196</v>
      </c>
      <c r="Q180" s="119" t="s">
        <v>539</v>
      </c>
      <c r="R180" s="119" t="s">
        <v>142</v>
      </c>
      <c r="S180" s="119" t="s">
        <v>186</v>
      </c>
      <c r="T180" s="120" t="s">
        <v>7</v>
      </c>
      <c r="U180" s="120" t="s">
        <v>162</v>
      </c>
      <c r="V180" s="120" t="str">
        <f>IFERROR(IF(AA180="SEGURIDAD",OFFSET('PARÁMETROS'!$K$2,MATCH(U180,JC_SE,0),MATCH(T180,CC_SE,0)),
IF(OR(AA180="DSRC/Estratégico",AA180="DSRC/Operativo"),OFFSET('PARÁMETROS'!$K$11,MATCH(U180,JC_DS,0),MATCH(T180,CC_DS,0)),
IF(AA180="SALUD",OFFSET('PARÁMETROS'!$K$29,MATCH(U180,JC_SA,0),MATCH(T180,CC_SA,0)),
IF(AA180="MEDIO AMBIENTE",OFFSET('PARÁMETROS'!$K$20,MATCH(U180,JC_MA,0),MATCH(T180,CC_MA,0)),
IF(AA180="Rel. Gubernamentales",OFFSET('PARÁMETROS'!$K$48,MATCH(U180,JC_G,0),MATCH(T180,CC_G,0)),
IF(AA180="OPERACIONAL",OFFSET('PARÁMETROS'!$K$56,MATCH(U180,JC_OP,0),MATCH(T180,CC_OP,0)),
IF(AA180="FINANCIERO",OFFSET('PARÁMETROS'!$K$56,MATCH(U180,JC_FI,0),MATCH(T180,CC_FI,0)),
OFFSET('PARÁMETROS'!$K$38,MATCH(U180,JC_L,0),MATCH(T180,CC_L,0))))))))),"")</f>
        <v>Control/Acción Eficaz</v>
      </c>
      <c r="W180" s="117"/>
      <c r="X180" s="120"/>
      <c r="Y180" s="121"/>
      <c r="Z180" s="30" t="s">
        <v>314</v>
      </c>
      <c r="AA180" s="32" t="str">
        <f>E174</f>
        <v>Seguridad</v>
      </c>
      <c r="AB180" s="33"/>
    </row>
    <row r="181" ht="105.0" customHeight="1">
      <c r="A181" s="116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8" t="s">
        <v>230</v>
      </c>
      <c r="Q181" s="119" t="s">
        <v>447</v>
      </c>
      <c r="R181" s="119" t="s">
        <v>83</v>
      </c>
      <c r="S181" s="119" t="s">
        <v>51</v>
      </c>
      <c r="T181" s="120" t="s">
        <v>7</v>
      </c>
      <c r="U181" s="120" t="s">
        <v>162</v>
      </c>
      <c r="V181" s="120" t="str">
        <f>IFERROR(IF(AA181="SEGURIDAD",OFFSET('PARÁMETROS'!$K$2,MATCH(U181,JC_SE,0),MATCH(T181,CC_SE,0)),
IF(OR(AA181="DSRC/Estratégico",AA181="DSRC/Operativo"),OFFSET('PARÁMETROS'!$K$11,MATCH(U181,JC_DS,0),MATCH(T181,CC_DS,0)),
IF(AA181="SALUD",OFFSET('PARÁMETROS'!$K$29,MATCH(U181,JC_SA,0),MATCH(T181,CC_SA,0)),
IF(AA181="MEDIO AMBIENTE",OFFSET('PARÁMETROS'!$K$20,MATCH(U181,JC_MA,0),MATCH(T181,CC_MA,0)),
IF(AA181="Rel. Gubernamentales",OFFSET('PARÁMETROS'!$K$48,MATCH(U181,JC_G,0),MATCH(T181,CC_G,0)),
IF(AA181="OPERACIONAL",OFFSET('PARÁMETROS'!$K$56,MATCH(U181,JC_OP,0),MATCH(T181,CC_OP,0)),
IF(AA181="FINANCIERO",OFFSET('PARÁMETROS'!$K$56,MATCH(U181,JC_FI,0),MATCH(T181,CC_FI,0)),
OFFSET('PARÁMETROS'!$K$38,MATCH(U181,JC_L,0),MATCH(T181,CC_L,0))))))))),"")</f>
        <v>Control/Acción Eficaz</v>
      </c>
      <c r="W181" s="117"/>
      <c r="X181" s="120"/>
      <c r="Y181" s="121"/>
      <c r="Z181" s="30" t="s">
        <v>314</v>
      </c>
      <c r="AA181" s="32" t="str">
        <f>E174</f>
        <v>Seguridad</v>
      </c>
      <c r="AB181" s="33"/>
    </row>
    <row r="182" ht="105.0" customHeight="1">
      <c r="A182" s="68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134" t="s">
        <v>196</v>
      </c>
      <c r="Q182" s="135" t="s">
        <v>564</v>
      </c>
      <c r="R182" s="135" t="s">
        <v>142</v>
      </c>
      <c r="S182" s="135" t="s">
        <v>167</v>
      </c>
      <c r="T182" s="136" t="s">
        <v>7</v>
      </c>
      <c r="U182" s="136" t="s">
        <v>162</v>
      </c>
      <c r="V182" s="136" t="str">
        <f>IFERROR(IF(AA182="SEGURIDAD",OFFSET('PARÁMETROS'!$K$2,MATCH(U182,JC_SE,0),MATCH(T182,CC_SE,0)),
IF(OR(AA182="DSRC/Estratégico",AA182="DSRC/Operativo"),OFFSET('PARÁMETROS'!$K$11,MATCH(U182,JC_DS,0),MATCH(T182,CC_DS,0)),
IF(AA182="SALUD",OFFSET('PARÁMETROS'!$K$29,MATCH(U182,JC_SA,0),MATCH(T182,CC_SA,0)),
IF(AA182="MEDIO AMBIENTE",OFFSET('PARÁMETROS'!$K$20,MATCH(U182,JC_MA,0),MATCH(T182,CC_MA,0)),
IF(AA182="Rel. Gubernamentales",OFFSET('PARÁMETROS'!$K$48,MATCH(U182,JC_G,0),MATCH(T182,CC_G,0)),
IF(AA182="OPERACIONAL",OFFSET('PARÁMETROS'!$K$56,MATCH(U182,JC_OP,0),MATCH(T182,CC_OP,0)),
IF(AA182="FINANCIERO",OFFSET('PARÁMETROS'!$K$56,MATCH(U182,JC_FI,0),MATCH(T182,CC_FI,0)),
OFFSET('PARÁMETROS'!$K$38,MATCH(U182,JC_L,0),MATCH(T182,CC_L,0))))))))),"")</f>
        <v>Control/Acción Eficaz</v>
      </c>
      <c r="W182" s="69"/>
      <c r="X182" s="136"/>
      <c r="Y182" s="137"/>
      <c r="Z182" s="30" t="s">
        <v>314</v>
      </c>
      <c r="AA182" s="32" t="str">
        <f>E174</f>
        <v>Seguridad</v>
      </c>
      <c r="AB182" s="33"/>
    </row>
    <row r="183" ht="105.0" customHeight="1">
      <c r="A183" s="79">
        <v>24.0</v>
      </c>
      <c r="B183" s="80" t="s">
        <v>172</v>
      </c>
      <c r="C183" s="80" t="s">
        <v>560</v>
      </c>
      <c r="D183" s="80" t="s">
        <v>177</v>
      </c>
      <c r="E183" s="80" t="s">
        <v>181</v>
      </c>
      <c r="F183" s="80" t="s">
        <v>293</v>
      </c>
      <c r="G183" s="80" t="s">
        <v>565</v>
      </c>
      <c r="H183" s="80" t="s">
        <v>410</v>
      </c>
      <c r="I183" s="80" t="s">
        <v>566</v>
      </c>
      <c r="J183" s="80">
        <v>4.0</v>
      </c>
      <c r="K183" s="80">
        <v>2.0</v>
      </c>
      <c r="L183" s="80">
        <f>IF(OR(J183&lt;&gt;"",K183&lt;&gt;""),OFFSET('PARÁMETROS'!$B$2,K183,J183),"")</f>
        <v>3</v>
      </c>
      <c r="M183" s="80">
        <v>4.0</v>
      </c>
      <c r="N183" s="80">
        <f>IFERROR(L183*M183,"")</f>
        <v>12</v>
      </c>
      <c r="O183" s="89" t="str">
        <f>IF(N183="","",IFERROR(IF(N183&lt;=2,"ACEPTABLE",IF(N183&lt;=6,"BAJA",IF(N183&lt;=10,"ACEPTABLE CON REVISIÓN",IF(N183&lt;=15,"SUSTANCIAL","INACEPTABLE")))),""))</f>
        <v>SUSTANCIAL</v>
      </c>
      <c r="P183" s="109" t="s">
        <v>269</v>
      </c>
      <c r="Q183" s="110" t="s">
        <v>567</v>
      </c>
      <c r="R183" s="110" t="s">
        <v>106</v>
      </c>
      <c r="S183" s="110" t="s">
        <v>265</v>
      </c>
      <c r="T183" s="111" t="s">
        <v>7</v>
      </c>
      <c r="U183" s="111" t="s">
        <v>162</v>
      </c>
      <c r="V183" s="111" t="str">
        <f>IFERROR(IF(AA183="SEGURIDAD",OFFSET('PARÁMETROS'!$K$2,MATCH(U183,JC_SE,0),MATCH(T183,CC_SE,0)),
IF(OR(AA183="DSRC/Estratégico",AA183="DSRC/Operativo"),OFFSET('PARÁMETROS'!$K$11,MATCH(U183,JC_DS,0),MATCH(T183,CC_DS,0)),
IF(AA183="SALUD",OFFSET('PARÁMETROS'!$K$29,MATCH(U183,JC_SA,0),MATCH(T183,CC_SA,0)),
IF(AA183="MEDIO AMBIENTE",OFFSET('PARÁMETROS'!$K$20,MATCH(U183,JC_MA,0),MATCH(T183,CC_MA,0)),
IF(AA183="Rel. Gubernamentales",OFFSET('PARÁMETROS'!$K$48,MATCH(U183,JC_G,0),MATCH(T183,CC_G,0)),
IF(AA183="OPERACIONAL",OFFSET('PARÁMETROS'!$K$56,MATCH(U183,JC_OP,0),MATCH(T183,CC_OP,0)),
IF(AA183="FINANCIERO",OFFSET('PARÁMETROS'!$K$56,MATCH(U183,JC_FI,0),MATCH(T183,CC_FI,0)),
OFFSET('PARÁMETROS'!$K$38,MATCH(U183,JC_L,0),MATCH(T183,CC_L,0))))))))),"")</f>
        <v>Control/Acción Eficaz</v>
      </c>
      <c r="W183" s="89" t="str">
        <f>IF(E183="","",
IF(COUNTA( V183:V186)-COUNTBLANK( V183:V186)=1,
IF(O183="INACEPTABLE",IF(COUNTIF( V183:V186,"Control/Acción Eficaz")&gt;=1,"SUSTANCIAL","INACEPTABLE"),
IF(O183="SUSTANCIAL",IF(COUNTIF( V183:V186,"Control/Acción Eficaz")&gt;=1,"ACEPTABLE CON REVISIÓN","SUSTANCIAL"),
IF(O183="ACEPTABLE CON REVISIÓN",IF(COUNTIF( V183:V186,"Control/Acción Eficaz")&gt;=1,"BAJA","ACEPTABLE CON REVISIÓN"),
IF(O183="BAJA",IF(COUNTIF( V183:V186,"Control/Acción Eficaz")&gt;=1,"ACEPTABLE","BAJA"),)))),
IF(COUNTA( V183:V186)-COUNTBLANK( V183:V186)=2,
IF(O183="INACEPTABLE",IF(COUNTIF( V183:V186,"Control/Acción Eficaz")=2,"ACEPTABLE CON REVISIÓN",
IF(OR(AND(COUNTIF( V183:V186,"Control/Acción Eficaz")=1,COUNTIF( V183:V186,"Control/Acción Satisfactorio")=1),
AND(COUNTIF( V183:V186,"Control/Acción Eficaz")=1,COUNTIF( V183:V186,"Control/Acción No Eficaz")=1)),"SUSTANCIAL","INACEPTABLE")),
IF(O183="SUSTANCIAL",IF(COUNTIF( V183:V186,"Control/Acción Eficaz")=2,"BAJA",
IF(OR(AND(COUNTIF( V183:V186,"Control/Acción Eficaz")=1,COUNTIF( V183:V186,"Control/Acción Satisfactorio")=1),
AND(COUNTIF( V183:V186,"Control/Acción Eficaz")=1,COUNTIF( V183:V186,"Control/Acción No Eficaz")=1)),"ACEPTABLE CON REVISIÓN ","SUSTANCIAL")),
IF(O183="ACEPTABLE CON REVISIÓN",IF(COUNTIF( V183:V186,"Control/Acción Eficaz")=2,"ACEPTABLE",
IF(OR(AND(COUNTIF( V183:V186,"Control/Acción Eficaz")=1,COUNTIF( V183:V186,"Control/Acción Satisfactorio")=1),
AND(COUNTIF( V183:V186,"Control/Acción Eficaz")=1,COUNTIF( V183:V186,"Control/Acción No Eficaz")=1)),"BAJA","ACEPTABLE CON REVISIÓN")),
IF(O183="BAJA",IF(COUNTIF( V183:V186,"Control/Acción Eficaz")&gt;=2,"ACEPTABLE","BAJA"),)))),
IF(COUNTA( V183:V186)-COUNTBLANK( V183:V186)&gt;=3,
IF(O183="INACEPTABLE",
IF(COUNTBLANK( V183:V186)=COUNTA( V183:V186),"",
IF(COUNTIF( V183:V186,"Control/Acción No Eficaz")&gt;=2,"INACEPTABLE",
IF(AND(COUNTIF( V183:V186,"Control/Acción No Eficaz")=0,COUNTIF( V183:V186,"Control/Acción Eficaz")&gt;=2),"ACEPTABLE CON REVISIÓN ","SUSTANCIAL"))),
IF(O183="SUSTANCIAL",
IF(COUNTBLANK( V183:V186)=COUNTA( V183:V186),"",
IF(COUNTIF( V183:V186,"Control/Acción No Eficaz")&gt;=2,"SUSTANCIAL",
IF(AND(COUNTIF( V183:V186,"Control/Acción No Eficaz")=0,COUNTIF( V183:V186,"Control/Acción Eficaz")&gt;=2),"BAJA","ACEPTABLE CON REVISIÓN"))),
IF(O183="ACEPTABLE CON REVISIÓN",
IF(COUNTBLANK( V183:V186)=COUNTA( V183:V186),"",
IF(COUNTIF( V183:V186,"Control/Acción No Eficaz")&gt;=2,"ACEPTABLE CON REVISIÓN",
IF(AND(COUNTIF( V183:V186,"Control/Acción No Eficaz")=0,COUNTIF( V183:V186,"Control/Acción Eficaz")&gt;=2),"ACEPTABLE","BAJA"))),
IF(O183="BAJA",
IF(COUNTBLANK( V183:V186)=COUNTA( V183:V186),"",
IF(AND(COUNTBLANK( V183:V186)&lt;1,COUNTA( V183:V186)=1),
IF(COUNTIF( V183:V186,"Control/Acción No Eficaz")&gt;=2,"BAJA",
IF(AND(COUNTIF( V183:V186,"Control/Acción No Eficaz")=0,COUNTIF( V183:V186,"Control/Acción Eficaz")&gt;=2),"ACEPTABLE","BAJA")),
IF(COUNTIF( V183:V186,"Control/Acción No Eficaz")&gt;=2,"BAJA",
IF(AND(COUNTIF( V183:V186,"Control/Acción No Eficaz")=0,COUNTIF( V183:V186,"Control/Acción Eficaz")&gt;=2),"ACEPTABLE","BAJA")))),
IF(COUNTIF( V183:V186,"")&gt;=5,"",O183))))),
""))))</f>
        <v>BAJA</v>
      </c>
      <c r="X183" s="111"/>
      <c r="Y183" s="115"/>
      <c r="Z183" s="30" t="s">
        <v>314</v>
      </c>
      <c r="AA183" s="32" t="str">
        <f>E183</f>
        <v>Seguridad</v>
      </c>
      <c r="AB183" s="33"/>
    </row>
    <row r="184" ht="105.0" customHeight="1">
      <c r="A184" s="116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8" t="s">
        <v>117</v>
      </c>
      <c r="Q184" s="119" t="s">
        <v>568</v>
      </c>
      <c r="R184" s="119" t="s">
        <v>142</v>
      </c>
      <c r="S184" s="119" t="s">
        <v>303</v>
      </c>
      <c r="T184" s="120" t="s">
        <v>6</v>
      </c>
      <c r="U184" s="120" t="s">
        <v>111</v>
      </c>
      <c r="V184" s="120" t="str">
        <f>IFERROR(IF(AA184="SEGURIDAD",OFFSET('PARÁMETROS'!$K$2,MATCH(U184,JC_SE,0),MATCH(T184,CC_SE,0)),
IF(OR(AA184="DSRC/Estratégico",AA184="DSRC/Operativo"),OFFSET('PARÁMETROS'!$K$11,MATCH(U184,JC_DS,0),MATCH(T184,CC_DS,0)),
IF(AA184="SALUD",OFFSET('PARÁMETROS'!$K$29,MATCH(U184,JC_SA,0),MATCH(T184,CC_SA,0)),
IF(AA184="MEDIO AMBIENTE",OFFSET('PARÁMETROS'!$K$20,MATCH(U184,JC_MA,0),MATCH(T184,CC_MA,0)),
IF(AA184="Rel. Gubernamentales",OFFSET('PARÁMETROS'!$K$48,MATCH(U184,JC_G,0),MATCH(T184,CC_G,0)),
IF(AA184="OPERACIONAL",OFFSET('PARÁMETROS'!$K$56,MATCH(U184,JC_OP,0),MATCH(T184,CC_OP,0)),
IF(AA184="FINANCIERO",OFFSET('PARÁMETROS'!$K$56,MATCH(U184,JC_FI,0),MATCH(T184,CC_FI,0)),
OFFSET('PARÁMETROS'!$K$38,MATCH(U184,JC_L,0),MATCH(T184,CC_L,0))))))))),"")</f>
        <v>Control/Acción Satisfactorio</v>
      </c>
      <c r="W184" s="117"/>
      <c r="X184" s="120"/>
      <c r="Y184" s="121"/>
      <c r="Z184" s="30" t="s">
        <v>314</v>
      </c>
      <c r="AA184" s="32" t="str">
        <f>E183</f>
        <v>Seguridad</v>
      </c>
      <c r="AB184" s="33"/>
    </row>
    <row r="185" ht="105.0" customHeight="1">
      <c r="A185" s="116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8" t="s">
        <v>302</v>
      </c>
      <c r="Q185" s="119" t="s">
        <v>537</v>
      </c>
      <c r="R185" s="119" t="s">
        <v>106</v>
      </c>
      <c r="S185" s="119" t="s">
        <v>265</v>
      </c>
      <c r="T185" s="120" t="s">
        <v>7</v>
      </c>
      <c r="U185" s="120" t="s">
        <v>182</v>
      </c>
      <c r="V185" s="120" t="str">
        <f>IFERROR(IF(AA185="SEGURIDAD",OFFSET('PARÁMETROS'!$K$2,MATCH(U185,JC_SE,0),MATCH(T185,CC_SE,0)),
IF(OR(AA185="DSRC/Estratégico",AA185="DSRC/Operativo"),OFFSET('PARÁMETROS'!$K$11,MATCH(U185,JC_DS,0),MATCH(T185,CC_DS,0)),
IF(AA185="SALUD",OFFSET('PARÁMETROS'!$K$29,MATCH(U185,JC_SA,0),MATCH(T185,CC_SA,0)),
IF(AA185="MEDIO AMBIENTE",OFFSET('PARÁMETROS'!$K$20,MATCH(U185,JC_MA,0),MATCH(T185,CC_MA,0)),
IF(AA185="Rel. Gubernamentales",OFFSET('PARÁMETROS'!$K$48,MATCH(U185,JC_G,0),MATCH(T185,CC_G,0)),
IF(AA185="OPERACIONAL",OFFSET('PARÁMETROS'!$K$56,MATCH(U185,JC_OP,0),MATCH(T185,CC_OP,0)),
IF(AA185="FINANCIERO",OFFSET('PARÁMETROS'!$K$56,MATCH(U185,JC_FI,0),MATCH(T185,CC_FI,0)),
OFFSET('PARÁMETROS'!$K$38,MATCH(U185,JC_L,0),MATCH(T185,CC_L,0))))))))),"")</f>
        <v>Control/Acción Satisfactorio</v>
      </c>
      <c r="W185" s="117"/>
      <c r="X185" s="120"/>
      <c r="Y185" s="121"/>
      <c r="Z185" s="30" t="s">
        <v>314</v>
      </c>
      <c r="AA185" s="32" t="str">
        <f>E183</f>
        <v>Seguridad</v>
      </c>
      <c r="AB185" s="33"/>
    </row>
    <row r="186" ht="105.0" customHeight="1">
      <c r="A186" s="68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134" t="s">
        <v>196</v>
      </c>
      <c r="Q186" s="135" t="s">
        <v>564</v>
      </c>
      <c r="R186" s="135" t="s">
        <v>142</v>
      </c>
      <c r="S186" s="135" t="s">
        <v>167</v>
      </c>
      <c r="T186" s="136" t="s">
        <v>7</v>
      </c>
      <c r="U186" s="136" t="s">
        <v>162</v>
      </c>
      <c r="V186" s="136" t="str">
        <f>IFERROR(IF(AA186="SEGURIDAD",OFFSET('PARÁMETROS'!$K$2,MATCH(U186,JC_SE,0),MATCH(T186,CC_SE,0)),
IF(OR(AA186="DSRC/Estratégico",AA186="DSRC/Operativo"),OFFSET('PARÁMETROS'!$K$11,MATCH(U186,JC_DS,0),MATCH(T186,CC_DS,0)),
IF(AA186="SALUD",OFFSET('PARÁMETROS'!$K$29,MATCH(U186,JC_SA,0),MATCH(T186,CC_SA,0)),
IF(AA186="MEDIO AMBIENTE",OFFSET('PARÁMETROS'!$K$20,MATCH(U186,JC_MA,0),MATCH(T186,CC_MA,0)),
IF(AA186="Rel. Gubernamentales",OFFSET('PARÁMETROS'!$K$48,MATCH(U186,JC_G,0),MATCH(T186,CC_G,0)),
IF(AA186="OPERACIONAL",OFFSET('PARÁMETROS'!$K$56,MATCH(U186,JC_OP,0),MATCH(T186,CC_OP,0)),
IF(AA186="FINANCIERO",OFFSET('PARÁMETROS'!$K$56,MATCH(U186,JC_FI,0),MATCH(T186,CC_FI,0)),
OFFSET('PARÁMETROS'!$K$38,MATCH(U186,JC_L,0),MATCH(T186,CC_L,0))))))))),"")</f>
        <v>Control/Acción Eficaz</v>
      </c>
      <c r="W186" s="69"/>
      <c r="X186" s="136"/>
      <c r="Y186" s="137"/>
      <c r="Z186" s="30" t="s">
        <v>314</v>
      </c>
      <c r="AA186" s="32" t="str">
        <f>E183</f>
        <v>Seguridad</v>
      </c>
      <c r="AB186" s="33"/>
    </row>
    <row r="187" ht="105.0" customHeight="1">
      <c r="A187" s="79">
        <v>25.0</v>
      </c>
      <c r="B187" s="80" t="s">
        <v>172</v>
      </c>
      <c r="C187" s="80" t="s">
        <v>560</v>
      </c>
      <c r="D187" s="80" t="s">
        <v>177</v>
      </c>
      <c r="E187" s="80" t="s">
        <v>181</v>
      </c>
      <c r="F187" s="80" t="s">
        <v>318</v>
      </c>
      <c r="G187" s="80" t="s">
        <v>569</v>
      </c>
      <c r="H187" s="80" t="s">
        <v>216</v>
      </c>
      <c r="I187" s="80" t="s">
        <v>570</v>
      </c>
      <c r="J187" s="80">
        <v>3.0</v>
      </c>
      <c r="K187" s="80">
        <v>2.0</v>
      </c>
      <c r="L187" s="80">
        <f>IF(OR(J187&lt;&gt;"",K187&lt;&gt;""),OFFSET('PARÁMETROS'!$B$2,K187,J187),"")</f>
        <v>4</v>
      </c>
      <c r="M187" s="80">
        <v>5.0</v>
      </c>
      <c r="N187" s="80">
        <f>IFERROR(L187*M187,"")</f>
        <v>20</v>
      </c>
      <c r="O187" s="89" t="str">
        <f>IF(N187="","",IFERROR(IF(N187&lt;=2,"ACEPTABLE",IF(N187&lt;=6,"BAJA",IF(N187&lt;=10,"ACEPTABLE CON REVISIÓN",IF(N187&lt;=15,"SUSTANCIAL","INACEPTABLE")))),""))</f>
        <v>INACEPTABLE</v>
      </c>
      <c r="P187" s="109" t="s">
        <v>230</v>
      </c>
      <c r="Q187" s="110" t="s">
        <v>335</v>
      </c>
      <c r="R187" s="110" t="s">
        <v>83</v>
      </c>
      <c r="S187" s="110" t="s">
        <v>51</v>
      </c>
      <c r="T187" s="111" t="s">
        <v>7</v>
      </c>
      <c r="U187" s="111" t="s">
        <v>162</v>
      </c>
      <c r="V187" s="111" t="str">
        <f>IFERROR(IF(AA187="SEGURIDAD",OFFSET('PARÁMETROS'!$K$2,MATCH(U187,JC_SE,0),MATCH(T187,CC_SE,0)),
IF(OR(AA187="DSRC/Estratégico",AA187="DSRC/Operativo"),OFFSET('PARÁMETROS'!$K$11,MATCH(U187,JC_DS,0),MATCH(T187,CC_DS,0)),
IF(AA187="SALUD",OFFSET('PARÁMETROS'!$K$29,MATCH(U187,JC_SA,0),MATCH(T187,CC_SA,0)),
IF(AA187="MEDIO AMBIENTE",OFFSET('PARÁMETROS'!$K$20,MATCH(U187,JC_MA,0),MATCH(T187,CC_MA,0)),
IF(AA187="Rel. Gubernamentales",OFFSET('PARÁMETROS'!$K$48,MATCH(U187,JC_G,0),MATCH(T187,CC_G,0)),
IF(AA187="OPERACIONAL",OFFSET('PARÁMETROS'!$K$56,MATCH(U187,JC_OP,0),MATCH(T187,CC_OP,0)),
IF(AA187="FINANCIERO",OFFSET('PARÁMETROS'!$K$56,MATCH(U187,JC_FI,0),MATCH(T187,CC_FI,0)),
OFFSET('PARÁMETROS'!$K$38,MATCH(U187,JC_L,0),MATCH(T187,CC_L,0))))))))),"")</f>
        <v>Control/Acción Eficaz</v>
      </c>
      <c r="W187" s="89" t="str">
        <f>IF(E187="","",
IF(COUNTA( V187:V198)-COUNTBLANK( V187:V198)=1,
IF(O187="INACEPTABLE",IF(COUNTIF( V187:V198,"Control/Acción Eficaz")&gt;=1,"SUSTANCIAL","INACEPTABLE"),
IF(O187="SUSTANCIAL",IF(COUNTIF( V187:V198,"Control/Acción Eficaz")&gt;=1,"ACEPTABLE CON REVISIÓN","SUSTANCIAL"),
IF(O187="ACEPTABLE CON REVISIÓN",IF(COUNTIF( V187:V198,"Control/Acción Eficaz")&gt;=1,"BAJA","ACEPTABLE CON REVISIÓN"),
IF(O187="BAJA",IF(COUNTIF( V187:V198,"Control/Acción Eficaz")&gt;=1,"ACEPTABLE","BAJA"),)))),
IF(COUNTA( V187:V198)-COUNTBLANK( V187:V198)=2,
IF(O187="INACEPTABLE",IF(COUNTIF( V187:V198,"Control/Acción Eficaz")=2,"ACEPTABLE CON REVISIÓN",
IF(OR(AND(COUNTIF( V187:V198,"Control/Acción Eficaz")=1,COUNTIF( V187:V198,"Control/Acción Satisfactorio")=1),
AND(COUNTIF( V187:V198,"Control/Acción Eficaz")=1,COUNTIF( V187:V198,"Control/Acción No Eficaz")=1)),"SUSTANCIAL","INACEPTABLE")),
IF(O187="SUSTANCIAL",IF(COUNTIF( V187:V198,"Control/Acción Eficaz")=2,"BAJA",
IF(OR(AND(COUNTIF( V187:V198,"Control/Acción Eficaz")=1,COUNTIF( V187:V198,"Control/Acción Satisfactorio")=1),
AND(COUNTIF( V187:V198,"Control/Acción Eficaz")=1,COUNTIF( V187:V198,"Control/Acción No Eficaz")=1)),"ACEPTABLE CON REVISIÓN ","SUSTANCIAL")),
IF(O187="ACEPTABLE CON REVISIÓN",IF(COUNTIF( V187:V198,"Control/Acción Eficaz")=2,"ACEPTABLE",
IF(OR(AND(COUNTIF( V187:V198,"Control/Acción Eficaz")=1,COUNTIF( V187:V198,"Control/Acción Satisfactorio")=1),
AND(COUNTIF( V187:V198,"Control/Acción Eficaz")=1,COUNTIF( V187:V198,"Control/Acción No Eficaz")=1)),"BAJA","ACEPTABLE CON REVISIÓN")),
IF(O187="BAJA",IF(COUNTIF( V187:V198,"Control/Acción Eficaz")&gt;=2,"ACEPTABLE","BAJA"),)))),
IF(COUNTA( V187:V198)-COUNTBLANK( V187:V198)&gt;=3,
IF(O187="INACEPTABLE",
IF(COUNTBLANK( V187:V198)=COUNTA( V187:V198),"",
IF(COUNTIF( V187:V198,"Control/Acción No Eficaz")&gt;=2,"INACEPTABLE",
IF(AND(COUNTIF( V187:V198,"Control/Acción No Eficaz")=0,COUNTIF( V187:V198,"Control/Acción Eficaz")&gt;=2),"ACEPTABLE CON REVISIÓN ","SUSTANCIAL"))),
IF(O187="SUSTANCIAL",
IF(COUNTBLANK( V187:V198)=COUNTA( V187:V198),"",
IF(COUNTIF( V187:V198,"Control/Acción No Eficaz")&gt;=2,"SUSTANCIAL",
IF(AND(COUNTIF( V187:V198,"Control/Acción No Eficaz")=0,COUNTIF( V187:V198,"Control/Acción Eficaz")&gt;=2),"BAJA","ACEPTABLE CON REVISIÓN"))),
IF(O187="ACEPTABLE CON REVISIÓN",
IF(COUNTBLANK( V187:V198)=COUNTA( V187:V198),"",
IF(COUNTIF( V187:V198,"Control/Acción No Eficaz")&gt;=2,"ACEPTABLE CON REVISIÓN",
IF(AND(COUNTIF( V187:V198,"Control/Acción No Eficaz")=0,COUNTIF( V187:V198,"Control/Acción Eficaz")&gt;=2),"ACEPTABLE","BAJA"))),
IF(O187="BAJA",
IF(COUNTBLANK( V187:V198)=COUNTA( V187:V198),"",
IF(AND(COUNTBLANK( V187:V198)&lt;1,COUNTA( V187:V198)=1),
IF(COUNTIF( V187:V198,"Control/Acción No Eficaz")&gt;=2,"BAJA",
IF(AND(COUNTIF( V187:V198,"Control/Acción No Eficaz")=0,COUNTIF( V187:V198,"Control/Acción Eficaz")&gt;=2),"ACEPTABLE","BAJA")),
IF(COUNTIF( V187:V198,"Control/Acción No Eficaz")&gt;=2,"BAJA",
IF(AND(COUNTIF( V187:V198,"Control/Acción No Eficaz")=0,COUNTIF( V187:V198,"Control/Acción Eficaz")&gt;=2),"ACEPTABLE","BAJA")))),
IF(COUNTIF( V187:V198,"")&gt;=5,"",O187))))),
""))))</f>
        <v>ACEPTABLE CON REVISIÓN </v>
      </c>
      <c r="X187" s="111"/>
      <c r="Y187" s="115"/>
      <c r="Z187" s="30"/>
      <c r="AA187" s="32" t="str">
        <f>E187</f>
        <v>Seguridad</v>
      </c>
      <c r="AB187" s="33"/>
    </row>
    <row r="188" ht="105.0" customHeight="1">
      <c r="A188" s="116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8" t="s">
        <v>258</v>
      </c>
      <c r="Q188" s="119" t="s">
        <v>374</v>
      </c>
      <c r="R188" s="119" t="s">
        <v>142</v>
      </c>
      <c r="S188" s="119" t="s">
        <v>120</v>
      </c>
      <c r="T188" s="120" t="s">
        <v>6</v>
      </c>
      <c r="U188" s="120" t="s">
        <v>162</v>
      </c>
      <c r="V188" s="120" t="str">
        <f>IFERROR(IF(AA188="SEGURIDAD",OFFSET('PARÁMETROS'!$K$2,MATCH(U188,JC_SE,0),MATCH(T188,CC_SE,0)),
IF(OR(AA188="DSRC/Estratégico",AA188="DSRC/Operativo"),OFFSET('PARÁMETROS'!$K$11,MATCH(U188,JC_DS,0),MATCH(T188,CC_DS,0)),
IF(AA188="SALUD",OFFSET('PARÁMETROS'!$K$29,MATCH(U188,JC_SA,0),MATCH(T188,CC_SA,0)),
IF(AA188="MEDIO AMBIENTE",OFFSET('PARÁMETROS'!$K$20,MATCH(U188,JC_MA,0),MATCH(T188,CC_MA,0)),
IF(AA188="Rel. Gubernamentales",OFFSET('PARÁMETROS'!$K$48,MATCH(U188,JC_G,0),MATCH(T188,CC_G,0)),
IF(AA188="OPERACIONAL",OFFSET('PARÁMETROS'!$K$56,MATCH(U188,JC_OP,0),MATCH(T188,CC_OP,0)),
IF(AA188="FINANCIERO",OFFSET('PARÁMETROS'!$K$56,MATCH(U188,JC_FI,0),MATCH(T188,CC_FI,0)),
OFFSET('PARÁMETROS'!$K$38,MATCH(U188,JC_L,0),MATCH(T188,CC_L,0))))))))),"")</f>
        <v>Control/Acción Satisfactorio</v>
      </c>
      <c r="W188" s="117"/>
      <c r="X188" s="120"/>
      <c r="Y188" s="121"/>
      <c r="Z188" s="30"/>
      <c r="AA188" s="32" t="str">
        <f>E187</f>
        <v>Seguridad</v>
      </c>
      <c r="AB188" s="33"/>
    </row>
    <row r="189" ht="105.0" customHeight="1">
      <c r="A189" s="116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8" t="s">
        <v>196</v>
      </c>
      <c r="Q189" s="119" t="s">
        <v>543</v>
      </c>
      <c r="R189" s="119" t="s">
        <v>142</v>
      </c>
      <c r="S189" s="119" t="s">
        <v>270</v>
      </c>
      <c r="T189" s="120" t="s">
        <v>7</v>
      </c>
      <c r="U189" s="120" t="s">
        <v>162</v>
      </c>
      <c r="V189" s="120" t="str">
        <f>IFERROR(IF(AA189="SEGURIDAD",OFFSET('PARÁMETROS'!$K$2,MATCH(U189,JC_SE,0),MATCH(T189,CC_SE,0)),
IF(OR(AA189="DSRC/Estratégico",AA189="DSRC/Operativo"),OFFSET('PARÁMETROS'!$K$11,MATCH(U189,JC_DS,0),MATCH(T189,CC_DS,0)),
IF(AA189="SALUD",OFFSET('PARÁMETROS'!$K$29,MATCH(U189,JC_SA,0),MATCH(T189,CC_SA,0)),
IF(AA189="MEDIO AMBIENTE",OFFSET('PARÁMETROS'!$K$20,MATCH(U189,JC_MA,0),MATCH(T189,CC_MA,0)),
IF(AA189="Rel. Gubernamentales",OFFSET('PARÁMETROS'!$K$48,MATCH(U189,JC_G,0),MATCH(T189,CC_G,0)),
IF(AA189="OPERACIONAL",OFFSET('PARÁMETROS'!$K$56,MATCH(U189,JC_OP,0),MATCH(T189,CC_OP,0)),
IF(AA189="FINANCIERO",OFFSET('PARÁMETROS'!$K$56,MATCH(U189,JC_FI,0),MATCH(T189,CC_FI,0)),
OFFSET('PARÁMETROS'!$K$38,MATCH(U189,JC_L,0),MATCH(T189,CC_L,0))))))))),"")</f>
        <v>Control/Acción Eficaz</v>
      </c>
      <c r="W189" s="117"/>
      <c r="X189" s="120"/>
      <c r="Y189" s="121"/>
      <c r="Z189" s="30"/>
      <c r="AA189" s="32" t="str">
        <f>E187</f>
        <v>Seguridad</v>
      </c>
      <c r="AB189" s="33"/>
    </row>
    <row r="190" ht="105.0" customHeight="1">
      <c r="A190" s="116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8" t="s">
        <v>166</v>
      </c>
      <c r="Q190" s="119" t="s">
        <v>437</v>
      </c>
      <c r="R190" s="119" t="s">
        <v>142</v>
      </c>
      <c r="S190" s="119" t="s">
        <v>325</v>
      </c>
      <c r="T190" s="120" t="s">
        <v>7</v>
      </c>
      <c r="U190" s="120" t="s">
        <v>162</v>
      </c>
      <c r="V190" s="120" t="str">
        <f>IFERROR(IF(AA190="SEGURIDAD",OFFSET('PARÁMETROS'!$K$2,MATCH(U190,JC_SE,0),MATCH(T190,CC_SE,0)),
IF(OR(AA190="DSRC/Estratégico",AA190="DSRC/Operativo"),OFFSET('PARÁMETROS'!$K$11,MATCH(U190,JC_DS,0),MATCH(T190,CC_DS,0)),
IF(AA190="SALUD",OFFSET('PARÁMETROS'!$K$29,MATCH(U190,JC_SA,0),MATCH(T190,CC_SA,0)),
IF(AA190="MEDIO AMBIENTE",OFFSET('PARÁMETROS'!$K$20,MATCH(U190,JC_MA,0),MATCH(T190,CC_MA,0)),
IF(AA190="Rel. Gubernamentales",OFFSET('PARÁMETROS'!$K$48,MATCH(U190,JC_G,0),MATCH(T190,CC_G,0)),
IF(AA190="OPERACIONAL",OFFSET('PARÁMETROS'!$K$56,MATCH(U190,JC_OP,0),MATCH(T190,CC_OP,0)),
IF(AA190="FINANCIERO",OFFSET('PARÁMETROS'!$K$56,MATCH(U190,JC_FI,0),MATCH(T190,CC_FI,0)),
OFFSET('PARÁMETROS'!$K$38,MATCH(U190,JC_L,0),MATCH(T190,CC_L,0))))))))),"")</f>
        <v>Control/Acción Eficaz</v>
      </c>
      <c r="W190" s="117"/>
      <c r="X190" s="120"/>
      <c r="Y190" s="121"/>
      <c r="Z190" s="30"/>
      <c r="AA190" s="32" t="str">
        <f>E187</f>
        <v>Seguridad</v>
      </c>
      <c r="AB190" s="33"/>
    </row>
    <row r="191" ht="105.0" customHeight="1">
      <c r="A191" s="116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8" t="s">
        <v>105</v>
      </c>
      <c r="Q191" s="119" t="s">
        <v>545</v>
      </c>
      <c r="R191" s="119" t="s">
        <v>142</v>
      </c>
      <c r="S191" s="119" t="s">
        <v>143</v>
      </c>
      <c r="T191" s="120" t="s">
        <v>7</v>
      </c>
      <c r="U191" s="120" t="s">
        <v>162</v>
      </c>
      <c r="V191" s="120" t="str">
        <f>IFERROR(IF(AA191="SEGURIDAD",OFFSET('PARÁMETROS'!$K$2,MATCH(U191,JC_SE,0),MATCH(T191,CC_SE,0)),
IF(OR(AA191="DSRC/Estratégico",AA191="DSRC/Operativo"),OFFSET('PARÁMETROS'!$K$11,MATCH(U191,JC_DS,0),MATCH(T191,CC_DS,0)),
IF(AA191="SALUD",OFFSET('PARÁMETROS'!$K$29,MATCH(U191,JC_SA,0),MATCH(T191,CC_SA,0)),
IF(AA191="MEDIO AMBIENTE",OFFSET('PARÁMETROS'!$K$20,MATCH(U191,JC_MA,0),MATCH(T191,CC_MA,0)),
IF(AA191="Rel. Gubernamentales",OFFSET('PARÁMETROS'!$K$48,MATCH(U191,JC_G,0),MATCH(T191,CC_G,0)),
IF(AA191="OPERACIONAL",OFFSET('PARÁMETROS'!$K$56,MATCH(U191,JC_OP,0),MATCH(T191,CC_OP,0)),
IF(AA191="FINANCIERO",OFFSET('PARÁMETROS'!$K$56,MATCH(U191,JC_FI,0),MATCH(T191,CC_FI,0)),
OFFSET('PARÁMETROS'!$K$38,MATCH(U191,JC_L,0),MATCH(T191,CC_L,0))))))))),"")</f>
        <v>Control/Acción Eficaz</v>
      </c>
      <c r="W191" s="117"/>
      <c r="X191" s="120"/>
      <c r="Y191" s="121"/>
      <c r="Z191" s="30"/>
      <c r="AA191" s="32" t="str">
        <f>E187</f>
        <v>Seguridad</v>
      </c>
      <c r="AB191" s="33"/>
    </row>
    <row r="192" ht="105.0" customHeight="1">
      <c r="A192" s="116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8" t="s">
        <v>105</v>
      </c>
      <c r="Q192" s="119" t="s">
        <v>438</v>
      </c>
      <c r="R192" s="119" t="s">
        <v>142</v>
      </c>
      <c r="S192" s="119" t="s">
        <v>270</v>
      </c>
      <c r="T192" s="120" t="s">
        <v>6</v>
      </c>
      <c r="U192" s="120" t="s">
        <v>162</v>
      </c>
      <c r="V192" s="120" t="str">
        <f>IFERROR(IF(AA192="SEGURIDAD",OFFSET('PARÁMETROS'!$K$2,MATCH(U192,JC_SE,0),MATCH(T192,CC_SE,0)),
IF(OR(AA192="DSRC/Estratégico",AA192="DSRC/Operativo"),OFFSET('PARÁMETROS'!$K$11,MATCH(U192,JC_DS,0),MATCH(T192,CC_DS,0)),
IF(AA192="SALUD",OFFSET('PARÁMETROS'!$K$29,MATCH(U192,JC_SA,0),MATCH(T192,CC_SA,0)),
IF(AA192="MEDIO AMBIENTE",OFFSET('PARÁMETROS'!$K$20,MATCH(U192,JC_MA,0),MATCH(T192,CC_MA,0)),
IF(AA192="Rel. Gubernamentales",OFFSET('PARÁMETROS'!$K$48,MATCH(U192,JC_G,0),MATCH(T192,CC_G,0)),
IF(AA192="OPERACIONAL",OFFSET('PARÁMETROS'!$K$56,MATCH(U192,JC_OP,0),MATCH(T192,CC_OP,0)),
IF(AA192="FINANCIERO",OFFSET('PARÁMETROS'!$K$56,MATCH(U192,JC_FI,0),MATCH(T192,CC_FI,0)),
OFFSET('PARÁMETROS'!$K$38,MATCH(U192,JC_L,0),MATCH(T192,CC_L,0))))))))),"")</f>
        <v>Control/Acción Satisfactorio</v>
      </c>
      <c r="W192" s="117"/>
      <c r="X192" s="120"/>
      <c r="Y192" s="121"/>
      <c r="Z192" s="30"/>
      <c r="AA192" s="32" t="str">
        <f>E187</f>
        <v>Seguridad</v>
      </c>
      <c r="AB192" s="33"/>
    </row>
    <row r="193" ht="105.0" customHeight="1">
      <c r="A193" s="116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8" t="s">
        <v>302</v>
      </c>
      <c r="Q193" s="119" t="s">
        <v>435</v>
      </c>
      <c r="R193" s="119" t="s">
        <v>142</v>
      </c>
      <c r="S193" s="119" t="s">
        <v>270</v>
      </c>
      <c r="T193" s="120" t="s">
        <v>7</v>
      </c>
      <c r="U193" s="120" t="s">
        <v>182</v>
      </c>
      <c r="V193" s="120" t="str">
        <f>IFERROR(IF(AA193="SEGURIDAD",OFFSET('PARÁMETROS'!$K$2,MATCH(U193,JC_SE,0),MATCH(T193,CC_SE,0)),
IF(OR(AA193="DSRC/Estratégico",AA193="DSRC/Operativo"),OFFSET('PARÁMETROS'!$K$11,MATCH(U193,JC_DS,0),MATCH(T193,CC_DS,0)),
IF(AA193="SALUD",OFFSET('PARÁMETROS'!$K$29,MATCH(U193,JC_SA,0),MATCH(T193,CC_SA,0)),
IF(AA193="MEDIO AMBIENTE",OFFSET('PARÁMETROS'!$K$20,MATCH(U193,JC_MA,0),MATCH(T193,CC_MA,0)),
IF(AA193="Rel. Gubernamentales",OFFSET('PARÁMETROS'!$K$48,MATCH(U193,JC_G,0),MATCH(T193,CC_G,0)),
IF(AA193="OPERACIONAL",OFFSET('PARÁMETROS'!$K$56,MATCH(U193,JC_OP,0),MATCH(T193,CC_OP,0)),
IF(AA193="FINANCIERO",OFFSET('PARÁMETROS'!$K$56,MATCH(U193,JC_FI,0),MATCH(T193,CC_FI,0)),
OFFSET('PARÁMETROS'!$K$38,MATCH(U193,JC_L,0),MATCH(T193,CC_L,0))))))))),"")</f>
        <v>Control/Acción Satisfactorio</v>
      </c>
      <c r="W193" s="117"/>
      <c r="X193" s="120"/>
      <c r="Y193" s="121"/>
      <c r="Z193" s="30"/>
      <c r="AA193" s="32" t="str">
        <f>E187</f>
        <v>Seguridad</v>
      </c>
      <c r="AB193" s="33"/>
    </row>
    <row r="194" ht="105.0" customHeight="1">
      <c r="A194" s="116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8" t="s">
        <v>258</v>
      </c>
      <c r="Q194" s="119" t="s">
        <v>431</v>
      </c>
      <c r="R194" s="119" t="s">
        <v>83</v>
      </c>
      <c r="S194" s="119" t="s">
        <v>84</v>
      </c>
      <c r="T194" s="120" t="s">
        <v>7</v>
      </c>
      <c r="U194" s="120" t="s">
        <v>162</v>
      </c>
      <c r="V194" s="120" t="str">
        <f>IFERROR(IF(AA194="SEGURIDAD",OFFSET('PARÁMETROS'!$K$2,MATCH(U194,JC_SE,0),MATCH(T194,CC_SE,0)),
IF(OR(AA194="DSRC/Estratégico",AA194="DSRC/Operativo"),OFFSET('PARÁMETROS'!$K$11,MATCH(U194,JC_DS,0),MATCH(T194,CC_DS,0)),
IF(AA194="SALUD",OFFSET('PARÁMETROS'!$K$29,MATCH(U194,JC_SA,0),MATCH(T194,CC_SA,0)),
IF(AA194="MEDIO AMBIENTE",OFFSET('PARÁMETROS'!$K$20,MATCH(U194,JC_MA,0),MATCH(T194,CC_MA,0)),
IF(AA194="Rel. Gubernamentales",OFFSET('PARÁMETROS'!$K$48,MATCH(U194,JC_G,0),MATCH(T194,CC_G,0)),
IF(AA194="OPERACIONAL",OFFSET('PARÁMETROS'!$K$56,MATCH(U194,JC_OP,0),MATCH(T194,CC_OP,0)),
IF(AA194="FINANCIERO",OFFSET('PARÁMETROS'!$K$56,MATCH(U194,JC_FI,0),MATCH(T194,CC_FI,0)),
OFFSET('PARÁMETROS'!$K$38,MATCH(U194,JC_L,0),MATCH(T194,CC_L,0))))))))),"")</f>
        <v>Control/Acción Eficaz</v>
      </c>
      <c r="W194" s="117"/>
      <c r="X194" s="120"/>
      <c r="Y194" s="121"/>
      <c r="Z194" s="30"/>
      <c r="AA194" s="32" t="str">
        <f>E187</f>
        <v>Seguridad</v>
      </c>
      <c r="AB194" s="33"/>
    </row>
    <row r="195" ht="105.0" customHeight="1">
      <c r="A195" s="116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8" t="s">
        <v>258</v>
      </c>
      <c r="Q195" s="119" t="s">
        <v>432</v>
      </c>
      <c r="R195" s="119" t="s">
        <v>83</v>
      </c>
      <c r="S195" s="119" t="s">
        <v>84</v>
      </c>
      <c r="T195" s="120" t="s">
        <v>7</v>
      </c>
      <c r="U195" s="120" t="s">
        <v>162</v>
      </c>
      <c r="V195" s="120" t="str">
        <f>IFERROR(IF(AA195="SEGURIDAD",OFFSET('PARÁMETROS'!$K$2,MATCH(U195,JC_SE,0),MATCH(T195,CC_SE,0)),
IF(OR(AA195="DSRC/Estratégico",AA195="DSRC/Operativo"),OFFSET('PARÁMETROS'!$K$11,MATCH(U195,JC_DS,0),MATCH(T195,CC_DS,0)),
IF(AA195="SALUD",OFFSET('PARÁMETROS'!$K$29,MATCH(U195,JC_SA,0),MATCH(T195,CC_SA,0)),
IF(AA195="MEDIO AMBIENTE",OFFSET('PARÁMETROS'!$K$20,MATCH(U195,JC_MA,0),MATCH(T195,CC_MA,0)),
IF(AA195="Rel. Gubernamentales",OFFSET('PARÁMETROS'!$K$48,MATCH(U195,JC_G,0),MATCH(T195,CC_G,0)),
IF(AA195="OPERACIONAL",OFFSET('PARÁMETROS'!$K$56,MATCH(U195,JC_OP,0),MATCH(T195,CC_OP,0)),
IF(AA195="FINANCIERO",OFFSET('PARÁMETROS'!$K$56,MATCH(U195,JC_FI,0),MATCH(T195,CC_FI,0)),
OFFSET('PARÁMETROS'!$K$38,MATCH(U195,JC_L,0),MATCH(T195,CC_L,0))))))))),"")</f>
        <v>Control/Acción Eficaz</v>
      </c>
      <c r="W195" s="117"/>
      <c r="X195" s="120"/>
      <c r="Y195" s="121"/>
      <c r="Z195" s="30"/>
      <c r="AA195" s="32" t="str">
        <f>E187</f>
        <v>Seguridad</v>
      </c>
      <c r="AB195" s="33"/>
    </row>
    <row r="196" ht="105.0" customHeight="1">
      <c r="A196" s="116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8" t="s">
        <v>117</v>
      </c>
      <c r="Q196" s="119" t="s">
        <v>571</v>
      </c>
      <c r="R196" s="119" t="s">
        <v>142</v>
      </c>
      <c r="S196" s="119" t="s">
        <v>270</v>
      </c>
      <c r="T196" s="120" t="s">
        <v>7</v>
      </c>
      <c r="U196" s="120" t="s">
        <v>111</v>
      </c>
      <c r="V196" s="120" t="str">
        <f>IFERROR(IF(AA196="SEGURIDAD",OFFSET('PARÁMETROS'!$K$2,MATCH(U196,JC_SE,0),MATCH(T196,CC_SE,0)),
IF(OR(AA196="DSRC/Estratégico",AA196="DSRC/Operativo"),OFFSET('PARÁMETROS'!$K$11,MATCH(U196,JC_DS,0),MATCH(T196,CC_DS,0)),
IF(AA196="SALUD",OFFSET('PARÁMETROS'!$K$29,MATCH(U196,JC_SA,0),MATCH(T196,CC_SA,0)),
IF(AA196="MEDIO AMBIENTE",OFFSET('PARÁMETROS'!$K$20,MATCH(U196,JC_MA,0),MATCH(T196,CC_MA,0)),
IF(AA196="Rel. Gubernamentales",OFFSET('PARÁMETROS'!$K$48,MATCH(U196,JC_G,0),MATCH(T196,CC_G,0)),
IF(AA196="OPERACIONAL",OFFSET('PARÁMETROS'!$K$56,MATCH(U196,JC_OP,0),MATCH(T196,CC_OP,0)),
IF(AA196="FINANCIERO",OFFSET('PARÁMETROS'!$K$56,MATCH(U196,JC_FI,0),MATCH(T196,CC_FI,0)),
OFFSET('PARÁMETROS'!$K$38,MATCH(U196,JC_L,0),MATCH(T196,CC_L,0))))))))),"")</f>
        <v>Control/Acción Eficaz</v>
      </c>
      <c r="W196" s="117"/>
      <c r="X196" s="120"/>
      <c r="Y196" s="121"/>
      <c r="Z196" s="30"/>
      <c r="AA196" s="32" t="str">
        <f>E187</f>
        <v>Seguridad</v>
      </c>
      <c r="AB196" s="33"/>
    </row>
    <row r="197" ht="105.0" customHeight="1">
      <c r="A197" s="116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8" t="s">
        <v>196</v>
      </c>
      <c r="Q197" s="119" t="s">
        <v>553</v>
      </c>
      <c r="R197" s="119" t="s">
        <v>142</v>
      </c>
      <c r="S197" s="119" t="s">
        <v>270</v>
      </c>
      <c r="T197" s="120" t="s">
        <v>7</v>
      </c>
      <c r="U197" s="120" t="s">
        <v>137</v>
      </c>
      <c r="V197" s="120" t="str">
        <f>IFERROR(IF(AA197="SEGURIDAD",OFFSET('PARÁMETROS'!$K$2,MATCH(U197,JC_SE,0),MATCH(T197,CC_SE,0)),
IF(OR(AA197="DSRC/Estratégico",AA197="DSRC/Operativo"),OFFSET('PARÁMETROS'!$K$11,MATCH(U197,JC_DS,0),MATCH(T197,CC_DS,0)),
IF(AA197="SALUD",OFFSET('PARÁMETROS'!$K$29,MATCH(U197,JC_SA,0),MATCH(T197,CC_SA,0)),
IF(AA197="MEDIO AMBIENTE",OFFSET('PARÁMETROS'!$K$20,MATCH(U197,JC_MA,0),MATCH(T197,CC_MA,0)),
IF(AA197="Rel. Gubernamentales",OFFSET('PARÁMETROS'!$K$48,MATCH(U197,JC_G,0),MATCH(T197,CC_G,0)),
IF(AA197="OPERACIONAL",OFFSET('PARÁMETROS'!$K$56,MATCH(U197,JC_OP,0),MATCH(T197,CC_OP,0)),
IF(AA197="FINANCIERO",OFFSET('PARÁMETROS'!$K$56,MATCH(U197,JC_FI,0),MATCH(T197,CC_FI,0)),
OFFSET('PARÁMETROS'!$K$38,MATCH(U197,JC_L,0),MATCH(T197,CC_L,0))))))))),"")</f>
        <v>Control/Acción Eficaz</v>
      </c>
      <c r="W197" s="117"/>
      <c r="X197" s="120"/>
      <c r="Y197" s="121"/>
      <c r="Z197" s="30"/>
      <c r="AA197" s="32" t="str">
        <f>E187</f>
        <v>Seguridad</v>
      </c>
      <c r="AB197" s="33"/>
    </row>
    <row r="198" ht="105.0" customHeight="1">
      <c r="A198" s="68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134" t="s">
        <v>196</v>
      </c>
      <c r="Q198" s="135" t="s">
        <v>564</v>
      </c>
      <c r="R198" s="135" t="s">
        <v>142</v>
      </c>
      <c r="S198" s="135" t="s">
        <v>167</v>
      </c>
      <c r="T198" s="136" t="s">
        <v>7</v>
      </c>
      <c r="U198" s="136" t="s">
        <v>162</v>
      </c>
      <c r="V198" s="136" t="str">
        <f>IFERROR(IF(AA198="SEGURIDAD",OFFSET('PARÁMETROS'!$K$2,MATCH(U198,JC_SE,0),MATCH(T198,CC_SE,0)),
IF(OR(AA198="DSRC/Estratégico",AA198="DSRC/Operativo"),OFFSET('PARÁMETROS'!$K$11,MATCH(U198,JC_DS,0),MATCH(T198,CC_DS,0)),
IF(AA198="SALUD",OFFSET('PARÁMETROS'!$K$29,MATCH(U198,JC_SA,0),MATCH(T198,CC_SA,0)),
IF(AA198="MEDIO AMBIENTE",OFFSET('PARÁMETROS'!$K$20,MATCH(U198,JC_MA,0),MATCH(T198,CC_MA,0)),
IF(AA198="Rel. Gubernamentales",OFFSET('PARÁMETROS'!$K$48,MATCH(U198,JC_G,0),MATCH(T198,CC_G,0)),
IF(AA198="OPERACIONAL",OFFSET('PARÁMETROS'!$K$56,MATCH(U198,JC_OP,0),MATCH(T198,CC_OP,0)),
IF(AA198="FINANCIERO",OFFSET('PARÁMETROS'!$K$56,MATCH(U198,JC_FI,0),MATCH(T198,CC_FI,0)),
OFFSET('PARÁMETROS'!$K$38,MATCH(U198,JC_L,0),MATCH(T198,CC_L,0))))))))),"")</f>
        <v>Control/Acción Eficaz</v>
      </c>
      <c r="W198" s="69"/>
      <c r="X198" s="136"/>
      <c r="Y198" s="137"/>
      <c r="Z198" s="30"/>
      <c r="AA198" s="32" t="str">
        <f>E187</f>
        <v>Seguridad</v>
      </c>
      <c r="AB198" s="33"/>
    </row>
    <row r="199" ht="105.0" customHeight="1">
      <c r="A199" s="79">
        <v>26.0</v>
      </c>
      <c r="B199" s="80" t="s">
        <v>172</v>
      </c>
      <c r="C199" s="80" t="s">
        <v>560</v>
      </c>
      <c r="D199" s="80" t="s">
        <v>177</v>
      </c>
      <c r="E199" s="80" t="s">
        <v>181</v>
      </c>
      <c r="F199" s="80" t="s">
        <v>323</v>
      </c>
      <c r="G199" s="80" t="s">
        <v>572</v>
      </c>
      <c r="H199" s="80" t="s">
        <v>48</v>
      </c>
      <c r="I199" s="80" t="s">
        <v>573</v>
      </c>
      <c r="J199" s="80">
        <v>4.0</v>
      </c>
      <c r="K199" s="80">
        <v>2.0</v>
      </c>
      <c r="L199" s="80">
        <f>IF(OR(J199&lt;&gt;"",K199&lt;&gt;""),OFFSET('PARÁMETROS'!$B$2,K199,J199),"")</f>
        <v>3</v>
      </c>
      <c r="M199" s="80">
        <v>5.0</v>
      </c>
      <c r="N199" s="80">
        <f>IFERROR(L199*M199,"")</f>
        <v>15</v>
      </c>
      <c r="O199" s="89" t="str">
        <f>IF(N199="","",IFERROR(IF(N199&lt;=2,"ACEPTABLE",IF(N199&lt;=6,"BAJA",IF(N199&lt;=10,"ACEPTABLE CON REVISIÓN",IF(N199&lt;=15,"SUSTANCIAL","INACEPTABLE")))),""))</f>
        <v>SUSTANCIAL</v>
      </c>
      <c r="P199" s="109" t="s">
        <v>89</v>
      </c>
      <c r="Q199" s="110" t="s">
        <v>574</v>
      </c>
      <c r="R199" s="110" t="s">
        <v>142</v>
      </c>
      <c r="S199" s="110" t="s">
        <v>201</v>
      </c>
      <c r="T199" s="111" t="s">
        <v>7</v>
      </c>
      <c r="U199" s="111" t="s">
        <v>162</v>
      </c>
      <c r="V199" s="111" t="str">
        <f>IFERROR(IF(AA199="SEGURIDAD",OFFSET('PARÁMETROS'!$K$2,MATCH(U199,JC_SE,0),MATCH(T199,CC_SE,0)),
IF(OR(AA199="DSRC/Estratégico",AA199="DSRC/Operativo"),OFFSET('PARÁMETROS'!$K$11,MATCH(U199,JC_DS,0),MATCH(T199,CC_DS,0)),
IF(AA199="SALUD",OFFSET('PARÁMETROS'!$K$29,MATCH(U199,JC_SA,0),MATCH(T199,CC_SA,0)),
IF(AA199="MEDIO AMBIENTE",OFFSET('PARÁMETROS'!$K$20,MATCH(U199,JC_MA,0),MATCH(T199,CC_MA,0)),
IF(AA199="Rel. Gubernamentales",OFFSET('PARÁMETROS'!$K$48,MATCH(U199,JC_G,0),MATCH(T199,CC_G,0)),
IF(AA199="OPERACIONAL",OFFSET('PARÁMETROS'!$K$56,MATCH(U199,JC_OP,0),MATCH(T199,CC_OP,0)),
IF(AA199="FINANCIERO",OFFSET('PARÁMETROS'!$K$56,MATCH(U199,JC_FI,0),MATCH(T199,CC_FI,0)),
OFFSET('PARÁMETROS'!$K$38,MATCH(U199,JC_L,0),MATCH(T199,CC_L,0))))))))),"")</f>
        <v>Control/Acción Eficaz</v>
      </c>
      <c r="W199" s="89" t="str">
        <f>IF(E199="","",
IF(COUNTA( V199:V207)-COUNTBLANK( V199:V207)=1,
IF(O199="INACEPTABLE",IF(COUNTIF( V199:V207,"Control/Acción Eficaz")&gt;=1,"SUSTANCIAL","INACEPTABLE"),
IF(O199="SUSTANCIAL",IF(COUNTIF( V199:V207,"Control/Acción Eficaz")&gt;=1,"ACEPTABLE CON REVISIÓN","SUSTANCIAL"),
IF(O199="ACEPTABLE CON REVISIÓN",IF(COUNTIF( V199:V207,"Control/Acción Eficaz")&gt;=1,"BAJA","ACEPTABLE CON REVISIÓN"),
IF(O199="BAJA",IF(COUNTIF( V199:V207,"Control/Acción Eficaz")&gt;=1,"ACEPTABLE","BAJA"),)))),
IF(COUNTA( V199:V207)-COUNTBLANK( V199:V207)=2,
IF(O199="INACEPTABLE",IF(COUNTIF( V199:V207,"Control/Acción Eficaz")=2,"ACEPTABLE CON REVISIÓN",
IF(OR(AND(COUNTIF( V199:V207,"Control/Acción Eficaz")=1,COUNTIF( V199:V207,"Control/Acción Satisfactorio")=1),
AND(COUNTIF( V199:V207,"Control/Acción Eficaz")=1,COUNTIF( V199:V207,"Control/Acción No Eficaz")=1)),"SUSTANCIAL","INACEPTABLE")),
IF(O199="SUSTANCIAL",IF(COUNTIF( V199:V207,"Control/Acción Eficaz")=2,"BAJA",
IF(OR(AND(COUNTIF( V199:V207,"Control/Acción Eficaz")=1,COUNTIF( V199:V207,"Control/Acción Satisfactorio")=1),
AND(COUNTIF( V199:V207,"Control/Acción Eficaz")=1,COUNTIF( V199:V207,"Control/Acción No Eficaz")=1)),"ACEPTABLE CON REVISIÓN ","SUSTANCIAL")),
IF(O199="ACEPTABLE CON REVISIÓN",IF(COUNTIF( V199:V207,"Control/Acción Eficaz")=2,"ACEPTABLE",
IF(OR(AND(COUNTIF( V199:V207,"Control/Acción Eficaz")=1,COUNTIF( V199:V207,"Control/Acción Satisfactorio")=1),
AND(COUNTIF( V199:V207,"Control/Acción Eficaz")=1,COUNTIF( V199:V207,"Control/Acción No Eficaz")=1)),"BAJA","ACEPTABLE CON REVISIÓN")),
IF(O199="BAJA",IF(COUNTIF( V199:V207,"Control/Acción Eficaz")&gt;=2,"ACEPTABLE","BAJA"),)))),
IF(COUNTA( V199:V207)-COUNTBLANK( V199:V207)&gt;=3,
IF(O199="INACEPTABLE",
IF(COUNTBLANK( V199:V207)=COUNTA( V199:V207),"",
IF(COUNTIF( V199:V207,"Control/Acción No Eficaz")&gt;=2,"INACEPTABLE",
IF(AND(COUNTIF( V199:V207,"Control/Acción No Eficaz")=0,COUNTIF( V199:V207,"Control/Acción Eficaz")&gt;=2),"ACEPTABLE CON REVISIÓN ","SUSTANCIAL"))),
IF(O199="SUSTANCIAL",
IF(COUNTBLANK( V199:V207)=COUNTA( V199:V207),"",
IF(COUNTIF( V199:V207,"Control/Acción No Eficaz")&gt;=2,"SUSTANCIAL",
IF(AND(COUNTIF( V199:V207,"Control/Acción No Eficaz")=0,COUNTIF( V199:V207,"Control/Acción Eficaz")&gt;=2),"BAJA","ACEPTABLE CON REVISIÓN"))),
IF(O199="ACEPTABLE CON REVISIÓN",
IF(COUNTBLANK( V199:V207)=COUNTA( V199:V207),"",
IF(COUNTIF( V199:V207,"Control/Acción No Eficaz")&gt;=2,"ACEPTABLE CON REVISIÓN",
IF(AND(COUNTIF( V199:V207,"Control/Acción No Eficaz")=0,COUNTIF( V199:V207,"Control/Acción Eficaz")&gt;=2),"ACEPTABLE","BAJA"))),
IF(O199="BAJA",
IF(COUNTBLANK( V199:V207)=COUNTA( V199:V207),"",
IF(AND(COUNTBLANK( V199:V207)&lt;1,COUNTA( V199:V207)=1),
IF(COUNTIF( V199:V207,"Control/Acción No Eficaz")&gt;=2,"BAJA",
IF(AND(COUNTIF( V199:V207,"Control/Acción No Eficaz")=0,COUNTIF( V199:V207,"Control/Acción Eficaz")&gt;=2),"ACEPTABLE","BAJA")),
IF(COUNTIF( V199:V207,"Control/Acción No Eficaz")&gt;=2,"BAJA",
IF(AND(COUNTIF( V199:V207,"Control/Acción No Eficaz")=0,COUNTIF( V199:V207,"Control/Acción Eficaz")&gt;=2),"ACEPTABLE","BAJA")))),
IF(COUNTIF( V199:V207,"")&gt;=5,"",O199))))),
""))))</f>
        <v>BAJA</v>
      </c>
      <c r="X199" s="111"/>
      <c r="Y199" s="115"/>
      <c r="Z199" s="30" t="s">
        <v>314</v>
      </c>
      <c r="AA199" s="32" t="str">
        <f>E199</f>
        <v>Seguridad</v>
      </c>
      <c r="AB199" s="33"/>
    </row>
    <row r="200" ht="105.0" customHeight="1">
      <c r="A200" s="116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8" t="s">
        <v>117</v>
      </c>
      <c r="Q200" s="119" t="s">
        <v>471</v>
      </c>
      <c r="R200" s="119" t="s">
        <v>142</v>
      </c>
      <c r="S200" s="119" t="s">
        <v>201</v>
      </c>
      <c r="T200" s="120" t="s">
        <v>7</v>
      </c>
      <c r="U200" s="120" t="s">
        <v>111</v>
      </c>
      <c r="V200" s="120" t="str">
        <f>IFERROR(IF(AA200="SEGURIDAD",OFFSET('PARÁMETROS'!$K$2,MATCH(U200,JC_SE,0),MATCH(T200,CC_SE,0)),
IF(OR(AA200="DSRC/Estratégico",AA200="DSRC/Operativo"),OFFSET('PARÁMETROS'!$K$11,MATCH(U200,JC_DS,0),MATCH(T200,CC_DS,0)),
IF(AA200="SALUD",OFFSET('PARÁMETROS'!$K$29,MATCH(U200,JC_SA,0),MATCH(T200,CC_SA,0)),
IF(AA200="MEDIO AMBIENTE",OFFSET('PARÁMETROS'!$K$20,MATCH(U200,JC_MA,0),MATCH(T200,CC_MA,0)),
IF(AA200="Rel. Gubernamentales",OFFSET('PARÁMETROS'!$K$48,MATCH(U200,JC_G,0),MATCH(T200,CC_G,0)),
IF(AA200="OPERACIONAL",OFFSET('PARÁMETROS'!$K$56,MATCH(U200,JC_OP,0),MATCH(T200,CC_OP,0)),
IF(AA200="FINANCIERO",OFFSET('PARÁMETROS'!$K$56,MATCH(U200,JC_FI,0),MATCH(T200,CC_FI,0)),
OFFSET('PARÁMETROS'!$K$38,MATCH(U200,JC_L,0),MATCH(T200,CC_L,0))))))))),"")</f>
        <v>Control/Acción Eficaz</v>
      </c>
      <c r="W200" s="117"/>
      <c r="X200" s="120"/>
      <c r="Y200" s="121"/>
      <c r="Z200" s="30" t="s">
        <v>314</v>
      </c>
      <c r="AA200" s="32" t="str">
        <f>E199</f>
        <v>Seguridad</v>
      </c>
      <c r="AB200" s="33"/>
    </row>
    <row r="201" ht="105.0" customHeight="1">
      <c r="A201" s="116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8" t="s">
        <v>105</v>
      </c>
      <c r="Q201" s="119" t="s">
        <v>462</v>
      </c>
      <c r="R201" s="119" t="s">
        <v>142</v>
      </c>
      <c r="S201" s="119" t="s">
        <v>201</v>
      </c>
      <c r="T201" s="120" t="s">
        <v>7</v>
      </c>
      <c r="U201" s="120" t="s">
        <v>162</v>
      </c>
      <c r="V201" s="120" t="str">
        <f>IFERROR(IF(AA201="SEGURIDAD",OFFSET('PARÁMETROS'!$K$2,MATCH(U201,JC_SE,0),MATCH(T201,CC_SE,0)),
IF(OR(AA201="DSRC/Estratégico",AA201="DSRC/Operativo"),OFFSET('PARÁMETROS'!$K$11,MATCH(U201,JC_DS,0),MATCH(T201,CC_DS,0)),
IF(AA201="SALUD",OFFSET('PARÁMETROS'!$K$29,MATCH(U201,JC_SA,0),MATCH(T201,CC_SA,0)),
IF(AA201="MEDIO AMBIENTE",OFFSET('PARÁMETROS'!$K$20,MATCH(U201,JC_MA,0),MATCH(T201,CC_MA,0)),
IF(AA201="Rel. Gubernamentales",OFFSET('PARÁMETROS'!$K$48,MATCH(U201,JC_G,0),MATCH(T201,CC_G,0)),
IF(AA201="OPERACIONAL",OFFSET('PARÁMETROS'!$K$56,MATCH(U201,JC_OP,0),MATCH(T201,CC_OP,0)),
IF(AA201="FINANCIERO",OFFSET('PARÁMETROS'!$K$56,MATCH(U201,JC_FI,0),MATCH(T201,CC_FI,0)),
OFFSET('PARÁMETROS'!$K$38,MATCH(U201,JC_L,0),MATCH(T201,CC_L,0))))))))),"")</f>
        <v>Control/Acción Eficaz</v>
      </c>
      <c r="W201" s="117"/>
      <c r="X201" s="120"/>
      <c r="Y201" s="121"/>
      <c r="Z201" s="30" t="s">
        <v>314</v>
      </c>
      <c r="AA201" s="32" t="str">
        <f>E199</f>
        <v>Seguridad</v>
      </c>
      <c r="AB201" s="33"/>
    </row>
    <row r="202" ht="105.0" customHeight="1">
      <c r="A202" s="116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8" t="s">
        <v>105</v>
      </c>
      <c r="Q202" s="119" t="s">
        <v>575</v>
      </c>
      <c r="R202" s="119" t="s">
        <v>142</v>
      </c>
      <c r="S202" s="119" t="s">
        <v>201</v>
      </c>
      <c r="T202" s="120" t="s">
        <v>6</v>
      </c>
      <c r="U202" s="120" t="s">
        <v>162</v>
      </c>
      <c r="V202" s="120" t="str">
        <f>IFERROR(IF(AA202="SEGURIDAD",OFFSET('PARÁMETROS'!$K$2,MATCH(U202,JC_SE,0),MATCH(T202,CC_SE,0)),
IF(OR(AA202="DSRC/Estratégico",AA202="DSRC/Operativo"),OFFSET('PARÁMETROS'!$K$11,MATCH(U202,JC_DS,0),MATCH(T202,CC_DS,0)),
IF(AA202="SALUD",OFFSET('PARÁMETROS'!$K$29,MATCH(U202,JC_SA,0),MATCH(T202,CC_SA,0)),
IF(AA202="MEDIO AMBIENTE",OFFSET('PARÁMETROS'!$K$20,MATCH(U202,JC_MA,0),MATCH(T202,CC_MA,0)),
IF(AA202="Rel. Gubernamentales",OFFSET('PARÁMETROS'!$K$48,MATCH(U202,JC_G,0),MATCH(T202,CC_G,0)),
IF(AA202="OPERACIONAL",OFFSET('PARÁMETROS'!$K$56,MATCH(U202,JC_OP,0),MATCH(T202,CC_OP,0)),
IF(AA202="FINANCIERO",OFFSET('PARÁMETROS'!$K$56,MATCH(U202,JC_FI,0),MATCH(T202,CC_FI,0)),
OFFSET('PARÁMETROS'!$K$38,MATCH(U202,JC_L,0),MATCH(T202,CC_L,0))))))))),"")</f>
        <v>Control/Acción Satisfactorio</v>
      </c>
      <c r="W202" s="117"/>
      <c r="X202" s="120"/>
      <c r="Y202" s="121"/>
      <c r="Z202" s="30" t="s">
        <v>314</v>
      </c>
      <c r="AA202" s="32" t="str">
        <f>E199</f>
        <v>Seguridad</v>
      </c>
      <c r="AB202" s="33"/>
    </row>
    <row r="203" ht="105.0" customHeight="1">
      <c r="A203" s="116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8" t="s">
        <v>258</v>
      </c>
      <c r="Q203" s="119" t="s">
        <v>576</v>
      </c>
      <c r="R203" s="119" t="s">
        <v>83</v>
      </c>
      <c r="S203" s="119" t="s">
        <v>84</v>
      </c>
      <c r="T203" s="120" t="s">
        <v>7</v>
      </c>
      <c r="U203" s="120" t="s">
        <v>162</v>
      </c>
      <c r="V203" s="120" t="str">
        <f>IFERROR(IF(AA203="SEGURIDAD",OFFSET('PARÁMETROS'!$K$2,MATCH(U203,JC_SE,0),MATCH(T203,CC_SE,0)),
IF(OR(AA203="DSRC/Estratégico",AA203="DSRC/Operativo"),OFFSET('PARÁMETROS'!$K$11,MATCH(U203,JC_DS,0),MATCH(T203,CC_DS,0)),
IF(AA203="SALUD",OFFSET('PARÁMETROS'!$K$29,MATCH(U203,JC_SA,0),MATCH(T203,CC_SA,0)),
IF(AA203="MEDIO AMBIENTE",OFFSET('PARÁMETROS'!$K$20,MATCH(U203,JC_MA,0),MATCH(T203,CC_MA,0)),
IF(AA203="Rel. Gubernamentales",OFFSET('PARÁMETROS'!$K$48,MATCH(U203,JC_G,0),MATCH(T203,CC_G,0)),
IF(AA203="OPERACIONAL",OFFSET('PARÁMETROS'!$K$56,MATCH(U203,JC_OP,0),MATCH(T203,CC_OP,0)),
IF(AA203="FINANCIERO",OFFSET('PARÁMETROS'!$K$56,MATCH(U203,JC_FI,0),MATCH(T203,CC_FI,0)),
OFFSET('PARÁMETROS'!$K$38,MATCH(U203,JC_L,0),MATCH(T203,CC_L,0))))))))),"")</f>
        <v>Control/Acción Eficaz</v>
      </c>
      <c r="W203" s="117"/>
      <c r="X203" s="120"/>
      <c r="Y203" s="121"/>
      <c r="Z203" s="30" t="s">
        <v>314</v>
      </c>
      <c r="AA203" s="32" t="str">
        <f>E199</f>
        <v>Seguridad</v>
      </c>
      <c r="AB203" s="33"/>
    </row>
    <row r="204" ht="105.0" customHeight="1">
      <c r="A204" s="116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8" t="s">
        <v>258</v>
      </c>
      <c r="Q204" s="119" t="s">
        <v>577</v>
      </c>
      <c r="R204" s="119" t="s">
        <v>83</v>
      </c>
      <c r="S204" s="119" t="s">
        <v>84</v>
      </c>
      <c r="T204" s="120" t="s">
        <v>7</v>
      </c>
      <c r="U204" s="120" t="s">
        <v>162</v>
      </c>
      <c r="V204" s="120" t="str">
        <f>IFERROR(IF(AA204="SEGURIDAD",OFFSET('PARÁMETROS'!$K$2,MATCH(U204,JC_SE,0),MATCH(T204,CC_SE,0)),
IF(OR(AA204="DSRC/Estratégico",AA204="DSRC/Operativo"),OFFSET('PARÁMETROS'!$K$11,MATCH(U204,JC_DS,0),MATCH(T204,CC_DS,0)),
IF(AA204="SALUD",OFFSET('PARÁMETROS'!$K$29,MATCH(U204,JC_SA,0),MATCH(T204,CC_SA,0)),
IF(AA204="MEDIO AMBIENTE",OFFSET('PARÁMETROS'!$K$20,MATCH(U204,JC_MA,0),MATCH(T204,CC_MA,0)),
IF(AA204="Rel. Gubernamentales",OFFSET('PARÁMETROS'!$K$48,MATCH(U204,JC_G,0),MATCH(T204,CC_G,0)),
IF(AA204="OPERACIONAL",OFFSET('PARÁMETROS'!$K$56,MATCH(U204,JC_OP,0),MATCH(T204,CC_OP,0)),
IF(AA204="FINANCIERO",OFFSET('PARÁMETROS'!$K$56,MATCH(U204,JC_FI,0),MATCH(T204,CC_FI,0)),
OFFSET('PARÁMETROS'!$K$38,MATCH(U204,JC_L,0),MATCH(T204,CC_L,0))))))))),"")</f>
        <v>Control/Acción Eficaz</v>
      </c>
      <c r="W204" s="117"/>
      <c r="X204" s="120"/>
      <c r="Y204" s="121"/>
      <c r="Z204" s="30" t="s">
        <v>314</v>
      </c>
      <c r="AA204" s="32" t="str">
        <f>E199</f>
        <v>Seguridad</v>
      </c>
      <c r="AB204" s="33"/>
    </row>
    <row r="205" ht="105.0" customHeight="1">
      <c r="A205" s="116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8" t="s">
        <v>105</v>
      </c>
      <c r="Q205" s="119" t="s">
        <v>578</v>
      </c>
      <c r="R205" s="119" t="s">
        <v>142</v>
      </c>
      <c r="S205" s="119" t="s">
        <v>201</v>
      </c>
      <c r="T205" s="120" t="s">
        <v>6</v>
      </c>
      <c r="U205" s="120" t="s">
        <v>162</v>
      </c>
      <c r="V205" s="120" t="str">
        <f>IFERROR(IF(AA205="SEGURIDAD",OFFSET('PARÁMETROS'!$K$2,MATCH(U205,JC_SE,0),MATCH(T205,CC_SE,0)),
IF(OR(AA205="DSRC/Estratégico",AA205="DSRC/Operativo"),OFFSET('PARÁMETROS'!$K$11,MATCH(U205,JC_DS,0),MATCH(T205,CC_DS,0)),
IF(AA205="SALUD",OFFSET('PARÁMETROS'!$K$29,MATCH(U205,JC_SA,0),MATCH(T205,CC_SA,0)),
IF(AA205="MEDIO AMBIENTE",OFFSET('PARÁMETROS'!$K$20,MATCH(U205,JC_MA,0),MATCH(T205,CC_MA,0)),
IF(AA205="Rel. Gubernamentales",OFFSET('PARÁMETROS'!$K$48,MATCH(U205,JC_G,0),MATCH(T205,CC_G,0)),
IF(AA205="OPERACIONAL",OFFSET('PARÁMETROS'!$K$56,MATCH(U205,JC_OP,0),MATCH(T205,CC_OP,0)),
IF(AA205="FINANCIERO",OFFSET('PARÁMETROS'!$K$56,MATCH(U205,JC_FI,0),MATCH(T205,CC_FI,0)),
OFFSET('PARÁMETROS'!$K$38,MATCH(U205,JC_L,0),MATCH(T205,CC_L,0))))))))),"")</f>
        <v>Control/Acción Satisfactorio</v>
      </c>
      <c r="W205" s="117"/>
      <c r="X205" s="120"/>
      <c r="Y205" s="121"/>
      <c r="Z205" s="30" t="s">
        <v>314</v>
      </c>
      <c r="AA205" s="32" t="str">
        <f>E199</f>
        <v>Seguridad</v>
      </c>
      <c r="AB205" s="33"/>
    </row>
    <row r="206" ht="105.0" customHeight="1">
      <c r="A206" s="116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8" t="s">
        <v>89</v>
      </c>
      <c r="Q206" s="119" t="s">
        <v>472</v>
      </c>
      <c r="R206" s="119" t="s">
        <v>142</v>
      </c>
      <c r="S206" s="119" t="s">
        <v>201</v>
      </c>
      <c r="T206" s="120" t="s">
        <v>7</v>
      </c>
      <c r="U206" s="120" t="s">
        <v>162</v>
      </c>
      <c r="V206" s="120" t="str">
        <f>IFERROR(IF(AA206="SEGURIDAD",OFFSET('PARÁMETROS'!$K$2,MATCH(U206,JC_SE,0),MATCH(T206,CC_SE,0)),
IF(OR(AA206="DSRC/Estratégico",AA206="DSRC/Operativo"),OFFSET('PARÁMETROS'!$K$11,MATCH(U206,JC_DS,0),MATCH(T206,CC_DS,0)),
IF(AA206="SALUD",OFFSET('PARÁMETROS'!$K$29,MATCH(U206,JC_SA,0),MATCH(T206,CC_SA,0)),
IF(AA206="MEDIO AMBIENTE",OFFSET('PARÁMETROS'!$K$20,MATCH(U206,JC_MA,0),MATCH(T206,CC_MA,0)),
IF(AA206="Rel. Gubernamentales",OFFSET('PARÁMETROS'!$K$48,MATCH(U206,JC_G,0),MATCH(T206,CC_G,0)),
IF(AA206="OPERACIONAL",OFFSET('PARÁMETROS'!$K$56,MATCH(U206,JC_OP,0),MATCH(T206,CC_OP,0)),
IF(AA206="FINANCIERO",OFFSET('PARÁMETROS'!$K$56,MATCH(U206,JC_FI,0),MATCH(T206,CC_FI,0)),
OFFSET('PARÁMETROS'!$K$38,MATCH(U206,JC_L,0),MATCH(T206,CC_L,0))))))))),"")</f>
        <v>Control/Acción Eficaz</v>
      </c>
      <c r="W206" s="117"/>
      <c r="X206" s="120"/>
      <c r="Y206" s="121"/>
      <c r="Z206" s="30" t="s">
        <v>314</v>
      </c>
      <c r="AA206" s="32" t="str">
        <f>E199</f>
        <v>Seguridad</v>
      </c>
      <c r="AB206" s="33"/>
    </row>
    <row r="207" ht="105.0" customHeight="1">
      <c r="A207" s="68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134" t="s">
        <v>72</v>
      </c>
      <c r="Q207" s="135" t="s">
        <v>473</v>
      </c>
      <c r="R207" s="135" t="s">
        <v>142</v>
      </c>
      <c r="S207" s="135" t="s">
        <v>201</v>
      </c>
      <c r="T207" s="136" t="s">
        <v>7</v>
      </c>
      <c r="U207" s="136" t="s">
        <v>137</v>
      </c>
      <c r="V207" s="136" t="str">
        <f>IFERROR(IF(AA207="SEGURIDAD",OFFSET('PARÁMETROS'!$K$2,MATCH(U207,JC_SE,0),MATCH(T207,CC_SE,0)),
IF(OR(AA207="DSRC/Estratégico",AA207="DSRC/Operativo"),OFFSET('PARÁMETROS'!$K$11,MATCH(U207,JC_DS,0),MATCH(T207,CC_DS,0)),
IF(AA207="SALUD",OFFSET('PARÁMETROS'!$K$29,MATCH(U207,JC_SA,0),MATCH(T207,CC_SA,0)),
IF(AA207="MEDIO AMBIENTE",OFFSET('PARÁMETROS'!$K$20,MATCH(U207,JC_MA,0),MATCH(T207,CC_MA,0)),
IF(AA207="Rel. Gubernamentales",OFFSET('PARÁMETROS'!$K$48,MATCH(U207,JC_G,0),MATCH(T207,CC_G,0)),
IF(AA207="OPERACIONAL",OFFSET('PARÁMETROS'!$K$56,MATCH(U207,JC_OP,0),MATCH(T207,CC_OP,0)),
IF(AA207="FINANCIERO",OFFSET('PARÁMETROS'!$K$56,MATCH(U207,JC_FI,0),MATCH(T207,CC_FI,0)),
OFFSET('PARÁMETROS'!$K$38,MATCH(U207,JC_L,0),MATCH(T207,CC_L,0))))))))),"")</f>
        <v>Control/Acción Eficaz</v>
      </c>
      <c r="W207" s="69"/>
      <c r="X207" s="136"/>
      <c r="Y207" s="137"/>
      <c r="Z207" s="30" t="s">
        <v>314</v>
      </c>
      <c r="AA207" s="32" t="str">
        <f>E199</f>
        <v>Seguridad</v>
      </c>
      <c r="AB207" s="33"/>
    </row>
    <row r="208" ht="105.0" customHeight="1">
      <c r="A208" s="79">
        <v>27.0</v>
      </c>
      <c r="B208" s="80" t="s">
        <v>172</v>
      </c>
      <c r="C208" s="80" t="s">
        <v>560</v>
      </c>
      <c r="D208" s="80" t="s">
        <v>177</v>
      </c>
      <c r="E208" s="80" t="s">
        <v>181</v>
      </c>
      <c r="F208" s="80" t="s">
        <v>387</v>
      </c>
      <c r="G208" s="80" t="s">
        <v>474</v>
      </c>
      <c r="H208" s="80" t="s">
        <v>404</v>
      </c>
      <c r="I208" s="80" t="s">
        <v>475</v>
      </c>
      <c r="J208" s="80">
        <v>3.0</v>
      </c>
      <c r="K208" s="80">
        <v>2.0</v>
      </c>
      <c r="L208" s="80">
        <f>IF(OR(J208&lt;&gt;"",K208&lt;&gt;""),OFFSET('PARÁMETROS'!$B$2,K208,J208),"")</f>
        <v>4</v>
      </c>
      <c r="M208" s="80">
        <v>4.0</v>
      </c>
      <c r="N208" s="80">
        <f>IFERROR(L208*M208,"")</f>
        <v>16</v>
      </c>
      <c r="O208" s="89" t="str">
        <f>IF(N208="","",IFERROR(IF(N208&lt;=2,"ACEPTABLE",IF(N208&lt;=6,"BAJA",IF(N208&lt;=10,"ACEPTABLE CON REVISIÓN",IF(N208&lt;=15,"SUSTANCIAL","INACEPTABLE")))),""))</f>
        <v>INACEPTABLE</v>
      </c>
      <c r="P208" s="109" t="s">
        <v>258</v>
      </c>
      <c r="Q208" s="110" t="s">
        <v>476</v>
      </c>
      <c r="R208" s="110" t="s">
        <v>142</v>
      </c>
      <c r="S208" s="110" t="s">
        <v>120</v>
      </c>
      <c r="T208" s="111" t="s">
        <v>5</v>
      </c>
      <c r="U208" s="111" t="s">
        <v>162</v>
      </c>
      <c r="V208" s="111" t="str">
        <f>IFERROR(IF(AA208="SEGURIDAD",OFFSET('PARÁMETROS'!$K$2,MATCH(U208,JC_SE,0),MATCH(T208,CC_SE,0)),
IF(OR(AA208="DSRC/Estratégico",AA208="DSRC/Operativo"),OFFSET('PARÁMETROS'!$K$11,MATCH(U208,JC_DS,0),MATCH(T208,CC_DS,0)),
IF(AA208="SALUD",OFFSET('PARÁMETROS'!$K$29,MATCH(U208,JC_SA,0),MATCH(T208,CC_SA,0)),
IF(AA208="MEDIO AMBIENTE",OFFSET('PARÁMETROS'!$K$20,MATCH(U208,JC_MA,0),MATCH(T208,CC_MA,0)),
IF(AA208="Rel. Gubernamentales",OFFSET('PARÁMETROS'!$K$48,MATCH(U208,JC_G,0),MATCH(T208,CC_G,0)),
IF(AA208="OPERACIONAL",OFFSET('PARÁMETROS'!$K$56,MATCH(U208,JC_OP,0),MATCH(T208,CC_OP,0)),
IF(AA208="FINANCIERO",OFFSET('PARÁMETROS'!$K$56,MATCH(U208,JC_FI,0),MATCH(T208,CC_FI,0)),
OFFSET('PARÁMETROS'!$K$38,MATCH(U208,JC_L,0),MATCH(T208,CC_L,0))))))))),"")</f>
        <v>Control/Acción No Eficaz</v>
      </c>
      <c r="W208" s="89" t="str">
        <f>IF(E208="","",
IF(COUNTA( V208:V222)-COUNTBLANK( V208:V222)=1,
IF(O208="INACEPTABLE",IF(COUNTIF( V208:V222,"Control/Acción Eficaz")&gt;=1,"SUSTANCIAL","INACEPTABLE"),
IF(O208="SUSTANCIAL",IF(COUNTIF( V208:V222,"Control/Acción Eficaz")&gt;=1,"ACEPTABLE CON REVISIÓN","SUSTANCIAL"),
IF(O208="ACEPTABLE CON REVISIÓN",IF(COUNTIF( V208:V222,"Control/Acción Eficaz")&gt;=1,"BAJA","ACEPTABLE CON REVISIÓN"),
IF(O208="BAJA",IF(COUNTIF( V208:V222,"Control/Acción Eficaz")&gt;=1,"ACEPTABLE","BAJA"),)))),
IF(COUNTA( V208:V222)-COUNTBLANK( V208:V222)=2,
IF(O208="INACEPTABLE",IF(COUNTIF( V208:V222,"Control/Acción Eficaz")=2,"ACEPTABLE CON REVISIÓN",
IF(OR(AND(COUNTIF( V208:V222,"Control/Acción Eficaz")=1,COUNTIF( V208:V222,"Control/Acción Satisfactorio")=1),
AND(COUNTIF( V208:V222,"Control/Acción Eficaz")=1,COUNTIF( V208:V222,"Control/Acción No Eficaz")=1)),"SUSTANCIAL","INACEPTABLE")),
IF(O208="SUSTANCIAL",IF(COUNTIF( V208:V222,"Control/Acción Eficaz")=2,"BAJA",
IF(OR(AND(COUNTIF( V208:V222,"Control/Acción Eficaz")=1,COUNTIF( V208:V222,"Control/Acción Satisfactorio")=1),
AND(COUNTIF( V208:V222,"Control/Acción Eficaz")=1,COUNTIF( V208:V222,"Control/Acción No Eficaz")=1)),"ACEPTABLE CON REVISIÓN ","SUSTANCIAL")),
IF(O208="ACEPTABLE CON REVISIÓN",IF(COUNTIF( V208:V222,"Control/Acción Eficaz")=2,"ACEPTABLE",
IF(OR(AND(COUNTIF( V208:V222,"Control/Acción Eficaz")=1,COUNTIF( V208:V222,"Control/Acción Satisfactorio")=1),
AND(COUNTIF( V208:V222,"Control/Acción Eficaz")=1,COUNTIF( V208:V222,"Control/Acción No Eficaz")=1)),"BAJA","ACEPTABLE CON REVISIÓN")),
IF(O208="BAJA",IF(COUNTIF( V208:V222,"Control/Acción Eficaz")&gt;=2,"ACEPTABLE","BAJA"),)))),
IF(COUNTA( V208:V222)-COUNTBLANK( V208:V222)&gt;=3,
IF(O208="INACEPTABLE",
IF(COUNTBLANK( V208:V222)=COUNTA( V208:V222),"",
IF(COUNTIF( V208:V222,"Control/Acción No Eficaz")&gt;=2,"INACEPTABLE",
IF(AND(COUNTIF( V208:V222,"Control/Acción No Eficaz")=0,COUNTIF( V208:V222,"Control/Acción Eficaz")&gt;=2),"ACEPTABLE CON REVISIÓN ","SUSTANCIAL"))),
IF(O208="SUSTANCIAL",
IF(COUNTBLANK( V208:V222)=COUNTA( V208:V222),"",
IF(COUNTIF( V208:V222,"Control/Acción No Eficaz")&gt;=2,"SUSTANCIAL",
IF(AND(COUNTIF( V208:V222,"Control/Acción No Eficaz")=0,COUNTIF( V208:V222,"Control/Acción Eficaz")&gt;=2),"BAJA","ACEPTABLE CON REVISIÓN"))),
IF(O208="ACEPTABLE CON REVISIÓN",
IF(COUNTBLANK( V208:V222)=COUNTA( V208:V222),"",
IF(COUNTIF( V208:V222,"Control/Acción No Eficaz")&gt;=2,"ACEPTABLE CON REVISIÓN",
IF(AND(COUNTIF( V208:V222,"Control/Acción No Eficaz")=0,COUNTIF( V208:V222,"Control/Acción Eficaz")&gt;=2),"ACEPTABLE","BAJA"))),
IF(O208="BAJA",
IF(COUNTBLANK( V208:V222)=COUNTA( V208:V222),"",
IF(AND(COUNTBLANK( V208:V222)&lt;1,COUNTA( V208:V222)=1),
IF(COUNTIF( V208:V222,"Control/Acción No Eficaz")&gt;=2,"BAJA",
IF(AND(COUNTIF( V208:V222,"Control/Acción No Eficaz")=0,COUNTIF( V208:V222,"Control/Acción Eficaz")&gt;=2),"ACEPTABLE","BAJA")),
IF(COUNTIF( V208:V222,"Control/Acción No Eficaz")&gt;=2,"BAJA",
IF(AND(COUNTIF( V208:V222,"Control/Acción No Eficaz")=0,COUNTIF( V208:V222,"Control/Acción Eficaz")&gt;=2),"ACEPTABLE","BAJA")))),
IF(COUNTIF( V208:V222,"")&gt;=5,"",O208))))),
""))))</f>
        <v>INACEPTABLE</v>
      </c>
      <c r="X208" s="111"/>
      <c r="Y208" s="115"/>
      <c r="Z208" s="30" t="s">
        <v>314</v>
      </c>
      <c r="AA208" s="32" t="str">
        <f>E208</f>
        <v>Seguridad</v>
      </c>
      <c r="AB208" s="33"/>
    </row>
    <row r="209" ht="105.0" customHeight="1">
      <c r="A209" s="116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8" t="s">
        <v>105</v>
      </c>
      <c r="Q209" s="119" t="s">
        <v>556</v>
      </c>
      <c r="R209" s="119" t="s">
        <v>142</v>
      </c>
      <c r="S209" s="119" t="s">
        <v>295</v>
      </c>
      <c r="T209" s="120" t="s">
        <v>7</v>
      </c>
      <c r="U209" s="120" t="s">
        <v>162</v>
      </c>
      <c r="V209" s="120" t="str">
        <f>IFERROR(IF(AA209="SEGURIDAD",OFFSET('PARÁMETROS'!$K$2,MATCH(U209,JC_SE,0),MATCH(T209,CC_SE,0)),
IF(OR(AA209="DSRC/Estratégico",AA209="DSRC/Operativo"),OFFSET('PARÁMETROS'!$K$11,MATCH(U209,JC_DS,0),MATCH(T209,CC_DS,0)),
IF(AA209="SALUD",OFFSET('PARÁMETROS'!$K$29,MATCH(U209,JC_SA,0),MATCH(T209,CC_SA,0)),
IF(AA209="MEDIO AMBIENTE",OFFSET('PARÁMETROS'!$K$20,MATCH(U209,JC_MA,0),MATCH(T209,CC_MA,0)),
IF(AA209="Rel. Gubernamentales",OFFSET('PARÁMETROS'!$K$48,MATCH(U209,JC_G,0),MATCH(T209,CC_G,0)),
IF(AA209="OPERACIONAL",OFFSET('PARÁMETROS'!$K$56,MATCH(U209,JC_OP,0),MATCH(T209,CC_OP,0)),
IF(AA209="FINANCIERO",OFFSET('PARÁMETROS'!$K$56,MATCH(U209,JC_FI,0),MATCH(T209,CC_FI,0)),
OFFSET('PARÁMETROS'!$K$38,MATCH(U209,JC_L,0),MATCH(T209,CC_L,0))))))))),"")</f>
        <v>Control/Acción Eficaz</v>
      </c>
      <c r="W209" s="117"/>
      <c r="X209" s="120"/>
      <c r="Y209" s="121"/>
      <c r="Z209" s="30" t="s">
        <v>314</v>
      </c>
      <c r="AA209" s="32" t="str">
        <f>E208</f>
        <v>Seguridad</v>
      </c>
      <c r="AB209" s="33"/>
    </row>
    <row r="210" ht="105.0" customHeight="1">
      <c r="A210" s="116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8" t="s">
        <v>258</v>
      </c>
      <c r="Q210" s="119" t="s">
        <v>479</v>
      </c>
      <c r="R210" s="119" t="s">
        <v>142</v>
      </c>
      <c r="S210" s="119" t="s">
        <v>120</v>
      </c>
      <c r="T210" s="120" t="s">
        <v>5</v>
      </c>
      <c r="U210" s="120" t="s">
        <v>162</v>
      </c>
      <c r="V210" s="120" t="str">
        <f>IFERROR(IF(AA210="SEGURIDAD",OFFSET('PARÁMETROS'!$K$2,MATCH(U210,JC_SE,0),MATCH(T210,CC_SE,0)),
IF(OR(AA210="DSRC/Estratégico",AA210="DSRC/Operativo"),OFFSET('PARÁMETROS'!$K$11,MATCH(U210,JC_DS,0),MATCH(T210,CC_DS,0)),
IF(AA210="SALUD",OFFSET('PARÁMETROS'!$K$29,MATCH(U210,JC_SA,0),MATCH(T210,CC_SA,0)),
IF(AA210="MEDIO AMBIENTE",OFFSET('PARÁMETROS'!$K$20,MATCH(U210,JC_MA,0),MATCH(T210,CC_MA,0)),
IF(AA210="Rel. Gubernamentales",OFFSET('PARÁMETROS'!$K$48,MATCH(U210,JC_G,0),MATCH(T210,CC_G,0)),
IF(AA210="OPERACIONAL",OFFSET('PARÁMETROS'!$K$56,MATCH(U210,JC_OP,0),MATCH(T210,CC_OP,0)),
IF(AA210="FINANCIERO",OFFSET('PARÁMETROS'!$K$56,MATCH(U210,JC_FI,0),MATCH(T210,CC_FI,0)),
OFFSET('PARÁMETROS'!$K$38,MATCH(U210,JC_L,0),MATCH(T210,CC_L,0))))))))),"")</f>
        <v>Control/Acción No Eficaz</v>
      </c>
      <c r="W210" s="117"/>
      <c r="X210" s="120"/>
      <c r="Y210" s="121"/>
      <c r="Z210" s="30" t="s">
        <v>314</v>
      </c>
      <c r="AA210" s="32" t="str">
        <f>E208</f>
        <v>Seguridad</v>
      </c>
      <c r="AB210" s="33"/>
    </row>
    <row r="211" ht="105.0" customHeight="1">
      <c r="A211" s="116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8" t="s">
        <v>258</v>
      </c>
      <c r="Q211" s="119" t="s">
        <v>480</v>
      </c>
      <c r="R211" s="119" t="s">
        <v>142</v>
      </c>
      <c r="S211" s="119" t="s">
        <v>120</v>
      </c>
      <c r="T211" s="120" t="s">
        <v>5</v>
      </c>
      <c r="U211" s="120" t="s">
        <v>162</v>
      </c>
      <c r="V211" s="120" t="str">
        <f>IFERROR(IF(AA211="SEGURIDAD",OFFSET('PARÁMETROS'!$K$2,MATCH(U211,JC_SE,0),MATCH(T211,CC_SE,0)),
IF(OR(AA211="DSRC/Estratégico",AA211="DSRC/Operativo"),OFFSET('PARÁMETROS'!$K$11,MATCH(U211,JC_DS,0),MATCH(T211,CC_DS,0)),
IF(AA211="SALUD",OFFSET('PARÁMETROS'!$K$29,MATCH(U211,JC_SA,0),MATCH(T211,CC_SA,0)),
IF(AA211="MEDIO AMBIENTE",OFFSET('PARÁMETROS'!$K$20,MATCH(U211,JC_MA,0),MATCH(T211,CC_MA,0)),
IF(AA211="Rel. Gubernamentales",OFFSET('PARÁMETROS'!$K$48,MATCH(U211,JC_G,0),MATCH(T211,CC_G,0)),
IF(AA211="OPERACIONAL",OFFSET('PARÁMETROS'!$K$56,MATCH(U211,JC_OP,0),MATCH(T211,CC_OP,0)),
IF(AA211="FINANCIERO",OFFSET('PARÁMETROS'!$K$56,MATCH(U211,JC_FI,0),MATCH(T211,CC_FI,0)),
OFFSET('PARÁMETROS'!$K$38,MATCH(U211,JC_L,0),MATCH(T211,CC_L,0))))))))),"")</f>
        <v>Control/Acción No Eficaz</v>
      </c>
      <c r="W211" s="117"/>
      <c r="X211" s="120"/>
      <c r="Y211" s="121"/>
      <c r="Z211" s="30" t="s">
        <v>314</v>
      </c>
      <c r="AA211" s="32" t="str">
        <f>E208</f>
        <v>Seguridad</v>
      </c>
      <c r="AB211" s="33"/>
    </row>
    <row r="212" ht="105.0" customHeight="1">
      <c r="A212" s="116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8" t="s">
        <v>105</v>
      </c>
      <c r="Q212" s="119" t="s">
        <v>481</v>
      </c>
      <c r="R212" s="119" t="s">
        <v>142</v>
      </c>
      <c r="S212" s="119" t="s">
        <v>295</v>
      </c>
      <c r="T212" s="120" t="s">
        <v>7</v>
      </c>
      <c r="U212" s="120" t="s">
        <v>162</v>
      </c>
      <c r="V212" s="120" t="str">
        <f>IFERROR(IF(AA212="SEGURIDAD",OFFSET('PARÁMETROS'!$K$2,MATCH(U212,JC_SE,0),MATCH(T212,CC_SE,0)),
IF(OR(AA212="DSRC/Estratégico",AA212="DSRC/Operativo"),OFFSET('PARÁMETROS'!$K$11,MATCH(U212,JC_DS,0),MATCH(T212,CC_DS,0)),
IF(AA212="SALUD",OFFSET('PARÁMETROS'!$K$29,MATCH(U212,JC_SA,0),MATCH(T212,CC_SA,0)),
IF(AA212="MEDIO AMBIENTE",OFFSET('PARÁMETROS'!$K$20,MATCH(U212,JC_MA,0),MATCH(T212,CC_MA,0)),
IF(AA212="Rel. Gubernamentales",OFFSET('PARÁMETROS'!$K$48,MATCH(U212,JC_G,0),MATCH(T212,CC_G,0)),
IF(AA212="OPERACIONAL",OFFSET('PARÁMETROS'!$K$56,MATCH(U212,JC_OP,0),MATCH(T212,CC_OP,0)),
IF(AA212="FINANCIERO",OFFSET('PARÁMETROS'!$K$56,MATCH(U212,JC_FI,0),MATCH(T212,CC_FI,0)),
OFFSET('PARÁMETROS'!$K$38,MATCH(U212,JC_L,0),MATCH(T212,CC_L,0))))))))),"")</f>
        <v>Control/Acción Eficaz</v>
      </c>
      <c r="W212" s="117"/>
      <c r="X212" s="120"/>
      <c r="Y212" s="121"/>
      <c r="Z212" s="30" t="s">
        <v>314</v>
      </c>
      <c r="AA212" s="32" t="str">
        <f>E208</f>
        <v>Seguridad</v>
      </c>
      <c r="AB212" s="33"/>
    </row>
    <row r="213" ht="105.0" customHeight="1">
      <c r="A213" s="116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8" t="s">
        <v>117</v>
      </c>
      <c r="Q213" s="119" t="s">
        <v>482</v>
      </c>
      <c r="R213" s="119" t="s">
        <v>142</v>
      </c>
      <c r="S213" s="119" t="s">
        <v>295</v>
      </c>
      <c r="T213" s="120" t="s">
        <v>6</v>
      </c>
      <c r="U213" s="120" t="s">
        <v>111</v>
      </c>
      <c r="V213" s="120" t="str">
        <f>IFERROR(IF(AA213="SEGURIDAD",OFFSET('PARÁMETROS'!$K$2,MATCH(U213,JC_SE,0),MATCH(T213,CC_SE,0)),
IF(OR(AA213="DSRC/Estratégico",AA213="DSRC/Operativo"),OFFSET('PARÁMETROS'!$K$11,MATCH(U213,JC_DS,0),MATCH(T213,CC_DS,0)),
IF(AA213="SALUD",OFFSET('PARÁMETROS'!$K$29,MATCH(U213,JC_SA,0),MATCH(T213,CC_SA,0)),
IF(AA213="MEDIO AMBIENTE",OFFSET('PARÁMETROS'!$K$20,MATCH(U213,JC_MA,0),MATCH(T213,CC_MA,0)),
IF(AA213="Rel. Gubernamentales",OFFSET('PARÁMETROS'!$K$48,MATCH(U213,JC_G,0),MATCH(T213,CC_G,0)),
IF(AA213="OPERACIONAL",OFFSET('PARÁMETROS'!$K$56,MATCH(U213,JC_OP,0),MATCH(T213,CC_OP,0)),
IF(AA213="FINANCIERO",OFFSET('PARÁMETROS'!$K$56,MATCH(U213,JC_FI,0),MATCH(T213,CC_FI,0)),
OFFSET('PARÁMETROS'!$K$38,MATCH(U213,JC_L,0),MATCH(T213,CC_L,0))))))))),"")</f>
        <v>Control/Acción Satisfactorio</v>
      </c>
      <c r="W213" s="117"/>
      <c r="X213" s="120"/>
      <c r="Y213" s="121"/>
      <c r="Z213" s="30" t="s">
        <v>314</v>
      </c>
      <c r="AA213" s="32" t="str">
        <f>E208</f>
        <v>Seguridad</v>
      </c>
      <c r="AB213" s="33"/>
    </row>
    <row r="214" ht="105.0" customHeight="1">
      <c r="A214" s="116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8" t="s">
        <v>258</v>
      </c>
      <c r="Q214" s="119" t="s">
        <v>483</v>
      </c>
      <c r="R214" s="119" t="s">
        <v>142</v>
      </c>
      <c r="S214" s="119" t="s">
        <v>120</v>
      </c>
      <c r="T214" s="120" t="s">
        <v>5</v>
      </c>
      <c r="U214" s="120" t="s">
        <v>162</v>
      </c>
      <c r="V214" s="120" t="str">
        <f>IFERROR(IF(AA214="SEGURIDAD",OFFSET('PARÁMETROS'!$K$2,MATCH(U214,JC_SE,0),MATCH(T214,CC_SE,0)),
IF(OR(AA214="DSRC/Estratégico",AA214="DSRC/Operativo"),OFFSET('PARÁMETROS'!$K$11,MATCH(U214,JC_DS,0),MATCH(T214,CC_DS,0)),
IF(AA214="SALUD",OFFSET('PARÁMETROS'!$K$29,MATCH(U214,JC_SA,0),MATCH(T214,CC_SA,0)),
IF(AA214="MEDIO AMBIENTE",OFFSET('PARÁMETROS'!$K$20,MATCH(U214,JC_MA,0),MATCH(T214,CC_MA,0)),
IF(AA214="Rel. Gubernamentales",OFFSET('PARÁMETROS'!$K$48,MATCH(U214,JC_G,0),MATCH(T214,CC_G,0)),
IF(AA214="OPERACIONAL",OFFSET('PARÁMETROS'!$K$56,MATCH(U214,JC_OP,0),MATCH(T214,CC_OP,0)),
IF(AA214="FINANCIERO",OFFSET('PARÁMETROS'!$K$56,MATCH(U214,JC_FI,0),MATCH(T214,CC_FI,0)),
OFFSET('PARÁMETROS'!$K$38,MATCH(U214,JC_L,0),MATCH(T214,CC_L,0))))))))),"")</f>
        <v>Control/Acción No Eficaz</v>
      </c>
      <c r="W214" s="117"/>
      <c r="X214" s="120"/>
      <c r="Y214" s="121"/>
      <c r="Z214" s="30" t="s">
        <v>314</v>
      </c>
      <c r="AA214" s="32" t="str">
        <f>E208</f>
        <v>Seguridad</v>
      </c>
      <c r="AB214" s="33"/>
    </row>
    <row r="215" ht="105.0" customHeight="1">
      <c r="A215" s="116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8" t="s">
        <v>105</v>
      </c>
      <c r="Q215" s="119" t="s">
        <v>484</v>
      </c>
      <c r="R215" s="119" t="s">
        <v>142</v>
      </c>
      <c r="S215" s="119" t="s">
        <v>295</v>
      </c>
      <c r="T215" s="120" t="s">
        <v>6</v>
      </c>
      <c r="U215" s="120" t="s">
        <v>162</v>
      </c>
      <c r="V215" s="120" t="str">
        <f>IFERROR(IF(AA215="SEGURIDAD",OFFSET('PARÁMETROS'!$K$2,MATCH(U215,JC_SE,0),MATCH(T215,CC_SE,0)),
IF(OR(AA215="DSRC/Estratégico",AA215="DSRC/Operativo"),OFFSET('PARÁMETROS'!$K$11,MATCH(U215,JC_DS,0),MATCH(T215,CC_DS,0)),
IF(AA215="SALUD",OFFSET('PARÁMETROS'!$K$29,MATCH(U215,JC_SA,0),MATCH(T215,CC_SA,0)),
IF(AA215="MEDIO AMBIENTE",OFFSET('PARÁMETROS'!$K$20,MATCH(U215,JC_MA,0),MATCH(T215,CC_MA,0)),
IF(AA215="Rel. Gubernamentales",OFFSET('PARÁMETROS'!$K$48,MATCH(U215,JC_G,0),MATCH(T215,CC_G,0)),
IF(AA215="OPERACIONAL",OFFSET('PARÁMETROS'!$K$56,MATCH(U215,JC_OP,0),MATCH(T215,CC_OP,0)),
IF(AA215="FINANCIERO",OFFSET('PARÁMETROS'!$K$56,MATCH(U215,JC_FI,0),MATCH(T215,CC_FI,0)),
OFFSET('PARÁMETROS'!$K$38,MATCH(U215,JC_L,0),MATCH(T215,CC_L,0))))))))),"")</f>
        <v>Control/Acción Satisfactorio</v>
      </c>
      <c r="W215" s="117"/>
      <c r="X215" s="120"/>
      <c r="Y215" s="121"/>
      <c r="Z215" s="30" t="s">
        <v>314</v>
      </c>
      <c r="AA215" s="32" t="str">
        <f>E208</f>
        <v>Seguridad</v>
      </c>
      <c r="AB215" s="33"/>
    </row>
    <row r="216" ht="105.0" customHeight="1">
      <c r="A216" s="116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8" t="s">
        <v>258</v>
      </c>
      <c r="Q216" s="119" t="s">
        <v>436</v>
      </c>
      <c r="R216" s="119" t="s">
        <v>83</v>
      </c>
      <c r="S216" s="119" t="s">
        <v>51</v>
      </c>
      <c r="T216" s="120" t="s">
        <v>7</v>
      </c>
      <c r="U216" s="120" t="s">
        <v>162</v>
      </c>
      <c r="V216" s="120" t="str">
        <f>IFERROR(IF(AA216="SEGURIDAD",OFFSET('PARÁMETROS'!$K$2,MATCH(U216,JC_SE,0),MATCH(T216,CC_SE,0)),
IF(OR(AA216="DSRC/Estratégico",AA216="DSRC/Operativo"),OFFSET('PARÁMETROS'!$K$11,MATCH(U216,JC_DS,0),MATCH(T216,CC_DS,0)),
IF(AA216="SALUD",OFFSET('PARÁMETROS'!$K$29,MATCH(U216,JC_SA,0),MATCH(T216,CC_SA,0)),
IF(AA216="MEDIO AMBIENTE",OFFSET('PARÁMETROS'!$K$20,MATCH(U216,JC_MA,0),MATCH(T216,CC_MA,0)),
IF(AA216="Rel. Gubernamentales",OFFSET('PARÁMETROS'!$K$48,MATCH(U216,JC_G,0),MATCH(T216,CC_G,0)),
IF(AA216="OPERACIONAL",OFFSET('PARÁMETROS'!$K$56,MATCH(U216,JC_OP,0),MATCH(T216,CC_OP,0)),
IF(AA216="FINANCIERO",OFFSET('PARÁMETROS'!$K$56,MATCH(U216,JC_FI,0),MATCH(T216,CC_FI,0)),
OFFSET('PARÁMETROS'!$K$38,MATCH(U216,JC_L,0),MATCH(T216,CC_L,0))))))))),"")</f>
        <v>Control/Acción Eficaz</v>
      </c>
      <c r="W216" s="117"/>
      <c r="X216" s="120"/>
      <c r="Y216" s="121"/>
      <c r="Z216" s="30" t="s">
        <v>314</v>
      </c>
      <c r="AA216" s="32" t="str">
        <f>E208</f>
        <v>Seguridad</v>
      </c>
      <c r="AB216" s="33"/>
    </row>
    <row r="217" ht="105.0" customHeight="1">
      <c r="A217" s="116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8" t="s">
        <v>230</v>
      </c>
      <c r="Q217" s="119" t="s">
        <v>485</v>
      </c>
      <c r="R217" s="119" t="s">
        <v>83</v>
      </c>
      <c r="S217" s="119" t="s">
        <v>51</v>
      </c>
      <c r="T217" s="120" t="s">
        <v>7</v>
      </c>
      <c r="U217" s="120" t="s">
        <v>162</v>
      </c>
      <c r="V217" s="120" t="str">
        <f>IFERROR(IF(AA217="SEGURIDAD",OFFSET('PARÁMETROS'!$K$2,MATCH(U217,JC_SE,0),MATCH(T217,CC_SE,0)),
IF(OR(AA217="DSRC/Estratégico",AA217="DSRC/Operativo"),OFFSET('PARÁMETROS'!$K$11,MATCH(U217,JC_DS,0),MATCH(T217,CC_DS,0)),
IF(AA217="SALUD",OFFSET('PARÁMETROS'!$K$29,MATCH(U217,JC_SA,0),MATCH(T217,CC_SA,0)),
IF(AA217="MEDIO AMBIENTE",OFFSET('PARÁMETROS'!$K$20,MATCH(U217,JC_MA,0),MATCH(T217,CC_MA,0)),
IF(AA217="Rel. Gubernamentales",OFFSET('PARÁMETROS'!$K$48,MATCH(U217,JC_G,0),MATCH(T217,CC_G,0)),
IF(AA217="OPERACIONAL",OFFSET('PARÁMETROS'!$K$56,MATCH(U217,JC_OP,0),MATCH(T217,CC_OP,0)),
IF(AA217="FINANCIERO",OFFSET('PARÁMETROS'!$K$56,MATCH(U217,JC_FI,0),MATCH(T217,CC_FI,0)),
OFFSET('PARÁMETROS'!$K$38,MATCH(U217,JC_L,0),MATCH(T217,CC_L,0))))))))),"")</f>
        <v>Control/Acción Eficaz</v>
      </c>
      <c r="W217" s="117"/>
      <c r="X217" s="120"/>
      <c r="Y217" s="121"/>
      <c r="Z217" s="30" t="s">
        <v>314</v>
      </c>
      <c r="AA217" s="32" t="str">
        <f>E208</f>
        <v>Seguridad</v>
      </c>
      <c r="AB217" s="33"/>
    </row>
    <row r="218" ht="105.0" customHeight="1">
      <c r="A218" s="116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8" t="s">
        <v>258</v>
      </c>
      <c r="Q218" s="119" t="s">
        <v>489</v>
      </c>
      <c r="R218" s="119" t="s">
        <v>142</v>
      </c>
      <c r="S218" s="119" t="s">
        <v>120</v>
      </c>
      <c r="T218" s="120" t="s">
        <v>6</v>
      </c>
      <c r="U218" s="120" t="s">
        <v>162</v>
      </c>
      <c r="V218" s="120" t="str">
        <f>IFERROR(IF(AA218="SEGURIDAD",OFFSET('PARÁMETROS'!$K$2,MATCH(U218,JC_SE,0),MATCH(T218,CC_SE,0)),
IF(OR(AA218="DSRC/Estratégico",AA218="DSRC/Operativo"),OFFSET('PARÁMETROS'!$K$11,MATCH(U218,JC_DS,0),MATCH(T218,CC_DS,0)),
IF(AA218="SALUD",OFFSET('PARÁMETROS'!$K$29,MATCH(U218,JC_SA,0),MATCH(T218,CC_SA,0)),
IF(AA218="MEDIO AMBIENTE",OFFSET('PARÁMETROS'!$K$20,MATCH(U218,JC_MA,0),MATCH(T218,CC_MA,0)),
IF(AA218="Rel. Gubernamentales",OFFSET('PARÁMETROS'!$K$48,MATCH(U218,JC_G,0),MATCH(T218,CC_G,0)),
IF(AA218="OPERACIONAL",OFFSET('PARÁMETROS'!$K$56,MATCH(U218,JC_OP,0),MATCH(T218,CC_OP,0)),
IF(AA218="FINANCIERO",OFFSET('PARÁMETROS'!$K$56,MATCH(U218,JC_FI,0),MATCH(T218,CC_FI,0)),
OFFSET('PARÁMETROS'!$K$38,MATCH(U218,JC_L,0),MATCH(T218,CC_L,0))))))))),"")</f>
        <v>Control/Acción Satisfactorio</v>
      </c>
      <c r="W218" s="117"/>
      <c r="X218" s="120"/>
      <c r="Y218" s="121"/>
      <c r="Z218" s="30" t="s">
        <v>314</v>
      </c>
      <c r="AA218" s="32" t="str">
        <f>E208</f>
        <v>Seguridad</v>
      </c>
      <c r="AB218" s="33"/>
    </row>
    <row r="219" ht="105.0" customHeight="1">
      <c r="A219" s="116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8" t="s">
        <v>196</v>
      </c>
      <c r="Q219" s="119" t="s">
        <v>579</v>
      </c>
      <c r="R219" s="119" t="s">
        <v>106</v>
      </c>
      <c r="S219" s="119" t="s">
        <v>265</v>
      </c>
      <c r="T219" s="120" t="s">
        <v>7</v>
      </c>
      <c r="U219" s="120" t="s">
        <v>162</v>
      </c>
      <c r="V219" s="120" t="str">
        <f>IFERROR(IF(AA219="SEGURIDAD",OFFSET('PARÁMETROS'!$K$2,MATCH(U219,JC_SE,0),MATCH(T219,CC_SE,0)),
IF(OR(AA219="DSRC/Estratégico",AA219="DSRC/Operativo"),OFFSET('PARÁMETROS'!$K$11,MATCH(U219,JC_DS,0),MATCH(T219,CC_DS,0)),
IF(AA219="SALUD",OFFSET('PARÁMETROS'!$K$29,MATCH(U219,JC_SA,0),MATCH(T219,CC_SA,0)),
IF(AA219="MEDIO AMBIENTE",OFFSET('PARÁMETROS'!$K$20,MATCH(U219,JC_MA,0),MATCH(T219,CC_MA,0)),
IF(AA219="Rel. Gubernamentales",OFFSET('PARÁMETROS'!$K$48,MATCH(U219,JC_G,0),MATCH(T219,CC_G,0)),
IF(AA219="OPERACIONAL",OFFSET('PARÁMETROS'!$K$56,MATCH(U219,JC_OP,0),MATCH(T219,CC_OP,0)),
IF(AA219="FINANCIERO",OFFSET('PARÁMETROS'!$K$56,MATCH(U219,JC_FI,0),MATCH(T219,CC_FI,0)),
OFFSET('PARÁMETROS'!$K$38,MATCH(U219,JC_L,0),MATCH(T219,CC_L,0))))))))),"")</f>
        <v>Control/Acción Eficaz</v>
      </c>
      <c r="W219" s="117"/>
      <c r="X219" s="120"/>
      <c r="Y219" s="121"/>
      <c r="Z219" s="30" t="s">
        <v>314</v>
      </c>
      <c r="AA219" s="32" t="str">
        <f>E208</f>
        <v>Seguridad</v>
      </c>
      <c r="AB219" s="155" t="s">
        <v>558</v>
      </c>
    </row>
    <row r="220" ht="105.0" customHeight="1">
      <c r="A220" s="116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8" t="s">
        <v>117</v>
      </c>
      <c r="Q220" s="119" t="s">
        <v>491</v>
      </c>
      <c r="R220" s="119" t="s">
        <v>142</v>
      </c>
      <c r="S220" s="119" t="s">
        <v>295</v>
      </c>
      <c r="T220" s="120" t="s">
        <v>7</v>
      </c>
      <c r="U220" s="120" t="s">
        <v>111</v>
      </c>
      <c r="V220" s="120" t="str">
        <f>IFERROR(IF(AA220="SEGURIDAD",OFFSET('PARÁMETROS'!$K$2,MATCH(U220,JC_SE,0),MATCH(T220,CC_SE,0)),
IF(OR(AA220="DSRC/Estratégico",AA220="DSRC/Operativo"),OFFSET('PARÁMETROS'!$K$11,MATCH(U220,JC_DS,0),MATCH(T220,CC_DS,0)),
IF(AA220="SALUD",OFFSET('PARÁMETROS'!$K$29,MATCH(U220,JC_SA,0),MATCH(T220,CC_SA,0)),
IF(AA220="MEDIO AMBIENTE",OFFSET('PARÁMETROS'!$K$20,MATCH(U220,JC_MA,0),MATCH(T220,CC_MA,0)),
IF(AA220="Rel. Gubernamentales",OFFSET('PARÁMETROS'!$K$48,MATCH(U220,JC_G,0),MATCH(T220,CC_G,0)),
IF(AA220="OPERACIONAL",OFFSET('PARÁMETROS'!$K$56,MATCH(U220,JC_OP,0),MATCH(T220,CC_OP,0)),
IF(AA220="FINANCIERO",OFFSET('PARÁMETROS'!$K$56,MATCH(U220,JC_FI,0),MATCH(T220,CC_FI,0)),
OFFSET('PARÁMETROS'!$K$38,MATCH(U220,JC_L,0),MATCH(T220,CC_L,0))))))))),"")</f>
        <v>Control/Acción Eficaz</v>
      </c>
      <c r="W220" s="117"/>
      <c r="X220" s="120"/>
      <c r="Y220" s="121"/>
      <c r="Z220" s="30" t="s">
        <v>314</v>
      </c>
      <c r="AA220" s="32" t="str">
        <f>E208</f>
        <v>Seguridad</v>
      </c>
      <c r="AB220" s="33"/>
    </row>
    <row r="221" ht="105.0" customHeight="1">
      <c r="A221" s="116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8" t="s">
        <v>258</v>
      </c>
      <c r="Q221" s="119" t="s">
        <v>492</v>
      </c>
      <c r="R221" s="119" t="s">
        <v>142</v>
      </c>
      <c r="S221" s="119" t="s">
        <v>84</v>
      </c>
      <c r="T221" s="120" t="s">
        <v>5</v>
      </c>
      <c r="U221" s="120" t="s">
        <v>162</v>
      </c>
      <c r="V221" s="120" t="str">
        <f>IFERROR(IF(AA221="SEGURIDAD",OFFSET('PARÁMETROS'!$K$2,MATCH(U221,JC_SE,0),MATCH(T221,CC_SE,0)),
IF(OR(AA221="DSRC/Estratégico",AA221="DSRC/Operativo"),OFFSET('PARÁMETROS'!$K$11,MATCH(U221,JC_DS,0),MATCH(T221,CC_DS,0)),
IF(AA221="SALUD",OFFSET('PARÁMETROS'!$K$29,MATCH(U221,JC_SA,0),MATCH(T221,CC_SA,0)),
IF(AA221="MEDIO AMBIENTE",OFFSET('PARÁMETROS'!$K$20,MATCH(U221,JC_MA,0),MATCH(T221,CC_MA,0)),
IF(AA221="Rel. Gubernamentales",OFFSET('PARÁMETROS'!$K$48,MATCH(U221,JC_G,0),MATCH(T221,CC_G,0)),
IF(AA221="OPERACIONAL",OFFSET('PARÁMETROS'!$K$56,MATCH(U221,JC_OP,0),MATCH(T221,CC_OP,0)),
IF(AA221="FINANCIERO",OFFSET('PARÁMETROS'!$K$56,MATCH(U221,JC_FI,0),MATCH(T221,CC_FI,0)),
OFFSET('PARÁMETROS'!$K$38,MATCH(U221,JC_L,0),MATCH(T221,CC_L,0))))))))),"")</f>
        <v>Control/Acción No Eficaz</v>
      </c>
      <c r="W221" s="117"/>
      <c r="X221" s="120"/>
      <c r="Y221" s="121"/>
      <c r="Z221" s="30" t="s">
        <v>314</v>
      </c>
      <c r="AA221" s="32" t="str">
        <f>E208</f>
        <v>Seguridad</v>
      </c>
      <c r="AB221" s="33"/>
    </row>
    <row r="222" ht="105.0" customHeight="1">
      <c r="A222" s="68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134" t="s">
        <v>196</v>
      </c>
      <c r="Q222" s="135" t="s">
        <v>564</v>
      </c>
      <c r="R222" s="135" t="s">
        <v>142</v>
      </c>
      <c r="S222" s="135" t="s">
        <v>167</v>
      </c>
      <c r="T222" s="136" t="s">
        <v>7</v>
      </c>
      <c r="U222" s="136" t="s">
        <v>162</v>
      </c>
      <c r="V222" s="136" t="str">
        <f>IFERROR(IF(AA222="SEGURIDAD",OFFSET('PARÁMETROS'!$K$2,MATCH(U222,JC_SE,0),MATCH(T222,CC_SE,0)),
IF(OR(AA222="DSRC/Estratégico",AA222="DSRC/Operativo"),OFFSET('PARÁMETROS'!$K$11,MATCH(U222,JC_DS,0),MATCH(T222,CC_DS,0)),
IF(AA222="SALUD",OFFSET('PARÁMETROS'!$K$29,MATCH(U222,JC_SA,0),MATCH(T222,CC_SA,0)),
IF(AA222="MEDIO AMBIENTE",OFFSET('PARÁMETROS'!$K$20,MATCH(U222,JC_MA,0),MATCH(T222,CC_MA,0)),
IF(AA222="Rel. Gubernamentales",OFFSET('PARÁMETROS'!$K$48,MATCH(U222,JC_G,0),MATCH(T222,CC_G,0)),
IF(AA222="OPERACIONAL",OFFSET('PARÁMETROS'!$K$56,MATCH(U222,JC_OP,0),MATCH(T222,CC_OP,0)),
IF(AA222="FINANCIERO",OFFSET('PARÁMETROS'!$K$56,MATCH(U222,JC_FI,0),MATCH(T222,CC_FI,0)),
OFFSET('PARÁMETROS'!$K$38,MATCH(U222,JC_L,0),MATCH(T222,CC_L,0))))))))),"")</f>
        <v>Control/Acción Eficaz</v>
      </c>
      <c r="W222" s="69"/>
      <c r="X222" s="136"/>
      <c r="Y222" s="137"/>
      <c r="Z222" s="30" t="s">
        <v>534</v>
      </c>
      <c r="AA222" s="32" t="str">
        <f>E208</f>
        <v>Seguridad</v>
      </c>
      <c r="AB222" s="33"/>
    </row>
    <row r="223" ht="105.0" customHeight="1">
      <c r="A223" s="79">
        <v>28.0</v>
      </c>
      <c r="B223" s="80" t="s">
        <v>172</v>
      </c>
      <c r="C223" s="80" t="s">
        <v>560</v>
      </c>
      <c r="D223" s="80" t="s">
        <v>177</v>
      </c>
      <c r="E223" s="80" t="s">
        <v>181</v>
      </c>
      <c r="F223" s="80" t="s">
        <v>387</v>
      </c>
      <c r="G223" s="80" t="s">
        <v>493</v>
      </c>
      <c r="H223" s="80" t="s">
        <v>278</v>
      </c>
      <c r="I223" s="80" t="s">
        <v>494</v>
      </c>
      <c r="J223" s="80">
        <v>3.0</v>
      </c>
      <c r="K223" s="80">
        <v>2.0</v>
      </c>
      <c r="L223" s="80">
        <f>IF(OR(J223&lt;&gt;"",K223&lt;&gt;""),OFFSET('PARÁMETROS'!$B$2,K223,J223),"")</f>
        <v>4</v>
      </c>
      <c r="M223" s="80">
        <v>4.0</v>
      </c>
      <c r="N223" s="80">
        <f>IFERROR(L223*M223,"")</f>
        <v>16</v>
      </c>
      <c r="O223" s="89" t="str">
        <f>IF(N223="","",IFERROR(IF(N223&lt;=2,"ACEPTABLE",IF(N223&lt;=6,"BAJA",IF(N223&lt;=10,"ACEPTABLE CON REVISIÓN",IF(N223&lt;=15,"SUSTANCIAL","INACEPTABLE")))),""))</f>
        <v>INACEPTABLE</v>
      </c>
      <c r="P223" s="109" t="s">
        <v>302</v>
      </c>
      <c r="Q223" s="110" t="s">
        <v>495</v>
      </c>
      <c r="R223" s="110" t="s">
        <v>106</v>
      </c>
      <c r="S223" s="110" t="s">
        <v>265</v>
      </c>
      <c r="T223" s="111" t="s">
        <v>7</v>
      </c>
      <c r="U223" s="111" t="s">
        <v>182</v>
      </c>
      <c r="V223" s="111" t="str">
        <f>IFERROR(IF(AA223="SEGURIDAD",OFFSET('PARÁMETROS'!$K$2,MATCH(U223,JC_SE,0),MATCH(T223,CC_SE,0)),
IF(OR(AA223="DSRC/Estratégico",AA223="DSRC/Operativo"),OFFSET('PARÁMETROS'!$K$11,MATCH(U223,JC_DS,0),MATCH(T223,CC_DS,0)),
IF(AA223="SALUD",OFFSET('PARÁMETROS'!$K$29,MATCH(U223,JC_SA,0),MATCH(T223,CC_SA,0)),
IF(AA223="MEDIO AMBIENTE",OFFSET('PARÁMETROS'!$K$20,MATCH(U223,JC_MA,0),MATCH(T223,CC_MA,0)),
IF(AA223="Rel. Gubernamentales",OFFSET('PARÁMETROS'!$K$48,MATCH(U223,JC_G,0),MATCH(T223,CC_G,0)),
IF(AA223="OPERACIONAL",OFFSET('PARÁMETROS'!$K$56,MATCH(U223,JC_OP,0),MATCH(T223,CC_OP,0)),
IF(AA223="FINANCIERO",OFFSET('PARÁMETROS'!$K$56,MATCH(U223,JC_FI,0),MATCH(T223,CC_FI,0)),
OFFSET('PARÁMETROS'!$K$38,MATCH(U223,JC_L,0),MATCH(T223,CC_L,0))))))))),"")</f>
        <v>Control/Acción Satisfactorio</v>
      </c>
      <c r="W223" s="89" t="str">
        <f>IF(E223="","",
IF(COUNTA( V223:V226)-COUNTBLANK( V223:V226)=1,
IF(O223="INACEPTABLE",IF(COUNTIF( V223:V226,"Control/Acción Eficaz")&gt;=1,"SUSTANCIAL","INACEPTABLE"),
IF(O223="SUSTANCIAL",IF(COUNTIF( V223:V226,"Control/Acción Eficaz")&gt;=1,"ACEPTABLE CON REVISIÓN","SUSTANCIAL"),
IF(O223="ACEPTABLE CON REVISIÓN",IF(COUNTIF( V223:V226,"Control/Acción Eficaz")&gt;=1,"BAJA","ACEPTABLE CON REVISIÓN"),
IF(O223="BAJA",IF(COUNTIF( V223:V226,"Control/Acción Eficaz")&gt;=1,"ACEPTABLE","BAJA"),)))),
IF(COUNTA( V223:V226)-COUNTBLANK( V223:V226)=2,
IF(O223="INACEPTABLE",IF(COUNTIF( V223:V226,"Control/Acción Eficaz")=2,"ACEPTABLE CON REVISIÓN",
IF(OR(AND(COUNTIF( V223:V226,"Control/Acción Eficaz")=1,COUNTIF( V223:V226,"Control/Acción Satisfactorio")=1),
AND(COUNTIF( V223:V226,"Control/Acción Eficaz")=1,COUNTIF( V223:V226,"Control/Acción No Eficaz")=1)),"SUSTANCIAL","INACEPTABLE")),
IF(O223="SUSTANCIAL",IF(COUNTIF( V223:V226,"Control/Acción Eficaz")=2,"BAJA",
IF(OR(AND(COUNTIF( V223:V226,"Control/Acción Eficaz")=1,COUNTIF( V223:V226,"Control/Acción Satisfactorio")=1),
AND(COUNTIF( V223:V226,"Control/Acción Eficaz")=1,COUNTIF( V223:V226,"Control/Acción No Eficaz")=1)),"ACEPTABLE CON REVISIÓN ","SUSTANCIAL")),
IF(O223="ACEPTABLE CON REVISIÓN",IF(COUNTIF( V223:V226,"Control/Acción Eficaz")=2,"ACEPTABLE",
IF(OR(AND(COUNTIF( V223:V226,"Control/Acción Eficaz")=1,COUNTIF( V223:V226,"Control/Acción Satisfactorio")=1),
AND(COUNTIF( V223:V226,"Control/Acción Eficaz")=1,COUNTIF( V223:V226,"Control/Acción No Eficaz")=1)),"BAJA","ACEPTABLE CON REVISIÓN")),
IF(O223="BAJA",IF(COUNTIF( V223:V226,"Control/Acción Eficaz")&gt;=2,"ACEPTABLE","BAJA"),)))),
IF(COUNTA( V223:V226)-COUNTBLANK( V223:V226)&gt;=3,
IF(O223="INACEPTABLE",
IF(COUNTBLANK( V223:V226)=COUNTA( V223:V226),"",
IF(COUNTIF( V223:V226,"Control/Acción No Eficaz")&gt;=2,"INACEPTABLE",
IF(AND(COUNTIF( V223:V226,"Control/Acción No Eficaz")=0,COUNTIF( V223:V226,"Control/Acción Eficaz")&gt;=2),"ACEPTABLE CON REVISIÓN ","SUSTANCIAL"))),
IF(O223="SUSTANCIAL",
IF(COUNTBLANK( V223:V226)=COUNTA( V223:V226),"",
IF(COUNTIF( V223:V226,"Control/Acción No Eficaz")&gt;=2,"SUSTANCIAL",
IF(AND(COUNTIF( V223:V226,"Control/Acción No Eficaz")=0,COUNTIF( V223:V226,"Control/Acción Eficaz")&gt;=2),"BAJA","ACEPTABLE CON REVISIÓN"))),
IF(O223="ACEPTABLE CON REVISIÓN",
IF(COUNTBLANK( V223:V226)=COUNTA( V223:V226),"",
IF(COUNTIF( V223:V226,"Control/Acción No Eficaz")&gt;=2,"ACEPTABLE CON REVISIÓN",
IF(AND(COUNTIF( V223:V226,"Control/Acción No Eficaz")=0,COUNTIF( V223:V226,"Control/Acción Eficaz")&gt;=2),"ACEPTABLE","BAJA"))),
IF(O223="BAJA",
IF(COUNTBLANK( V223:V226)=COUNTA( V223:V226),"",
IF(AND(COUNTBLANK( V223:V226)&lt;1,COUNTA( V223:V226)=1),
IF(COUNTIF( V223:V226,"Control/Acción No Eficaz")&gt;=2,"BAJA",
IF(AND(COUNTIF( V223:V226,"Control/Acción No Eficaz")=0,COUNTIF( V223:V226,"Control/Acción Eficaz")&gt;=2),"ACEPTABLE","BAJA")),
IF(COUNTIF( V223:V226,"Control/Acción No Eficaz")&gt;=2,"BAJA",
IF(AND(COUNTIF( V223:V226,"Control/Acción No Eficaz")=0,COUNTIF( V223:V226,"Control/Acción Eficaz")&gt;=2),"ACEPTABLE","BAJA")))),
IF(COUNTIF( V223:V226,"")&gt;=5,"",O223))))),
""))))</f>
        <v>ACEPTABLE CON REVISIÓN </v>
      </c>
      <c r="X223" s="111"/>
      <c r="Y223" s="115"/>
      <c r="Z223" s="30" t="s">
        <v>314</v>
      </c>
      <c r="AA223" s="32" t="str">
        <f>E223</f>
        <v>Seguridad</v>
      </c>
      <c r="AB223" s="33"/>
    </row>
    <row r="224" ht="105.0" customHeight="1">
      <c r="A224" s="116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8" t="s">
        <v>196</v>
      </c>
      <c r="Q224" s="119" t="s">
        <v>579</v>
      </c>
      <c r="R224" s="119" t="s">
        <v>106</v>
      </c>
      <c r="S224" s="119" t="s">
        <v>265</v>
      </c>
      <c r="T224" s="120" t="s">
        <v>7</v>
      </c>
      <c r="U224" s="120" t="s">
        <v>162</v>
      </c>
      <c r="V224" s="120" t="str">
        <f>IFERROR(IF(AA224="SEGURIDAD",OFFSET('PARÁMETROS'!$K$2,MATCH(U224,JC_SE,0),MATCH(T224,CC_SE,0)),
IF(OR(AA224="DSRC/Estratégico",AA224="DSRC/Operativo"),OFFSET('PARÁMETROS'!$K$11,MATCH(U224,JC_DS,0),MATCH(T224,CC_DS,0)),
IF(AA224="SALUD",OFFSET('PARÁMETROS'!$K$29,MATCH(U224,JC_SA,0),MATCH(T224,CC_SA,0)),
IF(AA224="MEDIO AMBIENTE",OFFSET('PARÁMETROS'!$K$20,MATCH(U224,JC_MA,0),MATCH(T224,CC_MA,0)),
IF(AA224="Rel. Gubernamentales",OFFSET('PARÁMETROS'!$K$48,MATCH(U224,JC_G,0),MATCH(T224,CC_G,0)),
IF(AA224="OPERACIONAL",OFFSET('PARÁMETROS'!$K$56,MATCH(U224,JC_OP,0),MATCH(T224,CC_OP,0)),
IF(AA224="FINANCIERO",OFFSET('PARÁMETROS'!$K$56,MATCH(U224,JC_FI,0),MATCH(T224,CC_FI,0)),
OFFSET('PARÁMETROS'!$K$38,MATCH(U224,JC_L,0),MATCH(T224,CC_L,0))))))))),"")</f>
        <v>Control/Acción Eficaz</v>
      </c>
      <c r="W224" s="117"/>
      <c r="X224" s="156"/>
      <c r="Y224" s="157"/>
      <c r="Z224" s="30"/>
      <c r="AA224" s="32" t="str">
        <f>E223</f>
        <v>Seguridad</v>
      </c>
      <c r="AB224" s="138" t="s">
        <v>558</v>
      </c>
    </row>
    <row r="225" ht="105.0" customHeight="1">
      <c r="A225" s="116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8" t="s">
        <v>117</v>
      </c>
      <c r="Q225" s="119" t="s">
        <v>491</v>
      </c>
      <c r="R225" s="119" t="s">
        <v>142</v>
      </c>
      <c r="S225" s="119" t="s">
        <v>295</v>
      </c>
      <c r="T225" s="120" t="s">
        <v>7</v>
      </c>
      <c r="U225" s="120" t="s">
        <v>111</v>
      </c>
      <c r="V225" s="120" t="str">
        <f>IFERROR(IF(AA225="SEGURIDAD",OFFSET('PARÁMETROS'!$K$2,MATCH(U225,JC_SE,0),MATCH(T225,CC_SE,0)),
IF(OR(AA225="DSRC/Estratégico",AA225="DSRC/Operativo"),OFFSET('PARÁMETROS'!$K$11,MATCH(U225,JC_DS,0),MATCH(T225,CC_DS,0)),
IF(AA225="SALUD",OFFSET('PARÁMETROS'!$K$29,MATCH(U225,JC_SA,0),MATCH(T225,CC_SA,0)),
IF(AA225="MEDIO AMBIENTE",OFFSET('PARÁMETROS'!$K$20,MATCH(U225,JC_MA,0),MATCH(T225,CC_MA,0)),
IF(AA225="Rel. Gubernamentales",OFFSET('PARÁMETROS'!$K$48,MATCH(U225,JC_G,0),MATCH(T225,CC_G,0)),
IF(AA225="OPERACIONAL",OFFSET('PARÁMETROS'!$K$56,MATCH(U225,JC_OP,0),MATCH(T225,CC_OP,0)),
IF(AA225="FINANCIERO",OFFSET('PARÁMETROS'!$K$56,MATCH(U225,JC_FI,0),MATCH(T225,CC_FI,0)),
OFFSET('PARÁMETROS'!$K$38,MATCH(U225,JC_L,0),MATCH(T225,CC_L,0))))))))),"")</f>
        <v>Control/Acción Eficaz</v>
      </c>
      <c r="W225" s="117"/>
      <c r="X225" s="120"/>
      <c r="Y225" s="121"/>
      <c r="Z225" s="30" t="s">
        <v>314</v>
      </c>
      <c r="AA225" s="32" t="str">
        <f>E223</f>
        <v>Seguridad</v>
      </c>
      <c r="AB225" s="33"/>
    </row>
    <row r="226" ht="105.0" customHeight="1">
      <c r="A226" s="68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134" t="s">
        <v>196</v>
      </c>
      <c r="Q226" s="135" t="s">
        <v>564</v>
      </c>
      <c r="R226" s="135" t="s">
        <v>142</v>
      </c>
      <c r="S226" s="135" t="s">
        <v>167</v>
      </c>
      <c r="T226" s="136" t="s">
        <v>7</v>
      </c>
      <c r="U226" s="136" t="s">
        <v>162</v>
      </c>
      <c r="V226" s="136" t="str">
        <f>IFERROR(IF(AA226="SEGURIDAD",OFFSET('PARÁMETROS'!$K$2,MATCH(U226,JC_SE,0),MATCH(T226,CC_SE,0)),
IF(OR(AA226="DSRC/Estratégico",AA226="DSRC/Operativo"),OFFSET('PARÁMETROS'!$K$11,MATCH(U226,JC_DS,0),MATCH(T226,CC_DS,0)),
IF(AA226="SALUD",OFFSET('PARÁMETROS'!$K$29,MATCH(U226,JC_SA,0),MATCH(T226,CC_SA,0)),
IF(AA226="MEDIO AMBIENTE",OFFSET('PARÁMETROS'!$K$20,MATCH(U226,JC_MA,0),MATCH(T226,CC_MA,0)),
IF(AA226="Rel. Gubernamentales",OFFSET('PARÁMETROS'!$K$48,MATCH(U226,JC_G,0),MATCH(T226,CC_G,0)),
IF(AA226="OPERACIONAL",OFFSET('PARÁMETROS'!$K$56,MATCH(U226,JC_OP,0),MATCH(T226,CC_OP,0)),
IF(AA226="FINANCIERO",OFFSET('PARÁMETROS'!$K$56,MATCH(U226,JC_FI,0),MATCH(T226,CC_FI,0)),
OFFSET('PARÁMETROS'!$K$38,MATCH(U226,JC_L,0),MATCH(T226,CC_L,0))))))))),"")</f>
        <v>Control/Acción Eficaz</v>
      </c>
      <c r="W226" s="69"/>
      <c r="X226" s="136"/>
      <c r="Y226" s="137"/>
      <c r="Z226" s="30" t="s">
        <v>534</v>
      </c>
      <c r="AA226" s="32" t="str">
        <f>E223</f>
        <v>Seguridad</v>
      </c>
      <c r="AB226" s="33"/>
    </row>
    <row r="227" ht="105.0" customHeight="1">
      <c r="A227" s="79">
        <v>29.0</v>
      </c>
      <c r="B227" s="80" t="s">
        <v>172</v>
      </c>
      <c r="C227" s="80" t="s">
        <v>560</v>
      </c>
      <c r="D227" s="80" t="s">
        <v>177</v>
      </c>
      <c r="E227" s="80" t="s">
        <v>181</v>
      </c>
      <c r="F227" s="80" t="s">
        <v>138</v>
      </c>
      <c r="G227" s="80" t="s">
        <v>580</v>
      </c>
      <c r="H227" s="80" t="s">
        <v>382</v>
      </c>
      <c r="I227" s="80" t="s">
        <v>502</v>
      </c>
      <c r="J227" s="80">
        <v>5.0</v>
      </c>
      <c r="K227" s="80">
        <v>3.0</v>
      </c>
      <c r="L227" s="80">
        <f>IF(OR(J227&lt;&gt;"",K227&lt;&gt;""),OFFSET('PARÁMETROS'!$B$2,K227,J227),"")</f>
        <v>2</v>
      </c>
      <c r="M227" s="80">
        <v>4.0</v>
      </c>
      <c r="N227" s="80">
        <f>IFERROR(L227*M227,"")</f>
        <v>8</v>
      </c>
      <c r="O227" s="89" t="str">
        <f>IF(N227="","",IFERROR(IF(N227&lt;=2,"ACEPTABLE",IF(N227&lt;=6,"BAJA",IF(N227&lt;=10,"ACEPTABLE CON REVISIÓN",IF(N227&lt;=15,"SUSTANCIAL","INACEPTABLE")))),""))</f>
        <v>ACEPTABLE CON REVISIÓN</v>
      </c>
      <c r="P227" s="109" t="s">
        <v>302</v>
      </c>
      <c r="Q227" s="110" t="s">
        <v>503</v>
      </c>
      <c r="R227" s="110" t="s">
        <v>106</v>
      </c>
      <c r="S227" s="110" t="s">
        <v>265</v>
      </c>
      <c r="T227" s="111" t="s">
        <v>7</v>
      </c>
      <c r="U227" s="111" t="s">
        <v>182</v>
      </c>
      <c r="V227" s="111" t="str">
        <f>IFERROR(IF(AA227="SEGURIDAD",OFFSET('PARÁMETROS'!$K$2,MATCH(U227,JC_SE,0),MATCH(T227,CC_SE,0)),
IF(OR(AA227="DSRC/Estratégico",AA227="DSRC/Operativo"),OFFSET('PARÁMETROS'!$K$11,MATCH(U227,JC_DS,0),MATCH(T227,CC_DS,0)),
IF(AA227="SALUD",OFFSET('PARÁMETROS'!$K$29,MATCH(U227,JC_SA,0),MATCH(T227,CC_SA,0)),
IF(AA227="MEDIO AMBIENTE",OFFSET('PARÁMETROS'!$K$20,MATCH(U227,JC_MA,0),MATCH(T227,CC_MA,0)),
IF(AA227="Rel. Gubernamentales",OFFSET('PARÁMETROS'!$K$48,MATCH(U227,JC_G,0),MATCH(T227,CC_G,0)),
IF(AA227="OPERACIONAL",OFFSET('PARÁMETROS'!$K$56,MATCH(U227,JC_OP,0),MATCH(T227,CC_OP,0)),
IF(AA227="FINANCIERO",OFFSET('PARÁMETROS'!$K$56,MATCH(U227,JC_FI,0),MATCH(T227,CC_FI,0)),
OFFSET('PARÁMETROS'!$K$38,MATCH(U227,JC_L,0),MATCH(T227,CC_L,0))))))))),"")</f>
        <v>Control/Acción Satisfactorio</v>
      </c>
      <c r="W227" s="89" t="str">
        <f>IF(E227="","",
IF(COUNTA( V227:V229)-COUNTBLANK( V227:V229)=1,
IF(O227="INACEPTABLE",IF(COUNTIF( V227:V229,"Control/Acción Eficaz")&gt;=1,"SUSTANCIAL","INACEPTABLE"),
IF(O227="SUSTANCIAL",IF(COUNTIF( V227:V229,"Control/Acción Eficaz")&gt;=1,"ACEPTABLE CON REVISIÓN","SUSTANCIAL"),
IF(O227="ACEPTABLE CON REVISIÓN",IF(COUNTIF( V227:V229,"Control/Acción Eficaz")&gt;=1,"BAJA","ACEPTABLE CON REVISIÓN"),
IF(O227="BAJA",IF(COUNTIF( V227:V229,"Control/Acción Eficaz")&gt;=1,"ACEPTABLE","BAJA"),)))),
IF(COUNTA( V227:V229)-COUNTBLANK( V227:V229)=2,
IF(O227="INACEPTABLE",IF(COUNTIF( V227:V229,"Control/Acción Eficaz")=2,"ACEPTABLE CON REVISIÓN",
IF(OR(AND(COUNTIF( V227:V229,"Control/Acción Eficaz")=1,COUNTIF( V227:V229,"Control/Acción Satisfactorio")=1),
AND(COUNTIF( V227:V229,"Control/Acción Eficaz")=1,COUNTIF( V227:V229,"Control/Acción No Eficaz")=1)),"SUSTANCIAL","INACEPTABLE")),
IF(O227="SUSTANCIAL",IF(COUNTIF( V227:V229,"Control/Acción Eficaz")=2,"BAJA",
IF(OR(AND(COUNTIF( V227:V229,"Control/Acción Eficaz")=1,COUNTIF( V227:V229,"Control/Acción Satisfactorio")=1),
AND(COUNTIF( V227:V229,"Control/Acción Eficaz")=1,COUNTIF( V227:V229,"Control/Acción No Eficaz")=1)),"ACEPTABLE CON REVISIÓN ","SUSTANCIAL")),
IF(O227="ACEPTABLE CON REVISIÓN",IF(COUNTIF( V227:V229,"Control/Acción Eficaz")=2,"ACEPTABLE",
IF(OR(AND(COUNTIF( V227:V229,"Control/Acción Eficaz")=1,COUNTIF( V227:V229,"Control/Acción Satisfactorio")=1),
AND(COUNTIF( V227:V229,"Control/Acción Eficaz")=1,COUNTIF( V227:V229,"Control/Acción No Eficaz")=1)),"BAJA","ACEPTABLE CON REVISIÓN")),
IF(O227="BAJA",IF(COUNTIF( V227:V229,"Control/Acción Eficaz")&gt;=2,"ACEPTABLE","BAJA"),)))),
IF(COUNTA( V227:V229)-COUNTBLANK( V227:V229)&gt;=3,
IF(O227="INACEPTABLE",
IF(COUNTBLANK( V227:V229)=COUNTA( V227:V229),"",
IF(COUNTIF( V227:V229,"Control/Acción No Eficaz")&gt;=2,"INACEPTABLE",
IF(AND(COUNTIF( V227:V229,"Control/Acción No Eficaz")=0,COUNTIF( V227:V229,"Control/Acción Eficaz")&gt;=2),"ACEPTABLE CON REVISIÓN ","SUSTANCIAL"))),
IF(O227="SUSTANCIAL",
IF(COUNTBLANK( V227:V229)=COUNTA( V227:V229),"",
IF(COUNTIF( V227:V229,"Control/Acción No Eficaz")&gt;=2,"SUSTANCIAL",
IF(AND(COUNTIF( V227:V229,"Control/Acción No Eficaz")=0,COUNTIF( V227:V229,"Control/Acción Eficaz")&gt;=2),"BAJA","ACEPTABLE CON REVISIÓN"))),
IF(O227="ACEPTABLE CON REVISIÓN",
IF(COUNTBLANK( V227:V229)=COUNTA( V227:V229),"",
IF(COUNTIF( V227:V229,"Control/Acción No Eficaz")&gt;=2,"ACEPTABLE CON REVISIÓN",
IF(AND(COUNTIF( V227:V229,"Control/Acción No Eficaz")=0,COUNTIF( V227:V229,"Control/Acción Eficaz")&gt;=2),"ACEPTABLE","BAJA"))),
IF(O227="BAJA",
IF(COUNTBLANK( V227:V229)=COUNTA( V227:V229),"",
IF(AND(COUNTBLANK( V227:V229)&lt;1,COUNTA( V227:V229)=1),
IF(COUNTIF( V227:V229,"Control/Acción No Eficaz")&gt;=2,"BAJA",
IF(AND(COUNTIF( V227:V229,"Control/Acción No Eficaz")=0,COUNTIF( V227:V229,"Control/Acción Eficaz")&gt;=2),"ACEPTABLE","BAJA")),
IF(COUNTIF( V227:V229,"Control/Acción No Eficaz")&gt;=2,"BAJA",
IF(AND(COUNTIF( V227:V229,"Control/Acción No Eficaz")=0,COUNTIF( V227:V229,"Control/Acción Eficaz")&gt;=2),"ACEPTABLE","BAJA")))),
IF(COUNTIF( V227:V229,"")&gt;=5,"",O227))))),
""))))</f>
        <v>ACEPTABLE</v>
      </c>
      <c r="X227" s="111"/>
      <c r="Y227" s="115"/>
      <c r="Z227" s="30" t="s">
        <v>314</v>
      </c>
      <c r="AA227" s="32" t="str">
        <f>E227</f>
        <v>Seguridad</v>
      </c>
      <c r="AB227" s="33"/>
    </row>
    <row r="228" ht="105.0" customHeight="1">
      <c r="A228" s="116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8" t="s">
        <v>166</v>
      </c>
      <c r="Q228" s="119" t="s">
        <v>437</v>
      </c>
      <c r="R228" s="119" t="s">
        <v>142</v>
      </c>
      <c r="S228" s="119" t="s">
        <v>325</v>
      </c>
      <c r="T228" s="120" t="s">
        <v>7</v>
      </c>
      <c r="U228" s="120" t="s">
        <v>162</v>
      </c>
      <c r="V228" s="120" t="str">
        <f>IFERROR(IF(AA228="SEGURIDAD",OFFSET('PARÁMETROS'!$K$2,MATCH(U228,JC_SE,0),MATCH(T228,CC_SE,0)),
IF(OR(AA228="DSRC/Estratégico",AA228="DSRC/Operativo"),OFFSET('PARÁMETROS'!$K$11,MATCH(U228,JC_DS,0),MATCH(T228,CC_DS,0)),
IF(AA228="SALUD",OFFSET('PARÁMETROS'!$K$29,MATCH(U228,JC_SA,0),MATCH(T228,CC_SA,0)),
IF(AA228="MEDIO AMBIENTE",OFFSET('PARÁMETROS'!$K$20,MATCH(U228,JC_MA,0),MATCH(T228,CC_MA,0)),
IF(AA228="Rel. Gubernamentales",OFFSET('PARÁMETROS'!$K$48,MATCH(U228,JC_G,0),MATCH(T228,CC_G,0)),
IF(AA228="OPERACIONAL",OFFSET('PARÁMETROS'!$K$56,MATCH(U228,JC_OP,0),MATCH(T228,CC_OP,0)),
IF(AA228="FINANCIERO",OFFSET('PARÁMETROS'!$K$56,MATCH(U228,JC_FI,0),MATCH(T228,CC_FI,0)),
OFFSET('PARÁMETROS'!$K$38,MATCH(U228,JC_L,0),MATCH(T228,CC_L,0))))))))),"")</f>
        <v>Control/Acción Eficaz</v>
      </c>
      <c r="W228" s="117"/>
      <c r="X228" s="120"/>
      <c r="Y228" s="121"/>
      <c r="Z228" s="30" t="s">
        <v>314</v>
      </c>
      <c r="AA228" s="32" t="str">
        <f>E227</f>
        <v>Seguridad</v>
      </c>
      <c r="AB228" s="33"/>
    </row>
    <row r="229" ht="105.0" customHeight="1">
      <c r="A229" s="68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134" t="s">
        <v>196</v>
      </c>
      <c r="Q229" s="135" t="s">
        <v>564</v>
      </c>
      <c r="R229" s="135" t="s">
        <v>142</v>
      </c>
      <c r="S229" s="135" t="s">
        <v>167</v>
      </c>
      <c r="T229" s="136" t="s">
        <v>7</v>
      </c>
      <c r="U229" s="136" t="s">
        <v>162</v>
      </c>
      <c r="V229" s="136" t="str">
        <f>IFERROR(IF(AA229="SEGURIDAD",OFFSET('PARÁMETROS'!$K$2,MATCH(U229,JC_SE,0),MATCH(T229,CC_SE,0)),
IF(OR(AA229="DSRC/Estratégico",AA229="DSRC/Operativo"),OFFSET('PARÁMETROS'!$K$11,MATCH(U229,JC_DS,0),MATCH(T229,CC_DS,0)),
IF(AA229="SALUD",OFFSET('PARÁMETROS'!$K$29,MATCH(U229,JC_SA,0),MATCH(T229,CC_SA,0)),
IF(AA229="MEDIO AMBIENTE",OFFSET('PARÁMETROS'!$K$20,MATCH(U229,JC_MA,0),MATCH(T229,CC_MA,0)),
IF(AA229="Rel. Gubernamentales",OFFSET('PARÁMETROS'!$K$48,MATCH(U229,JC_G,0),MATCH(T229,CC_G,0)),
IF(AA229="OPERACIONAL",OFFSET('PARÁMETROS'!$K$56,MATCH(U229,JC_OP,0),MATCH(T229,CC_OP,0)),
IF(AA229="FINANCIERO",OFFSET('PARÁMETROS'!$K$56,MATCH(U229,JC_FI,0),MATCH(T229,CC_FI,0)),
OFFSET('PARÁMETROS'!$K$38,MATCH(U229,JC_L,0),MATCH(T229,CC_L,0))))))))),"")</f>
        <v>Control/Acción Eficaz</v>
      </c>
      <c r="W229" s="69"/>
      <c r="X229" s="136"/>
      <c r="Y229" s="137"/>
      <c r="Z229" s="30" t="s">
        <v>314</v>
      </c>
      <c r="AA229" s="32" t="str">
        <f>E227</f>
        <v>Seguridad</v>
      </c>
      <c r="AB229" s="33"/>
    </row>
    <row r="230" ht="105.0" customHeight="1">
      <c r="A230" s="79">
        <v>30.0</v>
      </c>
      <c r="B230" s="80" t="s">
        <v>172</v>
      </c>
      <c r="C230" s="80" t="s">
        <v>560</v>
      </c>
      <c r="D230" s="80" t="s">
        <v>177</v>
      </c>
      <c r="E230" s="80" t="s">
        <v>181</v>
      </c>
      <c r="F230" s="80" t="s">
        <v>348</v>
      </c>
      <c r="G230" s="80" t="s">
        <v>515</v>
      </c>
      <c r="H230" s="80" t="s">
        <v>366</v>
      </c>
      <c r="I230" s="80" t="s">
        <v>516</v>
      </c>
      <c r="J230" s="80">
        <v>5.0</v>
      </c>
      <c r="K230" s="80">
        <v>2.0</v>
      </c>
      <c r="L230" s="80">
        <f>IF(OR(J230&lt;&gt;"",K230&lt;&gt;""),OFFSET('PARÁMETROS'!$B$2,K230,J230),"")</f>
        <v>3</v>
      </c>
      <c r="M230" s="80">
        <v>4.0</v>
      </c>
      <c r="N230" s="80">
        <f>IFERROR(L230*M230,"")</f>
        <v>12</v>
      </c>
      <c r="O230" s="89" t="str">
        <f>IF(N230="","",IFERROR(IF(N230&lt;=2,"ACEPTABLE",IF(N230&lt;=6,"BAJA",IF(N230&lt;=10,"ACEPTABLE CON REVISIÓN",IF(N230&lt;=15,"SUSTANCIAL","INACEPTABLE")))),""))</f>
        <v>SUSTANCIAL</v>
      </c>
      <c r="P230" s="109" t="s">
        <v>302</v>
      </c>
      <c r="Q230" s="110" t="s">
        <v>581</v>
      </c>
      <c r="R230" s="110" t="s">
        <v>106</v>
      </c>
      <c r="S230" s="110" t="s">
        <v>265</v>
      </c>
      <c r="T230" s="111" t="s">
        <v>7</v>
      </c>
      <c r="U230" s="111" t="s">
        <v>182</v>
      </c>
      <c r="V230" s="111" t="str">
        <f>IFERROR(IF(AA230="SEGURIDAD",OFFSET('PARÁMETROS'!$K$2,MATCH(U230,JC_SE,0),MATCH(T230,CC_SE,0)),
IF(OR(AA230="DSRC/Estratégico",AA230="DSRC/Operativo"),OFFSET('PARÁMETROS'!$K$11,MATCH(U230,JC_DS,0),MATCH(T230,CC_DS,0)),
IF(AA230="SALUD",OFFSET('PARÁMETROS'!$K$29,MATCH(U230,JC_SA,0),MATCH(T230,CC_SA,0)),
IF(AA230="MEDIO AMBIENTE",OFFSET('PARÁMETROS'!$K$20,MATCH(U230,JC_MA,0),MATCH(T230,CC_MA,0)),
IF(AA230="Rel. Gubernamentales",OFFSET('PARÁMETROS'!$K$48,MATCH(U230,JC_G,0),MATCH(T230,CC_G,0)),
IF(AA230="OPERACIONAL",OFFSET('PARÁMETROS'!$K$56,MATCH(U230,JC_OP,0),MATCH(T230,CC_OP,0)),
IF(AA230="FINANCIERO",OFFSET('PARÁMETROS'!$K$56,MATCH(U230,JC_FI,0),MATCH(T230,CC_FI,0)),
OFFSET('PARÁMETROS'!$K$38,MATCH(U230,JC_L,0),MATCH(T230,CC_L,0))))))))),"")</f>
        <v>Control/Acción Satisfactorio</v>
      </c>
      <c r="W230" s="89" t="str">
        <f>IF(E230="","",
IF(COUNTA( V230:V234)-COUNTBLANK( V230:V234)=1,
IF(O230="INACEPTABLE",IF(COUNTIF( V230:V234,"Control/Acción Eficaz")&gt;=1,"SUSTANCIAL","INACEPTABLE"),
IF(O230="SUSTANCIAL",IF(COUNTIF( V230:V234,"Control/Acción Eficaz")&gt;=1,"ACEPTABLE CON REVISIÓN","SUSTANCIAL"),
IF(O230="ACEPTABLE CON REVISIÓN",IF(COUNTIF( V230:V234,"Control/Acción Eficaz")&gt;=1,"BAJA","ACEPTABLE CON REVISIÓN"),
IF(O230="BAJA",IF(COUNTIF( V230:V234,"Control/Acción Eficaz")&gt;=1,"ACEPTABLE","BAJA"),)))),
IF(COUNTA( V230:V234)-COUNTBLANK( V230:V234)=2,
IF(O230="INACEPTABLE",IF(COUNTIF( V230:V234,"Control/Acción Eficaz")=2,"ACEPTABLE CON REVISIÓN",
IF(OR(AND(COUNTIF( V230:V234,"Control/Acción Eficaz")=1,COUNTIF( V230:V234,"Control/Acción Satisfactorio")=1),
AND(COUNTIF( V230:V234,"Control/Acción Eficaz")=1,COUNTIF( V230:V234,"Control/Acción No Eficaz")=1)),"SUSTANCIAL","INACEPTABLE")),
IF(O230="SUSTANCIAL",IF(COUNTIF( V230:V234,"Control/Acción Eficaz")=2,"BAJA",
IF(OR(AND(COUNTIF( V230:V234,"Control/Acción Eficaz")=1,COUNTIF( V230:V234,"Control/Acción Satisfactorio")=1),
AND(COUNTIF( V230:V234,"Control/Acción Eficaz")=1,COUNTIF( V230:V234,"Control/Acción No Eficaz")=1)),"ACEPTABLE CON REVISIÓN ","SUSTANCIAL")),
IF(O230="ACEPTABLE CON REVISIÓN",IF(COUNTIF( V230:V234,"Control/Acción Eficaz")=2,"ACEPTABLE",
IF(OR(AND(COUNTIF( V230:V234,"Control/Acción Eficaz")=1,COUNTIF( V230:V234,"Control/Acción Satisfactorio")=1),
AND(COUNTIF( V230:V234,"Control/Acción Eficaz")=1,COUNTIF( V230:V234,"Control/Acción No Eficaz")=1)),"BAJA","ACEPTABLE CON REVISIÓN")),
IF(O230="BAJA",IF(COUNTIF( V230:V234,"Control/Acción Eficaz")&gt;=2,"ACEPTABLE","BAJA"),)))),
IF(COUNTA( V230:V234)-COUNTBLANK( V230:V234)&gt;=3,
IF(O230="INACEPTABLE",
IF(COUNTBLANK( V230:V234)=COUNTA( V230:V234),"",
IF(COUNTIF( V230:V234,"Control/Acción No Eficaz")&gt;=2,"INACEPTABLE",
IF(AND(COUNTIF( V230:V234,"Control/Acción No Eficaz")=0,COUNTIF( V230:V234,"Control/Acción Eficaz")&gt;=2),"ACEPTABLE CON REVISIÓN ","SUSTANCIAL"))),
IF(O230="SUSTANCIAL",
IF(COUNTBLANK( V230:V234)=COUNTA( V230:V234),"",
IF(COUNTIF( V230:V234,"Control/Acción No Eficaz")&gt;=2,"SUSTANCIAL",
IF(AND(COUNTIF( V230:V234,"Control/Acción No Eficaz")=0,COUNTIF( V230:V234,"Control/Acción Eficaz")&gt;=2),"BAJA","ACEPTABLE CON REVISIÓN"))),
IF(O230="ACEPTABLE CON REVISIÓN",
IF(COUNTBLANK( V230:V234)=COUNTA( V230:V234),"",
IF(COUNTIF( V230:V234,"Control/Acción No Eficaz")&gt;=2,"ACEPTABLE CON REVISIÓN",
IF(AND(COUNTIF( V230:V234,"Control/Acción No Eficaz")=0,COUNTIF( V230:V234,"Control/Acción Eficaz")&gt;=2),"ACEPTABLE","BAJA"))),
IF(O230="BAJA",
IF(COUNTBLANK( V230:V234)=COUNTA( V230:V234),"",
IF(AND(COUNTBLANK( V230:V234)&lt;1,COUNTA( V230:V234)=1),
IF(COUNTIF( V230:V234,"Control/Acción No Eficaz")&gt;=2,"BAJA",
IF(AND(COUNTIF( V230:V234,"Control/Acción No Eficaz")=0,COUNTIF( V230:V234,"Control/Acción Eficaz")&gt;=2),"ACEPTABLE","BAJA")),
IF(COUNTIF( V230:V234,"Control/Acción No Eficaz")&gt;=2,"BAJA",
IF(AND(COUNTIF( V230:V234,"Control/Acción No Eficaz")=0,COUNTIF( V230:V234,"Control/Acción Eficaz")&gt;=2),"ACEPTABLE","BAJA")))),
IF(COUNTIF( V230:V234,"")&gt;=5,"",O230))))),
""))))</f>
        <v>BAJA</v>
      </c>
      <c r="X230" s="111"/>
      <c r="Y230" s="115"/>
      <c r="Z230" s="30" t="s">
        <v>314</v>
      </c>
      <c r="AA230" s="32" t="str">
        <f>E230</f>
        <v>Seguridad</v>
      </c>
      <c r="AB230" s="33"/>
    </row>
    <row r="231" ht="105.0" customHeight="1">
      <c r="A231" s="116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8" t="s">
        <v>166</v>
      </c>
      <c r="Q231" s="119" t="s">
        <v>437</v>
      </c>
      <c r="R231" s="119" t="s">
        <v>142</v>
      </c>
      <c r="S231" s="119" t="s">
        <v>325</v>
      </c>
      <c r="T231" s="120" t="s">
        <v>7</v>
      </c>
      <c r="U231" s="120" t="s">
        <v>162</v>
      </c>
      <c r="V231" s="120" t="str">
        <f>IFERROR(IF(AA231="SEGURIDAD",OFFSET('PARÁMETROS'!$K$2,MATCH(U231,JC_SE,0),MATCH(T231,CC_SE,0)),
IF(OR(AA231="DSRC/Estratégico",AA231="DSRC/Operativo"),OFFSET('PARÁMETROS'!$K$11,MATCH(U231,JC_DS,0),MATCH(T231,CC_DS,0)),
IF(AA231="SALUD",OFFSET('PARÁMETROS'!$K$29,MATCH(U231,JC_SA,0),MATCH(T231,CC_SA,0)),
IF(AA231="MEDIO AMBIENTE",OFFSET('PARÁMETROS'!$K$20,MATCH(U231,JC_MA,0),MATCH(T231,CC_MA,0)),
IF(AA231="Rel. Gubernamentales",OFFSET('PARÁMETROS'!$K$48,MATCH(U231,JC_G,0),MATCH(T231,CC_G,0)),
IF(AA231="OPERACIONAL",OFFSET('PARÁMETROS'!$K$56,MATCH(U231,JC_OP,0),MATCH(T231,CC_OP,0)),
IF(AA231="FINANCIERO",OFFSET('PARÁMETROS'!$K$56,MATCH(U231,JC_FI,0),MATCH(T231,CC_FI,0)),
OFFSET('PARÁMETROS'!$K$38,MATCH(U231,JC_L,0),MATCH(T231,CC_L,0))))))))),"")</f>
        <v>Control/Acción Eficaz</v>
      </c>
      <c r="W231" s="117"/>
      <c r="X231" s="120"/>
      <c r="Y231" s="121"/>
      <c r="Z231" s="30" t="s">
        <v>314</v>
      </c>
      <c r="AA231" s="32" t="str">
        <f>E230</f>
        <v>Seguridad</v>
      </c>
      <c r="AB231" s="33"/>
    </row>
    <row r="232" ht="105.0" customHeight="1">
      <c r="A232" s="116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8" t="s">
        <v>258</v>
      </c>
      <c r="Q232" s="119" t="s">
        <v>488</v>
      </c>
      <c r="R232" s="119" t="s">
        <v>83</v>
      </c>
      <c r="S232" s="119" t="s">
        <v>84</v>
      </c>
      <c r="T232" s="120" t="s">
        <v>6</v>
      </c>
      <c r="U232" s="120" t="s">
        <v>162</v>
      </c>
      <c r="V232" s="120" t="str">
        <f>IFERROR(IF(AA232="SEGURIDAD",OFFSET('PARÁMETROS'!$K$2,MATCH(U232,JC_SE,0),MATCH(T232,CC_SE,0)),
IF(OR(AA232="DSRC/Estratégico",AA232="DSRC/Operativo"),OFFSET('PARÁMETROS'!$K$11,MATCH(U232,JC_DS,0),MATCH(T232,CC_DS,0)),
IF(AA232="SALUD",OFFSET('PARÁMETROS'!$K$29,MATCH(U232,JC_SA,0),MATCH(T232,CC_SA,0)),
IF(AA232="MEDIO AMBIENTE",OFFSET('PARÁMETROS'!$K$20,MATCH(U232,JC_MA,0),MATCH(T232,CC_MA,0)),
IF(AA232="Rel. Gubernamentales",OFFSET('PARÁMETROS'!$K$48,MATCH(U232,JC_G,0),MATCH(T232,CC_G,0)),
IF(AA232="OPERACIONAL",OFFSET('PARÁMETROS'!$K$56,MATCH(U232,JC_OP,0),MATCH(T232,CC_OP,0)),
IF(AA232="FINANCIERO",OFFSET('PARÁMETROS'!$K$56,MATCH(U232,JC_FI,0),MATCH(T232,CC_FI,0)),
OFFSET('PARÁMETROS'!$K$38,MATCH(U232,JC_L,0),MATCH(T232,CC_L,0))))))))),"")</f>
        <v>Control/Acción Satisfactorio</v>
      </c>
      <c r="W232" s="117"/>
      <c r="X232" s="120"/>
      <c r="Y232" s="121"/>
      <c r="Z232" s="30" t="s">
        <v>314</v>
      </c>
      <c r="AA232" s="32" t="str">
        <f>E230</f>
        <v>Seguridad</v>
      </c>
      <c r="AB232" s="33"/>
    </row>
    <row r="233" ht="105.0" customHeight="1">
      <c r="A233" s="116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8" t="s">
        <v>117</v>
      </c>
      <c r="Q233" s="119" t="s">
        <v>582</v>
      </c>
      <c r="R233" s="119" t="s">
        <v>142</v>
      </c>
      <c r="S233" s="119" t="s">
        <v>295</v>
      </c>
      <c r="T233" s="120" t="s">
        <v>7</v>
      </c>
      <c r="U233" s="120" t="s">
        <v>111</v>
      </c>
      <c r="V233" s="120" t="str">
        <f>IFERROR(IF(AA233="SEGURIDAD",OFFSET('PARÁMETROS'!$K$2,MATCH(U233,JC_SE,0),MATCH(T233,CC_SE,0)),
IF(OR(AA233="DSRC/Estratégico",AA233="DSRC/Operativo"),OFFSET('PARÁMETROS'!$K$11,MATCH(U233,JC_DS,0),MATCH(T233,CC_DS,0)),
IF(AA233="SALUD",OFFSET('PARÁMETROS'!$K$29,MATCH(U233,JC_SA,0),MATCH(T233,CC_SA,0)),
IF(AA233="MEDIO AMBIENTE",OFFSET('PARÁMETROS'!$K$20,MATCH(U233,JC_MA,0),MATCH(T233,CC_MA,0)),
IF(AA233="Rel. Gubernamentales",OFFSET('PARÁMETROS'!$K$48,MATCH(U233,JC_G,0),MATCH(T233,CC_G,0)),
IF(AA233="OPERACIONAL",OFFSET('PARÁMETROS'!$K$56,MATCH(U233,JC_OP,0),MATCH(T233,CC_OP,0)),
IF(AA233="FINANCIERO",OFFSET('PARÁMETROS'!$K$56,MATCH(U233,JC_FI,0),MATCH(T233,CC_FI,0)),
OFFSET('PARÁMETROS'!$K$38,MATCH(U233,JC_L,0),MATCH(T233,CC_L,0))))))))),"")</f>
        <v>Control/Acción Eficaz</v>
      </c>
      <c r="W233" s="117"/>
      <c r="X233" s="120"/>
      <c r="Y233" s="121"/>
      <c r="Z233" s="30" t="s">
        <v>314</v>
      </c>
      <c r="AA233" s="32" t="str">
        <f>E230</f>
        <v>Seguridad</v>
      </c>
      <c r="AB233" s="33"/>
    </row>
    <row r="234" ht="105.0" customHeight="1">
      <c r="A234" s="68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134" t="s">
        <v>196</v>
      </c>
      <c r="Q234" s="135" t="s">
        <v>564</v>
      </c>
      <c r="R234" s="135" t="s">
        <v>142</v>
      </c>
      <c r="S234" s="135" t="s">
        <v>167</v>
      </c>
      <c r="T234" s="136" t="s">
        <v>7</v>
      </c>
      <c r="U234" s="136" t="s">
        <v>162</v>
      </c>
      <c r="V234" s="136" t="str">
        <f>IFERROR(IF(AA234="SEGURIDAD",OFFSET('PARÁMETROS'!$K$2,MATCH(U234,JC_SE,0),MATCH(T234,CC_SE,0)),
IF(OR(AA234="DSRC/Estratégico",AA234="DSRC/Operativo"),OFFSET('PARÁMETROS'!$K$11,MATCH(U234,JC_DS,0),MATCH(T234,CC_DS,0)),
IF(AA234="SALUD",OFFSET('PARÁMETROS'!$K$29,MATCH(U234,JC_SA,0),MATCH(T234,CC_SA,0)),
IF(AA234="MEDIO AMBIENTE",OFFSET('PARÁMETROS'!$K$20,MATCH(U234,JC_MA,0),MATCH(T234,CC_MA,0)),
IF(AA234="Rel. Gubernamentales",OFFSET('PARÁMETROS'!$K$48,MATCH(U234,JC_G,0),MATCH(T234,CC_G,0)),
IF(AA234="OPERACIONAL",OFFSET('PARÁMETROS'!$K$56,MATCH(U234,JC_OP,0),MATCH(T234,CC_OP,0)),
IF(AA234="FINANCIERO",OFFSET('PARÁMETROS'!$K$56,MATCH(U234,JC_FI,0),MATCH(T234,CC_FI,0)),
OFFSET('PARÁMETROS'!$K$38,MATCH(U234,JC_L,0),MATCH(T234,CC_L,0))))))))),"")</f>
        <v>Control/Acción Eficaz</v>
      </c>
      <c r="W234" s="69"/>
      <c r="X234" s="136"/>
      <c r="Y234" s="137"/>
      <c r="Z234" s="30" t="s">
        <v>534</v>
      </c>
      <c r="AA234" s="32" t="str">
        <f>E230</f>
        <v>Seguridad</v>
      </c>
      <c r="AB234" s="138" t="s">
        <v>583</v>
      </c>
    </row>
    <row r="235" ht="105.0" customHeight="1">
      <c r="A235" s="79">
        <v>31.0</v>
      </c>
      <c r="B235" s="80" t="s">
        <v>172</v>
      </c>
      <c r="C235" s="80" t="s">
        <v>584</v>
      </c>
      <c r="D235" s="80" t="s">
        <v>177</v>
      </c>
      <c r="E235" s="80" t="s">
        <v>181</v>
      </c>
      <c r="F235" s="80" t="s">
        <v>285</v>
      </c>
      <c r="G235" s="80" t="s">
        <v>585</v>
      </c>
      <c r="H235" s="80" t="s">
        <v>48</v>
      </c>
      <c r="I235" s="80" t="s">
        <v>586</v>
      </c>
      <c r="J235" s="80">
        <v>2.0</v>
      </c>
      <c r="K235" s="80">
        <v>3.0</v>
      </c>
      <c r="L235" s="80">
        <f>IF(OR(J235&lt;&gt;"",K235&lt;&gt;""),OFFSET('PARÁMETROS'!$B$2,K235,J235),"")</f>
        <v>4</v>
      </c>
      <c r="M235" s="80">
        <v>5.0</v>
      </c>
      <c r="N235" s="80">
        <f>IFERROR(L235*M235,"")</f>
        <v>20</v>
      </c>
      <c r="O235" s="89" t="str">
        <f>IF(N235="","",IFERROR(IF(N235&lt;=2,"ACEPTABLE",IF(N235&lt;=6,"BAJA",IF(N235&lt;=10,"ACEPTABLE CON REVISIÓN",IF(N235&lt;=15,"SUSTANCIAL","INACEPTABLE")))),""))</f>
        <v>INACEPTABLE</v>
      </c>
      <c r="P235" s="109" t="s">
        <v>258</v>
      </c>
      <c r="Q235" s="110" t="s">
        <v>445</v>
      </c>
      <c r="R235" s="110" t="s">
        <v>142</v>
      </c>
      <c r="S235" s="110" t="s">
        <v>120</v>
      </c>
      <c r="T235" s="111" t="s">
        <v>6</v>
      </c>
      <c r="U235" s="111" t="s">
        <v>162</v>
      </c>
      <c r="V235" s="111" t="str">
        <f>IFERROR(IF(AA235="SEGURIDAD",OFFSET('PARÁMETROS'!$K$2,MATCH(U235,JC_SE,0),MATCH(T235,CC_SE,0)),
IF(OR(AA235="DSRC/Estratégico",AA235="DSRC/Operativo"),OFFSET('PARÁMETROS'!$K$11,MATCH(U235,JC_DS,0),MATCH(T235,CC_DS,0)),
IF(AA235="SALUD",OFFSET('PARÁMETROS'!$K$29,MATCH(U235,JC_SA,0),MATCH(T235,CC_SA,0)),
IF(AA235="MEDIO AMBIENTE",OFFSET('PARÁMETROS'!$K$20,MATCH(U235,JC_MA,0),MATCH(T235,CC_MA,0)),
IF(AA235="Rel. Gubernamentales",OFFSET('PARÁMETROS'!$K$48,MATCH(U235,JC_G,0),MATCH(T235,CC_G,0)),
IF(AA235="OPERACIONAL",OFFSET('PARÁMETROS'!$K$56,MATCH(U235,JC_OP,0),MATCH(T235,CC_OP,0)),
IF(AA235="FINANCIERO",OFFSET('PARÁMETROS'!$K$56,MATCH(U235,JC_FI,0),MATCH(T235,CC_FI,0)),
OFFSET('PARÁMETROS'!$K$38,MATCH(U235,JC_L,0),MATCH(T235,CC_L,0))))))))),"")</f>
        <v>Control/Acción Satisfactorio</v>
      </c>
      <c r="W235" s="89" t="str">
        <f>IF(E235="","",
IF(COUNTA( V235:V239)-COUNTBLANK( V235:V239)=1,
IF(O235="INACEPTABLE",IF(COUNTIF( V235:V239,"Control/Acción Eficaz")&gt;=1,"SUSTANCIAL","INACEPTABLE"),
IF(O235="SUSTANCIAL",IF(COUNTIF( V235:V239,"Control/Acción Eficaz")&gt;=1,"ACEPTABLE CON REVISIÓN","SUSTANCIAL"),
IF(O235="ACEPTABLE CON REVISIÓN",IF(COUNTIF( V235:V239,"Control/Acción Eficaz")&gt;=1,"BAJA","ACEPTABLE CON REVISIÓN"),
IF(O235="BAJA",IF(COUNTIF( V235:V239,"Control/Acción Eficaz")&gt;=1,"ACEPTABLE","BAJA"),)))),
IF(COUNTA( V235:V239)-COUNTBLANK( V235:V239)=2,
IF(O235="INACEPTABLE",IF(COUNTIF( V235:V239,"Control/Acción Eficaz")=2,"ACEPTABLE CON REVISIÓN",
IF(OR(AND(COUNTIF( V235:V239,"Control/Acción Eficaz")=1,COUNTIF( V235:V239,"Control/Acción Satisfactorio")=1),
AND(COUNTIF( V235:V239,"Control/Acción Eficaz")=1,COUNTIF( V235:V239,"Control/Acción No Eficaz")=1)),"SUSTANCIAL","INACEPTABLE")),
IF(O235="SUSTANCIAL",IF(COUNTIF( V235:V239,"Control/Acción Eficaz")=2,"BAJA",
IF(OR(AND(COUNTIF( V235:V239,"Control/Acción Eficaz")=1,COUNTIF( V235:V239,"Control/Acción Satisfactorio")=1),
AND(COUNTIF( V235:V239,"Control/Acción Eficaz")=1,COUNTIF( V235:V239,"Control/Acción No Eficaz")=1)),"ACEPTABLE CON REVISIÓN ","SUSTANCIAL")),
IF(O235="ACEPTABLE CON REVISIÓN",IF(COUNTIF( V235:V239,"Control/Acción Eficaz")=2,"ACEPTABLE",
IF(OR(AND(COUNTIF( V235:V239,"Control/Acción Eficaz")=1,COUNTIF( V235:V239,"Control/Acción Satisfactorio")=1),
AND(COUNTIF( V235:V239,"Control/Acción Eficaz")=1,COUNTIF( V235:V239,"Control/Acción No Eficaz")=1)),"BAJA","ACEPTABLE CON REVISIÓN")),
IF(O235="BAJA",IF(COUNTIF( V235:V239,"Control/Acción Eficaz")&gt;=2,"ACEPTABLE","BAJA"),)))),
IF(COUNTA( V235:V239)-COUNTBLANK( V235:V239)&gt;=3,
IF(O235="INACEPTABLE",
IF(COUNTBLANK( V235:V239)=COUNTA( V235:V239),"",
IF(COUNTIF( V235:V239,"Control/Acción No Eficaz")&gt;=2,"INACEPTABLE",
IF(AND(COUNTIF( V235:V239,"Control/Acción No Eficaz")=0,COUNTIF( V235:V239,"Control/Acción Eficaz")&gt;=2),"ACEPTABLE CON REVISIÓN ","SUSTANCIAL"))),
IF(O235="SUSTANCIAL",
IF(COUNTBLANK( V235:V239)=COUNTA( V235:V239),"",
IF(COUNTIF( V235:V239,"Control/Acción No Eficaz")&gt;=2,"SUSTANCIAL",
IF(AND(COUNTIF( V235:V239,"Control/Acción No Eficaz")=0,COUNTIF( V235:V239,"Control/Acción Eficaz")&gt;=2),"BAJA","ACEPTABLE CON REVISIÓN"))),
IF(O235="ACEPTABLE CON REVISIÓN",
IF(COUNTBLANK( V235:V239)=COUNTA( V235:V239),"",
IF(COUNTIF( V235:V239,"Control/Acción No Eficaz")&gt;=2,"ACEPTABLE CON REVISIÓN",
IF(AND(COUNTIF( V235:V239,"Control/Acción No Eficaz")=0,COUNTIF( V235:V239,"Control/Acción Eficaz")&gt;=2),"ACEPTABLE","BAJA"))),
IF(O235="BAJA",
IF(COUNTBLANK( V235:V239)=COUNTA( V235:V239),"",
IF(AND(COUNTBLANK( V235:V239)&lt;1,COUNTA( V235:V239)=1),
IF(COUNTIF( V235:V239,"Control/Acción No Eficaz")&gt;=2,"BAJA",
IF(AND(COUNTIF( V235:V239,"Control/Acción No Eficaz")=0,COUNTIF( V235:V239,"Control/Acción Eficaz")&gt;=2),"ACEPTABLE","BAJA")),
IF(COUNTIF( V235:V239,"Control/Acción No Eficaz")&gt;=2,"BAJA",
IF(AND(COUNTIF( V235:V239,"Control/Acción No Eficaz")=0,COUNTIF( V235:V239,"Control/Acción Eficaz")&gt;=2),"ACEPTABLE","BAJA")))),
IF(COUNTIF( V235:V239,"")&gt;=5,"",O235))))),
""))))</f>
        <v>ACEPTABLE CON REVISIÓN </v>
      </c>
      <c r="X235" s="111"/>
      <c r="Y235" s="115"/>
      <c r="Z235" s="30" t="s">
        <v>314</v>
      </c>
      <c r="AA235" s="32" t="str">
        <f>E235</f>
        <v>Seguridad</v>
      </c>
      <c r="AB235" s="33"/>
    </row>
    <row r="236" ht="105.0" customHeight="1">
      <c r="A236" s="116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8" t="s">
        <v>196</v>
      </c>
      <c r="Q236" s="119" t="s">
        <v>539</v>
      </c>
      <c r="R236" s="119" t="s">
        <v>142</v>
      </c>
      <c r="S236" s="119" t="s">
        <v>186</v>
      </c>
      <c r="T236" s="120" t="s">
        <v>7</v>
      </c>
      <c r="U236" s="120" t="s">
        <v>162</v>
      </c>
      <c r="V236" s="120" t="str">
        <f>IFERROR(IF(AA236="SEGURIDAD",OFFSET('PARÁMETROS'!$K$2,MATCH(U236,JC_SE,0),MATCH(T236,CC_SE,0)),
IF(OR(AA236="DSRC/Estratégico",AA236="DSRC/Operativo"),OFFSET('PARÁMETROS'!$K$11,MATCH(U236,JC_DS,0),MATCH(T236,CC_DS,0)),
IF(AA236="SALUD",OFFSET('PARÁMETROS'!$K$29,MATCH(U236,JC_SA,0),MATCH(T236,CC_SA,0)),
IF(AA236="MEDIO AMBIENTE",OFFSET('PARÁMETROS'!$K$20,MATCH(U236,JC_MA,0),MATCH(T236,CC_MA,0)),
IF(AA236="Rel. Gubernamentales",OFFSET('PARÁMETROS'!$K$48,MATCH(U236,JC_G,0),MATCH(T236,CC_G,0)),
IF(AA236="OPERACIONAL",OFFSET('PARÁMETROS'!$K$56,MATCH(U236,JC_OP,0),MATCH(T236,CC_OP,0)),
IF(AA236="FINANCIERO",OFFSET('PARÁMETROS'!$K$56,MATCH(U236,JC_FI,0),MATCH(T236,CC_FI,0)),
OFFSET('PARÁMETROS'!$K$38,MATCH(U236,JC_L,0),MATCH(T236,CC_L,0))))))))),"")</f>
        <v>Control/Acción Eficaz</v>
      </c>
      <c r="W236" s="117"/>
      <c r="X236" s="120"/>
      <c r="Y236" s="121"/>
      <c r="Z236" s="30" t="s">
        <v>314</v>
      </c>
      <c r="AA236" s="32" t="str">
        <f>E235</f>
        <v>Seguridad</v>
      </c>
      <c r="AB236" s="33"/>
    </row>
    <row r="237" ht="105.0" customHeight="1">
      <c r="A237" s="116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8" t="s">
        <v>258</v>
      </c>
      <c r="Q237" s="119" t="s">
        <v>587</v>
      </c>
      <c r="R237" s="119" t="s">
        <v>83</v>
      </c>
      <c r="S237" s="119" t="s">
        <v>84</v>
      </c>
      <c r="T237" s="120" t="s">
        <v>6</v>
      </c>
      <c r="U237" s="120" t="s">
        <v>162</v>
      </c>
      <c r="V237" s="120" t="str">
        <f>IFERROR(IF(AA237="SEGURIDAD",OFFSET('PARÁMETROS'!$K$2,MATCH(U237,JC_SE,0),MATCH(T237,CC_SE,0)),
IF(OR(AA237="DSRC/Estratégico",AA237="DSRC/Operativo"),OFFSET('PARÁMETROS'!$K$11,MATCH(U237,JC_DS,0),MATCH(T237,CC_DS,0)),
IF(AA237="SALUD",OFFSET('PARÁMETROS'!$K$29,MATCH(U237,JC_SA,0),MATCH(T237,CC_SA,0)),
IF(AA237="MEDIO AMBIENTE",OFFSET('PARÁMETROS'!$K$20,MATCH(U237,JC_MA,0),MATCH(T237,CC_MA,0)),
IF(AA237="Rel. Gubernamentales",OFFSET('PARÁMETROS'!$K$48,MATCH(U237,JC_G,0),MATCH(T237,CC_G,0)),
IF(AA237="OPERACIONAL",OFFSET('PARÁMETROS'!$K$56,MATCH(U237,JC_OP,0),MATCH(T237,CC_OP,0)),
IF(AA237="FINANCIERO",OFFSET('PARÁMETROS'!$K$56,MATCH(U237,JC_FI,0),MATCH(T237,CC_FI,0)),
OFFSET('PARÁMETROS'!$K$38,MATCH(U237,JC_L,0),MATCH(T237,CC_L,0))))))))),"")</f>
        <v>Control/Acción Satisfactorio</v>
      </c>
      <c r="W237" s="117"/>
      <c r="X237" s="120"/>
      <c r="Y237" s="121"/>
      <c r="Z237" s="30" t="s">
        <v>314</v>
      </c>
      <c r="AA237" s="32" t="str">
        <f>E235</f>
        <v>Seguridad</v>
      </c>
      <c r="AB237" s="33"/>
    </row>
    <row r="238" ht="105.0" customHeight="1">
      <c r="A238" s="116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8" t="s">
        <v>117</v>
      </c>
      <c r="Q238" s="119" t="s">
        <v>588</v>
      </c>
      <c r="R238" s="119" t="s">
        <v>106</v>
      </c>
      <c r="S238" s="119" t="s">
        <v>265</v>
      </c>
      <c r="T238" s="120" t="s">
        <v>6</v>
      </c>
      <c r="U238" s="120" t="s">
        <v>111</v>
      </c>
      <c r="V238" s="120" t="str">
        <f>IFERROR(IF(AA238="SEGURIDAD",OFFSET('PARÁMETROS'!$K$2,MATCH(U238,JC_SE,0),MATCH(T238,CC_SE,0)),
IF(OR(AA238="DSRC/Estratégico",AA238="DSRC/Operativo"),OFFSET('PARÁMETROS'!$K$11,MATCH(U238,JC_DS,0),MATCH(T238,CC_DS,0)),
IF(AA238="SALUD",OFFSET('PARÁMETROS'!$K$29,MATCH(U238,JC_SA,0),MATCH(T238,CC_SA,0)),
IF(AA238="MEDIO AMBIENTE",OFFSET('PARÁMETROS'!$K$20,MATCH(U238,JC_MA,0),MATCH(T238,CC_MA,0)),
IF(AA238="Rel. Gubernamentales",OFFSET('PARÁMETROS'!$K$48,MATCH(U238,JC_G,0),MATCH(T238,CC_G,0)),
IF(AA238="OPERACIONAL",OFFSET('PARÁMETROS'!$K$56,MATCH(U238,JC_OP,0),MATCH(T238,CC_OP,0)),
IF(AA238="FINANCIERO",OFFSET('PARÁMETROS'!$K$56,MATCH(U238,JC_FI,0),MATCH(T238,CC_FI,0)),
OFFSET('PARÁMETROS'!$K$38,MATCH(U238,JC_L,0),MATCH(T238,CC_L,0))))))))),"")</f>
        <v>Control/Acción Satisfactorio</v>
      </c>
      <c r="W238" s="117"/>
      <c r="X238" s="120"/>
      <c r="Y238" s="121"/>
      <c r="Z238" s="30" t="s">
        <v>314</v>
      </c>
      <c r="AA238" s="32" t="str">
        <f>E235</f>
        <v>Seguridad</v>
      </c>
      <c r="AB238" s="33"/>
    </row>
    <row r="239" ht="105.0" customHeight="1">
      <c r="A239" s="68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134" t="s">
        <v>196</v>
      </c>
      <c r="Q239" s="135" t="s">
        <v>589</v>
      </c>
      <c r="R239" s="135" t="s">
        <v>142</v>
      </c>
      <c r="S239" s="135" t="s">
        <v>167</v>
      </c>
      <c r="T239" s="136" t="s">
        <v>7</v>
      </c>
      <c r="U239" s="136" t="s">
        <v>162</v>
      </c>
      <c r="V239" s="136" t="str">
        <f>IFERROR(IF(AA239="SEGURIDAD",OFFSET('PARÁMETROS'!$K$2,MATCH(U239,JC_SE,0),MATCH(T239,CC_SE,0)),
IF(OR(AA239="DSRC/Estratégico",AA239="DSRC/Operativo"),OFFSET('PARÁMETROS'!$K$11,MATCH(U239,JC_DS,0),MATCH(T239,CC_DS,0)),
IF(AA239="SALUD",OFFSET('PARÁMETROS'!$K$29,MATCH(U239,JC_SA,0),MATCH(T239,CC_SA,0)),
IF(AA239="MEDIO AMBIENTE",OFFSET('PARÁMETROS'!$K$20,MATCH(U239,JC_MA,0),MATCH(T239,CC_MA,0)),
IF(AA239="Rel. Gubernamentales",OFFSET('PARÁMETROS'!$K$48,MATCH(U239,JC_G,0),MATCH(T239,CC_G,0)),
IF(AA239="OPERACIONAL",OFFSET('PARÁMETROS'!$K$56,MATCH(U239,JC_OP,0),MATCH(T239,CC_OP,0)),
IF(AA239="FINANCIERO",OFFSET('PARÁMETROS'!$K$56,MATCH(U239,JC_FI,0),MATCH(T239,CC_FI,0)),
OFFSET('PARÁMETROS'!$K$38,MATCH(U239,JC_L,0),MATCH(T239,CC_L,0))))))))),"")</f>
        <v>Control/Acción Eficaz</v>
      </c>
      <c r="W239" s="69"/>
      <c r="X239" s="136"/>
      <c r="Y239" s="137"/>
      <c r="Z239" s="30" t="s">
        <v>314</v>
      </c>
      <c r="AA239" s="32" t="str">
        <f>E235</f>
        <v>Seguridad</v>
      </c>
      <c r="AB239" s="33"/>
    </row>
    <row r="240" ht="105.0" customHeight="1">
      <c r="A240" s="79">
        <v>32.0</v>
      </c>
      <c r="B240" s="80" t="s">
        <v>172</v>
      </c>
      <c r="C240" s="80" t="s">
        <v>584</v>
      </c>
      <c r="D240" s="80" t="s">
        <v>177</v>
      </c>
      <c r="E240" s="80" t="s">
        <v>181</v>
      </c>
      <c r="F240" s="80" t="s">
        <v>193</v>
      </c>
      <c r="G240" s="80" t="s">
        <v>590</v>
      </c>
      <c r="H240" s="80" t="s">
        <v>165</v>
      </c>
      <c r="I240" s="80" t="s">
        <v>591</v>
      </c>
      <c r="J240" s="80">
        <v>2.0</v>
      </c>
      <c r="K240" s="80">
        <v>3.0</v>
      </c>
      <c r="L240" s="80">
        <f>IF(OR(J240&lt;&gt;"",K240&lt;&gt;""),OFFSET('PARÁMETROS'!$B$2,K240,J240),"")</f>
        <v>4</v>
      </c>
      <c r="M240" s="80">
        <v>4.0</v>
      </c>
      <c r="N240" s="80">
        <f>IFERROR(L240*M240,"")</f>
        <v>16</v>
      </c>
      <c r="O240" s="89" t="str">
        <f>IF(N240="","",IFERROR(IF(N240&lt;=2,"ACEPTABLE",IF(N240&lt;=6,"BAJA",IF(N240&lt;=10,"ACEPTABLE CON REVISIÓN",IF(N240&lt;=15,"SUSTANCIAL","INACEPTABLE")))),""))</f>
        <v>INACEPTABLE</v>
      </c>
      <c r="P240" s="109" t="s">
        <v>230</v>
      </c>
      <c r="Q240" s="110" t="s">
        <v>592</v>
      </c>
      <c r="R240" s="110" t="s">
        <v>83</v>
      </c>
      <c r="S240" s="110" t="s">
        <v>51</v>
      </c>
      <c r="T240" s="111" t="s">
        <v>7</v>
      </c>
      <c r="U240" s="111" t="s">
        <v>162</v>
      </c>
      <c r="V240" s="111" t="str">
        <f>IFERROR(IF(AA240="SEGURIDAD",OFFSET('PARÁMETROS'!$K$2,MATCH(U240,JC_SE,0),MATCH(T240,CC_SE,0)),
IF(OR(AA240="DSRC/Estratégico",AA240="DSRC/Operativo"),OFFSET('PARÁMETROS'!$K$11,MATCH(U240,JC_DS,0),MATCH(T240,CC_DS,0)),
IF(AA240="SALUD",OFFSET('PARÁMETROS'!$K$29,MATCH(U240,JC_SA,0),MATCH(T240,CC_SA,0)),
IF(AA240="MEDIO AMBIENTE",OFFSET('PARÁMETROS'!$K$20,MATCH(U240,JC_MA,0),MATCH(T240,CC_MA,0)),
IF(AA240="Rel. Gubernamentales",OFFSET('PARÁMETROS'!$K$48,MATCH(U240,JC_G,0),MATCH(T240,CC_G,0)),
IF(AA240="OPERACIONAL",OFFSET('PARÁMETROS'!$K$56,MATCH(U240,JC_OP,0),MATCH(T240,CC_OP,0)),
IF(AA240="FINANCIERO",OFFSET('PARÁMETROS'!$K$56,MATCH(U240,JC_FI,0),MATCH(T240,CC_FI,0)),
OFFSET('PARÁMETROS'!$K$38,MATCH(U240,JC_L,0),MATCH(T240,CC_L,0))))))))),"")</f>
        <v>Control/Acción Eficaz</v>
      </c>
      <c r="W240" s="89" t="str">
        <f>IF(E240="","",
IF(COUNTA( V240:V245)-COUNTBLANK( V240:V245)=1,
IF(O240="INACEPTABLE",IF(COUNTIF( V240:V245,"Control/Acción Eficaz")&gt;=1,"SUSTANCIAL","INACEPTABLE"),
IF(O240="SUSTANCIAL",IF(COUNTIF( V240:V245,"Control/Acción Eficaz")&gt;=1,"ACEPTABLE CON REVISIÓN","SUSTANCIAL"),
IF(O240="ACEPTABLE CON REVISIÓN",IF(COUNTIF( V240:V245,"Control/Acción Eficaz")&gt;=1,"BAJA","ACEPTABLE CON REVISIÓN"),
IF(O240="BAJA",IF(COUNTIF( V240:V245,"Control/Acción Eficaz")&gt;=1,"ACEPTABLE","BAJA"),)))),
IF(COUNTA( V240:V245)-COUNTBLANK( V240:V245)=2,
IF(O240="INACEPTABLE",IF(COUNTIF( V240:V245,"Control/Acción Eficaz")=2,"ACEPTABLE CON REVISIÓN",
IF(OR(AND(COUNTIF( V240:V245,"Control/Acción Eficaz")=1,COUNTIF( V240:V245,"Control/Acción Satisfactorio")=1),
AND(COUNTIF( V240:V245,"Control/Acción Eficaz")=1,COUNTIF( V240:V245,"Control/Acción No Eficaz")=1)),"SUSTANCIAL","INACEPTABLE")),
IF(O240="SUSTANCIAL",IF(COUNTIF( V240:V245,"Control/Acción Eficaz")=2,"BAJA",
IF(OR(AND(COUNTIF( V240:V245,"Control/Acción Eficaz")=1,COUNTIF( V240:V245,"Control/Acción Satisfactorio")=1),
AND(COUNTIF( V240:V245,"Control/Acción Eficaz")=1,COUNTIF( V240:V245,"Control/Acción No Eficaz")=1)),"ACEPTABLE CON REVISIÓN ","SUSTANCIAL")),
IF(O240="ACEPTABLE CON REVISIÓN",IF(COUNTIF( V240:V245,"Control/Acción Eficaz")=2,"ACEPTABLE",
IF(OR(AND(COUNTIF( V240:V245,"Control/Acción Eficaz")=1,COUNTIF( V240:V245,"Control/Acción Satisfactorio")=1),
AND(COUNTIF( V240:V245,"Control/Acción Eficaz")=1,COUNTIF( V240:V245,"Control/Acción No Eficaz")=1)),"BAJA","ACEPTABLE CON REVISIÓN")),
IF(O240="BAJA",IF(COUNTIF( V240:V245,"Control/Acción Eficaz")&gt;=2,"ACEPTABLE","BAJA"),)))),
IF(COUNTA( V240:V245)-COUNTBLANK( V240:V245)&gt;=3,
IF(O240="INACEPTABLE",
IF(COUNTBLANK( V240:V245)=COUNTA( V240:V245),"",
IF(COUNTIF( V240:V245,"Control/Acción No Eficaz")&gt;=2,"INACEPTABLE",
IF(AND(COUNTIF( V240:V245,"Control/Acción No Eficaz")=0,COUNTIF( V240:V245,"Control/Acción Eficaz")&gt;=2),"ACEPTABLE CON REVISIÓN ","SUSTANCIAL"))),
IF(O240="SUSTANCIAL",
IF(COUNTBLANK( V240:V245)=COUNTA( V240:V245),"",
IF(COUNTIF( V240:V245,"Control/Acción No Eficaz")&gt;=2,"SUSTANCIAL",
IF(AND(COUNTIF( V240:V245,"Control/Acción No Eficaz")=0,COUNTIF( V240:V245,"Control/Acción Eficaz")&gt;=2),"BAJA","ACEPTABLE CON REVISIÓN"))),
IF(O240="ACEPTABLE CON REVISIÓN",
IF(COUNTBLANK( V240:V245)=COUNTA( V240:V245),"",
IF(COUNTIF( V240:V245,"Control/Acción No Eficaz")&gt;=2,"ACEPTABLE CON REVISIÓN",
IF(AND(COUNTIF( V240:V245,"Control/Acción No Eficaz")=0,COUNTIF( V240:V245,"Control/Acción Eficaz")&gt;=2),"ACEPTABLE","BAJA"))),
IF(O240="BAJA",
IF(COUNTBLANK( V240:V245)=COUNTA( V240:V245),"",
IF(AND(COUNTBLANK( V240:V245)&lt;1,COUNTA( V240:V245)=1),
IF(COUNTIF( V240:V245,"Control/Acción No Eficaz")&gt;=2,"BAJA",
IF(AND(COUNTIF( V240:V245,"Control/Acción No Eficaz")=0,COUNTIF( V240:V245,"Control/Acción Eficaz")&gt;=2),"ACEPTABLE","BAJA")),
IF(COUNTIF( V240:V245,"Control/Acción No Eficaz")&gt;=2,"BAJA",
IF(AND(COUNTIF( V240:V245,"Control/Acción No Eficaz")=0,COUNTIF( V240:V245,"Control/Acción Eficaz")&gt;=2),"ACEPTABLE","BAJA")))),
IF(COUNTIF( V240:V245,"")&gt;=5,"",O240))))),
""))))</f>
        <v>SUSTANCIAL</v>
      </c>
      <c r="X240" s="111"/>
      <c r="Y240" s="115"/>
      <c r="Z240" s="30" t="s">
        <v>314</v>
      </c>
      <c r="AA240" s="32" t="str">
        <f>E240</f>
        <v>Seguridad</v>
      </c>
      <c r="AB240" s="33"/>
    </row>
    <row r="241" ht="105.0" customHeight="1">
      <c r="A241" s="116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8" t="s">
        <v>258</v>
      </c>
      <c r="Q241" s="119" t="s">
        <v>593</v>
      </c>
      <c r="R241" s="119" t="s">
        <v>142</v>
      </c>
      <c r="S241" s="119" t="s">
        <v>120</v>
      </c>
      <c r="T241" s="120" t="s">
        <v>5</v>
      </c>
      <c r="U241" s="120" t="s">
        <v>162</v>
      </c>
      <c r="V241" s="120" t="str">
        <f>IFERROR(IF(AA241="SEGURIDAD",OFFSET('PARÁMETROS'!$K$2,MATCH(U241,JC_SE,0),MATCH(T241,CC_SE,0)),
IF(OR(AA241="DSRC/Estratégico",AA241="DSRC/Operativo"),OFFSET('PARÁMETROS'!$K$11,MATCH(U241,JC_DS,0),MATCH(T241,CC_DS,0)),
IF(AA241="SALUD",OFFSET('PARÁMETROS'!$K$29,MATCH(U241,JC_SA,0),MATCH(T241,CC_SA,0)),
IF(AA241="MEDIO AMBIENTE",OFFSET('PARÁMETROS'!$K$20,MATCH(U241,JC_MA,0),MATCH(T241,CC_MA,0)),
IF(AA241="Rel. Gubernamentales",OFFSET('PARÁMETROS'!$K$48,MATCH(U241,JC_G,0),MATCH(T241,CC_G,0)),
IF(AA241="OPERACIONAL",OFFSET('PARÁMETROS'!$K$56,MATCH(U241,JC_OP,0),MATCH(T241,CC_OP,0)),
IF(AA241="FINANCIERO",OFFSET('PARÁMETROS'!$K$56,MATCH(U241,JC_FI,0),MATCH(T241,CC_FI,0)),
OFFSET('PARÁMETROS'!$K$38,MATCH(U241,JC_L,0),MATCH(T241,CC_L,0))))))))),"")</f>
        <v>Control/Acción No Eficaz</v>
      </c>
      <c r="W241" s="117"/>
      <c r="X241" s="120"/>
      <c r="Y241" s="121"/>
      <c r="Z241" s="30" t="s">
        <v>314</v>
      </c>
      <c r="AA241" s="32" t="str">
        <f>E240</f>
        <v>Seguridad</v>
      </c>
      <c r="AB241" s="33"/>
    </row>
    <row r="242" ht="105.0" customHeight="1">
      <c r="A242" s="116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8" t="s">
        <v>117</v>
      </c>
      <c r="Q242" s="119" t="s">
        <v>594</v>
      </c>
      <c r="R242" s="119" t="s">
        <v>106</v>
      </c>
      <c r="S242" s="119" t="s">
        <v>310</v>
      </c>
      <c r="T242" s="120" t="s">
        <v>7</v>
      </c>
      <c r="U242" s="120" t="s">
        <v>111</v>
      </c>
      <c r="V242" s="120" t="str">
        <f>IFERROR(IF(AA242="SEGURIDAD",OFFSET('PARÁMETROS'!$K$2,MATCH(U242,JC_SE,0),MATCH(T242,CC_SE,0)),
IF(OR(AA242="DSRC/Estratégico",AA242="DSRC/Operativo"),OFFSET('PARÁMETROS'!$K$11,MATCH(U242,JC_DS,0),MATCH(T242,CC_DS,0)),
IF(AA242="SALUD",OFFSET('PARÁMETROS'!$K$29,MATCH(U242,JC_SA,0),MATCH(T242,CC_SA,0)),
IF(AA242="MEDIO AMBIENTE",OFFSET('PARÁMETROS'!$K$20,MATCH(U242,JC_MA,0),MATCH(T242,CC_MA,0)),
IF(AA242="Rel. Gubernamentales",OFFSET('PARÁMETROS'!$K$48,MATCH(U242,JC_G,0),MATCH(T242,CC_G,0)),
IF(AA242="OPERACIONAL",OFFSET('PARÁMETROS'!$K$56,MATCH(U242,JC_OP,0),MATCH(T242,CC_OP,0)),
IF(AA242="FINANCIERO",OFFSET('PARÁMETROS'!$K$56,MATCH(U242,JC_FI,0),MATCH(T242,CC_FI,0)),
OFFSET('PARÁMETROS'!$K$38,MATCH(U242,JC_L,0),MATCH(T242,CC_L,0))))))))),"")</f>
        <v>Control/Acción Eficaz</v>
      </c>
      <c r="W242" s="117"/>
      <c r="X242" s="120"/>
      <c r="Y242" s="121"/>
      <c r="Z242" s="30" t="s">
        <v>314</v>
      </c>
      <c r="AA242" s="32" t="str">
        <f>E240</f>
        <v>Seguridad</v>
      </c>
      <c r="AB242" s="33"/>
    </row>
    <row r="243" ht="105.0" customHeight="1">
      <c r="A243" s="116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8" t="s">
        <v>258</v>
      </c>
      <c r="Q243" s="119" t="s">
        <v>595</v>
      </c>
      <c r="R243" s="119" t="s">
        <v>83</v>
      </c>
      <c r="S243" s="119" t="s">
        <v>84</v>
      </c>
      <c r="T243" s="120" t="s">
        <v>6</v>
      </c>
      <c r="U243" s="120" t="s">
        <v>162</v>
      </c>
      <c r="V243" s="120" t="str">
        <f>IFERROR(IF(AA243="SEGURIDAD",OFFSET('PARÁMETROS'!$K$2,MATCH(U243,JC_SE,0),MATCH(T243,CC_SE,0)),
IF(OR(AA243="DSRC/Estratégico",AA243="DSRC/Operativo"),OFFSET('PARÁMETROS'!$K$11,MATCH(U243,JC_DS,0),MATCH(T243,CC_DS,0)),
IF(AA243="SALUD",OFFSET('PARÁMETROS'!$K$29,MATCH(U243,JC_SA,0),MATCH(T243,CC_SA,0)),
IF(AA243="MEDIO AMBIENTE",OFFSET('PARÁMETROS'!$K$20,MATCH(U243,JC_MA,0),MATCH(T243,CC_MA,0)),
IF(AA243="Rel. Gubernamentales",OFFSET('PARÁMETROS'!$K$48,MATCH(U243,JC_G,0),MATCH(T243,CC_G,0)),
IF(AA243="OPERACIONAL",OFFSET('PARÁMETROS'!$K$56,MATCH(U243,JC_OP,0),MATCH(T243,CC_OP,0)),
IF(AA243="FINANCIERO",OFFSET('PARÁMETROS'!$K$56,MATCH(U243,JC_FI,0),MATCH(T243,CC_FI,0)),
OFFSET('PARÁMETROS'!$K$38,MATCH(U243,JC_L,0),MATCH(T243,CC_L,0))))))))),"")</f>
        <v>Control/Acción Satisfactorio</v>
      </c>
      <c r="W243" s="117"/>
      <c r="X243" s="120"/>
      <c r="Y243" s="121"/>
      <c r="Z243" s="30" t="s">
        <v>314</v>
      </c>
      <c r="AA243" s="32" t="str">
        <f>E240</f>
        <v>Seguridad</v>
      </c>
      <c r="AB243" s="33"/>
    </row>
    <row r="244" ht="105.0" customHeight="1">
      <c r="A244" s="116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8" t="s">
        <v>196</v>
      </c>
      <c r="Q244" s="119" t="s">
        <v>596</v>
      </c>
      <c r="R244" s="119" t="s">
        <v>142</v>
      </c>
      <c r="S244" s="119" t="s">
        <v>270</v>
      </c>
      <c r="T244" s="120" t="s">
        <v>7</v>
      </c>
      <c r="U244" s="120" t="s">
        <v>137</v>
      </c>
      <c r="V244" s="120" t="str">
        <f>IFERROR(IF(AA244="SEGURIDAD",OFFSET('PARÁMETROS'!$K$2,MATCH(U244,JC_SE,0),MATCH(T244,CC_SE,0)),
IF(OR(AA244="DSRC/Estratégico",AA244="DSRC/Operativo"),OFFSET('PARÁMETROS'!$K$11,MATCH(U244,JC_DS,0),MATCH(T244,CC_DS,0)),
IF(AA244="SALUD",OFFSET('PARÁMETROS'!$K$29,MATCH(U244,JC_SA,0),MATCH(T244,CC_SA,0)),
IF(AA244="MEDIO AMBIENTE",OFFSET('PARÁMETROS'!$K$20,MATCH(U244,JC_MA,0),MATCH(T244,CC_MA,0)),
IF(AA244="Rel. Gubernamentales",OFFSET('PARÁMETROS'!$K$48,MATCH(U244,JC_G,0),MATCH(T244,CC_G,0)),
IF(AA244="OPERACIONAL",OFFSET('PARÁMETROS'!$K$56,MATCH(U244,JC_OP,0),MATCH(T244,CC_OP,0)),
IF(AA244="FINANCIERO",OFFSET('PARÁMETROS'!$K$56,MATCH(U244,JC_FI,0),MATCH(T244,CC_FI,0)),
OFFSET('PARÁMETROS'!$K$38,MATCH(U244,JC_L,0),MATCH(T244,CC_L,0))))))))),"")</f>
        <v>Control/Acción Eficaz</v>
      </c>
      <c r="W244" s="117"/>
      <c r="X244" s="120"/>
      <c r="Y244" s="121"/>
      <c r="Z244" s="30" t="s">
        <v>314</v>
      </c>
      <c r="AA244" s="32" t="str">
        <f>E240</f>
        <v>Seguridad</v>
      </c>
      <c r="AB244" s="33"/>
    </row>
    <row r="245" ht="105.0" customHeight="1">
      <c r="A245" s="68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134" t="s">
        <v>105</v>
      </c>
      <c r="Q245" s="135" t="s">
        <v>597</v>
      </c>
      <c r="R245" s="135" t="s">
        <v>142</v>
      </c>
      <c r="S245" s="135" t="s">
        <v>167</v>
      </c>
      <c r="T245" s="136" t="s">
        <v>7</v>
      </c>
      <c r="U245" s="136" t="s">
        <v>162</v>
      </c>
      <c r="V245" s="136" t="str">
        <f>IFERROR(IF(AA245="SEGURIDAD",OFFSET('PARÁMETROS'!$K$2,MATCH(U245,JC_SE,0),MATCH(T245,CC_SE,0)),
IF(OR(AA245="DSRC/Estratégico",AA245="DSRC/Operativo"),OFFSET('PARÁMETROS'!$K$11,MATCH(U245,JC_DS,0),MATCH(T245,CC_DS,0)),
IF(AA245="SALUD",OFFSET('PARÁMETROS'!$K$29,MATCH(U245,JC_SA,0),MATCH(T245,CC_SA,0)),
IF(AA245="MEDIO AMBIENTE",OFFSET('PARÁMETROS'!$K$20,MATCH(U245,JC_MA,0),MATCH(T245,CC_MA,0)),
IF(AA245="Rel. Gubernamentales",OFFSET('PARÁMETROS'!$K$48,MATCH(U245,JC_G,0),MATCH(T245,CC_G,0)),
IF(AA245="OPERACIONAL",OFFSET('PARÁMETROS'!$K$56,MATCH(U245,JC_OP,0),MATCH(T245,CC_OP,0)),
IF(AA245="FINANCIERO",OFFSET('PARÁMETROS'!$K$56,MATCH(U245,JC_FI,0),MATCH(T245,CC_FI,0)),
OFFSET('PARÁMETROS'!$K$38,MATCH(U245,JC_L,0),MATCH(T245,CC_L,0))))))))),"")</f>
        <v>Control/Acción Eficaz</v>
      </c>
      <c r="W245" s="69"/>
      <c r="X245" s="136"/>
      <c r="Y245" s="137"/>
      <c r="Z245" s="30" t="s">
        <v>314</v>
      </c>
      <c r="AA245" s="32" t="str">
        <f>E240</f>
        <v>Seguridad</v>
      </c>
      <c r="AB245" s="33"/>
    </row>
    <row r="246" ht="105.0" customHeight="1">
      <c r="A246" s="79">
        <v>33.0</v>
      </c>
      <c r="B246" s="80" t="s">
        <v>172</v>
      </c>
      <c r="C246" s="80" t="s">
        <v>584</v>
      </c>
      <c r="D246" s="80" t="s">
        <v>177</v>
      </c>
      <c r="E246" s="80" t="s">
        <v>181</v>
      </c>
      <c r="F246" s="80" t="s">
        <v>370</v>
      </c>
      <c r="G246" s="80" t="s">
        <v>598</v>
      </c>
      <c r="H246" s="80" t="s">
        <v>199</v>
      </c>
      <c r="I246" s="80" t="s">
        <v>599</v>
      </c>
      <c r="J246" s="80">
        <v>2.0</v>
      </c>
      <c r="K246" s="80">
        <v>3.0</v>
      </c>
      <c r="L246" s="80">
        <f>IF(OR(J246&lt;&gt;"",K246&lt;&gt;""),OFFSET('PARÁMETROS'!$B$2,K246,J246),"")</f>
        <v>4</v>
      </c>
      <c r="M246" s="80">
        <v>2.0</v>
      </c>
      <c r="N246" s="80">
        <f>IFERROR(L246*M246,"")</f>
        <v>8</v>
      </c>
      <c r="O246" s="89" t="str">
        <f>IF(N246="","",IFERROR(IF(N246&lt;=2,"ACEPTABLE",IF(N246&lt;=6,"BAJA",IF(N246&lt;=10,"ACEPTABLE CON REVISIÓN",IF(N246&lt;=15,"SUSTANCIAL","INACEPTABLE")))),""))</f>
        <v>ACEPTABLE CON REVISIÓN</v>
      </c>
      <c r="P246" s="109" t="s">
        <v>302</v>
      </c>
      <c r="Q246" s="110" t="s">
        <v>537</v>
      </c>
      <c r="R246" s="110" t="s">
        <v>106</v>
      </c>
      <c r="S246" s="110" t="s">
        <v>265</v>
      </c>
      <c r="T246" s="111" t="s">
        <v>7</v>
      </c>
      <c r="U246" s="111" t="s">
        <v>182</v>
      </c>
      <c r="V246" s="111" t="str">
        <f>IFERROR(IF(AA246="SEGURIDAD",OFFSET('PARÁMETROS'!$K$2,MATCH(U246,JC_SE,0),MATCH(T246,CC_SE,0)),
IF(OR(AA246="DSRC/Estratégico",AA246="DSRC/Operativo"),OFFSET('PARÁMETROS'!$K$11,MATCH(U246,JC_DS,0),MATCH(T246,CC_DS,0)),
IF(AA246="SALUD",OFFSET('PARÁMETROS'!$K$29,MATCH(U246,JC_SA,0),MATCH(T246,CC_SA,0)),
IF(AA246="MEDIO AMBIENTE",OFFSET('PARÁMETROS'!$K$20,MATCH(U246,JC_MA,0),MATCH(T246,CC_MA,0)),
IF(AA246="Rel. Gubernamentales",OFFSET('PARÁMETROS'!$K$48,MATCH(U246,JC_G,0),MATCH(T246,CC_G,0)),
IF(AA246="OPERACIONAL",OFFSET('PARÁMETROS'!$K$56,MATCH(U246,JC_OP,0),MATCH(T246,CC_OP,0)),
IF(AA246="FINANCIERO",OFFSET('PARÁMETROS'!$K$56,MATCH(U246,JC_FI,0),MATCH(T246,CC_FI,0)),
OFFSET('PARÁMETROS'!$K$38,MATCH(U246,JC_L,0),MATCH(T246,CC_L,0))))))))),"")</f>
        <v>Control/Acción Satisfactorio</v>
      </c>
      <c r="W246" s="89" t="str">
        <f>IF(E246="","",
IF(COUNTA( V246:V248)-COUNTBLANK( V246:V248)=1,
IF(O246="INACEPTABLE",IF(COUNTIF( V246:V248,"Control/Acción Eficaz")&gt;=1,"SUSTANCIAL","INACEPTABLE"),
IF(O246="SUSTANCIAL",IF(COUNTIF( V246:V248,"Control/Acción Eficaz")&gt;=1,"ACEPTABLE CON REVISIÓN","SUSTANCIAL"),
IF(O246="ACEPTABLE CON REVISIÓN",IF(COUNTIF( V246:V248,"Control/Acción Eficaz")&gt;=1,"BAJA","ACEPTABLE CON REVISIÓN"),
IF(O246="BAJA",IF(COUNTIF( V246:V248,"Control/Acción Eficaz")&gt;=1,"ACEPTABLE","BAJA"),)))),
IF(COUNTA( V246:V248)-COUNTBLANK( V246:V248)=2,
IF(O246="INACEPTABLE",IF(COUNTIF( V246:V248,"Control/Acción Eficaz")=2,"ACEPTABLE CON REVISIÓN",
IF(OR(AND(COUNTIF( V246:V248,"Control/Acción Eficaz")=1,COUNTIF( V246:V248,"Control/Acción Satisfactorio")=1),
AND(COUNTIF( V246:V248,"Control/Acción Eficaz")=1,COUNTIF( V246:V248,"Control/Acción No Eficaz")=1)),"SUSTANCIAL","INACEPTABLE")),
IF(O246="SUSTANCIAL",IF(COUNTIF( V246:V248,"Control/Acción Eficaz")=2,"BAJA",
IF(OR(AND(COUNTIF( V246:V248,"Control/Acción Eficaz")=1,COUNTIF( V246:V248,"Control/Acción Satisfactorio")=1),
AND(COUNTIF( V246:V248,"Control/Acción Eficaz")=1,COUNTIF( V246:V248,"Control/Acción No Eficaz")=1)),"ACEPTABLE CON REVISIÓN ","SUSTANCIAL")),
IF(O246="ACEPTABLE CON REVISIÓN",IF(COUNTIF( V246:V248,"Control/Acción Eficaz")=2,"ACEPTABLE",
IF(OR(AND(COUNTIF( V246:V248,"Control/Acción Eficaz")=1,COUNTIF( V246:V248,"Control/Acción Satisfactorio")=1),
AND(COUNTIF( V246:V248,"Control/Acción Eficaz")=1,COUNTIF( V246:V248,"Control/Acción No Eficaz")=1)),"BAJA","ACEPTABLE CON REVISIÓN")),
IF(O246="BAJA",IF(COUNTIF( V246:V248,"Control/Acción Eficaz")&gt;=2,"ACEPTABLE","BAJA"),)))),
IF(COUNTA( V246:V248)-COUNTBLANK( V246:V248)&gt;=3,
IF(O246="INACEPTABLE",
IF(COUNTBLANK( V246:V248)=COUNTA( V246:V248),"",
IF(COUNTIF( V246:V248,"Control/Acción No Eficaz")&gt;=2,"INACEPTABLE",
IF(AND(COUNTIF( V246:V248,"Control/Acción No Eficaz")=0,COUNTIF( V246:V248,"Control/Acción Eficaz")&gt;=2),"ACEPTABLE CON REVISIÓN ","SUSTANCIAL"))),
IF(O246="SUSTANCIAL",
IF(COUNTBLANK( V246:V248)=COUNTA( V246:V248),"",
IF(COUNTIF( V246:V248,"Control/Acción No Eficaz")&gt;=2,"SUSTANCIAL",
IF(AND(COUNTIF( V246:V248,"Control/Acción No Eficaz")=0,COUNTIF( V246:V248,"Control/Acción Eficaz")&gt;=2),"BAJA","ACEPTABLE CON REVISIÓN"))),
IF(O246="ACEPTABLE CON REVISIÓN",
IF(COUNTBLANK( V246:V248)=COUNTA( V246:V248),"",
IF(COUNTIF( V246:V248,"Control/Acción No Eficaz")&gt;=2,"ACEPTABLE CON REVISIÓN",
IF(AND(COUNTIF( V246:V248,"Control/Acción No Eficaz")=0,COUNTIF( V246:V248,"Control/Acción Eficaz")&gt;=2),"ACEPTABLE","BAJA"))),
IF(O246="BAJA",
IF(COUNTBLANK( V246:V248)=COUNTA( V246:V248),"",
IF(AND(COUNTBLANK( V246:V248)&lt;1,COUNTA( V246:V248)=1),
IF(COUNTIF( V246:V248,"Control/Acción No Eficaz")&gt;=2,"BAJA",
IF(AND(COUNTIF( V246:V248,"Control/Acción No Eficaz")=0,COUNTIF( V246:V248,"Control/Acción Eficaz")&gt;=2),"ACEPTABLE","BAJA")),
IF(COUNTIF( V246:V248,"Control/Acción No Eficaz")&gt;=2,"BAJA",
IF(AND(COUNTIF( V246:V248,"Control/Acción No Eficaz")=0,COUNTIF( V246:V248,"Control/Acción Eficaz")&gt;=2),"ACEPTABLE","BAJA")))),
IF(COUNTIF( V246:V248,"")&gt;=5,"",O246))))),
""))))</f>
        <v>BAJA</v>
      </c>
      <c r="X246" s="111"/>
      <c r="Y246" s="115"/>
      <c r="Z246" s="30" t="s">
        <v>314</v>
      </c>
      <c r="AA246" s="32" t="str">
        <f>E246</f>
        <v>Seguridad</v>
      </c>
      <c r="AB246" s="33"/>
    </row>
    <row r="247" ht="105.0" customHeight="1">
      <c r="A247" s="116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8" t="s">
        <v>258</v>
      </c>
      <c r="Q247" s="119" t="s">
        <v>600</v>
      </c>
      <c r="R247" s="119" t="s">
        <v>83</v>
      </c>
      <c r="S247" s="119" t="s">
        <v>84</v>
      </c>
      <c r="T247" s="120" t="s">
        <v>6</v>
      </c>
      <c r="U247" s="120" t="s">
        <v>162</v>
      </c>
      <c r="V247" s="120" t="str">
        <f>IFERROR(IF(AA247="SEGURIDAD",OFFSET('PARÁMETROS'!$K$2,MATCH(U247,JC_SE,0),MATCH(T247,CC_SE,0)),
IF(OR(AA247="DSRC/Estratégico",AA247="DSRC/Operativo"),OFFSET('PARÁMETROS'!$K$11,MATCH(U247,JC_DS,0),MATCH(T247,CC_DS,0)),
IF(AA247="SALUD",OFFSET('PARÁMETROS'!$K$29,MATCH(U247,JC_SA,0),MATCH(T247,CC_SA,0)),
IF(AA247="MEDIO AMBIENTE",OFFSET('PARÁMETROS'!$K$20,MATCH(U247,JC_MA,0),MATCH(T247,CC_MA,0)),
IF(AA247="Rel. Gubernamentales",OFFSET('PARÁMETROS'!$K$48,MATCH(U247,JC_G,0),MATCH(T247,CC_G,0)),
IF(AA247="OPERACIONAL",OFFSET('PARÁMETROS'!$K$56,MATCH(U247,JC_OP,0),MATCH(T247,CC_OP,0)),
IF(AA247="FINANCIERO",OFFSET('PARÁMETROS'!$K$56,MATCH(U247,JC_FI,0),MATCH(T247,CC_FI,0)),
OFFSET('PARÁMETROS'!$K$38,MATCH(U247,JC_L,0),MATCH(T247,CC_L,0))))))))),"")</f>
        <v>Control/Acción Satisfactorio</v>
      </c>
      <c r="W247" s="117"/>
      <c r="X247" s="120"/>
      <c r="Y247" s="121"/>
      <c r="Z247" s="30" t="s">
        <v>314</v>
      </c>
      <c r="AA247" s="32" t="str">
        <f>E246</f>
        <v>Seguridad</v>
      </c>
      <c r="AB247" s="33"/>
    </row>
    <row r="248" ht="105.0" customHeight="1">
      <c r="A248" s="68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134" t="s">
        <v>196</v>
      </c>
      <c r="Q248" s="135" t="s">
        <v>589</v>
      </c>
      <c r="R248" s="135" t="s">
        <v>142</v>
      </c>
      <c r="S248" s="135" t="s">
        <v>167</v>
      </c>
      <c r="T248" s="136" t="s">
        <v>7</v>
      </c>
      <c r="U248" s="136" t="s">
        <v>162</v>
      </c>
      <c r="V248" s="136" t="str">
        <f>IFERROR(IF(AA248="SEGURIDAD",OFFSET('PARÁMETROS'!$K$2,MATCH(U248,JC_SE,0),MATCH(T248,CC_SE,0)),
IF(OR(AA248="DSRC/Estratégico",AA248="DSRC/Operativo"),OFFSET('PARÁMETROS'!$K$11,MATCH(U248,JC_DS,0),MATCH(T248,CC_DS,0)),
IF(AA248="SALUD",OFFSET('PARÁMETROS'!$K$29,MATCH(U248,JC_SA,0),MATCH(T248,CC_SA,0)),
IF(AA248="MEDIO AMBIENTE",OFFSET('PARÁMETROS'!$K$20,MATCH(U248,JC_MA,0),MATCH(T248,CC_MA,0)),
IF(AA248="Rel. Gubernamentales",OFFSET('PARÁMETROS'!$K$48,MATCH(U248,JC_G,0),MATCH(T248,CC_G,0)),
IF(AA248="OPERACIONAL",OFFSET('PARÁMETROS'!$K$56,MATCH(U248,JC_OP,0),MATCH(T248,CC_OP,0)),
IF(AA248="FINANCIERO",OFFSET('PARÁMETROS'!$K$56,MATCH(U248,JC_FI,0),MATCH(T248,CC_FI,0)),
OFFSET('PARÁMETROS'!$K$38,MATCH(U248,JC_L,0),MATCH(T248,CC_L,0))))))))),"")</f>
        <v>Control/Acción Eficaz</v>
      </c>
      <c r="W248" s="69"/>
      <c r="X248" s="136"/>
      <c r="Y248" s="137"/>
      <c r="Z248" s="30" t="s">
        <v>314</v>
      </c>
      <c r="AA248" s="32" t="str">
        <f>E246</f>
        <v>Seguridad</v>
      </c>
      <c r="AB248" s="33"/>
    </row>
    <row r="249" ht="105.0" customHeight="1">
      <c r="A249" s="79">
        <v>34.0</v>
      </c>
      <c r="B249" s="80" t="s">
        <v>172</v>
      </c>
      <c r="C249" s="80" t="s">
        <v>584</v>
      </c>
      <c r="D249" s="80" t="s">
        <v>177</v>
      </c>
      <c r="E249" s="80" t="s">
        <v>181</v>
      </c>
      <c r="F249" s="80" t="s">
        <v>318</v>
      </c>
      <c r="G249" s="80" t="s">
        <v>601</v>
      </c>
      <c r="H249" s="80" t="s">
        <v>184</v>
      </c>
      <c r="I249" s="80" t="s">
        <v>602</v>
      </c>
      <c r="J249" s="80">
        <v>2.0</v>
      </c>
      <c r="K249" s="80">
        <v>2.0</v>
      </c>
      <c r="L249" s="80">
        <f>IF(OR(J249&lt;&gt;"",K249&lt;&gt;""),OFFSET('PARÁMETROS'!$B$2,K249,J249),"")</f>
        <v>5</v>
      </c>
      <c r="M249" s="80">
        <v>5.0</v>
      </c>
      <c r="N249" s="80">
        <f>IFERROR(L249*M249,"")</f>
        <v>25</v>
      </c>
      <c r="O249" s="89" t="str">
        <f>IF(N249="","",IFERROR(IF(N249&lt;=2,"ACEPTABLE",IF(N249&lt;=6,"BAJA",IF(N249&lt;=10,"ACEPTABLE CON REVISIÓN",IF(N249&lt;=15,"SUSTANCIAL","INACEPTABLE")))),""))</f>
        <v>INACEPTABLE</v>
      </c>
      <c r="P249" s="109" t="s">
        <v>302</v>
      </c>
      <c r="Q249" s="110" t="s">
        <v>537</v>
      </c>
      <c r="R249" s="110" t="s">
        <v>106</v>
      </c>
      <c r="S249" s="110" t="s">
        <v>265</v>
      </c>
      <c r="T249" s="111" t="s">
        <v>7</v>
      </c>
      <c r="U249" s="111" t="s">
        <v>182</v>
      </c>
      <c r="V249" s="111" t="str">
        <f>IFERROR(IF(AA249="SEGURIDAD",OFFSET('PARÁMETROS'!$K$2,MATCH(U249,JC_SE,0),MATCH(T249,CC_SE,0)),
IF(OR(AA249="DSRC/Estratégico",AA249="DSRC/Operativo"),OFFSET('PARÁMETROS'!$K$11,MATCH(U249,JC_DS,0),MATCH(T249,CC_DS,0)),
IF(AA249="SALUD",OFFSET('PARÁMETROS'!$K$29,MATCH(U249,JC_SA,0),MATCH(T249,CC_SA,0)),
IF(AA249="MEDIO AMBIENTE",OFFSET('PARÁMETROS'!$K$20,MATCH(U249,JC_MA,0),MATCH(T249,CC_MA,0)),
IF(AA249="Rel. Gubernamentales",OFFSET('PARÁMETROS'!$K$48,MATCH(U249,JC_G,0),MATCH(T249,CC_G,0)),
IF(AA249="OPERACIONAL",OFFSET('PARÁMETROS'!$K$56,MATCH(U249,JC_OP,0),MATCH(T249,CC_OP,0)),
IF(AA249="FINANCIERO",OFFSET('PARÁMETROS'!$K$56,MATCH(U249,JC_FI,0),MATCH(T249,CC_FI,0)),
OFFSET('PARÁMETROS'!$K$38,MATCH(U249,JC_L,0),MATCH(T249,CC_L,0))))))))),"")</f>
        <v>Control/Acción Satisfactorio</v>
      </c>
      <c r="W249" s="89" t="str">
        <f>IF(E249="","",
IF(COUNTA( V249:V251)-COUNTBLANK( V249:V251)=1,
IF(O249="INACEPTABLE",IF(COUNTIF( V249:V251,"Control/Acción Eficaz")&gt;=1,"SUSTANCIAL","INACEPTABLE"),
IF(O249="SUSTANCIAL",IF(COUNTIF( V249:V251,"Control/Acción Eficaz")&gt;=1,"ACEPTABLE CON REVISIÓN","SUSTANCIAL"),
IF(O249="ACEPTABLE CON REVISIÓN",IF(COUNTIF( V249:V251,"Control/Acción Eficaz")&gt;=1,"BAJA","ACEPTABLE CON REVISIÓN"),
IF(O249="BAJA",IF(COUNTIF( V249:V251,"Control/Acción Eficaz")&gt;=1,"ACEPTABLE","BAJA"),)))),
IF(COUNTA( V249:V251)-COUNTBLANK( V249:V251)=2,
IF(O249="INACEPTABLE",IF(COUNTIF( V249:V251,"Control/Acción Eficaz")=2,"ACEPTABLE CON REVISIÓN",
IF(OR(AND(COUNTIF( V249:V251,"Control/Acción Eficaz")=1,COUNTIF( V249:V251,"Control/Acción Satisfactorio")=1),
AND(COUNTIF( V249:V251,"Control/Acción Eficaz")=1,COUNTIF( V249:V251,"Control/Acción No Eficaz")=1)),"SUSTANCIAL","INACEPTABLE")),
IF(O249="SUSTANCIAL",IF(COUNTIF( V249:V251,"Control/Acción Eficaz")=2,"BAJA",
IF(OR(AND(COUNTIF( V249:V251,"Control/Acción Eficaz")=1,COUNTIF( V249:V251,"Control/Acción Satisfactorio")=1),
AND(COUNTIF( V249:V251,"Control/Acción Eficaz")=1,COUNTIF( V249:V251,"Control/Acción No Eficaz")=1)),"ACEPTABLE CON REVISIÓN ","SUSTANCIAL")),
IF(O249="ACEPTABLE CON REVISIÓN",IF(COUNTIF( V249:V251,"Control/Acción Eficaz")=2,"ACEPTABLE",
IF(OR(AND(COUNTIF( V249:V251,"Control/Acción Eficaz")=1,COUNTIF( V249:V251,"Control/Acción Satisfactorio")=1),
AND(COUNTIF( V249:V251,"Control/Acción Eficaz")=1,COUNTIF( V249:V251,"Control/Acción No Eficaz")=1)),"BAJA","ACEPTABLE CON REVISIÓN")),
IF(O249="BAJA",IF(COUNTIF( V249:V251,"Control/Acción Eficaz")&gt;=2,"ACEPTABLE","BAJA"),)))),
IF(COUNTA( V249:V251)-COUNTBLANK( V249:V251)&gt;=3,
IF(O249="INACEPTABLE",
IF(COUNTBLANK( V249:V251)=COUNTA( V249:V251),"",
IF(COUNTIF( V249:V251,"Control/Acción No Eficaz")&gt;=2,"INACEPTABLE",
IF(AND(COUNTIF( V249:V251,"Control/Acción No Eficaz")=0,COUNTIF( V249:V251,"Control/Acción Eficaz")&gt;=2),"ACEPTABLE CON REVISIÓN ","SUSTANCIAL"))),
IF(O249="SUSTANCIAL",
IF(COUNTBLANK( V249:V251)=COUNTA( V249:V251),"",
IF(COUNTIF( V249:V251,"Control/Acción No Eficaz")&gt;=2,"SUSTANCIAL",
IF(AND(COUNTIF( V249:V251,"Control/Acción No Eficaz")=0,COUNTIF( V249:V251,"Control/Acción Eficaz")&gt;=2),"BAJA","ACEPTABLE CON REVISIÓN"))),
IF(O249="ACEPTABLE CON REVISIÓN",
IF(COUNTBLANK( V249:V251)=COUNTA( V249:V251),"",
IF(COUNTIF( V249:V251,"Control/Acción No Eficaz")&gt;=2,"ACEPTABLE CON REVISIÓN",
IF(AND(COUNTIF( V249:V251,"Control/Acción No Eficaz")=0,COUNTIF( V249:V251,"Control/Acción Eficaz")&gt;=2),"ACEPTABLE","BAJA"))),
IF(O249="BAJA",
IF(COUNTBLANK( V249:V251)=COUNTA( V249:V251),"",
IF(AND(COUNTBLANK( V249:V251)&lt;1,COUNTA( V249:V251)=1),
IF(COUNTIF( V249:V251,"Control/Acción No Eficaz")&gt;=2,"BAJA",
IF(AND(COUNTIF( V249:V251,"Control/Acción No Eficaz")=0,COUNTIF( V249:V251,"Control/Acción Eficaz")&gt;=2),"ACEPTABLE","BAJA")),
IF(COUNTIF( V249:V251,"Control/Acción No Eficaz")&gt;=2,"BAJA",
IF(AND(COUNTIF( V249:V251,"Control/Acción No Eficaz")=0,COUNTIF( V249:V251,"Control/Acción Eficaz")&gt;=2),"ACEPTABLE","BAJA")))),
IF(COUNTIF( V249:V251,"")&gt;=5,"",O249))))),
""))))</f>
        <v>ACEPTABLE CON REVISIÓN </v>
      </c>
      <c r="X249" s="111"/>
      <c r="Y249" s="115"/>
      <c r="Z249" s="30" t="s">
        <v>314</v>
      </c>
      <c r="AA249" s="32" t="str">
        <f>E249</f>
        <v>Seguridad</v>
      </c>
      <c r="AB249" s="33"/>
    </row>
    <row r="250" ht="105.0" customHeight="1">
      <c r="A250" s="116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8" t="s">
        <v>196</v>
      </c>
      <c r="Q250" s="119" t="s">
        <v>589</v>
      </c>
      <c r="R250" s="119" t="s">
        <v>142</v>
      </c>
      <c r="S250" s="119" t="s">
        <v>167</v>
      </c>
      <c r="T250" s="120" t="s">
        <v>7</v>
      </c>
      <c r="U250" s="120" t="s">
        <v>162</v>
      </c>
      <c r="V250" s="120" t="str">
        <f>IFERROR(IF(AA250="SEGURIDAD",OFFSET('PARÁMETROS'!$K$2,MATCH(U250,JC_SE,0),MATCH(T250,CC_SE,0)),
IF(OR(AA250="DSRC/Estratégico",AA250="DSRC/Operativo"),OFFSET('PARÁMETROS'!$K$11,MATCH(U250,JC_DS,0),MATCH(T250,CC_DS,0)),
IF(AA250="SALUD",OFFSET('PARÁMETROS'!$K$29,MATCH(U250,JC_SA,0),MATCH(T250,CC_SA,0)),
IF(AA250="MEDIO AMBIENTE",OFFSET('PARÁMETROS'!$K$20,MATCH(U250,JC_MA,0),MATCH(T250,CC_MA,0)),
IF(AA250="Rel. Gubernamentales",OFFSET('PARÁMETROS'!$K$48,MATCH(U250,JC_G,0),MATCH(T250,CC_G,0)),
IF(AA250="OPERACIONAL",OFFSET('PARÁMETROS'!$K$56,MATCH(U250,JC_OP,0),MATCH(T250,CC_OP,0)),
IF(AA250="FINANCIERO",OFFSET('PARÁMETROS'!$K$56,MATCH(U250,JC_FI,0),MATCH(T250,CC_FI,0)),
OFFSET('PARÁMETROS'!$K$38,MATCH(U250,JC_L,0),MATCH(T250,CC_L,0))))))))),"")</f>
        <v>Control/Acción Eficaz</v>
      </c>
      <c r="W250" s="117"/>
      <c r="X250" s="120"/>
      <c r="Y250" s="121"/>
      <c r="Z250" s="30" t="s">
        <v>314</v>
      </c>
      <c r="AA250" s="32" t="str">
        <f>E249</f>
        <v>Seguridad</v>
      </c>
      <c r="AB250" s="33"/>
    </row>
    <row r="251" ht="105.0" customHeight="1">
      <c r="A251" s="68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134" t="s">
        <v>258</v>
      </c>
      <c r="Q251" s="135" t="s">
        <v>603</v>
      </c>
      <c r="R251" s="135" t="s">
        <v>83</v>
      </c>
      <c r="S251" s="135" t="s">
        <v>84</v>
      </c>
      <c r="T251" s="136" t="s">
        <v>7</v>
      </c>
      <c r="U251" s="136" t="s">
        <v>162</v>
      </c>
      <c r="V251" s="136" t="str">
        <f>IFERROR(IF(AA251="SEGURIDAD",OFFSET('PARÁMETROS'!$K$2,MATCH(U251,JC_SE,0),MATCH(T251,CC_SE,0)),
IF(OR(AA251="DSRC/Estratégico",AA251="DSRC/Operativo"),OFFSET('PARÁMETROS'!$K$11,MATCH(U251,JC_DS,0),MATCH(T251,CC_DS,0)),
IF(AA251="SALUD",OFFSET('PARÁMETROS'!$K$29,MATCH(U251,JC_SA,0),MATCH(T251,CC_SA,0)),
IF(AA251="MEDIO AMBIENTE",OFFSET('PARÁMETROS'!$K$20,MATCH(U251,JC_MA,0),MATCH(T251,CC_MA,0)),
IF(AA251="Rel. Gubernamentales",OFFSET('PARÁMETROS'!$K$48,MATCH(U251,JC_G,0),MATCH(T251,CC_G,0)),
IF(AA251="OPERACIONAL",OFFSET('PARÁMETROS'!$K$56,MATCH(U251,JC_OP,0),MATCH(T251,CC_OP,0)),
IF(AA251="FINANCIERO",OFFSET('PARÁMETROS'!$K$56,MATCH(U251,JC_FI,0),MATCH(T251,CC_FI,0)),
OFFSET('PARÁMETROS'!$K$38,MATCH(U251,JC_L,0),MATCH(T251,CC_L,0))))))))),"")</f>
        <v>Control/Acción Eficaz</v>
      </c>
      <c r="W251" s="69"/>
      <c r="X251" s="136"/>
      <c r="Y251" s="137"/>
      <c r="Z251" s="30" t="s">
        <v>314</v>
      </c>
      <c r="AA251" s="32" t="str">
        <f>E249</f>
        <v>Seguridad</v>
      </c>
      <c r="AB251" s="33"/>
    </row>
    <row r="252" ht="105.0" customHeight="1">
      <c r="A252" s="79">
        <v>35.0</v>
      </c>
      <c r="B252" s="80" t="s">
        <v>172</v>
      </c>
      <c r="C252" s="80" t="s">
        <v>584</v>
      </c>
      <c r="D252" s="80" t="s">
        <v>177</v>
      </c>
      <c r="E252" s="80" t="s">
        <v>181</v>
      </c>
      <c r="F252" s="80" t="s">
        <v>138</v>
      </c>
      <c r="G252" s="80" t="s">
        <v>604</v>
      </c>
      <c r="H252" s="80" t="s">
        <v>382</v>
      </c>
      <c r="I252" s="80" t="s">
        <v>605</v>
      </c>
      <c r="J252" s="80">
        <v>2.0</v>
      </c>
      <c r="K252" s="80">
        <v>3.0</v>
      </c>
      <c r="L252" s="80">
        <f>IF(OR(J252&lt;&gt;"",K252&lt;&gt;""),OFFSET('PARÁMETROS'!$B$2,K252,J252),"")</f>
        <v>4</v>
      </c>
      <c r="M252" s="80">
        <v>4.0</v>
      </c>
      <c r="N252" s="80">
        <f>IFERROR(L252*M252,"")</f>
        <v>16</v>
      </c>
      <c r="O252" s="89" t="str">
        <f>IF(N252="","",IFERROR(IF(N252&lt;=2,"ACEPTABLE",IF(N252&lt;=6,"BAJA",IF(N252&lt;=10,"ACEPTABLE CON REVISIÓN",IF(N252&lt;=15,"SUSTANCIAL","INACEPTABLE")))),""))</f>
        <v>INACEPTABLE</v>
      </c>
      <c r="P252" s="109" t="s">
        <v>302</v>
      </c>
      <c r="Q252" s="110" t="s">
        <v>503</v>
      </c>
      <c r="R252" s="110" t="s">
        <v>106</v>
      </c>
      <c r="S252" s="110" t="s">
        <v>265</v>
      </c>
      <c r="T252" s="111" t="s">
        <v>7</v>
      </c>
      <c r="U252" s="111" t="s">
        <v>182</v>
      </c>
      <c r="V252" s="111" t="str">
        <f>IFERROR(IF(AA252="SEGURIDAD",OFFSET('PARÁMETROS'!$K$2,MATCH(U252,JC_SE,0),MATCH(T252,CC_SE,0)),
IF(OR(AA252="DSRC/Estratégico",AA252="DSRC/Operativo"),OFFSET('PARÁMETROS'!$K$11,MATCH(U252,JC_DS,0),MATCH(T252,CC_DS,0)),
IF(AA252="SALUD",OFFSET('PARÁMETROS'!$K$29,MATCH(U252,JC_SA,0),MATCH(T252,CC_SA,0)),
IF(AA252="MEDIO AMBIENTE",OFFSET('PARÁMETROS'!$K$20,MATCH(U252,JC_MA,0),MATCH(T252,CC_MA,0)),
IF(AA252="Rel. Gubernamentales",OFFSET('PARÁMETROS'!$K$48,MATCH(U252,JC_G,0),MATCH(T252,CC_G,0)),
IF(AA252="OPERACIONAL",OFFSET('PARÁMETROS'!$K$56,MATCH(U252,JC_OP,0),MATCH(T252,CC_OP,0)),
IF(AA252="FINANCIERO",OFFSET('PARÁMETROS'!$K$56,MATCH(U252,JC_FI,0),MATCH(T252,CC_FI,0)),
OFFSET('PARÁMETROS'!$K$38,MATCH(U252,JC_L,0),MATCH(T252,CC_L,0))))))))),"")</f>
        <v>Control/Acción Satisfactorio</v>
      </c>
      <c r="W252" s="89" t="str">
        <f>IF(E252="","",
IF(COUNTA( V252:V255)-COUNTBLANK( V252:V255)=1,
IF(O252="INACEPTABLE",IF(COUNTIF( V252:V255,"Control/Acción Eficaz")&gt;=1,"SUSTANCIAL","INACEPTABLE"),
IF(O252="SUSTANCIAL",IF(COUNTIF( V252:V255,"Control/Acción Eficaz")&gt;=1,"ACEPTABLE CON REVISIÓN","SUSTANCIAL"),
IF(O252="ACEPTABLE CON REVISIÓN",IF(COUNTIF( V252:V255,"Control/Acción Eficaz")&gt;=1,"BAJA","ACEPTABLE CON REVISIÓN"),
IF(O252="BAJA",IF(COUNTIF( V252:V255,"Control/Acción Eficaz")&gt;=1,"ACEPTABLE","BAJA"),)))),
IF(COUNTA( V252:V255)-COUNTBLANK( V252:V255)=2,
IF(O252="INACEPTABLE",IF(COUNTIF( V252:V255,"Control/Acción Eficaz")=2,"ACEPTABLE CON REVISIÓN",
IF(OR(AND(COUNTIF( V252:V255,"Control/Acción Eficaz")=1,COUNTIF( V252:V255,"Control/Acción Satisfactorio")=1),
AND(COUNTIF( V252:V255,"Control/Acción Eficaz")=1,COUNTIF( V252:V255,"Control/Acción No Eficaz")=1)),"SUSTANCIAL","INACEPTABLE")),
IF(O252="SUSTANCIAL",IF(COUNTIF( V252:V255,"Control/Acción Eficaz")=2,"BAJA",
IF(OR(AND(COUNTIF( V252:V255,"Control/Acción Eficaz")=1,COUNTIF( V252:V255,"Control/Acción Satisfactorio")=1),
AND(COUNTIF( V252:V255,"Control/Acción Eficaz")=1,COUNTIF( V252:V255,"Control/Acción No Eficaz")=1)),"ACEPTABLE CON REVISIÓN ","SUSTANCIAL")),
IF(O252="ACEPTABLE CON REVISIÓN",IF(COUNTIF( V252:V255,"Control/Acción Eficaz")=2,"ACEPTABLE",
IF(OR(AND(COUNTIF( V252:V255,"Control/Acción Eficaz")=1,COUNTIF( V252:V255,"Control/Acción Satisfactorio")=1),
AND(COUNTIF( V252:V255,"Control/Acción Eficaz")=1,COUNTIF( V252:V255,"Control/Acción No Eficaz")=1)),"BAJA","ACEPTABLE CON REVISIÓN")),
IF(O252="BAJA",IF(COUNTIF( V252:V255,"Control/Acción Eficaz")&gt;=2,"ACEPTABLE","BAJA"),)))),
IF(COUNTA( V252:V255)-COUNTBLANK( V252:V255)&gt;=3,
IF(O252="INACEPTABLE",
IF(COUNTBLANK( V252:V255)=COUNTA( V252:V255),"",
IF(COUNTIF( V252:V255,"Control/Acción No Eficaz")&gt;=2,"INACEPTABLE",
IF(AND(COUNTIF( V252:V255,"Control/Acción No Eficaz")=0,COUNTIF( V252:V255,"Control/Acción Eficaz")&gt;=2),"ACEPTABLE CON REVISIÓN ","SUSTANCIAL"))),
IF(O252="SUSTANCIAL",
IF(COUNTBLANK( V252:V255)=COUNTA( V252:V255),"",
IF(COUNTIF( V252:V255,"Control/Acción No Eficaz")&gt;=2,"SUSTANCIAL",
IF(AND(COUNTIF( V252:V255,"Control/Acción No Eficaz")=0,COUNTIF( V252:V255,"Control/Acción Eficaz")&gt;=2),"BAJA","ACEPTABLE CON REVISIÓN"))),
IF(O252="ACEPTABLE CON REVISIÓN",
IF(COUNTBLANK( V252:V255)=COUNTA( V252:V255),"",
IF(COUNTIF( V252:V255,"Control/Acción No Eficaz")&gt;=2,"ACEPTABLE CON REVISIÓN",
IF(AND(COUNTIF( V252:V255,"Control/Acción No Eficaz")=0,COUNTIF( V252:V255,"Control/Acción Eficaz")&gt;=2),"ACEPTABLE","BAJA"))),
IF(O252="BAJA",
IF(COUNTBLANK( V252:V255)=COUNTA( V252:V255),"",
IF(AND(COUNTBLANK( V252:V255)&lt;1,COUNTA( V252:V255)=1),
IF(COUNTIF( V252:V255,"Control/Acción No Eficaz")&gt;=2,"BAJA",
IF(AND(COUNTIF( V252:V255,"Control/Acción No Eficaz")=0,COUNTIF( V252:V255,"Control/Acción Eficaz")&gt;=2),"ACEPTABLE","BAJA")),
IF(COUNTIF( V252:V255,"Control/Acción No Eficaz")&gt;=2,"BAJA",
IF(AND(COUNTIF( V252:V255,"Control/Acción No Eficaz")=0,COUNTIF( V252:V255,"Control/Acción Eficaz")&gt;=2),"ACEPTABLE","BAJA")))),
IF(COUNTIF( V252:V255,"")&gt;=5,"",O252))))),
""))))</f>
        <v>ACEPTABLE CON REVISIÓN </v>
      </c>
      <c r="X252" s="111"/>
      <c r="Y252" s="115"/>
      <c r="Z252" s="30" t="s">
        <v>314</v>
      </c>
      <c r="AA252" s="32" t="str">
        <f>E252</f>
        <v>Seguridad</v>
      </c>
      <c r="AB252" s="33"/>
    </row>
    <row r="253" ht="105.0" customHeight="1">
      <c r="A253" s="116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8" t="s">
        <v>166</v>
      </c>
      <c r="Q253" s="119" t="s">
        <v>437</v>
      </c>
      <c r="R253" s="119" t="s">
        <v>142</v>
      </c>
      <c r="S253" s="119" t="s">
        <v>325</v>
      </c>
      <c r="T253" s="120" t="s">
        <v>7</v>
      </c>
      <c r="U253" s="120" t="s">
        <v>162</v>
      </c>
      <c r="V253" s="120" t="str">
        <f>IFERROR(IF(AA253="SEGURIDAD",OFFSET('PARÁMETROS'!$K$2,MATCH(U253,JC_SE,0),MATCH(T253,CC_SE,0)),
IF(OR(AA253="DSRC/Estratégico",AA253="DSRC/Operativo"),OFFSET('PARÁMETROS'!$K$11,MATCH(U253,JC_DS,0),MATCH(T253,CC_DS,0)),
IF(AA253="SALUD",OFFSET('PARÁMETROS'!$K$29,MATCH(U253,JC_SA,0),MATCH(T253,CC_SA,0)),
IF(AA253="MEDIO AMBIENTE",OFFSET('PARÁMETROS'!$K$20,MATCH(U253,JC_MA,0),MATCH(T253,CC_MA,0)),
IF(AA253="Rel. Gubernamentales",OFFSET('PARÁMETROS'!$K$48,MATCH(U253,JC_G,0),MATCH(T253,CC_G,0)),
IF(AA253="OPERACIONAL",OFFSET('PARÁMETROS'!$K$56,MATCH(U253,JC_OP,0),MATCH(T253,CC_OP,0)),
IF(AA253="FINANCIERO",OFFSET('PARÁMETROS'!$K$56,MATCH(U253,JC_FI,0),MATCH(T253,CC_FI,0)),
OFFSET('PARÁMETROS'!$K$38,MATCH(U253,JC_L,0),MATCH(T253,CC_L,0))))))))),"")</f>
        <v>Control/Acción Eficaz</v>
      </c>
      <c r="W253" s="117"/>
      <c r="X253" s="120"/>
      <c r="Y253" s="121"/>
      <c r="Z253" s="30" t="s">
        <v>314</v>
      </c>
      <c r="AA253" s="32" t="str">
        <f>E252</f>
        <v>Seguridad</v>
      </c>
      <c r="AB253" s="33"/>
    </row>
    <row r="254" ht="105.0" customHeight="1">
      <c r="A254" s="116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8" t="s">
        <v>258</v>
      </c>
      <c r="Q254" s="119" t="s">
        <v>606</v>
      </c>
      <c r="R254" s="119" t="s">
        <v>83</v>
      </c>
      <c r="S254" s="119" t="s">
        <v>84</v>
      </c>
      <c r="T254" s="120" t="s">
        <v>7</v>
      </c>
      <c r="U254" s="120" t="s">
        <v>162</v>
      </c>
      <c r="V254" s="120" t="str">
        <f>IFERROR(IF(AA254="SEGURIDAD",OFFSET('PARÁMETROS'!$K$2,MATCH(U254,JC_SE,0),MATCH(T254,CC_SE,0)),
IF(OR(AA254="DSRC/Estratégico",AA254="DSRC/Operativo"),OFFSET('PARÁMETROS'!$K$11,MATCH(U254,JC_DS,0),MATCH(T254,CC_DS,0)),
IF(AA254="SALUD",OFFSET('PARÁMETROS'!$K$29,MATCH(U254,JC_SA,0),MATCH(T254,CC_SA,0)),
IF(AA254="MEDIO AMBIENTE",OFFSET('PARÁMETROS'!$K$20,MATCH(U254,JC_MA,0),MATCH(T254,CC_MA,0)),
IF(AA254="Rel. Gubernamentales",OFFSET('PARÁMETROS'!$K$48,MATCH(U254,JC_G,0),MATCH(T254,CC_G,0)),
IF(AA254="OPERACIONAL",OFFSET('PARÁMETROS'!$K$56,MATCH(U254,JC_OP,0),MATCH(T254,CC_OP,0)),
IF(AA254="FINANCIERO",OFFSET('PARÁMETROS'!$K$56,MATCH(U254,JC_FI,0),MATCH(T254,CC_FI,0)),
OFFSET('PARÁMETROS'!$K$38,MATCH(U254,JC_L,0),MATCH(T254,CC_L,0))))))))),"")</f>
        <v>Control/Acción Eficaz</v>
      </c>
      <c r="W254" s="117"/>
      <c r="X254" s="120"/>
      <c r="Y254" s="121"/>
      <c r="Z254" s="30" t="s">
        <v>314</v>
      </c>
      <c r="AA254" s="32" t="str">
        <f>E252</f>
        <v>Seguridad</v>
      </c>
      <c r="AB254" s="33"/>
    </row>
    <row r="255" ht="105.0" customHeight="1">
      <c r="A255" s="68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134" t="s">
        <v>196</v>
      </c>
      <c r="Q255" s="135" t="s">
        <v>589</v>
      </c>
      <c r="R255" s="135" t="s">
        <v>142</v>
      </c>
      <c r="S255" s="135" t="s">
        <v>167</v>
      </c>
      <c r="T255" s="136" t="s">
        <v>7</v>
      </c>
      <c r="U255" s="136" t="s">
        <v>162</v>
      </c>
      <c r="V255" s="136" t="str">
        <f>IFERROR(IF(AA255="SEGURIDAD",OFFSET('PARÁMETROS'!$K$2,MATCH(U255,JC_SE,0),MATCH(T255,CC_SE,0)),
IF(OR(AA255="DSRC/Estratégico",AA255="DSRC/Operativo"),OFFSET('PARÁMETROS'!$K$11,MATCH(U255,JC_DS,0),MATCH(T255,CC_DS,0)),
IF(AA255="SALUD",OFFSET('PARÁMETROS'!$K$29,MATCH(U255,JC_SA,0),MATCH(T255,CC_SA,0)),
IF(AA255="MEDIO AMBIENTE",OFFSET('PARÁMETROS'!$K$20,MATCH(U255,JC_MA,0),MATCH(T255,CC_MA,0)),
IF(AA255="Rel. Gubernamentales",OFFSET('PARÁMETROS'!$K$48,MATCH(U255,JC_G,0),MATCH(T255,CC_G,0)),
IF(AA255="OPERACIONAL",OFFSET('PARÁMETROS'!$K$56,MATCH(U255,JC_OP,0),MATCH(T255,CC_OP,0)),
IF(AA255="FINANCIERO",OFFSET('PARÁMETROS'!$K$56,MATCH(U255,JC_FI,0),MATCH(T255,CC_FI,0)),
OFFSET('PARÁMETROS'!$K$38,MATCH(U255,JC_L,0),MATCH(T255,CC_L,0))))))))),"")</f>
        <v>Control/Acción Eficaz</v>
      </c>
      <c r="W255" s="69"/>
      <c r="X255" s="136"/>
      <c r="Y255" s="137"/>
      <c r="Z255" s="30" t="s">
        <v>314</v>
      </c>
      <c r="AA255" s="32" t="str">
        <f>E252</f>
        <v>Seguridad</v>
      </c>
      <c r="AB255" s="33"/>
    </row>
    <row r="256" ht="105.0" customHeight="1">
      <c r="A256" s="79">
        <v>36.0</v>
      </c>
      <c r="B256" s="80" t="s">
        <v>172</v>
      </c>
      <c r="C256" s="80" t="s">
        <v>584</v>
      </c>
      <c r="D256" s="80" t="s">
        <v>177</v>
      </c>
      <c r="E256" s="80" t="s">
        <v>181</v>
      </c>
      <c r="F256" s="80" t="s">
        <v>323</v>
      </c>
      <c r="G256" s="80" t="s">
        <v>607</v>
      </c>
      <c r="H256" s="80" t="s">
        <v>48</v>
      </c>
      <c r="I256" s="80" t="s">
        <v>608</v>
      </c>
      <c r="J256" s="80">
        <v>3.0</v>
      </c>
      <c r="K256" s="80">
        <v>3.0</v>
      </c>
      <c r="L256" s="80">
        <f>IF(OR(J256&lt;&gt;"",K256&lt;&gt;""),OFFSET('PARÁMETROS'!$B$2,K256,J256),"")</f>
        <v>4</v>
      </c>
      <c r="M256" s="80">
        <v>5.0</v>
      </c>
      <c r="N256" s="80">
        <f>IFERROR(L256*M256,"")</f>
        <v>20</v>
      </c>
      <c r="O256" s="89" t="str">
        <f>IF(N256="","",IFERROR(IF(N256&lt;=2,"ACEPTABLE",IF(N256&lt;=6,"BAJA",IF(N256&lt;=10,"ACEPTABLE CON REVISIÓN",IF(N256&lt;=15,"SUSTANCIAL","INACEPTABLE")))),""))</f>
        <v>INACEPTABLE</v>
      </c>
      <c r="P256" s="109" t="s">
        <v>196</v>
      </c>
      <c r="Q256" s="110" t="s">
        <v>609</v>
      </c>
      <c r="R256" s="110" t="s">
        <v>142</v>
      </c>
      <c r="S256" s="110" t="s">
        <v>270</v>
      </c>
      <c r="T256" s="111" t="s">
        <v>7</v>
      </c>
      <c r="U256" s="111" t="s">
        <v>137</v>
      </c>
      <c r="V256" s="111" t="str">
        <f>IFERROR(IF(AA256="SEGURIDAD",OFFSET('PARÁMETROS'!$K$2,MATCH(U256,JC_SE,0),MATCH(T256,CC_SE,0)),
IF(OR(AA256="DSRC/Estratégico",AA256="DSRC/Operativo"),OFFSET('PARÁMETROS'!$K$11,MATCH(U256,JC_DS,0),MATCH(T256,CC_DS,0)),
IF(AA256="SALUD",OFFSET('PARÁMETROS'!$K$29,MATCH(U256,JC_SA,0),MATCH(T256,CC_SA,0)),
IF(AA256="MEDIO AMBIENTE",OFFSET('PARÁMETROS'!$K$20,MATCH(U256,JC_MA,0),MATCH(T256,CC_MA,0)),
IF(AA256="Rel. Gubernamentales",OFFSET('PARÁMETROS'!$K$48,MATCH(U256,JC_G,0),MATCH(T256,CC_G,0)),
IF(AA256="OPERACIONAL",OFFSET('PARÁMETROS'!$K$56,MATCH(U256,JC_OP,0),MATCH(T256,CC_OP,0)),
IF(AA256="FINANCIERO",OFFSET('PARÁMETROS'!$K$56,MATCH(U256,JC_FI,0),MATCH(T256,CC_FI,0)),
OFFSET('PARÁMETROS'!$K$38,MATCH(U256,JC_L,0),MATCH(T256,CC_L,0))))))))),"")</f>
        <v>Control/Acción Eficaz</v>
      </c>
      <c r="W256" s="89" t="str">
        <f>IF(E256="","",
IF(COUNTA( V256:V257)-COUNTBLANK( V256:V257)=1,
IF(O256="INACEPTABLE",IF(COUNTIF( V256:V257,"Control/Acción Eficaz")&gt;=1,"SUSTANCIAL","INACEPTABLE"),
IF(O256="SUSTANCIAL",IF(COUNTIF( V256:V257,"Control/Acción Eficaz")&gt;=1,"ACEPTABLE CON REVISIÓN","SUSTANCIAL"),
IF(O256="ACEPTABLE CON REVISIÓN",IF(COUNTIF( V256:V257,"Control/Acción Eficaz")&gt;=1,"BAJA","ACEPTABLE CON REVISIÓN"),
IF(O256="BAJA",IF(COUNTIF( V256:V257,"Control/Acción Eficaz")&gt;=1,"ACEPTABLE","BAJA"),)))),
IF(COUNTA( V256:V257)-COUNTBLANK( V256:V257)=2,
IF(O256="INACEPTABLE",IF(COUNTIF( V256:V257,"Control/Acción Eficaz")=2,"ACEPTABLE CON REVISIÓN",
IF(OR(AND(COUNTIF( V256:V257,"Control/Acción Eficaz")=1,COUNTIF( V256:V257,"Control/Acción Satisfactorio")=1),
AND(COUNTIF( V256:V257,"Control/Acción Eficaz")=1,COUNTIF( V256:V257,"Control/Acción No Eficaz")=1)),"SUSTANCIAL","INACEPTABLE")),
IF(O256="SUSTANCIAL",IF(COUNTIF( V256:V257,"Control/Acción Eficaz")=2,"BAJA",
IF(OR(AND(COUNTIF( V256:V257,"Control/Acción Eficaz")=1,COUNTIF( V256:V257,"Control/Acción Satisfactorio")=1),
AND(COUNTIF( V256:V257,"Control/Acción Eficaz")=1,COUNTIF( V256:V257,"Control/Acción No Eficaz")=1)),"ACEPTABLE CON REVISIÓN ","SUSTANCIAL")),
IF(O256="ACEPTABLE CON REVISIÓN",IF(COUNTIF( V256:V257,"Control/Acción Eficaz")=2,"ACEPTABLE",
IF(OR(AND(COUNTIF( V256:V257,"Control/Acción Eficaz")=1,COUNTIF( V256:V257,"Control/Acción Satisfactorio")=1),
AND(COUNTIF( V256:V257,"Control/Acción Eficaz")=1,COUNTIF( V256:V257,"Control/Acción No Eficaz")=1)),"BAJA","ACEPTABLE CON REVISIÓN")),
IF(O256="BAJA",IF(COUNTIF( V256:V257,"Control/Acción Eficaz")&gt;=2,"ACEPTABLE","BAJA"),)))),
IF(COUNTA( V256:V257)-COUNTBLANK( V256:V257)&gt;=3,
IF(O256="INACEPTABLE",
IF(COUNTBLANK( V256:V257)=COUNTA( V256:V257),"",
IF(COUNTIF( V256:V257,"Control/Acción No Eficaz")&gt;=2,"INACEPTABLE",
IF(AND(COUNTIF( V256:V257,"Control/Acción No Eficaz")=0,COUNTIF( V256:V257,"Control/Acción Eficaz")&gt;=2),"ACEPTABLE CON REVISIÓN ","SUSTANCIAL"))),
IF(O256="SUSTANCIAL",
IF(COUNTBLANK( V256:V257)=COUNTA( V256:V257),"",
IF(COUNTIF( V256:V257,"Control/Acción No Eficaz")&gt;=2,"SUSTANCIAL",
IF(AND(COUNTIF( V256:V257,"Control/Acción No Eficaz")=0,COUNTIF( V256:V257,"Control/Acción Eficaz")&gt;=2),"BAJA","ACEPTABLE CON REVISIÓN"))),
IF(O256="ACEPTABLE CON REVISIÓN",
IF(COUNTBLANK( V256:V257)=COUNTA( V256:V257),"",
IF(COUNTIF( V256:V257,"Control/Acción No Eficaz")&gt;=2,"ACEPTABLE CON REVISIÓN",
IF(AND(COUNTIF( V256:V257,"Control/Acción No Eficaz")=0,COUNTIF( V256:V257,"Control/Acción Eficaz")&gt;=2),"ACEPTABLE","BAJA"))),
IF(O256="BAJA",
IF(COUNTBLANK( V256:V257)=COUNTA( V256:V257),"",
IF(AND(COUNTBLANK( V256:V257)&lt;1,COUNTA( V256:V257)=1),
IF(COUNTIF( V256:V257,"Control/Acción No Eficaz")&gt;=2,"BAJA",
IF(AND(COUNTIF( V256:V257,"Control/Acción No Eficaz")=0,COUNTIF( V256:V257,"Control/Acción Eficaz")&gt;=2),"ACEPTABLE","BAJA")),
IF(COUNTIF( V256:V257,"Control/Acción No Eficaz")&gt;=2,"BAJA",
IF(AND(COUNTIF( V256:V257,"Control/Acción No Eficaz")=0,COUNTIF( V256:V257,"Control/Acción Eficaz")&gt;=2),"ACEPTABLE","BAJA")))),
IF(COUNTIF( V256:V257,"")&gt;=5,"",O256))))),
""))))</f>
        <v>ACEPTABLE CON REVISIÓN</v>
      </c>
      <c r="X256" s="111"/>
      <c r="Y256" s="115"/>
      <c r="Z256" s="30" t="s">
        <v>314</v>
      </c>
      <c r="AA256" s="32" t="str">
        <f>E256</f>
        <v>Seguridad</v>
      </c>
      <c r="AB256" s="33"/>
    </row>
    <row r="257" ht="105.0" customHeight="1">
      <c r="A257" s="68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134" t="s">
        <v>196</v>
      </c>
      <c r="Q257" s="135" t="s">
        <v>589</v>
      </c>
      <c r="R257" s="135" t="s">
        <v>142</v>
      </c>
      <c r="S257" s="135" t="s">
        <v>167</v>
      </c>
      <c r="T257" s="136" t="s">
        <v>7</v>
      </c>
      <c r="U257" s="136" t="s">
        <v>162</v>
      </c>
      <c r="V257" s="136" t="str">
        <f>IFERROR(IF(AA257="SEGURIDAD",OFFSET('PARÁMETROS'!$K$2,MATCH(U257,JC_SE,0),MATCH(T257,CC_SE,0)),
IF(OR(AA257="DSRC/Estratégico",AA257="DSRC/Operativo"),OFFSET('PARÁMETROS'!$K$11,MATCH(U257,JC_DS,0),MATCH(T257,CC_DS,0)),
IF(AA257="SALUD",OFFSET('PARÁMETROS'!$K$29,MATCH(U257,JC_SA,0),MATCH(T257,CC_SA,0)),
IF(AA257="MEDIO AMBIENTE",OFFSET('PARÁMETROS'!$K$20,MATCH(U257,JC_MA,0),MATCH(T257,CC_MA,0)),
IF(AA257="Rel. Gubernamentales",OFFSET('PARÁMETROS'!$K$48,MATCH(U257,JC_G,0),MATCH(T257,CC_G,0)),
IF(AA257="OPERACIONAL",OFFSET('PARÁMETROS'!$K$56,MATCH(U257,JC_OP,0),MATCH(T257,CC_OP,0)),
IF(AA257="FINANCIERO",OFFSET('PARÁMETROS'!$K$56,MATCH(U257,JC_FI,0),MATCH(T257,CC_FI,0)),
OFFSET('PARÁMETROS'!$K$38,MATCH(U257,JC_L,0),MATCH(T257,CC_L,0))))))))),"")</f>
        <v>Control/Acción Eficaz</v>
      </c>
      <c r="W257" s="69"/>
      <c r="X257" s="136"/>
      <c r="Y257" s="137"/>
      <c r="Z257" s="30" t="s">
        <v>314</v>
      </c>
      <c r="AA257" s="32" t="str">
        <f>E256</f>
        <v>Seguridad</v>
      </c>
      <c r="AB257" s="33"/>
    </row>
    <row r="258" ht="105.0" customHeight="1">
      <c r="A258" s="145">
        <v>37.0</v>
      </c>
      <c r="B258" s="146" t="s">
        <v>172</v>
      </c>
      <c r="C258" s="146" t="s">
        <v>610</v>
      </c>
      <c r="D258" s="146" t="s">
        <v>177</v>
      </c>
      <c r="E258" s="146" t="s">
        <v>181</v>
      </c>
      <c r="F258" s="146" t="s">
        <v>370</v>
      </c>
      <c r="G258" s="146" t="s">
        <v>611</v>
      </c>
      <c r="H258" s="146" t="s">
        <v>199</v>
      </c>
      <c r="I258" s="146" t="s">
        <v>612</v>
      </c>
      <c r="J258" s="146">
        <v>2.0</v>
      </c>
      <c r="K258" s="146">
        <v>3.0</v>
      </c>
      <c r="L258" s="146">
        <f>IF(OR(J258&lt;&gt;"",K258&lt;&gt;""),OFFSET('PARÁMETROS'!$B$2,K258,J258),"")</f>
        <v>4</v>
      </c>
      <c r="M258" s="146">
        <v>3.0</v>
      </c>
      <c r="N258" s="146">
        <f t="shared" ref="N258:N259" si="10">IFERROR(L258*M258,"")</f>
        <v>12</v>
      </c>
      <c r="O258" s="147" t="str">
        <f t="shared" ref="O258:O259" si="11">IF(N258="","",IFERROR(IF(N258&lt;=2,"ACEPTABLE",IF(N258&lt;=6,"BAJA",IF(N258&lt;=10,"ACEPTABLE CON REVISIÓN",IF(N258&lt;=15,"SUSTANCIAL","INACEPTABLE")))),""))</f>
        <v>SUSTANCIAL</v>
      </c>
      <c r="P258" s="148" t="s">
        <v>302</v>
      </c>
      <c r="Q258" s="149" t="s">
        <v>537</v>
      </c>
      <c r="R258" s="149" t="s">
        <v>106</v>
      </c>
      <c r="S258" s="149" t="s">
        <v>265</v>
      </c>
      <c r="T258" s="146" t="s">
        <v>7</v>
      </c>
      <c r="U258" s="146" t="s">
        <v>182</v>
      </c>
      <c r="V258" s="146" t="str">
        <f>IFERROR(IF(AA258="SEGURIDAD",OFFSET('PARÁMETROS'!$K$2,MATCH(U258,JC_SE,0),MATCH(T258,CC_SE,0)),
IF(OR(AA258="DSRC/Estratégico",AA258="DSRC/Operativo"),OFFSET('PARÁMETROS'!$K$11,MATCH(U258,JC_DS,0),MATCH(T258,CC_DS,0)),
IF(AA258="SALUD",OFFSET('PARÁMETROS'!$K$29,MATCH(U258,JC_SA,0),MATCH(T258,CC_SA,0)),
IF(AA258="MEDIO AMBIENTE",OFFSET('PARÁMETROS'!$K$20,MATCH(U258,JC_MA,0),MATCH(T258,CC_MA,0)),
IF(AA258="Rel. Gubernamentales",OFFSET('PARÁMETROS'!$K$48,MATCH(U258,JC_G,0),MATCH(T258,CC_G,0)),
IF(AA258="OPERACIONAL",OFFSET('PARÁMETROS'!$K$56,MATCH(U258,JC_OP,0),MATCH(T258,CC_OP,0)),
IF(AA258="FINANCIERO",OFFSET('PARÁMETROS'!$K$56,MATCH(U258,JC_FI,0),MATCH(T258,CC_FI,0)),
OFFSET('PARÁMETROS'!$K$38,MATCH(U258,JC_L,0),MATCH(T258,CC_L,0))))))))),"")</f>
        <v>Control/Acción Satisfactorio</v>
      </c>
      <c r="W258" s="147" t="str">
        <f>IF(E258="","",
IF(COUNTA( V258)-COUNTBLANK( V258)=1,
IF(O258="INACEPTABLE",IF(COUNTIF( V258,"Control/Acción Eficaz")&gt;=1,"SUSTANCIAL","INACEPTABLE"),
IF(O258="SUSTANCIAL",IF(COUNTIF( V258,"Control/Acción Eficaz")&gt;=1,"ACEPTABLE CON REVISIÓN","SUSTANCIAL"),
IF(O258="ACEPTABLE CON REVISIÓN",IF(COUNTIF( V258,"Control/Acción Eficaz")&gt;=1,"BAJA","ACEPTABLE CON REVISIÓN"),
IF(O258="BAJA",IF(COUNTIF( V258,"Control/Acción Eficaz")&gt;=1,"ACEPTABLE","BAJA"),)))),
IF(COUNTA( V258)-COUNTBLANK( V258)=2,
IF(O258="INACEPTABLE",IF(COUNTIF( V258,"Control/Acción Eficaz")=2,"ACEPTABLE CON REVISIÓN",
IF(OR(AND(COUNTIF( V258,"Control/Acción Eficaz")=1,COUNTIF( V258,"Control/Acción Satisfactorio")=1),
AND(COUNTIF( V258,"Control/Acción Eficaz")=1,COUNTIF( V258,"Control/Acción No Eficaz")=1)),"SUSTANCIAL","INACEPTABLE")),
IF(O258="SUSTANCIAL",IF(COUNTIF( V258,"Control/Acción Eficaz")=2,"BAJA",
IF(OR(AND(COUNTIF( V258,"Control/Acción Eficaz")=1,COUNTIF( V258,"Control/Acción Satisfactorio")=1),
AND(COUNTIF( V258,"Control/Acción Eficaz")=1,COUNTIF( V258,"Control/Acción No Eficaz")=1)),"ACEPTABLE CON REVISIÓN ","SUSTANCIAL")),
IF(O258="ACEPTABLE CON REVISIÓN",IF(COUNTIF( V258,"Control/Acción Eficaz")=2,"ACEPTABLE",
IF(OR(AND(COUNTIF( V258,"Control/Acción Eficaz")=1,COUNTIF( V258,"Control/Acción Satisfactorio")=1),
AND(COUNTIF( V258,"Control/Acción Eficaz")=1,COUNTIF( V258,"Control/Acción No Eficaz")=1)),"BAJA","ACEPTABLE CON REVISIÓN")),
IF(O258="BAJA",IF(COUNTIF( V258,"Control/Acción Eficaz")&gt;=2,"ACEPTABLE","BAJA"),)))),
IF(COUNTA( V258)-COUNTBLANK( V258)&gt;=3,
IF(O258="INACEPTABLE",
IF(COUNTBLANK( V258)=COUNTA( V258),"",
IF(COUNTIF( V258,"Control/Acción No Eficaz")&gt;=2,"INACEPTABLE",
IF(AND(COUNTIF( V258,"Control/Acción No Eficaz")=0,COUNTIF( V258,"Control/Acción Eficaz")&gt;=2),"ACEPTABLE CON REVISIÓN ","SUSTANCIAL"))),
IF(O258="SUSTANCIAL",
IF(COUNTBLANK( V258)=COUNTA( V258),"",
IF(COUNTIF( V258,"Control/Acción No Eficaz")&gt;=2,"SUSTANCIAL",
IF(AND(COUNTIF( V258,"Control/Acción No Eficaz")=0,COUNTIF( V258,"Control/Acción Eficaz")&gt;=2),"BAJA","ACEPTABLE CON REVISIÓN"))),
IF(O258="ACEPTABLE CON REVISIÓN",
IF(COUNTBLANK( V258)=COUNTA( V258),"",
IF(COUNTIF( V258,"Control/Acción No Eficaz")&gt;=2,"ACEPTABLE CON REVISIÓN",
IF(AND(COUNTIF( V258,"Control/Acción No Eficaz")=0,COUNTIF( V258,"Control/Acción Eficaz")&gt;=2),"ACEPTABLE","BAJA"))),
IF(O258="BAJA",
IF(COUNTBLANK( V258)=COUNTA( V258),"",
IF(AND(COUNTBLANK( V258)&lt;1,COUNTA( V258)=1),
IF(COUNTIF( V258,"Control/Acción No Eficaz")&gt;=2,"BAJA",
IF(AND(COUNTIF( V258,"Control/Acción No Eficaz")=0,COUNTIF( V258,"Control/Acción Eficaz")&gt;=2),"ACEPTABLE","BAJA")),
IF(COUNTIF( V258,"Control/Acción No Eficaz")&gt;=2,"BAJA",
IF(AND(COUNTIF( V258,"Control/Acción No Eficaz")=0,COUNTIF( V258,"Control/Acción Eficaz")&gt;=2),"ACEPTABLE","BAJA")))),
IF(COUNTIF( V258,"")&gt;=5,"",O258))))),
""))))</f>
        <v>SUSTANCIAL</v>
      </c>
      <c r="X258" s="146"/>
      <c r="Y258" s="150"/>
      <c r="Z258" s="30" t="s">
        <v>314</v>
      </c>
      <c r="AA258" s="32" t="str">
        <f t="shared" ref="AA258:AA259" si="12">E258</f>
        <v>Seguridad</v>
      </c>
      <c r="AB258" s="33"/>
    </row>
    <row r="259" ht="105.0" customHeight="1">
      <c r="A259" s="79">
        <v>38.0</v>
      </c>
      <c r="B259" s="80" t="s">
        <v>172</v>
      </c>
      <c r="C259" s="80" t="s">
        <v>613</v>
      </c>
      <c r="D259" s="80" t="s">
        <v>177</v>
      </c>
      <c r="E259" s="80" t="s">
        <v>181</v>
      </c>
      <c r="F259" s="80" t="s">
        <v>340</v>
      </c>
      <c r="G259" s="80" t="s">
        <v>614</v>
      </c>
      <c r="H259" s="80" t="s">
        <v>401</v>
      </c>
      <c r="I259" s="80" t="s">
        <v>456</v>
      </c>
      <c r="J259" s="80">
        <v>4.0</v>
      </c>
      <c r="K259" s="80">
        <v>3.0</v>
      </c>
      <c r="L259" s="80">
        <f>IF(OR(J259&lt;&gt;"",K259&lt;&gt;""),OFFSET('PARÁMETROS'!$B$2,K259,J259),"")</f>
        <v>3</v>
      </c>
      <c r="M259" s="80">
        <v>2.0</v>
      </c>
      <c r="N259" s="80">
        <f t="shared" si="10"/>
        <v>6</v>
      </c>
      <c r="O259" s="89" t="str">
        <f t="shared" si="11"/>
        <v>BAJA</v>
      </c>
      <c r="P259" s="109" t="s">
        <v>269</v>
      </c>
      <c r="Q259" s="110" t="s">
        <v>615</v>
      </c>
      <c r="R259" s="110" t="s">
        <v>142</v>
      </c>
      <c r="S259" s="110" t="s">
        <v>167</v>
      </c>
      <c r="T259" s="111" t="s">
        <v>6</v>
      </c>
      <c r="U259" s="111" t="s">
        <v>162</v>
      </c>
      <c r="V259" s="111" t="str">
        <f>IFERROR(IF(AA259="SEGURIDAD",OFFSET('PARÁMETROS'!$K$2,MATCH(U259,JC_SE,0),MATCH(T259,CC_SE,0)),
IF(OR(AA259="DSRC/Estratégico",AA259="DSRC/Operativo"),OFFSET('PARÁMETROS'!$K$11,MATCH(U259,JC_DS,0),MATCH(T259,CC_DS,0)),
IF(AA259="SALUD",OFFSET('PARÁMETROS'!$K$29,MATCH(U259,JC_SA,0),MATCH(T259,CC_SA,0)),
IF(AA259="MEDIO AMBIENTE",OFFSET('PARÁMETROS'!$K$20,MATCH(U259,JC_MA,0),MATCH(T259,CC_MA,0)),
IF(AA259="Rel. Gubernamentales",OFFSET('PARÁMETROS'!$K$48,MATCH(U259,JC_G,0),MATCH(T259,CC_G,0)),
IF(AA259="OPERACIONAL",OFFSET('PARÁMETROS'!$K$56,MATCH(U259,JC_OP,0),MATCH(T259,CC_OP,0)),
IF(AA259="FINANCIERO",OFFSET('PARÁMETROS'!$K$56,MATCH(U259,JC_FI,0),MATCH(T259,CC_FI,0)),
OFFSET('PARÁMETROS'!$K$38,MATCH(U259,JC_L,0),MATCH(T259,CC_L,0))))))))),"")</f>
        <v>Control/Acción Satisfactorio</v>
      </c>
      <c r="W259" s="89" t="str">
        <f>IF(E259="","",
IF(COUNTA( V259:V261)-COUNTBLANK( V259:V261)=1,
IF(O259="INACEPTABLE",IF(COUNTIF( V259:V261,"Control/Acción Eficaz")&gt;=1,"SUSTANCIAL","INACEPTABLE"),
IF(O259="SUSTANCIAL",IF(COUNTIF( V259:V261,"Control/Acción Eficaz")&gt;=1,"ACEPTABLE CON REVISIÓN","SUSTANCIAL"),
IF(O259="ACEPTABLE CON REVISIÓN",IF(COUNTIF( V259:V261,"Control/Acción Eficaz")&gt;=1,"BAJA","ACEPTABLE CON REVISIÓN"),
IF(O259="BAJA",IF(COUNTIF( V259:V261,"Control/Acción Eficaz")&gt;=1,"ACEPTABLE","BAJA"),)))),
IF(COUNTA( V259:V261)-COUNTBLANK( V259:V261)=2,
IF(O259="INACEPTABLE",IF(COUNTIF( V259:V261,"Control/Acción Eficaz")=2,"ACEPTABLE CON REVISIÓN",
IF(OR(AND(COUNTIF( V259:V261,"Control/Acción Eficaz")=1,COUNTIF( V259:V261,"Control/Acción Satisfactorio")=1),
AND(COUNTIF( V259:V261,"Control/Acción Eficaz")=1,COUNTIF( V259:V261,"Control/Acción No Eficaz")=1)),"SUSTANCIAL","INACEPTABLE")),
IF(O259="SUSTANCIAL",IF(COUNTIF( V259:V261,"Control/Acción Eficaz")=2,"BAJA",
IF(OR(AND(COUNTIF( V259:V261,"Control/Acción Eficaz")=1,COUNTIF( V259:V261,"Control/Acción Satisfactorio")=1),
AND(COUNTIF( V259:V261,"Control/Acción Eficaz")=1,COUNTIF( V259:V261,"Control/Acción No Eficaz")=1)),"ACEPTABLE CON REVISIÓN ","SUSTANCIAL")),
IF(O259="ACEPTABLE CON REVISIÓN",IF(COUNTIF( V259:V261,"Control/Acción Eficaz")=2,"ACEPTABLE",
IF(OR(AND(COUNTIF( V259:V261,"Control/Acción Eficaz")=1,COUNTIF( V259:V261,"Control/Acción Satisfactorio")=1),
AND(COUNTIF( V259:V261,"Control/Acción Eficaz")=1,COUNTIF( V259:V261,"Control/Acción No Eficaz")=1)),"BAJA","ACEPTABLE CON REVISIÓN")),
IF(O259="BAJA",IF(COUNTIF( V259:V261,"Control/Acción Eficaz")&gt;=2,"ACEPTABLE","BAJA"),)))),
IF(COUNTA( V259:V261)-COUNTBLANK( V259:V261)&gt;=3,
IF(O259="INACEPTABLE",
IF(COUNTBLANK( V259:V261)=COUNTA( V259:V261),"",
IF(COUNTIF( V259:V261,"Control/Acción No Eficaz")&gt;=2,"INACEPTABLE",
IF(AND(COUNTIF( V259:V261,"Control/Acción No Eficaz")=0,COUNTIF( V259:V261,"Control/Acción Eficaz")&gt;=2),"ACEPTABLE CON REVISIÓN ","SUSTANCIAL"))),
IF(O259="SUSTANCIAL",
IF(COUNTBLANK( V259:V261)=COUNTA( V259:V261),"",
IF(COUNTIF( V259:V261,"Control/Acción No Eficaz")&gt;=2,"SUSTANCIAL",
IF(AND(COUNTIF( V259:V261,"Control/Acción No Eficaz")=0,COUNTIF( V259:V261,"Control/Acción Eficaz")&gt;=2),"BAJA","ACEPTABLE CON REVISIÓN"))),
IF(O259="ACEPTABLE CON REVISIÓN",
IF(COUNTBLANK( V259:V261)=COUNTA( V259:V261),"",
IF(COUNTIF( V259:V261,"Control/Acción No Eficaz")&gt;=2,"ACEPTABLE CON REVISIÓN",
IF(AND(COUNTIF( V259:V261,"Control/Acción No Eficaz")=0,COUNTIF( V259:V261,"Control/Acción Eficaz")&gt;=2),"ACEPTABLE","BAJA"))),
IF(O259="BAJA",
IF(COUNTBLANK( V259:V261)=COUNTA( V259:V261),"",
IF(AND(COUNTBLANK( V259:V261)&lt;1,COUNTA( V259:V261)=1),
IF(COUNTIF( V259:V261,"Control/Acción No Eficaz")&gt;=2,"BAJA",
IF(AND(COUNTIF( V259:V261,"Control/Acción No Eficaz")=0,COUNTIF( V259:V261,"Control/Acción Eficaz")&gt;=2),"ACEPTABLE","BAJA")),
IF(COUNTIF( V259:V261,"Control/Acción No Eficaz")&gt;=2,"BAJA",
IF(AND(COUNTIF( V259:V261,"Control/Acción No Eficaz")=0,COUNTIF( V259:V261,"Control/Acción Eficaz")&gt;=2),"ACEPTABLE","BAJA")))),
IF(COUNTIF( V259:V261,"")&gt;=5,"",O259))))),
""))))</f>
        <v>BAJA</v>
      </c>
      <c r="X259" s="111"/>
      <c r="Y259" s="115"/>
      <c r="Z259" s="30" t="s">
        <v>314</v>
      </c>
      <c r="AA259" s="32" t="str">
        <f t="shared" si="12"/>
        <v>Seguridad</v>
      </c>
      <c r="AB259" s="33"/>
    </row>
    <row r="260" ht="105.0" customHeight="1">
      <c r="A260" s="116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8" t="s">
        <v>258</v>
      </c>
      <c r="Q260" s="119" t="s">
        <v>616</v>
      </c>
      <c r="R260" s="119" t="s">
        <v>83</v>
      </c>
      <c r="S260" s="119" t="s">
        <v>84</v>
      </c>
      <c r="T260" s="120" t="s">
        <v>7</v>
      </c>
      <c r="U260" s="120" t="s">
        <v>162</v>
      </c>
      <c r="V260" s="120" t="str">
        <f>IFERROR(IF(AA260="SEGURIDAD",OFFSET('PARÁMETROS'!$K$2,MATCH(U260,JC_SE,0),MATCH(T260,CC_SE,0)),
IF(OR(AA260="DSRC/Estratégico",AA260="DSRC/Operativo"),OFFSET('PARÁMETROS'!$K$11,MATCH(U260,JC_DS,0),MATCH(T260,CC_DS,0)),
IF(AA260="SALUD",OFFSET('PARÁMETROS'!$K$29,MATCH(U260,JC_SA,0),MATCH(T260,CC_SA,0)),
IF(AA260="MEDIO AMBIENTE",OFFSET('PARÁMETROS'!$K$20,MATCH(U260,JC_MA,0),MATCH(T260,CC_MA,0)),
IF(AA260="Rel. Gubernamentales",OFFSET('PARÁMETROS'!$K$48,MATCH(U260,JC_G,0),MATCH(T260,CC_G,0)),
IF(AA260="OPERACIONAL",OFFSET('PARÁMETROS'!$K$56,MATCH(U260,JC_OP,0),MATCH(T260,CC_OP,0)),
IF(AA260="FINANCIERO",OFFSET('PARÁMETROS'!$K$56,MATCH(U260,JC_FI,0),MATCH(T260,CC_FI,0)),
OFFSET('PARÁMETROS'!$K$38,MATCH(U260,JC_L,0),MATCH(T260,CC_L,0))))))))),"")</f>
        <v>Control/Acción Eficaz</v>
      </c>
      <c r="W260" s="117"/>
      <c r="X260" s="120"/>
      <c r="Y260" s="121"/>
      <c r="Z260" s="30" t="s">
        <v>314</v>
      </c>
      <c r="AA260" s="32" t="str">
        <f>E259</f>
        <v>Seguridad</v>
      </c>
      <c r="AB260" s="33"/>
    </row>
    <row r="261" ht="105.0" customHeight="1">
      <c r="A261" s="68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134" t="s">
        <v>302</v>
      </c>
      <c r="Q261" s="135" t="s">
        <v>537</v>
      </c>
      <c r="R261" s="135" t="s">
        <v>106</v>
      </c>
      <c r="S261" s="135" t="s">
        <v>265</v>
      </c>
      <c r="T261" s="136" t="s">
        <v>7</v>
      </c>
      <c r="U261" s="136" t="s">
        <v>182</v>
      </c>
      <c r="V261" s="136" t="str">
        <f>IFERROR(IF(AA261="SEGURIDAD",OFFSET('PARÁMETROS'!$K$2,MATCH(U261,JC_SE,0),MATCH(T261,CC_SE,0)),
IF(OR(AA261="DSRC/Estratégico",AA261="DSRC/Operativo"),OFFSET('PARÁMETROS'!$K$11,MATCH(U261,JC_DS,0),MATCH(T261,CC_DS,0)),
IF(AA261="SALUD",OFFSET('PARÁMETROS'!$K$29,MATCH(U261,JC_SA,0),MATCH(T261,CC_SA,0)),
IF(AA261="MEDIO AMBIENTE",OFFSET('PARÁMETROS'!$K$20,MATCH(U261,JC_MA,0),MATCH(T261,CC_MA,0)),
IF(AA261="Rel. Gubernamentales",OFFSET('PARÁMETROS'!$K$48,MATCH(U261,JC_G,0),MATCH(T261,CC_G,0)),
IF(AA261="OPERACIONAL",OFFSET('PARÁMETROS'!$K$56,MATCH(U261,JC_OP,0),MATCH(T261,CC_OP,0)),
IF(AA261="FINANCIERO",OFFSET('PARÁMETROS'!$K$56,MATCH(U261,JC_FI,0),MATCH(T261,CC_FI,0)),
OFFSET('PARÁMETROS'!$K$38,MATCH(U261,JC_L,0),MATCH(T261,CC_L,0))))))))),"")</f>
        <v>Control/Acción Satisfactorio</v>
      </c>
      <c r="W261" s="69"/>
      <c r="X261" s="136"/>
      <c r="Y261" s="137"/>
      <c r="Z261" s="30" t="s">
        <v>314</v>
      </c>
      <c r="AA261" s="32" t="str">
        <f>E259</f>
        <v>Seguridad</v>
      </c>
      <c r="AB261" s="33"/>
    </row>
    <row r="262" ht="105.0" customHeight="1">
      <c r="A262" s="145">
        <v>39.0</v>
      </c>
      <c r="B262" s="146" t="s">
        <v>172</v>
      </c>
      <c r="C262" s="146" t="s">
        <v>613</v>
      </c>
      <c r="D262" s="146" t="s">
        <v>177</v>
      </c>
      <c r="E262" s="146" t="s">
        <v>181</v>
      </c>
      <c r="F262" s="146" t="s">
        <v>329</v>
      </c>
      <c r="G262" s="146" t="s">
        <v>617</v>
      </c>
      <c r="H262" s="146" t="s">
        <v>413</v>
      </c>
      <c r="I262" s="146" t="s">
        <v>618</v>
      </c>
      <c r="J262" s="146">
        <v>2.0</v>
      </c>
      <c r="K262" s="146">
        <v>3.0</v>
      </c>
      <c r="L262" s="146">
        <f>IF(OR(J262&lt;&gt;"",K262&lt;&gt;""),OFFSET('PARÁMETROS'!$B$2,K262,J262),"")</f>
        <v>4</v>
      </c>
      <c r="M262" s="146">
        <v>3.0</v>
      </c>
      <c r="N262" s="146">
        <f t="shared" ref="N262:N264" si="13">IFERROR(L262*M262,"")</f>
        <v>12</v>
      </c>
      <c r="O262" s="147" t="str">
        <f t="shared" ref="O262:O264" si="14">IF(N262="","",IFERROR(IF(N262&lt;=2,"ACEPTABLE",IF(N262&lt;=6,"BAJA",IF(N262&lt;=10,"ACEPTABLE CON REVISIÓN",IF(N262&lt;=15,"SUSTANCIAL","INACEPTABLE")))),""))</f>
        <v>SUSTANCIAL</v>
      </c>
      <c r="P262" s="148" t="s">
        <v>258</v>
      </c>
      <c r="Q262" s="149" t="s">
        <v>457</v>
      </c>
      <c r="R262" s="149" t="s">
        <v>142</v>
      </c>
      <c r="S262" s="149" t="s">
        <v>120</v>
      </c>
      <c r="T262" s="146" t="s">
        <v>6</v>
      </c>
      <c r="U262" s="146" t="s">
        <v>162</v>
      </c>
      <c r="V262" s="146" t="str">
        <f>IFERROR(IF(AA262="SEGURIDAD",OFFSET('PARÁMETROS'!$K$2,MATCH(U262,JC_SE,0),MATCH(T262,CC_SE,0)),
IF(OR(AA262="DSRC/Estratégico",AA262="DSRC/Operativo"),OFFSET('PARÁMETROS'!$K$11,MATCH(U262,JC_DS,0),MATCH(T262,CC_DS,0)),
IF(AA262="SALUD",OFFSET('PARÁMETROS'!$K$29,MATCH(U262,JC_SA,0),MATCH(T262,CC_SA,0)),
IF(AA262="MEDIO AMBIENTE",OFFSET('PARÁMETROS'!$K$20,MATCH(U262,JC_MA,0),MATCH(T262,CC_MA,0)),
IF(AA262="Rel. Gubernamentales",OFFSET('PARÁMETROS'!$K$48,MATCH(U262,JC_G,0),MATCH(T262,CC_G,0)),
IF(AA262="OPERACIONAL",OFFSET('PARÁMETROS'!$K$56,MATCH(U262,JC_OP,0),MATCH(T262,CC_OP,0)),
IF(AA262="FINANCIERO",OFFSET('PARÁMETROS'!$K$56,MATCH(U262,JC_FI,0),MATCH(T262,CC_FI,0)),
OFFSET('PARÁMETROS'!$K$38,MATCH(U262,JC_L,0),MATCH(T262,CC_L,0))))))))),"")</f>
        <v>Control/Acción Satisfactorio</v>
      </c>
      <c r="W262" s="147" t="str">
        <f t="shared" ref="W262:W263" si="15">IF(E262="","",
IF(COUNTA( V262)-COUNTBLANK( V262)=1,
IF(O262="INACEPTABLE",IF(COUNTIF( V262,"Control/Acción Eficaz")&gt;=1,"SUSTANCIAL","INACEPTABLE"),
IF(O262="SUSTANCIAL",IF(COUNTIF( V262,"Control/Acción Eficaz")&gt;=1,"ACEPTABLE CON REVISIÓN","SUSTANCIAL"),
IF(O262="ACEPTABLE CON REVISIÓN",IF(COUNTIF( V262,"Control/Acción Eficaz")&gt;=1,"BAJA","ACEPTABLE CON REVISIÓN"),
IF(O262="BAJA",IF(COUNTIF( V262,"Control/Acción Eficaz")&gt;=1,"ACEPTABLE","BAJA"),)))),
IF(COUNTA( V262)-COUNTBLANK( V262)=2,
IF(O262="INACEPTABLE",IF(COUNTIF( V262,"Control/Acción Eficaz")=2,"ACEPTABLE CON REVISIÓN",
IF(OR(AND(COUNTIF( V262,"Control/Acción Eficaz")=1,COUNTIF( V262,"Control/Acción Satisfactorio")=1),
AND(COUNTIF( V262,"Control/Acción Eficaz")=1,COUNTIF( V262,"Control/Acción No Eficaz")=1)),"SUSTANCIAL","INACEPTABLE")),
IF(O262="SUSTANCIAL",IF(COUNTIF( V262,"Control/Acción Eficaz")=2,"BAJA",
IF(OR(AND(COUNTIF( V262,"Control/Acción Eficaz")=1,COUNTIF( V262,"Control/Acción Satisfactorio")=1),
AND(COUNTIF( V262,"Control/Acción Eficaz")=1,COUNTIF( V262,"Control/Acción No Eficaz")=1)),"ACEPTABLE CON REVISIÓN ","SUSTANCIAL")),
IF(O262="ACEPTABLE CON REVISIÓN",IF(COUNTIF( V262,"Control/Acción Eficaz")=2,"ACEPTABLE",
IF(OR(AND(COUNTIF( V262,"Control/Acción Eficaz")=1,COUNTIF( V262,"Control/Acción Satisfactorio")=1),
AND(COUNTIF( V262,"Control/Acción Eficaz")=1,COUNTIF( V262,"Control/Acción No Eficaz")=1)),"BAJA","ACEPTABLE CON REVISIÓN")),
IF(O262="BAJA",IF(COUNTIF( V262,"Control/Acción Eficaz")&gt;=2,"ACEPTABLE","BAJA"),)))),
IF(COUNTA( V262)-COUNTBLANK( V262)&gt;=3,
IF(O262="INACEPTABLE",
IF(COUNTBLANK( V262)=COUNTA( V262),"",
IF(COUNTIF( V262,"Control/Acción No Eficaz")&gt;=2,"INACEPTABLE",
IF(AND(COUNTIF( V262,"Control/Acción No Eficaz")=0,COUNTIF( V262,"Control/Acción Eficaz")&gt;=2),"ACEPTABLE CON REVISIÓN ","SUSTANCIAL"))),
IF(O262="SUSTANCIAL",
IF(COUNTBLANK( V262)=COUNTA( V262),"",
IF(COUNTIF( V262,"Control/Acción No Eficaz")&gt;=2,"SUSTANCIAL",
IF(AND(COUNTIF( V262,"Control/Acción No Eficaz")=0,COUNTIF( V262,"Control/Acción Eficaz")&gt;=2),"BAJA","ACEPTABLE CON REVISIÓN"))),
IF(O262="ACEPTABLE CON REVISIÓN",
IF(COUNTBLANK( V262)=COUNTA( V262),"",
IF(COUNTIF( V262,"Control/Acción No Eficaz")&gt;=2,"ACEPTABLE CON REVISIÓN",
IF(AND(COUNTIF( V262,"Control/Acción No Eficaz")=0,COUNTIF( V262,"Control/Acción Eficaz")&gt;=2),"ACEPTABLE","BAJA"))),
IF(O262="BAJA",
IF(COUNTBLANK( V262)=COUNTA( V262),"",
IF(AND(COUNTBLANK( V262)&lt;1,COUNTA( V262)=1),
IF(COUNTIF( V262,"Control/Acción No Eficaz")&gt;=2,"BAJA",
IF(AND(COUNTIF( V262,"Control/Acción No Eficaz")=0,COUNTIF( V262,"Control/Acción Eficaz")&gt;=2),"ACEPTABLE","BAJA")),
IF(COUNTIF( V262,"Control/Acción No Eficaz")&gt;=2,"BAJA",
IF(AND(COUNTIF( V262,"Control/Acción No Eficaz")=0,COUNTIF( V262,"Control/Acción Eficaz")&gt;=2),"ACEPTABLE","BAJA")))),
IF(COUNTIF( V262,"")&gt;=5,"",O262))))),
""))))</f>
        <v>SUSTANCIAL</v>
      </c>
      <c r="X262" s="146"/>
      <c r="Y262" s="150"/>
      <c r="Z262" s="30" t="s">
        <v>314</v>
      </c>
      <c r="AA262" s="32" t="str">
        <f t="shared" ref="AA262:AA264" si="16">E262</f>
        <v>Seguridad</v>
      </c>
      <c r="AB262" s="33"/>
    </row>
    <row r="263" ht="105.0" customHeight="1">
      <c r="A263" s="145">
        <v>40.0</v>
      </c>
      <c r="B263" s="146" t="s">
        <v>172</v>
      </c>
      <c r="C263" s="146" t="s">
        <v>613</v>
      </c>
      <c r="D263" s="146" t="s">
        <v>177</v>
      </c>
      <c r="E263" s="146" t="s">
        <v>181</v>
      </c>
      <c r="F263" s="146" t="s">
        <v>329</v>
      </c>
      <c r="G263" s="146" t="s">
        <v>617</v>
      </c>
      <c r="H263" s="146" t="s">
        <v>48</v>
      </c>
      <c r="I263" s="146" t="s">
        <v>619</v>
      </c>
      <c r="J263" s="146">
        <v>2.0</v>
      </c>
      <c r="K263" s="146">
        <v>3.0</v>
      </c>
      <c r="L263" s="146">
        <f>IF(OR(J263&lt;&gt;"",K263&lt;&gt;""),OFFSET('PARÁMETROS'!$B$2,K263,J263),"")</f>
        <v>4</v>
      </c>
      <c r="M263" s="146">
        <v>3.0</v>
      </c>
      <c r="N263" s="146">
        <f t="shared" si="13"/>
        <v>12</v>
      </c>
      <c r="O263" s="147" t="str">
        <f t="shared" si="14"/>
        <v>SUSTANCIAL</v>
      </c>
      <c r="P263" s="148" t="s">
        <v>258</v>
      </c>
      <c r="Q263" s="149" t="s">
        <v>457</v>
      </c>
      <c r="R263" s="149" t="s">
        <v>142</v>
      </c>
      <c r="S263" s="149" t="s">
        <v>120</v>
      </c>
      <c r="T263" s="146" t="s">
        <v>6</v>
      </c>
      <c r="U263" s="146" t="s">
        <v>162</v>
      </c>
      <c r="V263" s="146" t="str">
        <f>IFERROR(IF(AA263="SEGURIDAD",OFFSET('PARÁMETROS'!$K$2,MATCH(U263,JC_SE,0),MATCH(T263,CC_SE,0)),
IF(OR(AA263="DSRC/Estratégico",AA263="DSRC/Operativo"),OFFSET('PARÁMETROS'!$K$11,MATCH(U263,JC_DS,0),MATCH(T263,CC_DS,0)),
IF(AA263="SALUD",OFFSET('PARÁMETROS'!$K$29,MATCH(U263,JC_SA,0),MATCH(T263,CC_SA,0)),
IF(AA263="MEDIO AMBIENTE",OFFSET('PARÁMETROS'!$K$20,MATCH(U263,JC_MA,0),MATCH(T263,CC_MA,0)),
IF(AA263="Rel. Gubernamentales",OFFSET('PARÁMETROS'!$K$48,MATCH(U263,JC_G,0),MATCH(T263,CC_G,0)),
IF(AA263="OPERACIONAL",OFFSET('PARÁMETROS'!$K$56,MATCH(U263,JC_OP,0),MATCH(T263,CC_OP,0)),
IF(AA263="FINANCIERO",OFFSET('PARÁMETROS'!$K$56,MATCH(U263,JC_FI,0),MATCH(T263,CC_FI,0)),
OFFSET('PARÁMETROS'!$K$38,MATCH(U263,JC_L,0),MATCH(T263,CC_L,0))))))))),"")</f>
        <v>Control/Acción Satisfactorio</v>
      </c>
      <c r="W263" s="147" t="str">
        <f t="shared" si="15"/>
        <v>SUSTANCIAL</v>
      </c>
      <c r="X263" s="146"/>
      <c r="Y263" s="150"/>
      <c r="Z263" s="30" t="s">
        <v>314</v>
      </c>
      <c r="AA263" s="32" t="str">
        <f t="shared" si="16"/>
        <v>Seguridad</v>
      </c>
      <c r="AB263" s="33"/>
    </row>
    <row r="264" ht="105.0" customHeight="1">
      <c r="A264" s="79">
        <v>41.0</v>
      </c>
      <c r="B264" s="80" t="s">
        <v>172</v>
      </c>
      <c r="C264" s="80" t="s">
        <v>613</v>
      </c>
      <c r="D264" s="80" t="s">
        <v>177</v>
      </c>
      <c r="E264" s="80" t="s">
        <v>181</v>
      </c>
      <c r="F264" s="80" t="s">
        <v>378</v>
      </c>
      <c r="G264" s="80" t="s">
        <v>620</v>
      </c>
      <c r="H264" s="80" t="s">
        <v>384</v>
      </c>
      <c r="I264" s="80" t="s">
        <v>621</v>
      </c>
      <c r="J264" s="80">
        <v>4.0</v>
      </c>
      <c r="K264" s="80">
        <v>2.0</v>
      </c>
      <c r="L264" s="80">
        <f>IF(OR(J264&lt;&gt;"",K264&lt;&gt;""),OFFSET('PARÁMETROS'!$B$2,K264,J264),"")</f>
        <v>3</v>
      </c>
      <c r="M264" s="80">
        <v>4.0</v>
      </c>
      <c r="N264" s="80">
        <f t="shared" si="13"/>
        <v>12</v>
      </c>
      <c r="O264" s="89" t="str">
        <f t="shared" si="14"/>
        <v>SUSTANCIAL</v>
      </c>
      <c r="P264" s="109" t="s">
        <v>258</v>
      </c>
      <c r="Q264" s="110" t="s">
        <v>531</v>
      </c>
      <c r="R264" s="110" t="s">
        <v>142</v>
      </c>
      <c r="S264" s="110" t="s">
        <v>84</v>
      </c>
      <c r="T264" s="111" t="s">
        <v>7</v>
      </c>
      <c r="U264" s="111" t="s">
        <v>162</v>
      </c>
      <c r="V264" s="111" t="str">
        <f>IFERROR(IF(AA264="SEGURIDAD",OFFSET('PARÁMETROS'!$K$2,MATCH(U264,JC_SE,0),MATCH(T264,CC_SE,0)),
IF(OR(AA264="DSRC/Estratégico",AA264="DSRC/Operativo"),OFFSET('PARÁMETROS'!$K$11,MATCH(U264,JC_DS,0),MATCH(T264,CC_DS,0)),
IF(AA264="SALUD",OFFSET('PARÁMETROS'!$K$29,MATCH(U264,JC_SA,0),MATCH(T264,CC_SA,0)),
IF(AA264="MEDIO AMBIENTE",OFFSET('PARÁMETROS'!$K$20,MATCH(U264,JC_MA,0),MATCH(T264,CC_MA,0)),
IF(AA264="Rel. Gubernamentales",OFFSET('PARÁMETROS'!$K$48,MATCH(U264,JC_G,0),MATCH(T264,CC_G,0)),
IF(AA264="OPERACIONAL",OFFSET('PARÁMETROS'!$K$56,MATCH(U264,JC_OP,0),MATCH(T264,CC_OP,0)),
IF(AA264="FINANCIERO",OFFSET('PARÁMETROS'!$K$56,MATCH(U264,JC_FI,0),MATCH(T264,CC_FI,0)),
OFFSET('PARÁMETROS'!$K$38,MATCH(U264,JC_L,0),MATCH(T264,CC_L,0))))))))),"")</f>
        <v>Control/Acción Eficaz</v>
      </c>
      <c r="W264" s="89" t="str">
        <f>IF(E264="","",
IF(COUNTA( V264:V265)-COUNTBLANK( V264:V265)=1,
IF(O264="INACEPTABLE",IF(COUNTIF( V264:V265,"Control/Acción Eficaz")&gt;=1,"SUSTANCIAL","INACEPTABLE"),
IF(O264="SUSTANCIAL",IF(COUNTIF( V264:V265,"Control/Acción Eficaz")&gt;=1,"ACEPTABLE CON REVISIÓN","SUSTANCIAL"),
IF(O264="ACEPTABLE CON REVISIÓN",IF(COUNTIF( V264:V265,"Control/Acción Eficaz")&gt;=1,"BAJA","ACEPTABLE CON REVISIÓN"),
IF(O264="BAJA",IF(COUNTIF( V264:V265,"Control/Acción Eficaz")&gt;=1,"ACEPTABLE","BAJA"),)))),
IF(COUNTA( V264:V265)-COUNTBLANK( V264:V265)=2,
IF(O264="INACEPTABLE",IF(COUNTIF( V264:V265,"Control/Acción Eficaz")=2,"ACEPTABLE CON REVISIÓN",
IF(OR(AND(COUNTIF( V264:V265,"Control/Acción Eficaz")=1,COUNTIF( V264:V265,"Control/Acción Satisfactorio")=1),
AND(COUNTIF( V264:V265,"Control/Acción Eficaz")=1,COUNTIF( V264:V265,"Control/Acción No Eficaz")=1)),"SUSTANCIAL","INACEPTABLE")),
IF(O264="SUSTANCIAL",IF(COUNTIF( V264:V265,"Control/Acción Eficaz")=2,"BAJA",
IF(OR(AND(COUNTIF( V264:V265,"Control/Acción Eficaz")=1,COUNTIF( V264:V265,"Control/Acción Satisfactorio")=1),
AND(COUNTIF( V264:V265,"Control/Acción Eficaz")=1,COUNTIF( V264:V265,"Control/Acción No Eficaz")=1)),"ACEPTABLE CON REVISIÓN ","SUSTANCIAL")),
IF(O264="ACEPTABLE CON REVISIÓN",IF(COUNTIF( V264:V265,"Control/Acción Eficaz")=2,"ACEPTABLE",
IF(OR(AND(COUNTIF( V264:V265,"Control/Acción Eficaz")=1,COUNTIF( V264:V265,"Control/Acción Satisfactorio")=1),
AND(COUNTIF( V264:V265,"Control/Acción Eficaz")=1,COUNTIF( V264:V265,"Control/Acción No Eficaz")=1)),"BAJA","ACEPTABLE CON REVISIÓN")),
IF(O264="BAJA",IF(COUNTIF( V264:V265,"Control/Acción Eficaz")&gt;=2,"ACEPTABLE","BAJA"),)))),
IF(COUNTA( V264:V265)-COUNTBLANK( V264:V265)&gt;=3,
IF(O264="INACEPTABLE",
IF(COUNTBLANK( V264:V265)=COUNTA( V264:V265),"",
IF(COUNTIF( V264:V265,"Control/Acción No Eficaz")&gt;=2,"INACEPTABLE",
IF(AND(COUNTIF( V264:V265,"Control/Acción No Eficaz")=0,COUNTIF( V264:V265,"Control/Acción Eficaz")&gt;=2),"ACEPTABLE CON REVISIÓN ","SUSTANCIAL"))),
IF(O264="SUSTANCIAL",
IF(COUNTBLANK( V264:V265)=COUNTA( V264:V265),"",
IF(COUNTIF( V264:V265,"Control/Acción No Eficaz")&gt;=2,"SUSTANCIAL",
IF(AND(COUNTIF( V264:V265,"Control/Acción No Eficaz")=0,COUNTIF( V264:V265,"Control/Acción Eficaz")&gt;=2),"BAJA","ACEPTABLE CON REVISIÓN"))),
IF(O264="ACEPTABLE CON REVISIÓN",
IF(COUNTBLANK( V264:V265)=COUNTA( V264:V265),"",
IF(COUNTIF( V264:V265,"Control/Acción No Eficaz")&gt;=2,"ACEPTABLE CON REVISIÓN",
IF(AND(COUNTIF( V264:V265,"Control/Acción No Eficaz")=0,COUNTIF( V264:V265,"Control/Acción Eficaz")&gt;=2),"ACEPTABLE","BAJA"))),
IF(O264="BAJA",
IF(COUNTBLANK( V264:V265)=COUNTA( V264:V265),"",
IF(AND(COUNTBLANK( V264:V265)&lt;1,COUNTA( V264:V265)=1),
IF(COUNTIF( V264:V265,"Control/Acción No Eficaz")&gt;=2,"BAJA",
IF(AND(COUNTIF( V264:V265,"Control/Acción No Eficaz")=0,COUNTIF( V264:V265,"Control/Acción Eficaz")&gt;=2),"ACEPTABLE","BAJA")),
IF(COUNTIF( V264:V265,"Control/Acción No Eficaz")&gt;=2,"BAJA",
IF(AND(COUNTIF( V264:V265,"Control/Acción No Eficaz")=0,COUNTIF( V264:V265,"Control/Acción Eficaz")&gt;=2),"ACEPTABLE","BAJA")))),
IF(COUNTIF( V264:V265,"")&gt;=5,"",O264))))),
""))))</f>
        <v>ACEPTABLE CON REVISIÓN </v>
      </c>
      <c r="X264" s="111"/>
      <c r="Y264" s="115"/>
      <c r="Z264" s="30" t="s">
        <v>314</v>
      </c>
      <c r="AA264" s="32" t="str">
        <f t="shared" si="16"/>
        <v>Seguridad</v>
      </c>
      <c r="AB264" s="33"/>
    </row>
    <row r="265" ht="105.0" customHeight="1">
      <c r="A265" s="68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136" t="s">
        <v>302</v>
      </c>
      <c r="Q265" s="135" t="s">
        <v>532</v>
      </c>
      <c r="R265" s="135" t="s">
        <v>142</v>
      </c>
      <c r="S265" s="135" t="s">
        <v>217</v>
      </c>
      <c r="T265" s="136" t="s">
        <v>7</v>
      </c>
      <c r="U265" s="136" t="s">
        <v>182</v>
      </c>
      <c r="V265" s="136" t="str">
        <f>IFERROR(IF(AA265="SEGURIDAD",OFFSET('PARÁMETROS'!$K$2,MATCH(U265,JC_SE,0),MATCH(T265,CC_SE,0)),
IF(OR(AA265="DSRC/Estratégico",AA265="DSRC/Operativo"),OFFSET('PARÁMETROS'!$K$11,MATCH(U265,JC_DS,0),MATCH(T265,CC_DS,0)),
IF(AA265="SALUD",OFFSET('PARÁMETROS'!$K$29,MATCH(U265,JC_SA,0),MATCH(T265,CC_SA,0)),
IF(AA265="MEDIO AMBIENTE",OFFSET('PARÁMETROS'!$K$20,MATCH(U265,JC_MA,0),MATCH(T265,CC_MA,0)),
IF(AA265="Rel. Gubernamentales",OFFSET('PARÁMETROS'!$K$48,MATCH(U265,JC_G,0),MATCH(T265,CC_G,0)),
IF(AA265="OPERACIONAL",OFFSET('PARÁMETROS'!$K$56,MATCH(U265,JC_OP,0),MATCH(T265,CC_OP,0)),
IF(AA265="FINANCIERO",OFFSET('PARÁMETROS'!$K$56,MATCH(U265,JC_FI,0),MATCH(T265,CC_FI,0)),
OFFSET('PARÁMETROS'!$K$38,MATCH(U265,JC_L,0),MATCH(T265,CC_L,0))))))))),"")</f>
        <v>Control/Acción Satisfactorio</v>
      </c>
      <c r="W265" s="69"/>
      <c r="X265" s="136"/>
      <c r="Y265" s="137"/>
      <c r="Z265" s="30" t="s">
        <v>314</v>
      </c>
      <c r="AA265" s="32" t="str">
        <f>E264</f>
        <v>Seguridad</v>
      </c>
      <c r="AB265" s="33"/>
    </row>
    <row r="266" ht="105.0" customHeight="1">
      <c r="A266" s="79">
        <v>42.0</v>
      </c>
      <c r="B266" s="80" t="s">
        <v>172</v>
      </c>
      <c r="C266" s="80" t="s">
        <v>613</v>
      </c>
      <c r="D266" s="80" t="s">
        <v>177</v>
      </c>
      <c r="E266" s="80" t="s">
        <v>181</v>
      </c>
      <c r="F266" s="80" t="s">
        <v>387</v>
      </c>
      <c r="G266" s="80" t="s">
        <v>622</v>
      </c>
      <c r="H266" s="80" t="s">
        <v>404</v>
      </c>
      <c r="I266" s="80" t="s">
        <v>475</v>
      </c>
      <c r="J266" s="80">
        <v>3.0</v>
      </c>
      <c r="K266" s="80">
        <v>2.0</v>
      </c>
      <c r="L266" s="80">
        <f>IF(OR(J266&lt;&gt;"",K266&lt;&gt;""),OFFSET('PARÁMETROS'!$B$2,K266,J266),"")</f>
        <v>4</v>
      </c>
      <c r="M266" s="80">
        <v>4.0</v>
      </c>
      <c r="N266" s="80">
        <f>IFERROR(L266*M266,"")</f>
        <v>16</v>
      </c>
      <c r="O266" s="89" t="str">
        <f>IF(N266="","",IFERROR(IF(N266&lt;=2,"ACEPTABLE",IF(N266&lt;=6,"BAJA",IF(N266&lt;=10,"ACEPTABLE CON REVISIÓN",IF(N266&lt;=15,"SUSTANCIAL","INACEPTABLE")))),""))</f>
        <v>INACEPTABLE</v>
      </c>
      <c r="P266" s="109" t="s">
        <v>258</v>
      </c>
      <c r="Q266" s="110" t="s">
        <v>476</v>
      </c>
      <c r="R266" s="110" t="s">
        <v>142</v>
      </c>
      <c r="S266" s="110" t="s">
        <v>120</v>
      </c>
      <c r="T266" s="111" t="s">
        <v>5</v>
      </c>
      <c r="U266" s="111" t="s">
        <v>162</v>
      </c>
      <c r="V266" s="111" t="str">
        <f>IFERROR(IF(AA266="SEGURIDAD",OFFSET('PARÁMETROS'!$K$2,MATCH(U266,JC_SE,0),MATCH(T266,CC_SE,0)),
IF(OR(AA266="DSRC/Estratégico",AA266="DSRC/Operativo"),OFFSET('PARÁMETROS'!$K$11,MATCH(U266,JC_DS,0),MATCH(T266,CC_DS,0)),
IF(AA266="SALUD",OFFSET('PARÁMETROS'!$K$29,MATCH(U266,JC_SA,0),MATCH(T266,CC_SA,0)),
IF(AA266="MEDIO AMBIENTE",OFFSET('PARÁMETROS'!$K$20,MATCH(U266,JC_MA,0),MATCH(T266,CC_MA,0)),
IF(AA266="Rel. Gubernamentales",OFFSET('PARÁMETROS'!$K$48,MATCH(U266,JC_G,0),MATCH(T266,CC_G,0)),
IF(AA266="OPERACIONAL",OFFSET('PARÁMETROS'!$K$56,MATCH(U266,JC_OP,0),MATCH(T266,CC_OP,0)),
IF(AA266="FINANCIERO",OFFSET('PARÁMETROS'!$K$56,MATCH(U266,JC_FI,0),MATCH(T266,CC_FI,0)),
OFFSET('PARÁMETROS'!$K$38,MATCH(U266,JC_L,0),MATCH(T266,CC_L,0))))))))),"")</f>
        <v>Control/Acción No Eficaz</v>
      </c>
      <c r="W266" s="89" t="str">
        <f>IF(E266="","",
IF(COUNTA( V266:V281)-COUNTBLANK( V266:V281)=1,
IF(O266="INACEPTABLE",IF(COUNTIF( V266:V281,"Control/Acción Eficaz")&gt;=1,"SUSTANCIAL","INACEPTABLE"),
IF(O266="SUSTANCIAL",IF(COUNTIF( V266:V281,"Control/Acción Eficaz")&gt;=1,"ACEPTABLE CON REVISIÓN","SUSTANCIAL"),
IF(O266="ACEPTABLE CON REVISIÓN",IF(COUNTIF( V266:V281,"Control/Acción Eficaz")&gt;=1,"BAJA","ACEPTABLE CON REVISIÓN"),
IF(O266="BAJA",IF(COUNTIF( V266:V281,"Control/Acción Eficaz")&gt;=1,"ACEPTABLE","BAJA"),)))),
IF(COUNTA( V266:V281)-COUNTBLANK( V266:V281)=2,
IF(O266="INACEPTABLE",IF(COUNTIF( V266:V281,"Control/Acción Eficaz")=2,"ACEPTABLE CON REVISIÓN",
IF(OR(AND(COUNTIF( V266:V281,"Control/Acción Eficaz")=1,COUNTIF( V266:V281,"Control/Acción Satisfactorio")=1),
AND(COUNTIF( V266:V281,"Control/Acción Eficaz")=1,COUNTIF( V266:V281,"Control/Acción No Eficaz")=1)),"SUSTANCIAL","INACEPTABLE")),
IF(O266="SUSTANCIAL",IF(COUNTIF( V266:V281,"Control/Acción Eficaz")=2,"BAJA",
IF(OR(AND(COUNTIF( V266:V281,"Control/Acción Eficaz")=1,COUNTIF( V266:V281,"Control/Acción Satisfactorio")=1),
AND(COUNTIF( V266:V281,"Control/Acción Eficaz")=1,COUNTIF( V266:V281,"Control/Acción No Eficaz")=1)),"ACEPTABLE CON REVISIÓN ","SUSTANCIAL")),
IF(O266="ACEPTABLE CON REVISIÓN",IF(COUNTIF( V266:V281,"Control/Acción Eficaz")=2,"ACEPTABLE",
IF(OR(AND(COUNTIF( V266:V281,"Control/Acción Eficaz")=1,COUNTIF( V266:V281,"Control/Acción Satisfactorio")=1),
AND(COUNTIF( V266:V281,"Control/Acción Eficaz")=1,COUNTIF( V266:V281,"Control/Acción No Eficaz")=1)),"BAJA","ACEPTABLE CON REVISIÓN")),
IF(O266="BAJA",IF(COUNTIF( V266:V281,"Control/Acción Eficaz")&gt;=2,"ACEPTABLE","BAJA"),)))),
IF(COUNTA( V266:V281)-COUNTBLANK( V266:V281)&gt;=3,
IF(O266="INACEPTABLE",
IF(COUNTBLANK( V266:V281)=COUNTA( V266:V281),"",
IF(COUNTIF( V266:V281,"Control/Acción No Eficaz")&gt;=2,"INACEPTABLE",
IF(AND(COUNTIF( V266:V281,"Control/Acción No Eficaz")=0,COUNTIF( V266:V281,"Control/Acción Eficaz")&gt;=2),"ACEPTABLE CON REVISIÓN ","SUSTANCIAL"))),
IF(O266="SUSTANCIAL",
IF(COUNTBLANK( V266:V281)=COUNTA( V266:V281),"",
IF(COUNTIF( V266:V281,"Control/Acción No Eficaz")&gt;=2,"SUSTANCIAL",
IF(AND(COUNTIF( V266:V281,"Control/Acción No Eficaz")=0,COUNTIF( V266:V281,"Control/Acción Eficaz")&gt;=2),"BAJA","ACEPTABLE CON REVISIÓN"))),
IF(O266="ACEPTABLE CON REVISIÓN",
IF(COUNTBLANK( V266:V281)=COUNTA( V266:V281),"",
IF(COUNTIF( V266:V281,"Control/Acción No Eficaz")&gt;=2,"ACEPTABLE CON REVISIÓN",
IF(AND(COUNTIF( V266:V281,"Control/Acción No Eficaz")=0,COUNTIF( V266:V281,"Control/Acción Eficaz")&gt;=2),"ACEPTABLE","BAJA"))),
IF(O266="BAJA",
IF(COUNTBLANK( V266:V281)=COUNTA( V266:V281),"",
IF(AND(COUNTBLANK( V266:V281)&lt;1,COUNTA( V266:V281)=1),
IF(COUNTIF( V266:V281,"Control/Acción No Eficaz")&gt;=2,"BAJA",
IF(AND(COUNTIF( V266:V281,"Control/Acción No Eficaz")=0,COUNTIF( V266:V281,"Control/Acción Eficaz")&gt;=2),"ACEPTABLE","BAJA")),
IF(COUNTIF( V266:V281,"Control/Acción No Eficaz")&gt;=2,"BAJA",
IF(AND(COUNTIF( V266:V281,"Control/Acción No Eficaz")=0,COUNTIF( V266:V281,"Control/Acción Eficaz")&gt;=2),"ACEPTABLE","BAJA")))),
IF(COUNTIF( V266:V281,"")&gt;=5,"",O266))))),
""))))</f>
        <v>INACEPTABLE</v>
      </c>
      <c r="X266" s="111"/>
      <c r="Y266" s="115"/>
      <c r="Z266" s="30" t="s">
        <v>314</v>
      </c>
      <c r="AA266" s="32" t="str">
        <f>E266</f>
        <v>Seguridad</v>
      </c>
      <c r="AB266" s="33"/>
    </row>
    <row r="267" ht="105.0" customHeight="1">
      <c r="A267" s="116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8" t="s">
        <v>105</v>
      </c>
      <c r="Q267" s="119" t="s">
        <v>556</v>
      </c>
      <c r="R267" s="119" t="s">
        <v>142</v>
      </c>
      <c r="S267" s="119" t="s">
        <v>295</v>
      </c>
      <c r="T267" s="120" t="s">
        <v>7</v>
      </c>
      <c r="U267" s="120" t="s">
        <v>162</v>
      </c>
      <c r="V267" s="120" t="str">
        <f>IFERROR(IF(AA267="SEGURIDAD",OFFSET('PARÁMETROS'!$K$2,MATCH(U267,JC_SE,0),MATCH(T267,CC_SE,0)),
IF(OR(AA267="DSRC/Estratégico",AA267="DSRC/Operativo"),OFFSET('PARÁMETROS'!$K$11,MATCH(U267,JC_DS,0),MATCH(T267,CC_DS,0)),
IF(AA267="SALUD",OFFSET('PARÁMETROS'!$K$29,MATCH(U267,JC_SA,0),MATCH(T267,CC_SA,0)),
IF(AA267="MEDIO AMBIENTE",OFFSET('PARÁMETROS'!$K$20,MATCH(U267,JC_MA,0),MATCH(T267,CC_MA,0)),
IF(AA267="Rel. Gubernamentales",OFFSET('PARÁMETROS'!$K$48,MATCH(U267,JC_G,0),MATCH(T267,CC_G,0)),
IF(AA267="OPERACIONAL",OFFSET('PARÁMETROS'!$K$56,MATCH(U267,JC_OP,0),MATCH(T267,CC_OP,0)),
IF(AA267="FINANCIERO",OFFSET('PARÁMETROS'!$K$56,MATCH(U267,JC_FI,0),MATCH(T267,CC_FI,0)),
OFFSET('PARÁMETROS'!$K$38,MATCH(U267,JC_L,0),MATCH(T267,CC_L,0))))))))),"")</f>
        <v>Control/Acción Eficaz</v>
      </c>
      <c r="W267" s="117"/>
      <c r="X267" s="120"/>
      <c r="Y267" s="121"/>
      <c r="Z267" s="30" t="s">
        <v>314</v>
      </c>
      <c r="AA267" s="32" t="str">
        <f>E266</f>
        <v>Seguridad</v>
      </c>
      <c r="AB267" s="33"/>
    </row>
    <row r="268" ht="105.0" customHeight="1">
      <c r="A268" s="116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8" t="s">
        <v>258</v>
      </c>
      <c r="Q268" s="119" t="s">
        <v>479</v>
      </c>
      <c r="R268" s="119" t="s">
        <v>142</v>
      </c>
      <c r="S268" s="119" t="s">
        <v>120</v>
      </c>
      <c r="T268" s="120" t="s">
        <v>5</v>
      </c>
      <c r="U268" s="120" t="s">
        <v>162</v>
      </c>
      <c r="V268" s="120" t="str">
        <f>IFERROR(IF(AA268="SEGURIDAD",OFFSET('PARÁMETROS'!$K$2,MATCH(U268,JC_SE,0),MATCH(T268,CC_SE,0)),
IF(OR(AA268="DSRC/Estratégico",AA268="DSRC/Operativo"),OFFSET('PARÁMETROS'!$K$11,MATCH(U268,JC_DS,0),MATCH(T268,CC_DS,0)),
IF(AA268="SALUD",OFFSET('PARÁMETROS'!$K$29,MATCH(U268,JC_SA,0),MATCH(T268,CC_SA,0)),
IF(AA268="MEDIO AMBIENTE",OFFSET('PARÁMETROS'!$K$20,MATCH(U268,JC_MA,0),MATCH(T268,CC_MA,0)),
IF(AA268="Rel. Gubernamentales",OFFSET('PARÁMETROS'!$K$48,MATCH(U268,JC_G,0),MATCH(T268,CC_G,0)),
IF(AA268="OPERACIONAL",OFFSET('PARÁMETROS'!$K$56,MATCH(U268,JC_OP,0),MATCH(T268,CC_OP,0)),
IF(AA268="FINANCIERO",OFFSET('PARÁMETROS'!$K$56,MATCH(U268,JC_FI,0),MATCH(T268,CC_FI,0)),
OFFSET('PARÁMETROS'!$K$38,MATCH(U268,JC_L,0),MATCH(T268,CC_L,0))))))))),"")</f>
        <v>Control/Acción No Eficaz</v>
      </c>
      <c r="W268" s="117"/>
      <c r="X268" s="120"/>
      <c r="Y268" s="121"/>
      <c r="Z268" s="30" t="s">
        <v>314</v>
      </c>
      <c r="AA268" s="32" t="str">
        <f>E266</f>
        <v>Seguridad</v>
      </c>
      <c r="AB268" s="33"/>
    </row>
    <row r="269" ht="105.0" customHeight="1">
      <c r="A269" s="116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8" t="s">
        <v>258</v>
      </c>
      <c r="Q269" s="119" t="s">
        <v>480</v>
      </c>
      <c r="R269" s="119" t="s">
        <v>142</v>
      </c>
      <c r="S269" s="119" t="s">
        <v>120</v>
      </c>
      <c r="T269" s="120" t="s">
        <v>5</v>
      </c>
      <c r="U269" s="120" t="s">
        <v>162</v>
      </c>
      <c r="V269" s="120" t="str">
        <f>IFERROR(IF(AA269="SEGURIDAD",OFFSET('PARÁMETROS'!$K$2,MATCH(U269,JC_SE,0),MATCH(T269,CC_SE,0)),
IF(OR(AA269="DSRC/Estratégico",AA269="DSRC/Operativo"),OFFSET('PARÁMETROS'!$K$11,MATCH(U269,JC_DS,0),MATCH(T269,CC_DS,0)),
IF(AA269="SALUD",OFFSET('PARÁMETROS'!$K$29,MATCH(U269,JC_SA,0),MATCH(T269,CC_SA,0)),
IF(AA269="MEDIO AMBIENTE",OFFSET('PARÁMETROS'!$K$20,MATCH(U269,JC_MA,0),MATCH(T269,CC_MA,0)),
IF(AA269="Rel. Gubernamentales",OFFSET('PARÁMETROS'!$K$48,MATCH(U269,JC_G,0),MATCH(T269,CC_G,0)),
IF(AA269="OPERACIONAL",OFFSET('PARÁMETROS'!$K$56,MATCH(U269,JC_OP,0),MATCH(T269,CC_OP,0)),
IF(AA269="FINANCIERO",OFFSET('PARÁMETROS'!$K$56,MATCH(U269,JC_FI,0),MATCH(T269,CC_FI,0)),
OFFSET('PARÁMETROS'!$K$38,MATCH(U269,JC_L,0),MATCH(T269,CC_L,0))))))))),"")</f>
        <v>Control/Acción No Eficaz</v>
      </c>
      <c r="W269" s="117"/>
      <c r="X269" s="120"/>
      <c r="Y269" s="121"/>
      <c r="Z269" s="30" t="s">
        <v>314</v>
      </c>
      <c r="AA269" s="32" t="str">
        <f>E266</f>
        <v>Seguridad</v>
      </c>
      <c r="AB269" s="33"/>
    </row>
    <row r="270" ht="105.0" customHeight="1">
      <c r="A270" s="116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8" t="s">
        <v>105</v>
      </c>
      <c r="Q270" s="119" t="s">
        <v>481</v>
      </c>
      <c r="R270" s="119" t="s">
        <v>142</v>
      </c>
      <c r="S270" s="119" t="s">
        <v>295</v>
      </c>
      <c r="T270" s="120" t="s">
        <v>6</v>
      </c>
      <c r="U270" s="120" t="s">
        <v>162</v>
      </c>
      <c r="V270" s="120" t="str">
        <f>IFERROR(IF(AA270="SEGURIDAD",OFFSET('PARÁMETROS'!$K$2,MATCH(U270,JC_SE,0),MATCH(T270,CC_SE,0)),
IF(OR(AA270="DSRC/Estratégico",AA270="DSRC/Operativo"),OFFSET('PARÁMETROS'!$K$11,MATCH(U270,JC_DS,0),MATCH(T270,CC_DS,0)),
IF(AA270="SALUD",OFFSET('PARÁMETROS'!$K$29,MATCH(U270,JC_SA,0),MATCH(T270,CC_SA,0)),
IF(AA270="MEDIO AMBIENTE",OFFSET('PARÁMETROS'!$K$20,MATCH(U270,JC_MA,0),MATCH(T270,CC_MA,0)),
IF(AA270="Rel. Gubernamentales",OFFSET('PARÁMETROS'!$K$48,MATCH(U270,JC_G,0),MATCH(T270,CC_G,0)),
IF(AA270="OPERACIONAL",OFFSET('PARÁMETROS'!$K$56,MATCH(U270,JC_OP,0),MATCH(T270,CC_OP,0)),
IF(AA270="FINANCIERO",OFFSET('PARÁMETROS'!$K$56,MATCH(U270,JC_FI,0),MATCH(T270,CC_FI,0)),
OFFSET('PARÁMETROS'!$K$38,MATCH(U270,JC_L,0),MATCH(T270,CC_L,0))))))))),"")</f>
        <v>Control/Acción Satisfactorio</v>
      </c>
      <c r="W270" s="117"/>
      <c r="X270" s="120"/>
      <c r="Y270" s="121"/>
      <c r="Z270" s="30" t="s">
        <v>314</v>
      </c>
      <c r="AA270" s="32" t="str">
        <f>E266</f>
        <v>Seguridad</v>
      </c>
      <c r="AB270" s="33"/>
    </row>
    <row r="271" ht="105.0" customHeight="1">
      <c r="A271" s="116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8" t="s">
        <v>117</v>
      </c>
      <c r="Q271" s="119" t="s">
        <v>482</v>
      </c>
      <c r="R271" s="119" t="s">
        <v>142</v>
      </c>
      <c r="S271" s="119" t="s">
        <v>295</v>
      </c>
      <c r="T271" s="120" t="s">
        <v>7</v>
      </c>
      <c r="U271" s="120" t="s">
        <v>111</v>
      </c>
      <c r="V271" s="120" t="str">
        <f>IFERROR(IF(AA271="SEGURIDAD",OFFSET('PARÁMETROS'!$K$2,MATCH(U271,JC_SE,0),MATCH(T271,CC_SE,0)),
IF(OR(AA271="DSRC/Estratégico",AA271="DSRC/Operativo"),OFFSET('PARÁMETROS'!$K$11,MATCH(U271,JC_DS,0),MATCH(T271,CC_DS,0)),
IF(AA271="SALUD",OFFSET('PARÁMETROS'!$K$29,MATCH(U271,JC_SA,0),MATCH(T271,CC_SA,0)),
IF(AA271="MEDIO AMBIENTE",OFFSET('PARÁMETROS'!$K$20,MATCH(U271,JC_MA,0),MATCH(T271,CC_MA,0)),
IF(AA271="Rel. Gubernamentales",OFFSET('PARÁMETROS'!$K$48,MATCH(U271,JC_G,0),MATCH(T271,CC_G,0)),
IF(AA271="OPERACIONAL",OFFSET('PARÁMETROS'!$K$56,MATCH(U271,JC_OP,0),MATCH(T271,CC_OP,0)),
IF(AA271="FINANCIERO",OFFSET('PARÁMETROS'!$K$56,MATCH(U271,JC_FI,0),MATCH(T271,CC_FI,0)),
OFFSET('PARÁMETROS'!$K$38,MATCH(U271,JC_L,0),MATCH(T271,CC_L,0))))))))),"")</f>
        <v>Control/Acción Eficaz</v>
      </c>
      <c r="W271" s="117"/>
      <c r="X271" s="120"/>
      <c r="Y271" s="121"/>
      <c r="Z271" s="30" t="s">
        <v>314</v>
      </c>
      <c r="AA271" s="32" t="str">
        <f>E266</f>
        <v>Seguridad</v>
      </c>
      <c r="AB271" s="33"/>
    </row>
    <row r="272" ht="105.0" customHeight="1">
      <c r="A272" s="116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8" t="s">
        <v>258</v>
      </c>
      <c r="Q272" s="119" t="s">
        <v>483</v>
      </c>
      <c r="R272" s="119" t="s">
        <v>142</v>
      </c>
      <c r="S272" s="119" t="s">
        <v>120</v>
      </c>
      <c r="T272" s="120" t="s">
        <v>5</v>
      </c>
      <c r="U272" s="120" t="s">
        <v>162</v>
      </c>
      <c r="V272" s="120" t="str">
        <f>IFERROR(IF(AA272="SEGURIDAD",OFFSET('PARÁMETROS'!$K$2,MATCH(U272,JC_SE,0),MATCH(T272,CC_SE,0)),
IF(OR(AA272="DSRC/Estratégico",AA272="DSRC/Operativo"),OFFSET('PARÁMETROS'!$K$11,MATCH(U272,JC_DS,0),MATCH(T272,CC_DS,0)),
IF(AA272="SALUD",OFFSET('PARÁMETROS'!$K$29,MATCH(U272,JC_SA,0),MATCH(T272,CC_SA,0)),
IF(AA272="MEDIO AMBIENTE",OFFSET('PARÁMETROS'!$K$20,MATCH(U272,JC_MA,0),MATCH(T272,CC_MA,0)),
IF(AA272="Rel. Gubernamentales",OFFSET('PARÁMETROS'!$K$48,MATCH(U272,JC_G,0),MATCH(T272,CC_G,0)),
IF(AA272="OPERACIONAL",OFFSET('PARÁMETROS'!$K$56,MATCH(U272,JC_OP,0),MATCH(T272,CC_OP,0)),
IF(AA272="FINANCIERO",OFFSET('PARÁMETROS'!$K$56,MATCH(U272,JC_FI,0),MATCH(T272,CC_FI,0)),
OFFSET('PARÁMETROS'!$K$38,MATCH(U272,JC_L,0),MATCH(T272,CC_L,0))))))))),"")</f>
        <v>Control/Acción No Eficaz</v>
      </c>
      <c r="W272" s="117"/>
      <c r="X272" s="120"/>
      <c r="Y272" s="121"/>
      <c r="Z272" s="30" t="s">
        <v>314</v>
      </c>
      <c r="AA272" s="32" t="str">
        <f>E266</f>
        <v>Seguridad</v>
      </c>
      <c r="AB272" s="33"/>
    </row>
    <row r="273" ht="105.0" customHeight="1">
      <c r="A273" s="116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8" t="s">
        <v>105</v>
      </c>
      <c r="Q273" s="119" t="s">
        <v>484</v>
      </c>
      <c r="R273" s="119" t="s">
        <v>142</v>
      </c>
      <c r="S273" s="119" t="s">
        <v>295</v>
      </c>
      <c r="T273" s="120" t="s">
        <v>6</v>
      </c>
      <c r="U273" s="120" t="s">
        <v>162</v>
      </c>
      <c r="V273" s="120" t="str">
        <f>IFERROR(IF(AA273="SEGURIDAD",OFFSET('PARÁMETROS'!$K$2,MATCH(U273,JC_SE,0),MATCH(T273,CC_SE,0)),
IF(OR(AA273="DSRC/Estratégico",AA273="DSRC/Operativo"),OFFSET('PARÁMETROS'!$K$11,MATCH(U273,JC_DS,0),MATCH(T273,CC_DS,0)),
IF(AA273="SALUD",OFFSET('PARÁMETROS'!$K$29,MATCH(U273,JC_SA,0),MATCH(T273,CC_SA,0)),
IF(AA273="MEDIO AMBIENTE",OFFSET('PARÁMETROS'!$K$20,MATCH(U273,JC_MA,0),MATCH(T273,CC_MA,0)),
IF(AA273="Rel. Gubernamentales",OFFSET('PARÁMETROS'!$K$48,MATCH(U273,JC_G,0),MATCH(T273,CC_G,0)),
IF(AA273="OPERACIONAL",OFFSET('PARÁMETROS'!$K$56,MATCH(U273,JC_OP,0),MATCH(T273,CC_OP,0)),
IF(AA273="FINANCIERO",OFFSET('PARÁMETROS'!$K$56,MATCH(U273,JC_FI,0),MATCH(T273,CC_FI,0)),
OFFSET('PARÁMETROS'!$K$38,MATCH(U273,JC_L,0),MATCH(T273,CC_L,0))))))))),"")</f>
        <v>Control/Acción Satisfactorio</v>
      </c>
      <c r="W273" s="117"/>
      <c r="X273" s="120"/>
      <c r="Y273" s="121"/>
      <c r="Z273" s="30" t="s">
        <v>314</v>
      </c>
      <c r="AA273" s="32" t="str">
        <f>E266</f>
        <v>Seguridad</v>
      </c>
      <c r="AB273" s="33"/>
    </row>
    <row r="274" ht="105.0" customHeight="1">
      <c r="A274" s="116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8" t="s">
        <v>258</v>
      </c>
      <c r="Q274" s="119" t="s">
        <v>436</v>
      </c>
      <c r="R274" s="119" t="s">
        <v>83</v>
      </c>
      <c r="S274" s="119" t="s">
        <v>51</v>
      </c>
      <c r="T274" s="120" t="s">
        <v>7</v>
      </c>
      <c r="U274" s="120" t="s">
        <v>162</v>
      </c>
      <c r="V274" s="120" t="str">
        <f>IFERROR(IF(AA274="SEGURIDAD",OFFSET('PARÁMETROS'!$K$2,MATCH(U274,JC_SE,0),MATCH(T274,CC_SE,0)),
IF(OR(AA274="DSRC/Estratégico",AA274="DSRC/Operativo"),OFFSET('PARÁMETROS'!$K$11,MATCH(U274,JC_DS,0),MATCH(T274,CC_DS,0)),
IF(AA274="SALUD",OFFSET('PARÁMETROS'!$K$29,MATCH(U274,JC_SA,0),MATCH(T274,CC_SA,0)),
IF(AA274="MEDIO AMBIENTE",OFFSET('PARÁMETROS'!$K$20,MATCH(U274,JC_MA,0),MATCH(T274,CC_MA,0)),
IF(AA274="Rel. Gubernamentales",OFFSET('PARÁMETROS'!$K$48,MATCH(U274,JC_G,0),MATCH(T274,CC_G,0)),
IF(AA274="OPERACIONAL",OFFSET('PARÁMETROS'!$K$56,MATCH(U274,JC_OP,0),MATCH(T274,CC_OP,0)),
IF(AA274="FINANCIERO",OFFSET('PARÁMETROS'!$K$56,MATCH(U274,JC_FI,0),MATCH(T274,CC_FI,0)),
OFFSET('PARÁMETROS'!$K$38,MATCH(U274,JC_L,0),MATCH(T274,CC_L,0))))))))),"")</f>
        <v>Control/Acción Eficaz</v>
      </c>
      <c r="W274" s="117"/>
      <c r="X274" s="120"/>
      <c r="Y274" s="121"/>
      <c r="Z274" s="30" t="s">
        <v>314</v>
      </c>
      <c r="AA274" s="32" t="str">
        <f>E266</f>
        <v>Seguridad</v>
      </c>
      <c r="AB274" s="33"/>
    </row>
    <row r="275" ht="105.0" customHeight="1">
      <c r="A275" s="116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8" t="s">
        <v>258</v>
      </c>
      <c r="Q275" s="119" t="s">
        <v>486</v>
      </c>
      <c r="R275" s="119" t="s">
        <v>83</v>
      </c>
      <c r="S275" s="119" t="s">
        <v>84</v>
      </c>
      <c r="T275" s="120" t="s">
        <v>6</v>
      </c>
      <c r="U275" s="120" t="s">
        <v>162</v>
      </c>
      <c r="V275" s="120" t="str">
        <f>IFERROR(IF(AA275="SEGURIDAD",OFFSET('PARÁMETROS'!$K$2,MATCH(U275,JC_SE,0),MATCH(T275,CC_SE,0)),
IF(OR(AA275="DSRC/Estratégico",AA275="DSRC/Operativo"),OFFSET('PARÁMETROS'!$K$11,MATCH(U275,JC_DS,0),MATCH(T275,CC_DS,0)),
IF(AA275="SALUD",OFFSET('PARÁMETROS'!$K$29,MATCH(U275,JC_SA,0),MATCH(T275,CC_SA,0)),
IF(AA275="MEDIO AMBIENTE",OFFSET('PARÁMETROS'!$K$20,MATCH(U275,JC_MA,0),MATCH(T275,CC_MA,0)),
IF(AA275="Rel. Gubernamentales",OFFSET('PARÁMETROS'!$K$48,MATCH(U275,JC_G,0),MATCH(T275,CC_G,0)),
IF(AA275="OPERACIONAL",OFFSET('PARÁMETROS'!$K$56,MATCH(U275,JC_OP,0),MATCH(T275,CC_OP,0)),
IF(AA275="FINANCIERO",OFFSET('PARÁMETROS'!$K$56,MATCH(U275,JC_FI,0),MATCH(T275,CC_FI,0)),
OFFSET('PARÁMETROS'!$K$38,MATCH(U275,JC_L,0),MATCH(T275,CC_L,0))))))))),"")</f>
        <v>Control/Acción Satisfactorio</v>
      </c>
      <c r="W275" s="117"/>
      <c r="X275" s="120"/>
      <c r="Y275" s="121"/>
      <c r="Z275" s="30" t="s">
        <v>314</v>
      </c>
      <c r="AA275" s="32" t="str">
        <f>E266</f>
        <v>Seguridad</v>
      </c>
      <c r="AB275" s="33"/>
    </row>
    <row r="276" ht="105.0" customHeight="1">
      <c r="A276" s="116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8" t="s">
        <v>258</v>
      </c>
      <c r="Q276" s="119" t="s">
        <v>487</v>
      </c>
      <c r="R276" s="119" t="s">
        <v>83</v>
      </c>
      <c r="S276" s="119" t="s">
        <v>84</v>
      </c>
      <c r="T276" s="120" t="s">
        <v>6</v>
      </c>
      <c r="U276" s="120" t="s">
        <v>162</v>
      </c>
      <c r="V276" s="120" t="str">
        <f>IFERROR(IF(AA276="SEGURIDAD",OFFSET('PARÁMETROS'!$K$2,MATCH(U276,JC_SE,0),MATCH(T276,CC_SE,0)),
IF(OR(AA276="DSRC/Estratégico",AA276="DSRC/Operativo"),OFFSET('PARÁMETROS'!$K$11,MATCH(U276,JC_DS,0),MATCH(T276,CC_DS,0)),
IF(AA276="SALUD",OFFSET('PARÁMETROS'!$K$29,MATCH(U276,JC_SA,0),MATCH(T276,CC_SA,0)),
IF(AA276="MEDIO AMBIENTE",OFFSET('PARÁMETROS'!$K$20,MATCH(U276,JC_MA,0),MATCH(T276,CC_MA,0)),
IF(AA276="Rel. Gubernamentales",OFFSET('PARÁMETROS'!$K$48,MATCH(U276,JC_G,0),MATCH(T276,CC_G,0)),
IF(AA276="OPERACIONAL",OFFSET('PARÁMETROS'!$K$56,MATCH(U276,JC_OP,0),MATCH(T276,CC_OP,0)),
IF(AA276="FINANCIERO",OFFSET('PARÁMETROS'!$K$56,MATCH(U276,JC_FI,0),MATCH(T276,CC_FI,0)),
OFFSET('PARÁMETROS'!$K$38,MATCH(U276,JC_L,0),MATCH(T276,CC_L,0))))))))),"")</f>
        <v>Control/Acción Satisfactorio</v>
      </c>
      <c r="W276" s="117"/>
      <c r="X276" s="120"/>
      <c r="Y276" s="121"/>
      <c r="Z276" s="30" t="s">
        <v>314</v>
      </c>
      <c r="AA276" s="32" t="str">
        <f>E266</f>
        <v>Seguridad</v>
      </c>
      <c r="AB276" s="33"/>
    </row>
    <row r="277" ht="105.0" customHeight="1">
      <c r="A277" s="116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8" t="s">
        <v>230</v>
      </c>
      <c r="Q277" s="119" t="s">
        <v>485</v>
      </c>
      <c r="R277" s="119" t="s">
        <v>83</v>
      </c>
      <c r="S277" s="119" t="s">
        <v>51</v>
      </c>
      <c r="T277" s="120" t="s">
        <v>7</v>
      </c>
      <c r="U277" s="120" t="s">
        <v>162</v>
      </c>
      <c r="V277" s="120" t="str">
        <f>IFERROR(IF(AA277="SEGURIDAD",OFFSET('PARÁMETROS'!$K$2,MATCH(U277,JC_SE,0),MATCH(T277,CC_SE,0)),
IF(OR(AA277="DSRC/Estratégico",AA277="DSRC/Operativo"),OFFSET('PARÁMETROS'!$K$11,MATCH(U277,JC_DS,0),MATCH(T277,CC_DS,0)),
IF(AA277="SALUD",OFFSET('PARÁMETROS'!$K$29,MATCH(U277,JC_SA,0),MATCH(T277,CC_SA,0)),
IF(AA277="MEDIO AMBIENTE",OFFSET('PARÁMETROS'!$K$20,MATCH(U277,JC_MA,0),MATCH(T277,CC_MA,0)),
IF(AA277="Rel. Gubernamentales",OFFSET('PARÁMETROS'!$K$48,MATCH(U277,JC_G,0),MATCH(T277,CC_G,0)),
IF(AA277="OPERACIONAL",OFFSET('PARÁMETROS'!$K$56,MATCH(U277,JC_OP,0),MATCH(T277,CC_OP,0)),
IF(AA277="FINANCIERO",OFFSET('PARÁMETROS'!$K$56,MATCH(U277,JC_FI,0),MATCH(T277,CC_FI,0)),
OFFSET('PARÁMETROS'!$K$38,MATCH(U277,JC_L,0),MATCH(T277,CC_L,0))))))))),"")</f>
        <v>Control/Acción Eficaz</v>
      </c>
      <c r="W277" s="117"/>
      <c r="X277" s="120"/>
      <c r="Y277" s="121"/>
      <c r="Z277" s="30" t="s">
        <v>314</v>
      </c>
      <c r="AA277" s="32" t="str">
        <f>E266</f>
        <v>Seguridad</v>
      </c>
      <c r="AB277" s="33"/>
    </row>
    <row r="278" ht="105.0" customHeight="1">
      <c r="A278" s="116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8" t="s">
        <v>258</v>
      </c>
      <c r="Q278" s="119" t="s">
        <v>623</v>
      </c>
      <c r="R278" s="119" t="s">
        <v>142</v>
      </c>
      <c r="S278" s="119" t="s">
        <v>120</v>
      </c>
      <c r="T278" s="120" t="s">
        <v>6</v>
      </c>
      <c r="U278" s="120" t="s">
        <v>162</v>
      </c>
      <c r="V278" s="120" t="str">
        <f>IFERROR(IF(AA278="SEGURIDAD",OFFSET('PARÁMETROS'!$K$2,MATCH(U278,JC_SE,0),MATCH(T278,CC_SE,0)),
IF(OR(AA278="DSRC/Estratégico",AA278="DSRC/Operativo"),OFFSET('PARÁMETROS'!$K$11,MATCH(U278,JC_DS,0),MATCH(T278,CC_DS,0)),
IF(AA278="SALUD",OFFSET('PARÁMETROS'!$K$29,MATCH(U278,JC_SA,0),MATCH(T278,CC_SA,0)),
IF(AA278="MEDIO AMBIENTE",OFFSET('PARÁMETROS'!$K$20,MATCH(U278,JC_MA,0),MATCH(T278,CC_MA,0)),
IF(AA278="Rel. Gubernamentales",OFFSET('PARÁMETROS'!$K$48,MATCH(U278,JC_G,0),MATCH(T278,CC_G,0)),
IF(AA278="OPERACIONAL",OFFSET('PARÁMETROS'!$K$56,MATCH(U278,JC_OP,0),MATCH(T278,CC_OP,0)),
IF(AA278="FINANCIERO",OFFSET('PARÁMETROS'!$K$56,MATCH(U278,JC_FI,0),MATCH(T278,CC_FI,0)),
OFFSET('PARÁMETROS'!$K$38,MATCH(U278,JC_L,0),MATCH(T278,CC_L,0))))))))),"")</f>
        <v>Control/Acción Satisfactorio</v>
      </c>
      <c r="W278" s="117"/>
      <c r="X278" s="120"/>
      <c r="Y278" s="121"/>
      <c r="Z278" s="30" t="s">
        <v>314</v>
      </c>
      <c r="AA278" s="32" t="str">
        <f>E266</f>
        <v>Seguridad</v>
      </c>
      <c r="AB278" s="33"/>
    </row>
    <row r="279" ht="105.0" customHeight="1">
      <c r="A279" s="116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8" t="s">
        <v>196</v>
      </c>
      <c r="Q279" s="119" t="s">
        <v>579</v>
      </c>
      <c r="R279" s="119" t="s">
        <v>142</v>
      </c>
      <c r="S279" s="119" t="s">
        <v>295</v>
      </c>
      <c r="T279" s="120" t="s">
        <v>6</v>
      </c>
      <c r="U279" s="120" t="s">
        <v>162</v>
      </c>
      <c r="V279" s="120" t="str">
        <f>IFERROR(IF(AA279="SEGURIDAD",OFFSET('PARÁMETROS'!$K$2,MATCH(U279,JC_SE,0),MATCH(T279,CC_SE,0)),
IF(OR(AA279="DSRC/Estratégico",AA279="DSRC/Operativo"),OFFSET('PARÁMETROS'!$K$11,MATCH(U279,JC_DS,0),MATCH(T279,CC_DS,0)),
IF(AA279="SALUD",OFFSET('PARÁMETROS'!$K$29,MATCH(U279,JC_SA,0),MATCH(T279,CC_SA,0)),
IF(AA279="MEDIO AMBIENTE",OFFSET('PARÁMETROS'!$K$20,MATCH(U279,JC_MA,0),MATCH(T279,CC_MA,0)),
IF(AA279="Rel. Gubernamentales",OFFSET('PARÁMETROS'!$K$48,MATCH(U279,JC_G,0),MATCH(T279,CC_G,0)),
IF(AA279="OPERACIONAL",OFFSET('PARÁMETROS'!$K$56,MATCH(U279,JC_OP,0),MATCH(T279,CC_OP,0)),
IF(AA279="FINANCIERO",OFFSET('PARÁMETROS'!$K$56,MATCH(U279,JC_FI,0),MATCH(T279,CC_FI,0)),
OFFSET('PARÁMETROS'!$K$38,MATCH(U279,JC_L,0),MATCH(T279,CC_L,0))))))))),"")</f>
        <v>Control/Acción Satisfactorio</v>
      </c>
      <c r="W279" s="117"/>
      <c r="X279" s="120"/>
      <c r="Y279" s="121"/>
      <c r="Z279" s="30" t="s">
        <v>314</v>
      </c>
      <c r="AA279" s="32" t="str">
        <f>E266</f>
        <v>Seguridad</v>
      </c>
      <c r="AB279" s="33"/>
    </row>
    <row r="280" ht="105.0" customHeight="1">
      <c r="A280" s="116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8" t="s">
        <v>117</v>
      </c>
      <c r="Q280" s="119" t="s">
        <v>491</v>
      </c>
      <c r="R280" s="119" t="s">
        <v>142</v>
      </c>
      <c r="S280" s="119" t="s">
        <v>295</v>
      </c>
      <c r="T280" s="120" t="s">
        <v>7</v>
      </c>
      <c r="U280" s="120" t="s">
        <v>111</v>
      </c>
      <c r="V280" s="120" t="str">
        <f>IFERROR(IF(AA280="SEGURIDAD",OFFSET('PARÁMETROS'!$K$2,MATCH(U280,JC_SE,0),MATCH(T280,CC_SE,0)),
IF(OR(AA280="DSRC/Estratégico",AA280="DSRC/Operativo"),OFFSET('PARÁMETROS'!$K$11,MATCH(U280,JC_DS,0),MATCH(T280,CC_DS,0)),
IF(AA280="SALUD",OFFSET('PARÁMETROS'!$K$29,MATCH(U280,JC_SA,0),MATCH(T280,CC_SA,0)),
IF(AA280="MEDIO AMBIENTE",OFFSET('PARÁMETROS'!$K$20,MATCH(U280,JC_MA,0),MATCH(T280,CC_MA,0)),
IF(AA280="Rel. Gubernamentales",OFFSET('PARÁMETROS'!$K$48,MATCH(U280,JC_G,0),MATCH(T280,CC_G,0)),
IF(AA280="OPERACIONAL",OFFSET('PARÁMETROS'!$K$56,MATCH(U280,JC_OP,0),MATCH(T280,CC_OP,0)),
IF(AA280="FINANCIERO",OFFSET('PARÁMETROS'!$K$56,MATCH(U280,JC_FI,0),MATCH(T280,CC_FI,0)),
OFFSET('PARÁMETROS'!$K$38,MATCH(U280,JC_L,0),MATCH(T280,CC_L,0))))))))),"")</f>
        <v>Control/Acción Eficaz</v>
      </c>
      <c r="W280" s="117"/>
      <c r="X280" s="120"/>
      <c r="Y280" s="121"/>
      <c r="Z280" s="30" t="s">
        <v>314</v>
      </c>
      <c r="AA280" s="32" t="str">
        <f>E266</f>
        <v>Seguridad</v>
      </c>
      <c r="AB280" s="33"/>
    </row>
    <row r="281" ht="105.0" customHeight="1">
      <c r="A281" s="68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134" t="s">
        <v>196</v>
      </c>
      <c r="Q281" s="135" t="s">
        <v>624</v>
      </c>
      <c r="R281" s="135" t="s">
        <v>142</v>
      </c>
      <c r="S281" s="135" t="s">
        <v>167</v>
      </c>
      <c r="T281" s="136" t="s">
        <v>7</v>
      </c>
      <c r="U281" s="136" t="s">
        <v>162</v>
      </c>
      <c r="V281" s="136" t="str">
        <f>IFERROR(IF(AA281="SEGURIDAD",OFFSET('PARÁMETROS'!$K$2,MATCH(U281,JC_SE,0),MATCH(T281,CC_SE,0)),
IF(OR(AA281="DSRC/Estratégico",AA281="DSRC/Operativo"),OFFSET('PARÁMETROS'!$K$11,MATCH(U281,JC_DS,0),MATCH(T281,CC_DS,0)),
IF(AA281="SALUD",OFFSET('PARÁMETROS'!$K$29,MATCH(U281,JC_SA,0),MATCH(T281,CC_SA,0)),
IF(AA281="MEDIO AMBIENTE",OFFSET('PARÁMETROS'!$K$20,MATCH(U281,JC_MA,0),MATCH(T281,CC_MA,0)),
IF(AA281="Rel. Gubernamentales",OFFSET('PARÁMETROS'!$K$48,MATCH(U281,JC_G,0),MATCH(T281,CC_G,0)),
IF(AA281="OPERACIONAL",OFFSET('PARÁMETROS'!$K$56,MATCH(U281,JC_OP,0),MATCH(T281,CC_OP,0)),
IF(AA281="FINANCIERO",OFFSET('PARÁMETROS'!$K$56,MATCH(U281,JC_FI,0),MATCH(T281,CC_FI,0)),
OFFSET('PARÁMETROS'!$K$38,MATCH(U281,JC_L,0),MATCH(T281,CC_L,0))))))))),"")</f>
        <v>Control/Acción Eficaz</v>
      </c>
      <c r="W281" s="69"/>
      <c r="X281" s="136"/>
      <c r="Y281" s="137"/>
      <c r="Z281" s="30" t="s">
        <v>314</v>
      </c>
      <c r="AA281" s="32" t="str">
        <f>E266</f>
        <v>Seguridad</v>
      </c>
      <c r="AB281" s="33"/>
    </row>
    <row r="282" ht="105.0" customHeight="1">
      <c r="A282" s="79">
        <v>43.0</v>
      </c>
      <c r="B282" s="80" t="s">
        <v>172</v>
      </c>
      <c r="C282" s="80" t="s">
        <v>613</v>
      </c>
      <c r="D282" s="80" t="s">
        <v>177</v>
      </c>
      <c r="E282" s="80" t="s">
        <v>181</v>
      </c>
      <c r="F282" s="80" t="s">
        <v>387</v>
      </c>
      <c r="G282" s="80" t="s">
        <v>625</v>
      </c>
      <c r="H282" s="80" t="s">
        <v>278</v>
      </c>
      <c r="I282" s="80" t="s">
        <v>494</v>
      </c>
      <c r="J282" s="80">
        <v>3.0</v>
      </c>
      <c r="K282" s="80">
        <v>2.0</v>
      </c>
      <c r="L282" s="80">
        <f>IF(OR(J282&lt;&gt;"",K282&lt;&gt;""),OFFSET('PARÁMETROS'!$B$2,K282,J282),"")</f>
        <v>4</v>
      </c>
      <c r="M282" s="80">
        <v>4.0</v>
      </c>
      <c r="N282" s="80">
        <f>IFERROR(L282*M282,"")</f>
        <v>16</v>
      </c>
      <c r="O282" s="89" t="str">
        <f>IF(N282="","",IFERROR(IF(N282&lt;=2,"ACEPTABLE",IF(N282&lt;=6,"BAJA",IF(N282&lt;=10,"ACEPTABLE CON REVISIÓN",IF(N282&lt;=15,"SUSTANCIAL","INACEPTABLE")))),""))</f>
        <v>INACEPTABLE</v>
      </c>
      <c r="P282" s="109" t="s">
        <v>302</v>
      </c>
      <c r="Q282" s="110" t="s">
        <v>495</v>
      </c>
      <c r="R282" s="110" t="s">
        <v>106</v>
      </c>
      <c r="S282" s="110" t="s">
        <v>265</v>
      </c>
      <c r="T282" s="111" t="s">
        <v>7</v>
      </c>
      <c r="U282" s="111" t="s">
        <v>182</v>
      </c>
      <c r="V282" s="111" t="str">
        <f>IFERROR(IF(AA282="SEGURIDAD",OFFSET('PARÁMETROS'!$K$2,MATCH(U282,JC_SE,0),MATCH(T282,CC_SE,0)),
IF(OR(AA282="DSRC/Estratégico",AA282="DSRC/Operativo"),OFFSET('PARÁMETROS'!$K$11,MATCH(U282,JC_DS,0),MATCH(T282,CC_DS,0)),
IF(AA282="SALUD",OFFSET('PARÁMETROS'!$K$29,MATCH(U282,JC_SA,0),MATCH(T282,CC_SA,0)),
IF(AA282="MEDIO AMBIENTE",OFFSET('PARÁMETROS'!$K$20,MATCH(U282,JC_MA,0),MATCH(T282,CC_MA,0)),
IF(AA282="Rel. Gubernamentales",OFFSET('PARÁMETROS'!$K$48,MATCH(U282,JC_G,0),MATCH(T282,CC_G,0)),
IF(AA282="OPERACIONAL",OFFSET('PARÁMETROS'!$K$56,MATCH(U282,JC_OP,0),MATCH(T282,CC_OP,0)),
IF(AA282="FINANCIERO",OFFSET('PARÁMETROS'!$K$56,MATCH(U282,JC_FI,0),MATCH(T282,CC_FI,0)),
OFFSET('PARÁMETROS'!$K$38,MATCH(U282,JC_L,0),MATCH(T282,CC_L,0))))))))),"")</f>
        <v>Control/Acción Satisfactorio</v>
      </c>
      <c r="W282" s="89" t="str">
        <f>IF(E282="","",
IF(COUNTA( V282:V284)-COUNTBLANK( V282:V284)=1,
IF(O282="INACEPTABLE",IF(COUNTIF( V282:V284,"Control/Acción Eficaz")&gt;=1,"SUSTANCIAL","INACEPTABLE"),
IF(O282="SUSTANCIAL",IF(COUNTIF( V282:V284,"Control/Acción Eficaz")&gt;=1,"ACEPTABLE CON REVISIÓN","SUSTANCIAL"),
IF(O282="ACEPTABLE CON REVISIÓN",IF(COUNTIF( V282:V284,"Control/Acción Eficaz")&gt;=1,"BAJA","ACEPTABLE CON REVISIÓN"),
IF(O282="BAJA",IF(COUNTIF( V282:V284,"Control/Acción Eficaz")&gt;=1,"ACEPTABLE","BAJA"),)))),
IF(COUNTA( V282:V284)-COUNTBLANK( V282:V284)=2,
IF(O282="INACEPTABLE",IF(COUNTIF( V282:V284,"Control/Acción Eficaz")=2,"ACEPTABLE CON REVISIÓN",
IF(OR(AND(COUNTIF( V282:V284,"Control/Acción Eficaz")=1,COUNTIF( V282:V284,"Control/Acción Satisfactorio")=1),
AND(COUNTIF( V282:V284,"Control/Acción Eficaz")=1,COUNTIF( V282:V284,"Control/Acción No Eficaz")=1)),"SUSTANCIAL","INACEPTABLE")),
IF(O282="SUSTANCIAL",IF(COUNTIF( V282:V284,"Control/Acción Eficaz")=2,"BAJA",
IF(OR(AND(COUNTIF( V282:V284,"Control/Acción Eficaz")=1,COUNTIF( V282:V284,"Control/Acción Satisfactorio")=1),
AND(COUNTIF( V282:V284,"Control/Acción Eficaz")=1,COUNTIF( V282:V284,"Control/Acción No Eficaz")=1)),"ACEPTABLE CON REVISIÓN ","SUSTANCIAL")),
IF(O282="ACEPTABLE CON REVISIÓN",IF(COUNTIF( V282:V284,"Control/Acción Eficaz")=2,"ACEPTABLE",
IF(OR(AND(COUNTIF( V282:V284,"Control/Acción Eficaz")=1,COUNTIF( V282:V284,"Control/Acción Satisfactorio")=1),
AND(COUNTIF( V282:V284,"Control/Acción Eficaz")=1,COUNTIF( V282:V284,"Control/Acción No Eficaz")=1)),"BAJA","ACEPTABLE CON REVISIÓN")),
IF(O282="BAJA",IF(COUNTIF( V282:V284,"Control/Acción Eficaz")&gt;=2,"ACEPTABLE","BAJA"),)))),
IF(COUNTA( V282:V284)-COUNTBLANK( V282:V284)&gt;=3,
IF(O282="INACEPTABLE",
IF(COUNTBLANK( V282:V284)=COUNTA( V282:V284),"",
IF(COUNTIF( V282:V284,"Control/Acción No Eficaz")&gt;=2,"INACEPTABLE",
IF(AND(COUNTIF( V282:V284,"Control/Acción No Eficaz")=0,COUNTIF( V282:V284,"Control/Acción Eficaz")&gt;=2),"ACEPTABLE CON REVISIÓN ","SUSTANCIAL"))),
IF(O282="SUSTANCIAL",
IF(COUNTBLANK( V282:V284)=COUNTA( V282:V284),"",
IF(COUNTIF( V282:V284,"Control/Acción No Eficaz")&gt;=2,"SUSTANCIAL",
IF(AND(COUNTIF( V282:V284,"Control/Acción No Eficaz")=0,COUNTIF( V282:V284,"Control/Acción Eficaz")&gt;=2),"BAJA","ACEPTABLE CON REVISIÓN"))),
IF(O282="ACEPTABLE CON REVISIÓN",
IF(COUNTBLANK( V282:V284)=COUNTA( V282:V284),"",
IF(COUNTIF( V282:V284,"Control/Acción No Eficaz")&gt;=2,"ACEPTABLE CON REVISIÓN",
IF(AND(COUNTIF( V282:V284,"Control/Acción No Eficaz")=0,COUNTIF( V282:V284,"Control/Acción Eficaz")&gt;=2),"ACEPTABLE","BAJA"))),
IF(O282="BAJA",
IF(COUNTBLANK( V282:V284)=COUNTA( V282:V284),"",
IF(AND(COUNTBLANK( V282:V284)&lt;1,COUNTA( V282:V284)=1),
IF(COUNTIF( V282:V284,"Control/Acción No Eficaz")&gt;=2,"BAJA",
IF(AND(COUNTIF( V282:V284,"Control/Acción No Eficaz")=0,COUNTIF( V282:V284,"Control/Acción Eficaz")&gt;=2),"ACEPTABLE","BAJA")),
IF(COUNTIF( V282:V284,"Control/Acción No Eficaz")&gt;=2,"BAJA",
IF(AND(COUNTIF( V282:V284,"Control/Acción No Eficaz")=0,COUNTIF( V282:V284,"Control/Acción Eficaz")&gt;=2),"ACEPTABLE","BAJA")))),
IF(COUNTIF( V282:V284,"")&gt;=5,"",O282))))),
""))))</f>
        <v>SUSTANCIAL</v>
      </c>
      <c r="X282" s="111"/>
      <c r="Y282" s="115"/>
      <c r="Z282" s="30" t="s">
        <v>314</v>
      </c>
      <c r="AA282" s="32" t="str">
        <f>E282</f>
        <v>Seguridad</v>
      </c>
      <c r="AB282" s="33" t="s">
        <v>626</v>
      </c>
    </row>
    <row r="283" ht="105.0" customHeight="1">
      <c r="A283" s="116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34" t="s">
        <v>196</v>
      </c>
      <c r="Q283" s="135" t="s">
        <v>624</v>
      </c>
      <c r="R283" s="135" t="s">
        <v>142</v>
      </c>
      <c r="S283" s="135" t="s">
        <v>167</v>
      </c>
      <c r="T283" s="136" t="s">
        <v>7</v>
      </c>
      <c r="U283" s="136" t="s">
        <v>162</v>
      </c>
      <c r="V283" s="136" t="str">
        <f>IFERROR(IF(AA283="SEGURIDAD",OFFSET('PARÁMETROS'!$K$2,MATCH(U283,JC_SE,0),MATCH(T283,CC_SE,0)),
IF(OR(AA283="DSRC/Estratégico",AA283="DSRC/Operativo"),OFFSET('PARÁMETROS'!$K$11,MATCH(U283,JC_DS,0),MATCH(T283,CC_DS,0)),
IF(AA283="SALUD",OFFSET('PARÁMETROS'!$K$29,MATCH(U283,JC_SA,0),MATCH(T283,CC_SA,0)),
IF(AA283="MEDIO AMBIENTE",OFFSET('PARÁMETROS'!$K$20,MATCH(U283,JC_MA,0),MATCH(T283,CC_MA,0)),
IF(AA283="Rel. Gubernamentales",OFFSET('PARÁMETROS'!$K$48,MATCH(U283,JC_G,0),MATCH(T283,CC_G,0)),
IF(AA283="OPERACIONAL",OFFSET('PARÁMETROS'!$K$56,MATCH(U283,JC_OP,0),MATCH(T283,CC_OP,0)),
IF(AA283="FINANCIERO",OFFSET('PARÁMETROS'!$K$56,MATCH(U283,JC_FI,0),MATCH(T283,CC_FI,0)),
OFFSET('PARÁMETROS'!$K$38,MATCH(U283,JC_L,0),MATCH(T283,CC_L,0))))))))),"")</f>
        <v>Control/Acción Eficaz</v>
      </c>
      <c r="W283" s="117"/>
      <c r="X283" s="151"/>
      <c r="Y283" s="152"/>
      <c r="Z283" s="30"/>
      <c r="AA283" s="32" t="str">
        <f>E282</f>
        <v>Seguridad</v>
      </c>
      <c r="AB283" s="33"/>
    </row>
    <row r="284" ht="105.0" customHeight="1">
      <c r="A284" s="68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134" t="s">
        <v>117</v>
      </c>
      <c r="Q284" s="135" t="s">
        <v>491</v>
      </c>
      <c r="R284" s="135" t="s">
        <v>142</v>
      </c>
      <c r="S284" s="135" t="s">
        <v>295</v>
      </c>
      <c r="T284" s="136" t="s">
        <v>6</v>
      </c>
      <c r="U284" s="136" t="s">
        <v>111</v>
      </c>
      <c r="V284" s="136" t="str">
        <f>IFERROR(IF(AA284="SEGURIDAD",OFFSET('PARÁMETROS'!$K$2,MATCH(U284,JC_SE,0),MATCH(T284,CC_SE,0)),
IF(OR(AA284="DSRC/Estratégico",AA284="DSRC/Operativo"),OFFSET('PARÁMETROS'!$K$11,MATCH(U284,JC_DS,0),MATCH(T284,CC_DS,0)),
IF(AA284="SALUD",OFFSET('PARÁMETROS'!$K$29,MATCH(U284,JC_SA,0),MATCH(T284,CC_SA,0)),
IF(AA284="MEDIO AMBIENTE",OFFSET('PARÁMETROS'!$K$20,MATCH(U284,JC_MA,0),MATCH(T284,CC_MA,0)),
IF(AA284="Rel. Gubernamentales",OFFSET('PARÁMETROS'!$K$48,MATCH(U284,JC_G,0),MATCH(T284,CC_G,0)),
IF(AA284="OPERACIONAL",OFFSET('PARÁMETROS'!$K$56,MATCH(U284,JC_OP,0),MATCH(T284,CC_OP,0)),
IF(AA284="FINANCIERO",OFFSET('PARÁMETROS'!$K$56,MATCH(U284,JC_FI,0),MATCH(T284,CC_FI,0)),
OFFSET('PARÁMETROS'!$K$38,MATCH(U284,JC_L,0),MATCH(T284,CC_L,0))))))))),"")</f>
        <v>Control/Acción Satisfactorio</v>
      </c>
      <c r="W284" s="69"/>
      <c r="X284" s="136"/>
      <c r="Y284" s="137"/>
      <c r="Z284" s="30" t="s">
        <v>314</v>
      </c>
      <c r="AA284" s="32" t="str">
        <f>E282</f>
        <v>Seguridad</v>
      </c>
      <c r="AB284" s="33"/>
    </row>
    <row r="285" ht="105.0" customHeight="1">
      <c r="A285" s="79">
        <v>44.0</v>
      </c>
      <c r="B285" s="80" t="s">
        <v>172</v>
      </c>
      <c r="C285" s="80" t="s">
        <v>613</v>
      </c>
      <c r="D285" s="80" t="s">
        <v>177</v>
      </c>
      <c r="E285" s="80" t="s">
        <v>181</v>
      </c>
      <c r="F285" s="80" t="s">
        <v>348</v>
      </c>
      <c r="G285" s="80" t="s">
        <v>627</v>
      </c>
      <c r="H285" s="80" t="s">
        <v>366</v>
      </c>
      <c r="I285" s="80" t="s">
        <v>516</v>
      </c>
      <c r="J285" s="80">
        <v>3.0</v>
      </c>
      <c r="K285" s="80">
        <v>3.0</v>
      </c>
      <c r="L285" s="80">
        <f>IF(OR(J285&lt;&gt;"",K285&lt;&gt;""),OFFSET('PARÁMETROS'!$B$2,K285,J285),"")</f>
        <v>4</v>
      </c>
      <c r="M285" s="80">
        <v>3.0</v>
      </c>
      <c r="N285" s="80">
        <f>IFERROR(L285*M285,"")</f>
        <v>12</v>
      </c>
      <c r="O285" s="89" t="str">
        <f>IF(N285="","",IFERROR(IF(N285&lt;=2,"ACEPTABLE",IF(N285&lt;=6,"BAJA",IF(N285&lt;=10,"ACEPTABLE CON REVISIÓN",IF(N285&lt;=15,"SUSTANCIAL","INACEPTABLE")))),""))</f>
        <v>SUSTANCIAL</v>
      </c>
      <c r="P285" s="109" t="s">
        <v>302</v>
      </c>
      <c r="Q285" s="110" t="s">
        <v>581</v>
      </c>
      <c r="R285" s="110" t="s">
        <v>106</v>
      </c>
      <c r="S285" s="110" t="s">
        <v>265</v>
      </c>
      <c r="T285" s="111" t="s">
        <v>7</v>
      </c>
      <c r="U285" s="111" t="s">
        <v>182</v>
      </c>
      <c r="V285" s="111" t="str">
        <f>IFERROR(IF(AA285="SEGURIDAD",OFFSET('PARÁMETROS'!$K$2,MATCH(U285,JC_SE,0),MATCH(T285,CC_SE,0)),
IF(OR(AA285="DSRC/Estratégico",AA285="DSRC/Operativo"),OFFSET('PARÁMETROS'!$K$11,MATCH(U285,JC_DS,0),MATCH(T285,CC_DS,0)),
IF(AA285="SALUD",OFFSET('PARÁMETROS'!$K$29,MATCH(U285,JC_SA,0),MATCH(T285,CC_SA,0)),
IF(AA285="MEDIO AMBIENTE",OFFSET('PARÁMETROS'!$K$20,MATCH(U285,JC_MA,0),MATCH(T285,CC_MA,0)),
IF(AA285="Rel. Gubernamentales",OFFSET('PARÁMETROS'!$K$48,MATCH(U285,JC_G,0),MATCH(T285,CC_G,0)),
IF(AA285="OPERACIONAL",OFFSET('PARÁMETROS'!$K$56,MATCH(U285,JC_OP,0),MATCH(T285,CC_OP,0)),
IF(AA285="FINANCIERO",OFFSET('PARÁMETROS'!$K$56,MATCH(U285,JC_FI,0),MATCH(T285,CC_FI,0)),
OFFSET('PARÁMETROS'!$K$38,MATCH(U285,JC_L,0),MATCH(T285,CC_L,0))))))))),"")</f>
        <v>Control/Acción Satisfactorio</v>
      </c>
      <c r="W285" s="89" t="str">
        <f>IF(E285="","",
IF(COUNTA( V285:V286)-COUNTBLANK( V285:V286)=1,
IF(O285="INACEPTABLE",IF(COUNTIF( V285:V286,"Control/Acción Eficaz")&gt;=1,"SUSTANCIAL","INACEPTABLE"),
IF(O285="SUSTANCIAL",IF(COUNTIF( V285:V286,"Control/Acción Eficaz")&gt;=1,"ACEPTABLE CON REVISIÓN","SUSTANCIAL"),
IF(O285="ACEPTABLE CON REVISIÓN",IF(COUNTIF( V285:V286,"Control/Acción Eficaz")&gt;=1,"BAJA","ACEPTABLE CON REVISIÓN"),
IF(O285="BAJA",IF(COUNTIF( V285:V286,"Control/Acción Eficaz")&gt;=1,"ACEPTABLE","BAJA"),)))),
IF(COUNTA( V285:V286)-COUNTBLANK( V285:V286)=2,
IF(O285="INACEPTABLE",IF(COUNTIF( V285:V286,"Control/Acción Eficaz")=2,"ACEPTABLE CON REVISIÓN",
IF(OR(AND(COUNTIF( V285:V286,"Control/Acción Eficaz")=1,COUNTIF( V285:V286,"Control/Acción Satisfactorio")=1),
AND(COUNTIF( V285:V286,"Control/Acción Eficaz")=1,COUNTIF( V285:V286,"Control/Acción No Eficaz")=1)),"SUSTANCIAL","INACEPTABLE")),
IF(O285="SUSTANCIAL",IF(COUNTIF( V285:V286,"Control/Acción Eficaz")=2,"BAJA",
IF(OR(AND(COUNTIF( V285:V286,"Control/Acción Eficaz")=1,COUNTIF( V285:V286,"Control/Acción Satisfactorio")=1),
AND(COUNTIF( V285:V286,"Control/Acción Eficaz")=1,COUNTIF( V285:V286,"Control/Acción No Eficaz")=1)),"ACEPTABLE CON REVISIÓN ","SUSTANCIAL")),
IF(O285="ACEPTABLE CON REVISIÓN",IF(COUNTIF( V285:V286,"Control/Acción Eficaz")=2,"ACEPTABLE",
IF(OR(AND(COUNTIF( V285:V286,"Control/Acción Eficaz")=1,COUNTIF( V285:V286,"Control/Acción Satisfactorio")=1),
AND(COUNTIF( V285:V286,"Control/Acción Eficaz")=1,COUNTIF( V285:V286,"Control/Acción No Eficaz")=1)),"BAJA","ACEPTABLE CON REVISIÓN")),
IF(O285="BAJA",IF(COUNTIF( V285:V286,"Control/Acción Eficaz")&gt;=2,"ACEPTABLE","BAJA"),)))),
IF(COUNTA( V285:V286)-COUNTBLANK( V285:V286)&gt;=3,
IF(O285="INACEPTABLE",
IF(COUNTBLANK( V285:V286)=COUNTA( V285:V286),"",
IF(COUNTIF( V285:V286,"Control/Acción No Eficaz")&gt;=2,"INACEPTABLE",
IF(AND(COUNTIF( V285:V286,"Control/Acción No Eficaz")=0,COUNTIF( V285:V286,"Control/Acción Eficaz")&gt;=2),"ACEPTABLE CON REVISIÓN ","SUSTANCIAL"))),
IF(O285="SUSTANCIAL",
IF(COUNTBLANK( V285:V286)=COUNTA( V285:V286),"",
IF(COUNTIF( V285:V286,"Control/Acción No Eficaz")&gt;=2,"SUSTANCIAL",
IF(AND(COUNTIF( V285:V286,"Control/Acción No Eficaz")=0,COUNTIF( V285:V286,"Control/Acción Eficaz")&gt;=2),"BAJA","ACEPTABLE CON REVISIÓN"))),
IF(O285="ACEPTABLE CON REVISIÓN",
IF(COUNTBLANK( V285:V286)=COUNTA( V285:V286),"",
IF(COUNTIF( V285:V286,"Control/Acción No Eficaz")&gt;=2,"ACEPTABLE CON REVISIÓN",
IF(AND(COUNTIF( V285:V286,"Control/Acción No Eficaz")=0,COUNTIF( V285:V286,"Control/Acción Eficaz")&gt;=2),"ACEPTABLE","BAJA"))),
IF(O285="BAJA",
IF(COUNTBLANK( V285:V286)=COUNTA( V285:V286),"",
IF(AND(COUNTBLANK( V285:V286)&lt;1,COUNTA( V285:V286)=1),
IF(COUNTIF( V285:V286,"Control/Acción No Eficaz")&gt;=2,"BAJA",
IF(AND(COUNTIF( V285:V286,"Control/Acción No Eficaz")=0,COUNTIF( V285:V286,"Control/Acción Eficaz")&gt;=2),"ACEPTABLE","BAJA")),
IF(COUNTIF( V285:V286,"Control/Acción No Eficaz")&gt;=2,"BAJA",
IF(AND(COUNTIF( V285:V286,"Control/Acción No Eficaz")=0,COUNTIF( V285:V286,"Control/Acción Eficaz")&gt;=2),"ACEPTABLE","BAJA")))),
IF(COUNTIF( V285:V286,"")&gt;=5,"",O285))))),
""))))</f>
        <v>ACEPTABLE CON REVISIÓN </v>
      </c>
      <c r="X285" s="111"/>
      <c r="Y285" s="115"/>
      <c r="Z285" s="30" t="s">
        <v>314</v>
      </c>
      <c r="AA285" s="32" t="str">
        <f>E285</f>
        <v>Seguridad</v>
      </c>
      <c r="AB285" s="33"/>
    </row>
    <row r="286" ht="105.0" customHeight="1">
      <c r="A286" s="68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134" t="s">
        <v>166</v>
      </c>
      <c r="Q286" s="135" t="s">
        <v>437</v>
      </c>
      <c r="R286" s="135" t="s">
        <v>142</v>
      </c>
      <c r="S286" s="135" t="s">
        <v>325</v>
      </c>
      <c r="T286" s="136" t="s">
        <v>7</v>
      </c>
      <c r="U286" s="136" t="s">
        <v>162</v>
      </c>
      <c r="V286" s="136" t="str">
        <f>IFERROR(IF(AA286="SEGURIDAD",OFFSET('PARÁMETROS'!$K$2,MATCH(U286,JC_SE,0),MATCH(T286,CC_SE,0)),
IF(OR(AA286="DSRC/Estratégico",AA286="DSRC/Operativo"),OFFSET('PARÁMETROS'!$K$11,MATCH(U286,JC_DS,0),MATCH(T286,CC_DS,0)),
IF(AA286="SALUD",OFFSET('PARÁMETROS'!$K$29,MATCH(U286,JC_SA,0),MATCH(T286,CC_SA,0)),
IF(AA286="MEDIO AMBIENTE",OFFSET('PARÁMETROS'!$K$20,MATCH(U286,JC_MA,0),MATCH(T286,CC_MA,0)),
IF(AA286="Rel. Gubernamentales",OFFSET('PARÁMETROS'!$K$48,MATCH(U286,JC_G,0),MATCH(T286,CC_G,0)),
IF(AA286="OPERACIONAL",OFFSET('PARÁMETROS'!$K$56,MATCH(U286,JC_OP,0),MATCH(T286,CC_OP,0)),
IF(AA286="FINANCIERO",OFFSET('PARÁMETROS'!$K$56,MATCH(U286,JC_FI,0),MATCH(T286,CC_FI,0)),
OFFSET('PARÁMETROS'!$K$38,MATCH(U286,JC_L,0),MATCH(T286,CC_L,0))))))))),"")</f>
        <v>Control/Acción Eficaz</v>
      </c>
      <c r="W286" s="69"/>
      <c r="X286" s="136"/>
      <c r="Y286" s="137"/>
      <c r="Z286" s="30" t="s">
        <v>314</v>
      </c>
      <c r="AA286" s="32" t="str">
        <f>E285</f>
        <v>Seguridad</v>
      </c>
      <c r="AB286" s="33"/>
    </row>
    <row r="287" ht="105.0" customHeight="1">
      <c r="A287" s="158">
        <v>45.0</v>
      </c>
      <c r="B287" s="151" t="s">
        <v>172</v>
      </c>
      <c r="C287" s="151" t="s">
        <v>628</v>
      </c>
      <c r="D287" s="151" t="s">
        <v>177</v>
      </c>
      <c r="E287" s="151" t="s">
        <v>181</v>
      </c>
      <c r="F287" s="151" t="s">
        <v>415</v>
      </c>
      <c r="G287" s="151" t="s">
        <v>629</v>
      </c>
      <c r="H287" s="151" t="s">
        <v>257</v>
      </c>
      <c r="I287" s="151" t="s">
        <v>630</v>
      </c>
      <c r="J287" s="151">
        <v>2.0</v>
      </c>
      <c r="K287" s="151">
        <v>3.0</v>
      </c>
      <c r="L287" s="151">
        <f>IF(OR(J287&lt;&gt;"",K287&lt;&gt;""),OFFSET('PARÁMETROS'!$B$2,K287,J287),"")</f>
        <v>4</v>
      </c>
      <c r="M287" s="151">
        <v>5.0</v>
      </c>
      <c r="N287" s="151">
        <f>IFERROR(L287*M287,"")</f>
        <v>20</v>
      </c>
      <c r="O287" s="159" t="str">
        <f>IF(N287="","",IFERROR(IF(N287&lt;=2,"ACEPTABLE",IF(N287&lt;=6,"BAJA",IF(N287&lt;=10,"ACEPTABLE CON REVISIÓN",IF(N287&lt;=15,"SUSTANCIAL","INACEPTABLE")))),""))</f>
        <v>INACEPTABLE</v>
      </c>
      <c r="P287" s="160" t="s">
        <v>258</v>
      </c>
      <c r="Q287" s="161" t="s">
        <v>631</v>
      </c>
      <c r="R287" s="161" t="s">
        <v>83</v>
      </c>
      <c r="S287" s="161" t="s">
        <v>84</v>
      </c>
      <c r="T287" s="156" t="s">
        <v>6</v>
      </c>
      <c r="U287" s="156" t="s">
        <v>162</v>
      </c>
      <c r="V287" s="156" t="str">
        <f>IFERROR(IF(AA287="SEGURIDAD",OFFSET('PARÁMETROS'!$K$2,MATCH(U287,JC_SE,0),MATCH(T287,CC_SE,0)),
IF(OR(AA287="DSRC/Estratégico",AA287="DSRC/Operativo"),OFFSET('PARÁMETROS'!$K$11,MATCH(U287,JC_DS,0),MATCH(T287,CC_DS,0)),
IF(AA287="SALUD",OFFSET('PARÁMETROS'!$K$29,MATCH(U287,JC_SA,0),MATCH(T287,CC_SA,0)),
IF(AA287="MEDIO AMBIENTE",OFFSET('PARÁMETROS'!$K$20,MATCH(U287,JC_MA,0),MATCH(T287,CC_MA,0)),
IF(AA287="Rel. Gubernamentales",OFFSET('PARÁMETROS'!$K$48,MATCH(U287,JC_G,0),MATCH(T287,CC_G,0)),
IF(AA287="OPERACIONAL",OFFSET('PARÁMETROS'!$K$56,MATCH(U287,JC_OP,0),MATCH(T287,CC_OP,0)),
IF(AA287="FINANCIERO",OFFSET('PARÁMETROS'!$K$56,MATCH(U287,JC_FI,0),MATCH(T287,CC_FI,0)),
OFFSET('PARÁMETROS'!$K$38,MATCH(U287,JC_L,0),MATCH(T287,CC_L,0))))))))),"")</f>
        <v>Control/Acción Satisfactorio</v>
      </c>
      <c r="W287" s="159" t="str">
        <f>IF(E287="","",
IF(COUNTA( V287:V291)-COUNTBLANK( V287:V291)=1,
IF(O287="INACEPTABLE",IF(COUNTIF( V287:V291,"Control/Acción Eficaz")&gt;=1,"SUSTANCIAL","INACEPTABLE"),
IF(O287="SUSTANCIAL",IF(COUNTIF( V287:V291,"Control/Acción Eficaz")&gt;=1,"ACEPTABLE CON REVISIÓN","SUSTANCIAL"),
IF(O287="ACEPTABLE CON REVISIÓN",IF(COUNTIF( V287:V291,"Control/Acción Eficaz")&gt;=1,"BAJA","ACEPTABLE CON REVISIÓN"),
IF(O287="BAJA",IF(COUNTIF( V287:V291,"Control/Acción Eficaz")&gt;=1,"ACEPTABLE","BAJA"),)))),
IF(COUNTA( V287:V291)-COUNTBLANK( V287:V291)=2,
IF(O287="INACEPTABLE",IF(COUNTIF( V287:V291,"Control/Acción Eficaz")=2,"ACEPTABLE CON REVISIÓN",
IF(OR(AND(COUNTIF( V287:V291,"Control/Acción Eficaz")=1,COUNTIF( V287:V291,"Control/Acción Satisfactorio")=1),
AND(COUNTIF( V287:V291,"Control/Acción Eficaz")=1,COUNTIF( V287:V291,"Control/Acción No Eficaz")=1)),"SUSTANCIAL","INACEPTABLE")),
IF(O287="SUSTANCIAL",IF(COUNTIF( V287:V291,"Control/Acción Eficaz")=2,"BAJA",
IF(OR(AND(COUNTIF( V287:V291,"Control/Acción Eficaz")=1,COUNTIF( V287:V291,"Control/Acción Satisfactorio")=1),
AND(COUNTIF( V287:V291,"Control/Acción Eficaz")=1,COUNTIF( V287:V291,"Control/Acción No Eficaz")=1)),"ACEPTABLE CON REVISIÓN ","SUSTANCIAL")),
IF(O287="ACEPTABLE CON REVISIÓN",IF(COUNTIF( V287:V291,"Control/Acción Eficaz")=2,"ACEPTABLE",
IF(OR(AND(COUNTIF( V287:V291,"Control/Acción Eficaz")=1,COUNTIF( V287:V291,"Control/Acción Satisfactorio")=1),
AND(COUNTIF( V287:V291,"Control/Acción Eficaz")=1,COUNTIF( V287:V291,"Control/Acción No Eficaz")=1)),"BAJA","ACEPTABLE CON REVISIÓN")),
IF(O287="BAJA",IF(COUNTIF( V287:V291,"Control/Acción Eficaz")&gt;=2,"ACEPTABLE","BAJA"),)))),
IF(COUNTA( V287:V291)-COUNTBLANK( V287:V291)&gt;=3,
IF(O287="INACEPTABLE",
IF(COUNTBLANK( V287:V291)=COUNTA( V287:V291),"",
IF(COUNTIF( V287:V291,"Control/Acción No Eficaz")&gt;=2,"INACEPTABLE",
IF(AND(COUNTIF( V287:V291,"Control/Acción No Eficaz")=0,COUNTIF( V287:V291,"Control/Acción Eficaz")&gt;=2),"ACEPTABLE CON REVISIÓN ","SUSTANCIAL"))),
IF(O287="SUSTANCIAL",
IF(COUNTBLANK( V287:V291)=COUNTA( V287:V291),"",
IF(COUNTIF( V287:V291,"Control/Acción No Eficaz")&gt;=2,"SUSTANCIAL",
IF(AND(COUNTIF( V287:V291,"Control/Acción No Eficaz")=0,COUNTIF( V287:V291,"Control/Acción Eficaz")&gt;=2),"BAJA","ACEPTABLE CON REVISIÓN"))),
IF(O287="ACEPTABLE CON REVISIÓN",
IF(COUNTBLANK( V287:V291)=COUNTA( V287:V291),"",
IF(COUNTIF( V287:V291,"Control/Acción No Eficaz")&gt;=2,"ACEPTABLE CON REVISIÓN",
IF(AND(COUNTIF( V287:V291,"Control/Acción No Eficaz")=0,COUNTIF( V287:V291,"Control/Acción Eficaz")&gt;=2),"ACEPTABLE","BAJA"))),
IF(O287="BAJA",
IF(COUNTBLANK( V287:V291)=COUNTA( V287:V291),"",
IF(AND(COUNTBLANK( V287:V291)&lt;1,COUNTA( V287:V291)=1),
IF(COUNTIF( V287:V291,"Control/Acción No Eficaz")&gt;=2,"BAJA",
IF(AND(COUNTIF( V287:V291,"Control/Acción No Eficaz")=0,COUNTIF( V287:V291,"Control/Acción Eficaz")&gt;=2),"ACEPTABLE","BAJA")),
IF(COUNTIF( V287:V291,"Control/Acción No Eficaz")&gt;=2,"BAJA",
IF(AND(COUNTIF( V287:V291,"Control/Acción No Eficaz")=0,COUNTIF( V287:V291,"Control/Acción Eficaz")&gt;=2),"ACEPTABLE","BAJA")))),
IF(COUNTIF( V287:V291,"")&gt;=5,"",O287))))),
""))))</f>
        <v>ACEPTABLE CON REVISIÓN </v>
      </c>
      <c r="X287" s="156"/>
      <c r="Y287" s="157"/>
      <c r="Z287" s="30" t="s">
        <v>314</v>
      </c>
      <c r="AA287" s="32" t="str">
        <f>E287</f>
        <v>Seguridad</v>
      </c>
      <c r="AB287" s="33"/>
    </row>
    <row r="288" ht="105.0" customHeight="1">
      <c r="A288" s="116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8" t="s">
        <v>230</v>
      </c>
      <c r="Q288" s="119" t="s">
        <v>592</v>
      </c>
      <c r="R288" s="119" t="s">
        <v>83</v>
      </c>
      <c r="S288" s="119" t="s">
        <v>51</v>
      </c>
      <c r="T288" s="120" t="s">
        <v>7</v>
      </c>
      <c r="U288" s="120" t="s">
        <v>162</v>
      </c>
      <c r="V288" s="120" t="str">
        <f>IFERROR(IF(AA288="SEGURIDAD",OFFSET('PARÁMETROS'!$K$2,MATCH(U288,JC_SE,0),MATCH(T288,CC_SE,0)),
IF(OR(AA288="DSRC/Estratégico",AA288="DSRC/Operativo"),OFFSET('PARÁMETROS'!$K$11,MATCH(U288,JC_DS,0),MATCH(T288,CC_DS,0)),
IF(AA288="SALUD",OFFSET('PARÁMETROS'!$K$29,MATCH(U288,JC_SA,0),MATCH(T288,CC_SA,0)),
IF(AA288="MEDIO AMBIENTE",OFFSET('PARÁMETROS'!$K$20,MATCH(U288,JC_MA,0),MATCH(T288,CC_MA,0)),
IF(AA288="Rel. Gubernamentales",OFFSET('PARÁMETROS'!$K$48,MATCH(U288,JC_G,0),MATCH(T288,CC_G,0)),
IF(AA288="OPERACIONAL",OFFSET('PARÁMETROS'!$K$56,MATCH(U288,JC_OP,0),MATCH(T288,CC_OP,0)),
IF(AA288="FINANCIERO",OFFSET('PARÁMETROS'!$K$56,MATCH(U288,JC_FI,0),MATCH(T288,CC_FI,0)),
OFFSET('PARÁMETROS'!$K$38,MATCH(U288,JC_L,0),MATCH(T288,CC_L,0))))))))),"")</f>
        <v>Control/Acción Eficaz</v>
      </c>
      <c r="W288" s="117"/>
      <c r="X288" s="120"/>
      <c r="Y288" s="121"/>
      <c r="Z288" s="30" t="s">
        <v>314</v>
      </c>
      <c r="AA288" s="32" t="str">
        <f>E287</f>
        <v>Seguridad</v>
      </c>
      <c r="AB288" s="33"/>
    </row>
    <row r="289" ht="105.0" customHeight="1">
      <c r="A289" s="116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8" t="s">
        <v>258</v>
      </c>
      <c r="Q289" s="119" t="s">
        <v>458</v>
      </c>
      <c r="R289" s="119" t="s">
        <v>83</v>
      </c>
      <c r="S289" s="119" t="s">
        <v>51</v>
      </c>
      <c r="T289" s="120" t="s">
        <v>7</v>
      </c>
      <c r="U289" s="120" t="s">
        <v>162</v>
      </c>
      <c r="V289" s="120" t="str">
        <f>IFERROR(IF(AA289="SEGURIDAD",OFFSET('PARÁMETROS'!$K$2,MATCH(U289,JC_SE,0),MATCH(T289,CC_SE,0)),
IF(OR(AA289="DSRC/Estratégico",AA289="DSRC/Operativo"),OFFSET('PARÁMETROS'!$K$11,MATCH(U289,JC_DS,0),MATCH(T289,CC_DS,0)),
IF(AA289="SALUD",OFFSET('PARÁMETROS'!$K$29,MATCH(U289,JC_SA,0),MATCH(T289,CC_SA,0)),
IF(AA289="MEDIO AMBIENTE",OFFSET('PARÁMETROS'!$K$20,MATCH(U289,JC_MA,0),MATCH(T289,CC_MA,0)),
IF(AA289="Rel. Gubernamentales",OFFSET('PARÁMETROS'!$K$48,MATCH(U289,JC_G,0),MATCH(T289,CC_G,0)),
IF(AA289="OPERACIONAL",OFFSET('PARÁMETROS'!$K$56,MATCH(U289,JC_OP,0),MATCH(T289,CC_OP,0)),
IF(AA289="FINANCIERO",OFFSET('PARÁMETROS'!$K$56,MATCH(U289,JC_FI,0),MATCH(T289,CC_FI,0)),
OFFSET('PARÁMETROS'!$K$38,MATCH(U289,JC_L,0),MATCH(T289,CC_L,0))))))))),"")</f>
        <v>Control/Acción Eficaz</v>
      </c>
      <c r="W289" s="117"/>
      <c r="X289" s="120"/>
      <c r="Y289" s="121"/>
      <c r="Z289" s="30" t="s">
        <v>314</v>
      </c>
      <c r="AA289" s="32" t="str">
        <f>E287</f>
        <v>Seguridad</v>
      </c>
      <c r="AB289" s="33"/>
    </row>
    <row r="290" ht="105.0" customHeight="1">
      <c r="A290" s="116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8" t="s">
        <v>269</v>
      </c>
      <c r="Q290" s="119" t="s">
        <v>632</v>
      </c>
      <c r="R290" s="119" t="s">
        <v>106</v>
      </c>
      <c r="S290" s="119" t="s">
        <v>265</v>
      </c>
      <c r="T290" s="120" t="s">
        <v>6</v>
      </c>
      <c r="U290" s="120" t="s">
        <v>162</v>
      </c>
      <c r="V290" s="120" t="str">
        <f>IFERROR(IF(AA290="SEGURIDAD",OFFSET('PARÁMETROS'!$K$2,MATCH(U290,JC_SE,0),MATCH(T290,CC_SE,0)),
IF(OR(AA290="DSRC/Estratégico",AA290="DSRC/Operativo"),OFFSET('PARÁMETROS'!$K$11,MATCH(U290,JC_DS,0),MATCH(T290,CC_DS,0)),
IF(AA290="SALUD",OFFSET('PARÁMETROS'!$K$29,MATCH(U290,JC_SA,0),MATCH(T290,CC_SA,0)),
IF(AA290="MEDIO AMBIENTE",OFFSET('PARÁMETROS'!$K$20,MATCH(U290,JC_MA,0),MATCH(T290,CC_MA,0)),
IF(AA290="Rel. Gubernamentales",OFFSET('PARÁMETROS'!$K$48,MATCH(U290,JC_G,0),MATCH(T290,CC_G,0)),
IF(AA290="OPERACIONAL",OFFSET('PARÁMETROS'!$K$56,MATCH(U290,JC_OP,0),MATCH(T290,CC_OP,0)),
IF(AA290="FINANCIERO",OFFSET('PARÁMETROS'!$K$56,MATCH(U290,JC_FI,0),MATCH(T290,CC_FI,0)),
OFFSET('PARÁMETROS'!$K$38,MATCH(U290,JC_L,0),MATCH(T290,CC_L,0))))))))),"")</f>
        <v>Control/Acción Satisfactorio</v>
      </c>
      <c r="W290" s="117"/>
      <c r="X290" s="120"/>
      <c r="Y290" s="121"/>
      <c r="Z290" s="30" t="s">
        <v>314</v>
      </c>
      <c r="AA290" s="32" t="str">
        <f>E287</f>
        <v>Seguridad</v>
      </c>
      <c r="AB290" s="33"/>
    </row>
    <row r="291" ht="105.0" customHeight="1">
      <c r="A291" s="68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134" t="s">
        <v>269</v>
      </c>
      <c r="Q291" s="135" t="s">
        <v>633</v>
      </c>
      <c r="R291" s="135" t="s">
        <v>106</v>
      </c>
      <c r="S291" s="135" t="s">
        <v>265</v>
      </c>
      <c r="T291" s="136" t="s">
        <v>6</v>
      </c>
      <c r="U291" s="136" t="s">
        <v>162</v>
      </c>
      <c r="V291" s="136" t="str">
        <f>IFERROR(IF(AA291="SEGURIDAD",OFFSET('PARÁMETROS'!$K$2,MATCH(U291,JC_SE,0),MATCH(T291,CC_SE,0)),
IF(OR(AA291="DSRC/Estratégico",AA291="DSRC/Operativo"),OFFSET('PARÁMETROS'!$K$11,MATCH(U291,JC_DS,0),MATCH(T291,CC_DS,0)),
IF(AA291="SALUD",OFFSET('PARÁMETROS'!$K$29,MATCH(U291,JC_SA,0),MATCH(T291,CC_SA,0)),
IF(AA291="MEDIO AMBIENTE",OFFSET('PARÁMETROS'!$K$20,MATCH(U291,JC_MA,0),MATCH(T291,CC_MA,0)),
IF(AA291="Rel. Gubernamentales",OFFSET('PARÁMETROS'!$K$48,MATCH(U291,JC_G,0),MATCH(T291,CC_G,0)),
IF(AA291="OPERACIONAL",OFFSET('PARÁMETROS'!$K$56,MATCH(U291,JC_OP,0),MATCH(T291,CC_OP,0)),
IF(AA291="FINANCIERO",OFFSET('PARÁMETROS'!$K$56,MATCH(U291,JC_FI,0),MATCH(T291,CC_FI,0)),
OFFSET('PARÁMETROS'!$K$38,MATCH(U291,JC_L,0),MATCH(T291,CC_L,0))))))))),"")</f>
        <v>Control/Acción Satisfactorio</v>
      </c>
      <c r="W291" s="69"/>
      <c r="X291" s="136"/>
      <c r="Y291" s="137"/>
      <c r="Z291" s="30" t="s">
        <v>314</v>
      </c>
      <c r="AA291" s="32" t="str">
        <f>E287</f>
        <v>Seguridad</v>
      </c>
      <c r="AB291" s="33"/>
    </row>
    <row r="292" ht="15.75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3"/>
      <c r="X292" s="163"/>
      <c r="Y292" s="163"/>
      <c r="Z292" s="30"/>
      <c r="AA292" s="32"/>
      <c r="AB292" s="33"/>
    </row>
    <row r="293" ht="15.75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3"/>
      <c r="X293" s="163"/>
      <c r="Y293" s="163"/>
      <c r="Z293" s="30"/>
      <c r="AA293" s="32"/>
      <c r="AB293" s="33"/>
    </row>
    <row r="294" ht="15.75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3"/>
      <c r="X294" s="163"/>
      <c r="Y294" s="163"/>
      <c r="Z294" s="30"/>
      <c r="AA294" s="32"/>
      <c r="AB294" s="33"/>
    </row>
    <row r="295" ht="15.75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3"/>
      <c r="X295" s="163"/>
      <c r="Y295" s="163"/>
      <c r="Z295" s="30"/>
      <c r="AA295" s="32"/>
      <c r="AB295" s="33"/>
    </row>
    <row r="296" ht="15.75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3"/>
      <c r="X296" s="163"/>
      <c r="Y296" s="163"/>
      <c r="Z296" s="30"/>
      <c r="AA296" s="32"/>
      <c r="AB296" s="33"/>
    </row>
    <row r="297" ht="15.75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3"/>
      <c r="X297" s="163"/>
      <c r="Y297" s="163"/>
      <c r="Z297" s="30"/>
      <c r="AA297" s="32"/>
      <c r="AB297" s="33"/>
    </row>
    <row r="298" ht="15.75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3"/>
      <c r="X298" s="163"/>
      <c r="Y298" s="163"/>
      <c r="Z298" s="30"/>
      <c r="AA298" s="32"/>
      <c r="AB298" s="33"/>
    </row>
    <row r="299" ht="15.75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3"/>
      <c r="X299" s="163"/>
      <c r="Y299" s="163"/>
      <c r="Z299" s="30"/>
      <c r="AA299" s="32"/>
      <c r="AB299" s="33"/>
    </row>
    <row r="300" ht="15.75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3"/>
      <c r="X300" s="163"/>
      <c r="Y300" s="163"/>
      <c r="Z300" s="30"/>
      <c r="AA300" s="32"/>
      <c r="AB300" s="33"/>
    </row>
    <row r="301" ht="15.75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3"/>
      <c r="X301" s="163"/>
      <c r="Y301" s="163"/>
      <c r="Z301" s="30"/>
      <c r="AA301" s="32"/>
      <c r="AB301" s="33"/>
    </row>
    <row r="302" ht="15.75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3"/>
      <c r="X302" s="163"/>
      <c r="Y302" s="163"/>
      <c r="Z302" s="30"/>
      <c r="AA302" s="32"/>
      <c r="AB302" s="33"/>
    </row>
    <row r="303" ht="15.75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3"/>
      <c r="X303" s="163"/>
      <c r="Y303" s="163"/>
      <c r="Z303" s="30"/>
      <c r="AA303" s="32"/>
      <c r="AB303" s="33"/>
    </row>
    <row r="304" ht="15.75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3"/>
      <c r="X304" s="163"/>
      <c r="Y304" s="163"/>
      <c r="Z304" s="30"/>
      <c r="AA304" s="32"/>
      <c r="AB304" s="33"/>
    </row>
    <row r="305" ht="15.75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3"/>
      <c r="X305" s="163"/>
      <c r="Y305" s="163"/>
      <c r="Z305" s="30"/>
      <c r="AA305" s="32"/>
      <c r="AB305" s="33"/>
    </row>
    <row r="306" ht="15.75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3"/>
      <c r="X306" s="163"/>
      <c r="Y306" s="163"/>
      <c r="Z306" s="30"/>
      <c r="AA306" s="32"/>
      <c r="AB306" s="33"/>
    </row>
    <row r="307" ht="15.75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3"/>
      <c r="X307" s="163"/>
      <c r="Y307" s="163"/>
      <c r="Z307" s="30"/>
      <c r="AA307" s="32"/>
      <c r="AB307" s="33"/>
    </row>
    <row r="308" ht="15.75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3"/>
      <c r="X308" s="163"/>
      <c r="Y308" s="163"/>
      <c r="Z308" s="30"/>
      <c r="AA308" s="32"/>
      <c r="AB308" s="33"/>
    </row>
    <row r="309" ht="15.75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3"/>
      <c r="X309" s="163"/>
      <c r="Y309" s="163"/>
      <c r="Z309" s="30"/>
      <c r="AA309" s="32"/>
      <c r="AB309" s="33"/>
    </row>
    <row r="310" ht="15.75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3"/>
      <c r="X310" s="163"/>
      <c r="Y310" s="163"/>
      <c r="Z310" s="30"/>
      <c r="AA310" s="32"/>
      <c r="AB310" s="33"/>
    </row>
    <row r="311" ht="15.75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3"/>
      <c r="X311" s="163"/>
      <c r="Y311" s="163"/>
      <c r="Z311" s="30"/>
      <c r="AA311" s="32"/>
      <c r="AB311" s="33"/>
    </row>
    <row r="312" ht="15.75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3"/>
      <c r="X312" s="163"/>
      <c r="Y312" s="163"/>
      <c r="Z312" s="30"/>
      <c r="AA312" s="32"/>
      <c r="AB312" s="33"/>
    </row>
    <row r="313" ht="15.75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3"/>
      <c r="X313" s="163"/>
      <c r="Y313" s="163"/>
      <c r="Z313" s="30"/>
      <c r="AA313" s="32"/>
      <c r="AB313" s="33"/>
    </row>
    <row r="314" ht="15.75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3"/>
      <c r="X314" s="163"/>
      <c r="Y314" s="163"/>
      <c r="Z314" s="30"/>
      <c r="AA314" s="32"/>
      <c r="AB314" s="33"/>
    </row>
    <row r="315" ht="15.75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3"/>
      <c r="X315" s="163"/>
      <c r="Y315" s="163"/>
      <c r="Z315" s="30"/>
      <c r="AA315" s="32"/>
      <c r="AB315" s="33"/>
    </row>
    <row r="316" ht="15.75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3"/>
      <c r="X316" s="163"/>
      <c r="Y316" s="163"/>
      <c r="Z316" s="30"/>
      <c r="AA316" s="32"/>
      <c r="AB316" s="33"/>
    </row>
    <row r="317" ht="15.75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3"/>
      <c r="X317" s="163"/>
      <c r="Y317" s="163"/>
      <c r="Z317" s="30"/>
      <c r="AA317" s="32"/>
      <c r="AB317" s="33"/>
    </row>
    <row r="318" ht="15.75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3"/>
      <c r="X318" s="163"/>
      <c r="Y318" s="163"/>
      <c r="Z318" s="30"/>
      <c r="AA318" s="32"/>
      <c r="AB318" s="33"/>
    </row>
    <row r="319" ht="15.75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3"/>
      <c r="X319" s="163"/>
      <c r="Y319" s="163"/>
      <c r="Z319" s="30"/>
      <c r="AA319" s="32"/>
      <c r="AB319" s="33"/>
    </row>
    <row r="320" ht="15.75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3"/>
      <c r="X320" s="163"/>
      <c r="Y320" s="163"/>
      <c r="Z320" s="30"/>
      <c r="AA320" s="32"/>
      <c r="AB320" s="33"/>
    </row>
    <row r="321" ht="15.75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3"/>
      <c r="X321" s="163"/>
      <c r="Y321" s="163"/>
      <c r="Z321" s="30"/>
      <c r="AA321" s="32"/>
      <c r="AB321" s="33"/>
    </row>
    <row r="322" ht="15.75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3"/>
      <c r="X322" s="163"/>
      <c r="Y322" s="163"/>
      <c r="Z322" s="30"/>
      <c r="AA322" s="32"/>
      <c r="AB322" s="33"/>
    </row>
    <row r="323" ht="15.75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3"/>
      <c r="X323" s="163"/>
      <c r="Y323" s="163"/>
      <c r="Z323" s="30"/>
      <c r="AA323" s="32"/>
      <c r="AB323" s="33"/>
    </row>
    <row r="324" ht="15.75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3"/>
      <c r="X324" s="163"/>
      <c r="Y324" s="163"/>
      <c r="Z324" s="30"/>
      <c r="AA324" s="32"/>
      <c r="AB324" s="33"/>
    </row>
    <row r="325" ht="15.75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3"/>
      <c r="X325" s="163"/>
      <c r="Y325" s="163"/>
      <c r="Z325" s="30"/>
      <c r="AA325" s="32"/>
      <c r="AB325" s="33"/>
    </row>
    <row r="326" ht="15.75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3"/>
      <c r="X326" s="163"/>
      <c r="Y326" s="163"/>
      <c r="Z326" s="30"/>
      <c r="AA326" s="32"/>
      <c r="AB326" s="33"/>
    </row>
    <row r="327" ht="15.75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3"/>
      <c r="X327" s="163"/>
      <c r="Y327" s="163"/>
      <c r="Z327" s="30"/>
      <c r="AA327" s="32"/>
      <c r="AB327" s="33"/>
    </row>
    <row r="328" ht="15.75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3"/>
      <c r="X328" s="163"/>
      <c r="Y328" s="163"/>
      <c r="Z328" s="30"/>
      <c r="AA328" s="32"/>
      <c r="AB328" s="33"/>
    </row>
    <row r="329" ht="15.75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3"/>
      <c r="X329" s="163"/>
      <c r="Y329" s="163"/>
      <c r="Z329" s="30"/>
      <c r="AA329" s="32"/>
      <c r="AB329" s="33"/>
    </row>
    <row r="330" ht="15.75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3"/>
      <c r="X330" s="163"/>
      <c r="Y330" s="163"/>
      <c r="Z330" s="30"/>
      <c r="AA330" s="32"/>
      <c r="AB330" s="33"/>
    </row>
    <row r="331" ht="15.75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3"/>
      <c r="X331" s="163"/>
      <c r="Y331" s="163"/>
      <c r="Z331" s="30"/>
      <c r="AA331" s="32"/>
      <c r="AB331" s="33"/>
    </row>
    <row r="332" ht="15.75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3"/>
      <c r="X332" s="163"/>
      <c r="Y332" s="163"/>
      <c r="Z332" s="30"/>
      <c r="AA332" s="32"/>
      <c r="AB332" s="33"/>
    </row>
    <row r="333" ht="15.75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3"/>
      <c r="X333" s="163"/>
      <c r="Y333" s="163"/>
      <c r="Z333" s="30"/>
      <c r="AA333" s="32"/>
      <c r="AB333" s="33"/>
    </row>
    <row r="334" ht="15.75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3"/>
      <c r="X334" s="163"/>
      <c r="Y334" s="163"/>
      <c r="Z334" s="30"/>
      <c r="AA334" s="32"/>
      <c r="AB334" s="33"/>
    </row>
    <row r="335" ht="15.75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3"/>
      <c r="X335" s="163"/>
      <c r="Y335" s="163"/>
      <c r="Z335" s="30"/>
      <c r="AA335" s="32"/>
      <c r="AB335" s="33"/>
    </row>
    <row r="336" ht="15.75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3"/>
      <c r="X336" s="163"/>
      <c r="Y336" s="163"/>
      <c r="Z336" s="30"/>
      <c r="AA336" s="32"/>
      <c r="AB336" s="33"/>
    </row>
    <row r="337" ht="15.75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3"/>
      <c r="X337" s="163"/>
      <c r="Y337" s="163"/>
      <c r="Z337" s="30"/>
      <c r="AA337" s="32"/>
      <c r="AB337" s="33"/>
    </row>
    <row r="338" ht="15.75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3"/>
      <c r="X338" s="163"/>
      <c r="Y338" s="163"/>
      <c r="Z338" s="30"/>
      <c r="AA338" s="32"/>
      <c r="AB338" s="33"/>
    </row>
    <row r="339" ht="15.75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3"/>
      <c r="X339" s="163"/>
      <c r="Y339" s="163"/>
      <c r="Z339" s="30"/>
      <c r="AA339" s="32"/>
      <c r="AB339" s="33"/>
    </row>
    <row r="340" ht="15.75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3"/>
      <c r="X340" s="163"/>
      <c r="Y340" s="163"/>
      <c r="Z340" s="30"/>
      <c r="AA340" s="32"/>
      <c r="AB340" s="33"/>
    </row>
    <row r="341" ht="15.75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3"/>
      <c r="X341" s="163"/>
      <c r="Y341" s="163"/>
      <c r="Z341" s="30"/>
      <c r="AA341" s="32"/>
      <c r="AB341" s="33"/>
    </row>
    <row r="342" ht="15.75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3"/>
      <c r="X342" s="163"/>
      <c r="Y342" s="163"/>
      <c r="Z342" s="30"/>
      <c r="AA342" s="32"/>
      <c r="AB342" s="33"/>
    </row>
    <row r="343" ht="15.75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3"/>
      <c r="X343" s="163"/>
      <c r="Y343" s="163"/>
      <c r="Z343" s="30"/>
      <c r="AA343" s="32"/>
      <c r="AB343" s="33"/>
    </row>
    <row r="344" ht="15.75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3"/>
      <c r="X344" s="163"/>
      <c r="Y344" s="163"/>
      <c r="Z344" s="30"/>
      <c r="AA344" s="32"/>
      <c r="AB344" s="33"/>
    </row>
    <row r="345" ht="15.75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3"/>
      <c r="X345" s="163"/>
      <c r="Y345" s="163"/>
      <c r="Z345" s="30"/>
      <c r="AA345" s="32"/>
      <c r="AB345" s="33"/>
    </row>
    <row r="346" ht="15.75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3"/>
      <c r="X346" s="163"/>
      <c r="Y346" s="163"/>
      <c r="Z346" s="30"/>
      <c r="AA346" s="32"/>
      <c r="AB346" s="33"/>
    </row>
    <row r="347" ht="15.75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3"/>
      <c r="X347" s="163"/>
      <c r="Y347" s="163"/>
      <c r="Z347" s="30"/>
      <c r="AA347" s="32"/>
      <c r="AB347" s="33"/>
    </row>
    <row r="348" ht="15.75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3"/>
      <c r="X348" s="163"/>
      <c r="Y348" s="163"/>
      <c r="Z348" s="30"/>
      <c r="AA348" s="32"/>
      <c r="AB348" s="33"/>
    </row>
    <row r="349" ht="15.75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3"/>
      <c r="X349" s="163"/>
      <c r="Y349" s="163"/>
      <c r="Z349" s="30"/>
      <c r="AA349" s="32"/>
      <c r="AB349" s="33"/>
    </row>
    <row r="350" ht="15.75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3"/>
      <c r="X350" s="163"/>
      <c r="Y350" s="163"/>
      <c r="Z350" s="30"/>
      <c r="AA350" s="32"/>
      <c r="AB350" s="33"/>
    </row>
    <row r="351" ht="15.75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3"/>
      <c r="X351" s="163"/>
      <c r="Y351" s="163"/>
      <c r="Z351" s="30"/>
      <c r="AA351" s="32"/>
      <c r="AB351" s="33"/>
    </row>
    <row r="352" ht="15.75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3"/>
      <c r="X352" s="163"/>
      <c r="Y352" s="163"/>
      <c r="Z352" s="30"/>
      <c r="AA352" s="32"/>
      <c r="AB352" s="33"/>
    </row>
    <row r="353" ht="15.75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3"/>
      <c r="X353" s="163"/>
      <c r="Y353" s="163"/>
      <c r="Z353" s="30"/>
      <c r="AA353" s="32"/>
      <c r="AB353" s="33"/>
    </row>
    <row r="354" ht="15.75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3"/>
      <c r="X354" s="163"/>
      <c r="Y354" s="163"/>
      <c r="Z354" s="30"/>
      <c r="AA354" s="32"/>
      <c r="AB354" s="33"/>
    </row>
    <row r="355" ht="15.75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3"/>
      <c r="X355" s="163"/>
      <c r="Y355" s="163"/>
      <c r="Z355" s="30"/>
      <c r="AA355" s="32"/>
      <c r="AB355" s="33"/>
    </row>
    <row r="356" ht="15.75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3"/>
      <c r="X356" s="163"/>
      <c r="Y356" s="163"/>
      <c r="Z356" s="30"/>
      <c r="AA356" s="32"/>
      <c r="AB356" s="33"/>
    </row>
    <row r="357" ht="15.75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3"/>
      <c r="X357" s="163"/>
      <c r="Y357" s="163"/>
      <c r="Z357" s="30"/>
      <c r="AA357" s="32"/>
      <c r="AB357" s="33"/>
    </row>
    <row r="358" ht="15.75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3"/>
      <c r="X358" s="163"/>
      <c r="Y358" s="163"/>
      <c r="Z358" s="30"/>
      <c r="AA358" s="32"/>
      <c r="AB358" s="33"/>
    </row>
    <row r="359" ht="15.75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3"/>
      <c r="X359" s="163"/>
      <c r="Y359" s="163"/>
      <c r="Z359" s="30"/>
      <c r="AA359" s="32"/>
      <c r="AB359" s="33"/>
    </row>
    <row r="360" ht="15.75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3"/>
      <c r="X360" s="163"/>
      <c r="Y360" s="163"/>
      <c r="Z360" s="30"/>
      <c r="AA360" s="32"/>
      <c r="AB360" s="33"/>
    </row>
    <row r="361" ht="15.75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3"/>
      <c r="X361" s="163"/>
      <c r="Y361" s="163"/>
      <c r="Z361" s="30"/>
      <c r="AA361" s="32"/>
      <c r="AB361" s="33"/>
    </row>
    <row r="362" ht="15.75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3"/>
      <c r="X362" s="163"/>
      <c r="Y362" s="163"/>
      <c r="Z362" s="30"/>
      <c r="AA362" s="32"/>
      <c r="AB362" s="33"/>
    </row>
    <row r="363" ht="15.75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3"/>
      <c r="X363" s="163"/>
      <c r="Y363" s="163"/>
      <c r="Z363" s="30"/>
      <c r="AA363" s="32"/>
      <c r="AB363" s="33"/>
    </row>
    <row r="364" ht="15.75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3"/>
      <c r="X364" s="163"/>
      <c r="Y364" s="163"/>
      <c r="Z364" s="30"/>
      <c r="AA364" s="32"/>
      <c r="AB364" s="33"/>
    </row>
    <row r="365" ht="15.75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3"/>
      <c r="X365" s="163"/>
      <c r="Y365" s="163"/>
      <c r="Z365" s="30"/>
      <c r="AA365" s="32"/>
      <c r="AB365" s="33"/>
    </row>
    <row r="366" ht="15.75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3"/>
      <c r="X366" s="163"/>
      <c r="Y366" s="163"/>
      <c r="Z366" s="30"/>
      <c r="AA366" s="32"/>
      <c r="AB366" s="33"/>
    </row>
    <row r="367" ht="15.75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3"/>
      <c r="X367" s="163"/>
      <c r="Y367" s="163"/>
      <c r="Z367" s="30"/>
      <c r="AA367" s="32"/>
      <c r="AB367" s="33"/>
    </row>
    <row r="368" ht="15.75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3"/>
      <c r="X368" s="163"/>
      <c r="Y368" s="163"/>
      <c r="Z368" s="30"/>
      <c r="AA368" s="32"/>
      <c r="AB368" s="33"/>
    </row>
    <row r="369" ht="15.75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3"/>
      <c r="X369" s="163"/>
      <c r="Y369" s="163"/>
      <c r="Z369" s="30"/>
      <c r="AA369" s="32"/>
      <c r="AB369" s="33"/>
    </row>
    <row r="370" ht="15.75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3"/>
      <c r="X370" s="163"/>
      <c r="Y370" s="163"/>
      <c r="Z370" s="30"/>
      <c r="AA370" s="32"/>
      <c r="AB370" s="33"/>
    </row>
    <row r="371" ht="15.75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3"/>
      <c r="X371" s="163"/>
      <c r="Y371" s="163"/>
      <c r="Z371" s="30"/>
      <c r="AA371" s="32"/>
      <c r="AB371" s="33"/>
    </row>
    <row r="372" ht="15.75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3"/>
      <c r="X372" s="163"/>
      <c r="Y372" s="163"/>
      <c r="Z372" s="30"/>
      <c r="AA372" s="32"/>
      <c r="AB372" s="33"/>
    </row>
    <row r="373" ht="15.75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3"/>
      <c r="X373" s="163"/>
      <c r="Y373" s="163"/>
      <c r="Z373" s="30"/>
      <c r="AA373" s="32"/>
      <c r="AB373" s="33"/>
    </row>
    <row r="374" ht="15.75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3"/>
      <c r="X374" s="163"/>
      <c r="Y374" s="163"/>
      <c r="Z374" s="30"/>
      <c r="AA374" s="32"/>
      <c r="AB374" s="33"/>
    </row>
    <row r="375" ht="15.75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3"/>
      <c r="X375" s="163"/>
      <c r="Y375" s="163"/>
      <c r="Z375" s="30"/>
      <c r="AA375" s="32"/>
      <c r="AB375" s="33"/>
    </row>
    <row r="376" ht="15.75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3"/>
      <c r="X376" s="163"/>
      <c r="Y376" s="163"/>
      <c r="Z376" s="30"/>
      <c r="AA376" s="32"/>
      <c r="AB376" s="33"/>
    </row>
    <row r="377" ht="15.75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3"/>
      <c r="X377" s="163"/>
      <c r="Y377" s="163"/>
      <c r="Z377" s="30"/>
      <c r="AA377" s="32"/>
      <c r="AB377" s="33"/>
    </row>
    <row r="378" ht="15.75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3"/>
      <c r="X378" s="163"/>
      <c r="Y378" s="163"/>
      <c r="Z378" s="30"/>
      <c r="AA378" s="32"/>
      <c r="AB378" s="33"/>
    </row>
    <row r="379" ht="15.75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3"/>
      <c r="X379" s="163"/>
      <c r="Y379" s="163"/>
      <c r="Z379" s="30"/>
      <c r="AA379" s="32"/>
      <c r="AB379" s="33"/>
    </row>
    <row r="380" ht="15.75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3"/>
      <c r="X380" s="163"/>
      <c r="Y380" s="163"/>
      <c r="Z380" s="30"/>
      <c r="AA380" s="32"/>
      <c r="AB380" s="33"/>
    </row>
    <row r="381" ht="15.75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3"/>
      <c r="X381" s="163"/>
      <c r="Y381" s="163"/>
      <c r="Z381" s="30"/>
      <c r="AA381" s="32"/>
      <c r="AB381" s="33"/>
    </row>
    <row r="382" ht="15.75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3"/>
      <c r="X382" s="163"/>
      <c r="Y382" s="163"/>
      <c r="Z382" s="30"/>
      <c r="AA382" s="32"/>
      <c r="AB382" s="33"/>
    </row>
    <row r="383" ht="15.75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3"/>
      <c r="X383" s="163"/>
      <c r="Y383" s="163"/>
      <c r="Z383" s="30"/>
      <c r="AA383" s="32"/>
      <c r="AB383" s="33"/>
    </row>
    <row r="384" ht="15.75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3"/>
      <c r="X384" s="163"/>
      <c r="Y384" s="163"/>
      <c r="Z384" s="30"/>
      <c r="AA384" s="32"/>
      <c r="AB384" s="33"/>
    </row>
    <row r="385" ht="15.75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3"/>
      <c r="X385" s="163"/>
      <c r="Y385" s="163"/>
      <c r="Z385" s="30"/>
      <c r="AA385" s="32"/>
      <c r="AB385" s="33"/>
    </row>
    <row r="386" ht="15.75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3"/>
      <c r="X386" s="163"/>
      <c r="Y386" s="163"/>
      <c r="Z386" s="30"/>
      <c r="AA386" s="32"/>
      <c r="AB386" s="33"/>
    </row>
    <row r="387" ht="15.75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3"/>
      <c r="X387" s="163"/>
      <c r="Y387" s="163"/>
      <c r="Z387" s="30"/>
      <c r="AA387" s="32"/>
      <c r="AB387" s="33"/>
    </row>
    <row r="388" ht="15.75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3"/>
      <c r="X388" s="163"/>
      <c r="Y388" s="163"/>
      <c r="Z388" s="30"/>
      <c r="AA388" s="32"/>
      <c r="AB388" s="33"/>
    </row>
    <row r="389" ht="15.75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3"/>
      <c r="X389" s="163"/>
      <c r="Y389" s="163"/>
      <c r="Z389" s="30"/>
      <c r="AA389" s="32"/>
      <c r="AB389" s="33"/>
    </row>
    <row r="390" ht="15.75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3"/>
      <c r="X390" s="163"/>
      <c r="Y390" s="163"/>
      <c r="Z390" s="30"/>
      <c r="AA390" s="32"/>
      <c r="AB390" s="33"/>
    </row>
    <row r="391" ht="15.75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3"/>
      <c r="X391" s="163"/>
      <c r="Y391" s="163"/>
      <c r="Z391" s="30"/>
      <c r="AA391" s="32"/>
      <c r="AB391" s="33"/>
    </row>
    <row r="392" ht="15.75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3"/>
      <c r="X392" s="163"/>
      <c r="Y392" s="163"/>
      <c r="Z392" s="30"/>
      <c r="AA392" s="32"/>
      <c r="AB392" s="33"/>
    </row>
    <row r="393" ht="15.75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3"/>
      <c r="X393" s="163"/>
      <c r="Y393" s="163"/>
      <c r="Z393" s="30"/>
      <c r="AA393" s="32"/>
      <c r="AB393" s="33"/>
    </row>
    <row r="394" ht="15.75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3"/>
      <c r="X394" s="163"/>
      <c r="Y394" s="163"/>
      <c r="Z394" s="30"/>
      <c r="AA394" s="32"/>
      <c r="AB394" s="33"/>
    </row>
    <row r="395" ht="15.75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3"/>
      <c r="X395" s="163"/>
      <c r="Y395" s="163"/>
      <c r="Z395" s="30"/>
      <c r="AA395" s="32"/>
      <c r="AB395" s="33"/>
    </row>
    <row r="396" ht="15.75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3"/>
      <c r="X396" s="163"/>
      <c r="Y396" s="163"/>
      <c r="Z396" s="30"/>
      <c r="AA396" s="32"/>
      <c r="AB396" s="33"/>
    </row>
    <row r="397" ht="15.75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3"/>
      <c r="X397" s="163"/>
      <c r="Y397" s="163"/>
      <c r="Z397" s="30"/>
      <c r="AA397" s="32"/>
      <c r="AB397" s="33"/>
    </row>
    <row r="398" ht="15.75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3"/>
      <c r="X398" s="163"/>
      <c r="Y398" s="163"/>
      <c r="Z398" s="30"/>
      <c r="AA398" s="32"/>
      <c r="AB398" s="33"/>
    </row>
    <row r="399" ht="15.75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3"/>
      <c r="X399" s="163"/>
      <c r="Y399" s="163"/>
      <c r="Z399" s="30"/>
      <c r="AA399" s="32"/>
      <c r="AB399" s="33"/>
    </row>
    <row r="400" ht="15.75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3"/>
      <c r="X400" s="163"/>
      <c r="Y400" s="163"/>
      <c r="Z400" s="30"/>
      <c r="AA400" s="32"/>
      <c r="AB400" s="33"/>
    </row>
    <row r="401" ht="15.75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3"/>
      <c r="X401" s="163"/>
      <c r="Y401" s="163"/>
      <c r="Z401" s="30"/>
      <c r="AA401" s="32"/>
      <c r="AB401" s="33"/>
    </row>
    <row r="402" ht="15.75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3"/>
      <c r="X402" s="163"/>
      <c r="Y402" s="163"/>
      <c r="Z402" s="30"/>
      <c r="AA402" s="32"/>
      <c r="AB402" s="33"/>
    </row>
    <row r="403" ht="15.75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3"/>
      <c r="X403" s="163"/>
      <c r="Y403" s="163"/>
      <c r="Z403" s="30"/>
      <c r="AA403" s="32"/>
      <c r="AB403" s="33"/>
    </row>
    <row r="404" ht="15.75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3"/>
      <c r="X404" s="163"/>
      <c r="Y404" s="163"/>
      <c r="Z404" s="30"/>
      <c r="AA404" s="32"/>
      <c r="AB404" s="33"/>
    </row>
    <row r="405" ht="15.75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3"/>
      <c r="X405" s="163"/>
      <c r="Y405" s="163"/>
      <c r="Z405" s="30"/>
      <c r="AA405" s="32"/>
      <c r="AB405" s="33"/>
    </row>
    <row r="406" ht="15.75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3"/>
      <c r="X406" s="163"/>
      <c r="Y406" s="163"/>
      <c r="Z406" s="30"/>
      <c r="AA406" s="32"/>
      <c r="AB406" s="33"/>
    </row>
    <row r="407" ht="15.75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3"/>
      <c r="X407" s="163"/>
      <c r="Y407" s="163"/>
      <c r="Z407" s="30"/>
      <c r="AA407" s="32"/>
      <c r="AB407" s="33"/>
    </row>
    <row r="408" ht="15.75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3"/>
      <c r="X408" s="163"/>
      <c r="Y408" s="163"/>
      <c r="Z408" s="30"/>
      <c r="AA408" s="32"/>
      <c r="AB408" s="33"/>
    </row>
    <row r="409" ht="15.75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3"/>
      <c r="X409" s="163"/>
      <c r="Y409" s="163"/>
      <c r="Z409" s="30"/>
      <c r="AA409" s="32"/>
      <c r="AB409" s="33"/>
    </row>
    <row r="410" ht="15.75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3"/>
      <c r="X410" s="163"/>
      <c r="Y410" s="163"/>
      <c r="Z410" s="30"/>
      <c r="AA410" s="32"/>
      <c r="AB410" s="33"/>
    </row>
    <row r="411" ht="15.75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3"/>
      <c r="X411" s="163"/>
      <c r="Y411" s="163"/>
      <c r="Z411" s="30"/>
      <c r="AA411" s="32"/>
      <c r="AB411" s="33"/>
    </row>
    <row r="412" ht="15.75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3"/>
      <c r="X412" s="163"/>
      <c r="Y412" s="163"/>
      <c r="Z412" s="30"/>
      <c r="AA412" s="32"/>
      <c r="AB412" s="33"/>
    </row>
    <row r="413" ht="15.75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3"/>
      <c r="X413" s="163"/>
      <c r="Y413" s="163"/>
      <c r="Z413" s="30"/>
      <c r="AA413" s="32"/>
      <c r="AB413" s="33"/>
    </row>
    <row r="414" ht="15.75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3"/>
      <c r="X414" s="163"/>
      <c r="Y414" s="163"/>
      <c r="Z414" s="30"/>
      <c r="AA414" s="32"/>
      <c r="AB414" s="33"/>
    </row>
    <row r="415" ht="15.75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3"/>
      <c r="X415" s="163"/>
      <c r="Y415" s="163"/>
      <c r="Z415" s="30"/>
      <c r="AA415" s="32"/>
      <c r="AB415" s="33"/>
    </row>
    <row r="416" ht="15.75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3"/>
      <c r="X416" s="163"/>
      <c r="Y416" s="163"/>
      <c r="Z416" s="30"/>
      <c r="AA416" s="32"/>
      <c r="AB416" s="33"/>
    </row>
    <row r="417" ht="15.75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3"/>
      <c r="X417" s="163"/>
      <c r="Y417" s="163"/>
      <c r="Z417" s="30"/>
      <c r="AA417" s="32"/>
      <c r="AB417" s="33"/>
    </row>
    <row r="418" ht="15.75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3"/>
      <c r="X418" s="163"/>
      <c r="Y418" s="163"/>
      <c r="Z418" s="30"/>
      <c r="AA418" s="32"/>
      <c r="AB418" s="33"/>
    </row>
    <row r="419" ht="15.75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3"/>
      <c r="X419" s="163"/>
      <c r="Y419" s="163"/>
      <c r="Z419" s="30"/>
      <c r="AA419" s="32"/>
      <c r="AB419" s="33"/>
    </row>
    <row r="420" ht="15.75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3"/>
      <c r="X420" s="163"/>
      <c r="Y420" s="163"/>
      <c r="Z420" s="30"/>
      <c r="AA420" s="32"/>
      <c r="AB420" s="33"/>
    </row>
    <row r="421" ht="15.75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3"/>
      <c r="X421" s="163"/>
      <c r="Y421" s="163"/>
      <c r="Z421" s="30"/>
      <c r="AA421" s="32"/>
      <c r="AB421" s="33"/>
    </row>
    <row r="422" ht="15.75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3"/>
      <c r="X422" s="163"/>
      <c r="Y422" s="163"/>
      <c r="Z422" s="30"/>
      <c r="AA422" s="32"/>
      <c r="AB422" s="33"/>
    </row>
    <row r="423" ht="15.75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3"/>
      <c r="X423" s="163"/>
      <c r="Y423" s="163"/>
      <c r="Z423" s="30"/>
      <c r="AA423" s="32"/>
      <c r="AB423" s="33"/>
    </row>
    <row r="424" ht="15.75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3"/>
      <c r="X424" s="163"/>
      <c r="Y424" s="163"/>
      <c r="Z424" s="30"/>
      <c r="AA424" s="32"/>
      <c r="AB424" s="33"/>
    </row>
    <row r="425" ht="15.75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3"/>
      <c r="X425" s="163"/>
      <c r="Y425" s="163"/>
      <c r="Z425" s="30"/>
      <c r="AA425" s="32"/>
      <c r="AB425" s="33"/>
    </row>
    <row r="426" ht="15.75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3"/>
      <c r="X426" s="163"/>
      <c r="Y426" s="163"/>
      <c r="Z426" s="30"/>
      <c r="AA426" s="32"/>
      <c r="AB426" s="33"/>
    </row>
    <row r="427" ht="15.75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3"/>
      <c r="X427" s="163"/>
      <c r="Y427" s="163"/>
      <c r="Z427" s="30"/>
      <c r="AA427" s="32"/>
      <c r="AB427" s="33"/>
    </row>
    <row r="428" ht="15.75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3"/>
      <c r="X428" s="163"/>
      <c r="Y428" s="163"/>
      <c r="Z428" s="30"/>
      <c r="AA428" s="32"/>
      <c r="AB428" s="33"/>
    </row>
    <row r="429" ht="15.75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3"/>
      <c r="X429" s="163"/>
      <c r="Y429" s="163"/>
      <c r="Z429" s="30"/>
      <c r="AA429" s="32"/>
      <c r="AB429" s="33"/>
    </row>
    <row r="430" ht="15.75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3"/>
      <c r="X430" s="163"/>
      <c r="Y430" s="163"/>
      <c r="Z430" s="30"/>
      <c r="AA430" s="32"/>
      <c r="AB430" s="33"/>
    </row>
    <row r="431" ht="15.75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3"/>
      <c r="X431" s="163"/>
      <c r="Y431" s="163"/>
      <c r="Z431" s="30"/>
      <c r="AA431" s="32"/>
      <c r="AB431" s="33"/>
    </row>
    <row r="432" ht="15.75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3"/>
      <c r="X432" s="163"/>
      <c r="Y432" s="163"/>
      <c r="Z432" s="30"/>
      <c r="AA432" s="32"/>
      <c r="AB432" s="33"/>
    </row>
    <row r="433" ht="15.75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3"/>
      <c r="X433" s="163"/>
      <c r="Y433" s="163"/>
      <c r="Z433" s="30"/>
      <c r="AA433" s="32"/>
      <c r="AB433" s="33"/>
    </row>
    <row r="434" ht="15.75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3"/>
      <c r="X434" s="163"/>
      <c r="Y434" s="163"/>
      <c r="Z434" s="30"/>
      <c r="AA434" s="32"/>
      <c r="AB434" s="33"/>
    </row>
    <row r="435" ht="15.75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3"/>
      <c r="X435" s="163"/>
      <c r="Y435" s="163"/>
      <c r="Z435" s="30"/>
      <c r="AA435" s="32"/>
      <c r="AB435" s="33"/>
    </row>
    <row r="436" ht="15.75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3"/>
      <c r="X436" s="163"/>
      <c r="Y436" s="163"/>
      <c r="Z436" s="30"/>
      <c r="AA436" s="32"/>
      <c r="AB436" s="33"/>
    </row>
    <row r="437" ht="15.75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3"/>
      <c r="X437" s="163"/>
      <c r="Y437" s="163"/>
      <c r="Z437" s="30"/>
      <c r="AA437" s="32"/>
      <c r="AB437" s="33"/>
    </row>
    <row r="438" ht="15.75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3"/>
      <c r="X438" s="163"/>
      <c r="Y438" s="163"/>
      <c r="Z438" s="30"/>
      <c r="AA438" s="32"/>
      <c r="AB438" s="33"/>
    </row>
    <row r="439" ht="15.75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3"/>
      <c r="X439" s="163"/>
      <c r="Y439" s="163"/>
      <c r="Z439" s="30"/>
      <c r="AA439" s="32"/>
      <c r="AB439" s="33"/>
    </row>
    <row r="440" ht="15.75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3"/>
      <c r="X440" s="163"/>
      <c r="Y440" s="163"/>
      <c r="Z440" s="30"/>
      <c r="AA440" s="32"/>
      <c r="AB440" s="33"/>
    </row>
    <row r="441" ht="15.75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3"/>
      <c r="X441" s="163"/>
      <c r="Y441" s="163"/>
      <c r="Z441" s="30"/>
      <c r="AA441" s="32"/>
      <c r="AB441" s="33"/>
    </row>
    <row r="442" ht="15.75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3"/>
      <c r="X442" s="163"/>
      <c r="Y442" s="163"/>
      <c r="Z442" s="30"/>
      <c r="AA442" s="32"/>
      <c r="AB442" s="33"/>
    </row>
    <row r="443" ht="15.75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3"/>
      <c r="X443" s="163"/>
      <c r="Y443" s="163"/>
      <c r="Z443" s="30"/>
      <c r="AA443" s="32"/>
      <c r="AB443" s="33"/>
    </row>
    <row r="444" ht="15.75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3"/>
      <c r="X444" s="163"/>
      <c r="Y444" s="163"/>
      <c r="Z444" s="30"/>
      <c r="AA444" s="32"/>
      <c r="AB444" s="33"/>
    </row>
    <row r="445" ht="15.75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3"/>
      <c r="X445" s="163"/>
      <c r="Y445" s="163"/>
      <c r="Z445" s="30"/>
      <c r="AA445" s="32"/>
      <c r="AB445" s="33"/>
    </row>
    <row r="446" ht="15.75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3"/>
      <c r="X446" s="163"/>
      <c r="Y446" s="163"/>
      <c r="Z446" s="30"/>
      <c r="AA446" s="32"/>
      <c r="AB446" s="33"/>
    </row>
    <row r="447" ht="15.75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3"/>
      <c r="X447" s="163"/>
      <c r="Y447" s="163"/>
      <c r="Z447" s="30"/>
      <c r="AA447" s="32"/>
      <c r="AB447" s="33"/>
    </row>
    <row r="448" ht="15.75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3"/>
      <c r="X448" s="163"/>
      <c r="Y448" s="163"/>
      <c r="Z448" s="30"/>
      <c r="AA448" s="32"/>
      <c r="AB448" s="33"/>
    </row>
    <row r="449" ht="15.75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3"/>
      <c r="X449" s="163"/>
      <c r="Y449" s="163"/>
      <c r="Z449" s="30"/>
      <c r="AA449" s="32"/>
      <c r="AB449" s="33"/>
    </row>
    <row r="450" ht="15.75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3"/>
      <c r="X450" s="163"/>
      <c r="Y450" s="163"/>
      <c r="Z450" s="30"/>
      <c r="AA450" s="32"/>
      <c r="AB450" s="33"/>
    </row>
    <row r="451" ht="15.75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3"/>
      <c r="X451" s="163"/>
      <c r="Y451" s="163"/>
      <c r="Z451" s="30"/>
      <c r="AA451" s="32"/>
      <c r="AB451" s="33"/>
    </row>
    <row r="452" ht="15.75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3"/>
      <c r="X452" s="163"/>
      <c r="Y452" s="163"/>
      <c r="Z452" s="30"/>
      <c r="AA452" s="32"/>
      <c r="AB452" s="33"/>
    </row>
    <row r="453" ht="15.75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3"/>
      <c r="X453" s="163"/>
      <c r="Y453" s="163"/>
      <c r="Z453" s="30"/>
      <c r="AA453" s="32"/>
      <c r="AB453" s="33"/>
    </row>
    <row r="454" ht="15.75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3"/>
      <c r="X454" s="163"/>
      <c r="Y454" s="163"/>
      <c r="Z454" s="30"/>
      <c r="AA454" s="32"/>
      <c r="AB454" s="33"/>
    </row>
    <row r="455" ht="15.75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3"/>
      <c r="X455" s="163"/>
      <c r="Y455" s="163"/>
      <c r="Z455" s="30"/>
      <c r="AA455" s="32"/>
      <c r="AB455" s="33"/>
    </row>
    <row r="456" ht="15.75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3"/>
      <c r="X456" s="163"/>
      <c r="Y456" s="163"/>
      <c r="Z456" s="30"/>
      <c r="AA456" s="32"/>
      <c r="AB456" s="33"/>
    </row>
    <row r="457" ht="15.75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3"/>
      <c r="X457" s="163"/>
      <c r="Y457" s="163"/>
      <c r="Z457" s="30"/>
      <c r="AA457" s="32"/>
      <c r="AB457" s="33"/>
    </row>
    <row r="458" ht="15.75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3"/>
      <c r="X458" s="163"/>
      <c r="Y458" s="163"/>
      <c r="Z458" s="30"/>
      <c r="AA458" s="32"/>
      <c r="AB458" s="33"/>
    </row>
    <row r="459" ht="15.75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3"/>
      <c r="X459" s="163"/>
      <c r="Y459" s="163"/>
      <c r="Z459" s="30"/>
      <c r="AA459" s="32"/>
      <c r="AB459" s="33"/>
    </row>
    <row r="460" ht="15.75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3"/>
      <c r="X460" s="163"/>
      <c r="Y460" s="163"/>
      <c r="Z460" s="30"/>
      <c r="AA460" s="32"/>
      <c r="AB460" s="33"/>
    </row>
    <row r="461" ht="15.75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3"/>
      <c r="X461" s="163"/>
      <c r="Y461" s="163"/>
      <c r="Z461" s="30"/>
      <c r="AA461" s="32"/>
      <c r="AB461" s="33"/>
    </row>
    <row r="462" ht="15.75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3"/>
      <c r="X462" s="163"/>
      <c r="Y462" s="163"/>
      <c r="Z462" s="30"/>
      <c r="AA462" s="32"/>
      <c r="AB462" s="33"/>
    </row>
    <row r="463" ht="15.75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3"/>
      <c r="X463" s="163"/>
      <c r="Y463" s="163"/>
      <c r="Z463" s="30"/>
      <c r="AA463" s="32"/>
      <c r="AB463" s="33"/>
    </row>
    <row r="464" ht="15.75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3"/>
      <c r="X464" s="163"/>
      <c r="Y464" s="163"/>
      <c r="Z464" s="30"/>
      <c r="AA464" s="32"/>
      <c r="AB464" s="33"/>
    </row>
    <row r="465" ht="15.75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3"/>
      <c r="X465" s="163"/>
      <c r="Y465" s="163"/>
      <c r="Z465" s="30"/>
      <c r="AA465" s="32"/>
      <c r="AB465" s="33"/>
    </row>
    <row r="466" ht="15.75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3"/>
      <c r="X466" s="163"/>
      <c r="Y466" s="163"/>
      <c r="Z466" s="30"/>
      <c r="AA466" s="32"/>
      <c r="AB466" s="33"/>
    </row>
    <row r="467" ht="15.75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3"/>
      <c r="X467" s="163"/>
      <c r="Y467" s="163"/>
      <c r="Z467" s="30"/>
      <c r="AA467" s="32"/>
      <c r="AB467" s="33"/>
    </row>
    <row r="468" ht="15.75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3"/>
      <c r="X468" s="163"/>
      <c r="Y468" s="163"/>
      <c r="Z468" s="30"/>
      <c r="AA468" s="32"/>
      <c r="AB468" s="33"/>
    </row>
    <row r="469" ht="15.75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3"/>
      <c r="X469" s="163"/>
      <c r="Y469" s="163"/>
      <c r="Z469" s="30"/>
      <c r="AA469" s="32"/>
      <c r="AB469" s="33"/>
    </row>
    <row r="470" ht="15.75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3"/>
      <c r="X470" s="163"/>
      <c r="Y470" s="163"/>
      <c r="Z470" s="30"/>
      <c r="AA470" s="32"/>
      <c r="AB470" s="33"/>
    </row>
    <row r="471" ht="15.75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3"/>
      <c r="X471" s="163"/>
      <c r="Y471" s="163"/>
      <c r="Z471" s="30"/>
      <c r="AA471" s="32"/>
      <c r="AB471" s="33"/>
    </row>
    <row r="472" ht="15.75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3"/>
      <c r="X472" s="163"/>
      <c r="Y472" s="163"/>
      <c r="Z472" s="30"/>
      <c r="AA472" s="32"/>
      <c r="AB472" s="33"/>
    </row>
    <row r="473" ht="15.75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3"/>
      <c r="X473" s="163"/>
      <c r="Y473" s="163"/>
      <c r="Z473" s="30"/>
      <c r="AA473" s="32"/>
      <c r="AB473" s="33"/>
    </row>
    <row r="474" ht="15.75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3"/>
      <c r="X474" s="163"/>
      <c r="Y474" s="163"/>
      <c r="Z474" s="30"/>
      <c r="AA474" s="32"/>
      <c r="AB474" s="33"/>
    </row>
    <row r="475" ht="15.75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3"/>
      <c r="X475" s="163"/>
      <c r="Y475" s="163"/>
      <c r="Z475" s="30"/>
      <c r="AA475" s="32"/>
      <c r="AB475" s="33"/>
    </row>
    <row r="476" ht="15.75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3"/>
      <c r="X476" s="163"/>
      <c r="Y476" s="163"/>
      <c r="Z476" s="30"/>
      <c r="AA476" s="32"/>
      <c r="AB476" s="33"/>
    </row>
    <row r="477" ht="15.75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3"/>
      <c r="X477" s="163"/>
      <c r="Y477" s="163"/>
      <c r="Z477" s="30"/>
      <c r="AA477" s="32"/>
      <c r="AB477" s="33"/>
    </row>
    <row r="478" ht="15.75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3"/>
      <c r="X478" s="163"/>
      <c r="Y478" s="163"/>
      <c r="Z478" s="30"/>
      <c r="AA478" s="32"/>
      <c r="AB478" s="33"/>
    </row>
    <row r="479" ht="15.75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3"/>
      <c r="X479" s="163"/>
      <c r="Y479" s="163"/>
      <c r="Z479" s="30"/>
      <c r="AA479" s="32"/>
      <c r="AB479" s="33"/>
    </row>
    <row r="480" ht="15.75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3"/>
      <c r="X480" s="163"/>
      <c r="Y480" s="163"/>
      <c r="Z480" s="30"/>
      <c r="AA480" s="32"/>
      <c r="AB480" s="33"/>
    </row>
    <row r="481" ht="15.75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3"/>
      <c r="X481" s="163"/>
      <c r="Y481" s="163"/>
      <c r="Z481" s="30"/>
      <c r="AA481" s="32"/>
      <c r="AB481" s="33"/>
    </row>
    <row r="482" ht="15.75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3"/>
      <c r="X482" s="163"/>
      <c r="Y482" s="163"/>
      <c r="Z482" s="30"/>
      <c r="AA482" s="32"/>
      <c r="AB482" s="33"/>
    </row>
    <row r="483" ht="15.75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3"/>
      <c r="X483" s="163"/>
      <c r="Y483" s="163"/>
      <c r="Z483" s="30"/>
      <c r="AA483" s="32"/>
      <c r="AB483" s="33"/>
    </row>
    <row r="484" ht="15.75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3"/>
      <c r="X484" s="163"/>
      <c r="Y484" s="163"/>
      <c r="Z484" s="30"/>
      <c r="AA484" s="32"/>
      <c r="AB484" s="33"/>
    </row>
    <row r="485" ht="15.75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3"/>
      <c r="X485" s="163"/>
      <c r="Y485" s="163"/>
      <c r="Z485" s="30"/>
      <c r="AA485" s="32"/>
      <c r="AB485" s="33"/>
    </row>
    <row r="486" ht="15.75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3"/>
      <c r="X486" s="163"/>
      <c r="Y486" s="163"/>
      <c r="Z486" s="30"/>
      <c r="AA486" s="32"/>
      <c r="AB486" s="33"/>
    </row>
    <row r="487" ht="15.75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3"/>
      <c r="X487" s="163"/>
      <c r="Y487" s="163"/>
      <c r="Z487" s="30"/>
      <c r="AA487" s="32"/>
      <c r="AB487" s="33"/>
    </row>
    <row r="488" ht="15.75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3"/>
      <c r="X488" s="163"/>
      <c r="Y488" s="163"/>
      <c r="Z488" s="30"/>
      <c r="AA488" s="32"/>
      <c r="AB488" s="33"/>
    </row>
    <row r="489" ht="15.75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3"/>
      <c r="X489" s="163"/>
      <c r="Y489" s="163"/>
      <c r="Z489" s="30"/>
      <c r="AA489" s="32"/>
      <c r="AB489" s="33"/>
    </row>
    <row r="490" ht="15.75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3"/>
      <c r="X490" s="163"/>
      <c r="Y490" s="163"/>
      <c r="Z490" s="30"/>
      <c r="AA490" s="32"/>
      <c r="AB490" s="33"/>
    </row>
    <row r="491" ht="15.75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3"/>
      <c r="X491" s="163"/>
      <c r="Y491" s="163"/>
      <c r="Z491" s="30"/>
      <c r="AA491" s="32"/>
      <c r="AB491" s="33"/>
    </row>
    <row r="492" ht="15.75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3"/>
      <c r="X492" s="163"/>
      <c r="Y492" s="163"/>
      <c r="Z492" s="30"/>
      <c r="AA492" s="32"/>
      <c r="AB492" s="33"/>
    </row>
    <row r="493" ht="15.75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3"/>
      <c r="X493" s="163"/>
      <c r="Y493" s="163"/>
      <c r="Z493" s="30"/>
      <c r="AA493" s="32"/>
      <c r="AB493" s="33"/>
    </row>
    <row r="494" ht="15.75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3"/>
      <c r="X494" s="163"/>
      <c r="Y494" s="163"/>
      <c r="Z494" s="30"/>
      <c r="AA494" s="32"/>
      <c r="AB494" s="33"/>
    </row>
    <row r="495" ht="15.75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3"/>
      <c r="X495" s="163"/>
      <c r="Y495" s="163"/>
      <c r="Z495" s="30"/>
      <c r="AA495" s="32"/>
      <c r="AB495" s="33"/>
    </row>
    <row r="496" ht="15.75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3"/>
      <c r="X496" s="163"/>
      <c r="Y496" s="163"/>
      <c r="Z496" s="30"/>
      <c r="AA496" s="32"/>
      <c r="AB496" s="33"/>
    </row>
    <row r="497" ht="15.75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3"/>
      <c r="X497" s="163"/>
      <c r="Y497" s="163"/>
      <c r="Z497" s="30"/>
      <c r="AA497" s="32"/>
      <c r="AB497" s="33"/>
    </row>
    <row r="498" ht="15.75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3"/>
      <c r="X498" s="163"/>
      <c r="Y498" s="163"/>
      <c r="Z498" s="30"/>
      <c r="AA498" s="32"/>
      <c r="AB498" s="33"/>
    </row>
    <row r="499" ht="15.75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3"/>
      <c r="X499" s="163"/>
      <c r="Y499" s="163"/>
      <c r="Z499" s="30"/>
      <c r="AA499" s="32"/>
      <c r="AB499" s="33"/>
    </row>
    <row r="500" ht="15.75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3"/>
      <c r="X500" s="163"/>
      <c r="Y500" s="163"/>
      <c r="Z500" s="30"/>
      <c r="AA500" s="32"/>
      <c r="AB500" s="33"/>
    </row>
    <row r="501" ht="15.75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3"/>
      <c r="X501" s="163"/>
      <c r="Y501" s="163"/>
      <c r="Z501" s="30"/>
      <c r="AA501" s="32"/>
      <c r="AB501" s="33"/>
    </row>
    <row r="502" ht="15.75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3"/>
      <c r="X502" s="163"/>
      <c r="Y502" s="163"/>
      <c r="Z502" s="30"/>
      <c r="AA502" s="32"/>
      <c r="AB502" s="33"/>
    </row>
    <row r="503" ht="15.75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3"/>
      <c r="X503" s="163"/>
      <c r="Y503" s="163"/>
      <c r="Z503" s="30"/>
      <c r="AA503" s="32"/>
      <c r="AB503" s="33"/>
    </row>
    <row r="504" ht="15.75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3"/>
      <c r="X504" s="163"/>
      <c r="Y504" s="163"/>
      <c r="Z504" s="30"/>
      <c r="AA504" s="32"/>
      <c r="AB504" s="33"/>
    </row>
    <row r="505" ht="15.75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3"/>
      <c r="X505" s="163"/>
      <c r="Y505" s="163"/>
      <c r="Z505" s="30"/>
      <c r="AA505" s="32"/>
      <c r="AB505" s="33"/>
    </row>
    <row r="506" ht="15.75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3"/>
      <c r="X506" s="163"/>
      <c r="Y506" s="163"/>
      <c r="Z506" s="30"/>
      <c r="AA506" s="32"/>
      <c r="AB506" s="33"/>
    </row>
    <row r="507" ht="15.75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3"/>
      <c r="X507" s="163"/>
      <c r="Y507" s="163"/>
      <c r="Z507" s="30"/>
      <c r="AA507" s="32"/>
      <c r="AB507" s="33"/>
    </row>
    <row r="508" ht="15.75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3"/>
      <c r="X508" s="163"/>
      <c r="Y508" s="163"/>
      <c r="Z508" s="30"/>
      <c r="AA508" s="32"/>
      <c r="AB508" s="33"/>
    </row>
    <row r="509" ht="15.75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3"/>
      <c r="X509" s="163"/>
      <c r="Y509" s="163"/>
      <c r="Z509" s="30"/>
      <c r="AA509" s="32"/>
      <c r="AB509" s="33"/>
    </row>
    <row r="510" ht="15.75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3"/>
      <c r="X510" s="163"/>
      <c r="Y510" s="163"/>
      <c r="Z510" s="30"/>
      <c r="AA510" s="32"/>
      <c r="AB510" s="33"/>
    </row>
    <row r="511" ht="15.75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3"/>
      <c r="X511" s="163"/>
      <c r="Y511" s="163"/>
      <c r="Z511" s="30"/>
      <c r="AA511" s="32"/>
      <c r="AB511" s="33"/>
    </row>
    <row r="512" ht="15.75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3"/>
      <c r="X512" s="163"/>
      <c r="Y512" s="163"/>
      <c r="Z512" s="30"/>
      <c r="AA512" s="32"/>
      <c r="AB512" s="33"/>
    </row>
    <row r="513" ht="15.75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3"/>
      <c r="X513" s="163"/>
      <c r="Y513" s="163"/>
      <c r="Z513" s="30"/>
      <c r="AA513" s="32"/>
      <c r="AB513" s="33"/>
    </row>
    <row r="514" ht="15.75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3"/>
      <c r="X514" s="163"/>
      <c r="Y514" s="163"/>
      <c r="Z514" s="30"/>
      <c r="AA514" s="32"/>
      <c r="AB514" s="33"/>
    </row>
    <row r="515" ht="15.75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3"/>
      <c r="X515" s="163"/>
      <c r="Y515" s="163"/>
      <c r="Z515" s="30"/>
      <c r="AA515" s="32"/>
      <c r="AB515" s="33"/>
    </row>
    <row r="516" ht="15.75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3"/>
      <c r="X516" s="163"/>
      <c r="Y516" s="163"/>
      <c r="Z516" s="30"/>
      <c r="AA516" s="32"/>
      <c r="AB516" s="33"/>
    </row>
    <row r="517" ht="15.75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3"/>
      <c r="X517" s="163"/>
      <c r="Y517" s="163"/>
      <c r="Z517" s="30"/>
      <c r="AA517" s="32"/>
      <c r="AB517" s="33"/>
    </row>
    <row r="518" ht="15.75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3"/>
      <c r="X518" s="163"/>
      <c r="Y518" s="163"/>
      <c r="Z518" s="30"/>
      <c r="AA518" s="32"/>
      <c r="AB518" s="33"/>
    </row>
    <row r="519" ht="15.75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3"/>
      <c r="X519" s="163"/>
      <c r="Y519" s="163"/>
      <c r="Z519" s="30"/>
      <c r="AA519" s="32"/>
      <c r="AB519" s="33"/>
    </row>
    <row r="520" ht="15.75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3"/>
      <c r="X520" s="163"/>
      <c r="Y520" s="163"/>
      <c r="Z520" s="30"/>
      <c r="AA520" s="32"/>
      <c r="AB520" s="33"/>
    </row>
    <row r="521" ht="15.75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3"/>
      <c r="X521" s="163"/>
      <c r="Y521" s="163"/>
      <c r="Z521" s="30"/>
      <c r="AA521" s="32"/>
      <c r="AB521" s="33"/>
    </row>
    <row r="522" ht="15.75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3"/>
      <c r="X522" s="163"/>
      <c r="Y522" s="163"/>
      <c r="Z522" s="30"/>
      <c r="AA522" s="32"/>
      <c r="AB522" s="33"/>
    </row>
    <row r="523" ht="15.75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3"/>
      <c r="X523" s="163"/>
      <c r="Y523" s="163"/>
      <c r="Z523" s="30"/>
      <c r="AA523" s="32"/>
      <c r="AB523" s="33"/>
    </row>
    <row r="524" ht="15.75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3"/>
      <c r="X524" s="163"/>
      <c r="Y524" s="163"/>
      <c r="Z524" s="30"/>
      <c r="AA524" s="32"/>
      <c r="AB524" s="33"/>
    </row>
    <row r="525" ht="15.75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3"/>
      <c r="X525" s="163"/>
      <c r="Y525" s="163"/>
      <c r="Z525" s="30"/>
      <c r="AA525" s="32"/>
      <c r="AB525" s="33"/>
    </row>
    <row r="526" ht="15.75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3"/>
      <c r="X526" s="163"/>
      <c r="Y526" s="163"/>
      <c r="Z526" s="30"/>
      <c r="AA526" s="32"/>
      <c r="AB526" s="33"/>
    </row>
    <row r="527" ht="15.75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3"/>
      <c r="X527" s="163"/>
      <c r="Y527" s="163"/>
      <c r="Z527" s="30"/>
      <c r="AA527" s="32"/>
      <c r="AB527" s="33"/>
    </row>
    <row r="528" ht="15.75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3"/>
      <c r="X528" s="163"/>
      <c r="Y528" s="163"/>
      <c r="Z528" s="30"/>
      <c r="AA528" s="32"/>
      <c r="AB528" s="33"/>
    </row>
    <row r="529" ht="15.75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3"/>
      <c r="X529" s="163"/>
      <c r="Y529" s="163"/>
      <c r="Z529" s="30"/>
      <c r="AA529" s="32"/>
      <c r="AB529" s="33"/>
    </row>
    <row r="530" ht="15.75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3"/>
      <c r="X530" s="163"/>
      <c r="Y530" s="163"/>
      <c r="Z530" s="30"/>
      <c r="AA530" s="32"/>
      <c r="AB530" s="33"/>
    </row>
    <row r="531" ht="15.75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3"/>
      <c r="X531" s="163"/>
      <c r="Y531" s="163"/>
      <c r="Z531" s="30"/>
      <c r="AA531" s="32"/>
      <c r="AB531" s="33"/>
    </row>
    <row r="532" ht="15.75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3"/>
      <c r="X532" s="163"/>
      <c r="Y532" s="163"/>
      <c r="Z532" s="30"/>
      <c r="AA532" s="32"/>
      <c r="AB532" s="33"/>
    </row>
    <row r="533" ht="15.75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3"/>
      <c r="X533" s="163"/>
      <c r="Y533" s="163"/>
      <c r="Z533" s="30"/>
      <c r="AA533" s="32"/>
      <c r="AB533" s="33"/>
    </row>
    <row r="534" ht="15.75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3"/>
      <c r="X534" s="163"/>
      <c r="Y534" s="163"/>
      <c r="Z534" s="30"/>
      <c r="AA534" s="32"/>
      <c r="AB534" s="33"/>
    </row>
    <row r="535" ht="15.75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3"/>
      <c r="X535" s="163"/>
      <c r="Y535" s="163"/>
      <c r="Z535" s="30"/>
      <c r="AA535" s="32"/>
      <c r="AB535" s="33"/>
    </row>
    <row r="536" ht="15.75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3"/>
      <c r="X536" s="163"/>
      <c r="Y536" s="163"/>
      <c r="Z536" s="30"/>
      <c r="AA536" s="32"/>
      <c r="AB536" s="33"/>
    </row>
    <row r="537" ht="15.75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3"/>
      <c r="X537" s="163"/>
      <c r="Y537" s="163"/>
      <c r="Z537" s="30"/>
      <c r="AA537" s="32"/>
      <c r="AB537" s="33"/>
    </row>
    <row r="538" ht="15.75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3"/>
      <c r="X538" s="163"/>
      <c r="Y538" s="163"/>
      <c r="Z538" s="30"/>
      <c r="AA538" s="32"/>
      <c r="AB538" s="33"/>
    </row>
    <row r="539" ht="15.75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3"/>
      <c r="X539" s="163"/>
      <c r="Y539" s="163"/>
      <c r="Z539" s="30"/>
      <c r="AA539" s="32"/>
      <c r="AB539" s="33"/>
    </row>
    <row r="540" ht="15.75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3"/>
      <c r="X540" s="163"/>
      <c r="Y540" s="163"/>
      <c r="Z540" s="30"/>
      <c r="AA540" s="32"/>
      <c r="AB540" s="33"/>
    </row>
    <row r="541" ht="15.75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3"/>
      <c r="X541" s="163"/>
      <c r="Y541" s="163"/>
      <c r="Z541" s="30"/>
      <c r="AA541" s="32"/>
      <c r="AB541" s="33"/>
    </row>
    <row r="542" ht="15.75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3"/>
      <c r="X542" s="163"/>
      <c r="Y542" s="163"/>
      <c r="Z542" s="30"/>
      <c r="AA542" s="32"/>
      <c r="AB542" s="33"/>
    </row>
    <row r="543" ht="15.75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3"/>
      <c r="X543" s="163"/>
      <c r="Y543" s="163"/>
      <c r="Z543" s="30"/>
      <c r="AA543" s="32"/>
      <c r="AB543" s="33"/>
    </row>
    <row r="544" ht="15.75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3"/>
      <c r="X544" s="163"/>
      <c r="Y544" s="163"/>
      <c r="Z544" s="30"/>
      <c r="AA544" s="32"/>
      <c r="AB544" s="33"/>
    </row>
    <row r="545" ht="15.75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3"/>
      <c r="X545" s="163"/>
      <c r="Y545" s="163"/>
      <c r="Z545" s="30"/>
      <c r="AA545" s="32"/>
      <c r="AB545" s="33"/>
    </row>
    <row r="546" ht="15.75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3"/>
      <c r="X546" s="163"/>
      <c r="Y546" s="163"/>
      <c r="Z546" s="30"/>
      <c r="AA546" s="32"/>
      <c r="AB546" s="33"/>
    </row>
    <row r="547" ht="15.75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3"/>
      <c r="X547" s="163"/>
      <c r="Y547" s="163"/>
      <c r="Z547" s="30"/>
      <c r="AA547" s="32"/>
      <c r="AB547" s="33"/>
    </row>
    <row r="548" ht="15.75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3"/>
      <c r="X548" s="163"/>
      <c r="Y548" s="163"/>
      <c r="Z548" s="30"/>
      <c r="AA548" s="32"/>
      <c r="AB548" s="33"/>
    </row>
    <row r="549" ht="15.75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3"/>
      <c r="X549" s="163"/>
      <c r="Y549" s="163"/>
      <c r="Z549" s="30"/>
      <c r="AA549" s="32"/>
      <c r="AB549" s="33"/>
    </row>
    <row r="550" ht="15.75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3"/>
      <c r="X550" s="163"/>
      <c r="Y550" s="163"/>
      <c r="Z550" s="30"/>
      <c r="AA550" s="32"/>
      <c r="AB550" s="33"/>
    </row>
    <row r="551" ht="15.75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3"/>
      <c r="X551" s="163"/>
      <c r="Y551" s="163"/>
      <c r="Z551" s="30"/>
      <c r="AA551" s="32"/>
      <c r="AB551" s="33"/>
    </row>
    <row r="552" ht="15.75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3"/>
      <c r="X552" s="163"/>
      <c r="Y552" s="163"/>
      <c r="Z552" s="30"/>
      <c r="AA552" s="32"/>
      <c r="AB552" s="33"/>
    </row>
    <row r="553" ht="15.75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3"/>
      <c r="X553" s="163"/>
      <c r="Y553" s="163"/>
      <c r="Z553" s="30"/>
      <c r="AA553" s="32"/>
      <c r="AB553" s="33"/>
    </row>
    <row r="554" ht="15.75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3"/>
      <c r="X554" s="163"/>
      <c r="Y554" s="163"/>
      <c r="Z554" s="30"/>
      <c r="AA554" s="32"/>
      <c r="AB554" s="33"/>
    </row>
    <row r="555" ht="15.75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3"/>
      <c r="X555" s="163"/>
      <c r="Y555" s="163"/>
      <c r="Z555" s="30"/>
      <c r="AA555" s="32"/>
      <c r="AB555" s="33"/>
    </row>
    <row r="556" ht="15.75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3"/>
      <c r="X556" s="163"/>
      <c r="Y556" s="163"/>
      <c r="Z556" s="30"/>
      <c r="AA556" s="32"/>
      <c r="AB556" s="33"/>
    </row>
    <row r="557" ht="15.75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3"/>
      <c r="X557" s="163"/>
      <c r="Y557" s="163"/>
      <c r="Z557" s="30"/>
      <c r="AA557" s="32"/>
      <c r="AB557" s="33"/>
    </row>
    <row r="558" ht="15.75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3"/>
      <c r="X558" s="163"/>
      <c r="Y558" s="163"/>
      <c r="Z558" s="30"/>
      <c r="AA558" s="32"/>
      <c r="AB558" s="33"/>
    </row>
    <row r="559" ht="15.75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3"/>
      <c r="X559" s="163"/>
      <c r="Y559" s="163"/>
      <c r="Z559" s="30"/>
      <c r="AA559" s="32"/>
      <c r="AB559" s="33"/>
    </row>
    <row r="560" ht="15.75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3"/>
      <c r="X560" s="163"/>
      <c r="Y560" s="163"/>
      <c r="Z560" s="30"/>
      <c r="AA560" s="32"/>
      <c r="AB560" s="33"/>
    </row>
    <row r="561" ht="15.75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3"/>
      <c r="X561" s="163"/>
      <c r="Y561" s="163"/>
      <c r="Z561" s="30"/>
      <c r="AA561" s="32"/>
      <c r="AB561" s="33"/>
    </row>
    <row r="562" ht="15.75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3"/>
      <c r="X562" s="163"/>
      <c r="Y562" s="163"/>
      <c r="Z562" s="30"/>
      <c r="AA562" s="32"/>
      <c r="AB562" s="33"/>
    </row>
    <row r="563" ht="15.75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3"/>
      <c r="X563" s="163"/>
      <c r="Y563" s="163"/>
      <c r="Z563" s="30"/>
      <c r="AA563" s="32"/>
      <c r="AB563" s="33"/>
    </row>
    <row r="564" ht="15.75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3"/>
      <c r="X564" s="163"/>
      <c r="Y564" s="163"/>
      <c r="Z564" s="30"/>
      <c r="AA564" s="32"/>
      <c r="AB564" s="33"/>
    </row>
    <row r="565" ht="15.75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3"/>
      <c r="X565" s="163"/>
      <c r="Y565" s="163"/>
      <c r="Z565" s="30"/>
      <c r="AA565" s="32"/>
      <c r="AB565" s="33"/>
    </row>
    <row r="566" ht="15.75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3"/>
      <c r="X566" s="163"/>
      <c r="Y566" s="163"/>
      <c r="Z566" s="30"/>
      <c r="AA566" s="32"/>
      <c r="AB566" s="33"/>
    </row>
    <row r="567" ht="15.75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3"/>
      <c r="X567" s="163"/>
      <c r="Y567" s="163"/>
      <c r="Z567" s="30"/>
      <c r="AA567" s="32"/>
      <c r="AB567" s="33"/>
    </row>
    <row r="568" ht="15.75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3"/>
      <c r="X568" s="163"/>
      <c r="Y568" s="163"/>
      <c r="Z568" s="30"/>
      <c r="AA568" s="32"/>
      <c r="AB568" s="33"/>
    </row>
    <row r="569" ht="15.75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3"/>
      <c r="X569" s="163"/>
      <c r="Y569" s="163"/>
      <c r="Z569" s="30"/>
      <c r="AA569" s="32"/>
      <c r="AB569" s="33"/>
    </row>
    <row r="570" ht="15.75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3"/>
      <c r="X570" s="163"/>
      <c r="Y570" s="163"/>
      <c r="Z570" s="30"/>
      <c r="AA570" s="32"/>
      <c r="AB570" s="33"/>
    </row>
    <row r="571" ht="15.75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3"/>
      <c r="X571" s="163"/>
      <c r="Y571" s="163"/>
      <c r="Z571" s="30"/>
      <c r="AA571" s="32"/>
      <c r="AB571" s="33"/>
    </row>
    <row r="572" ht="15.75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3"/>
      <c r="X572" s="163"/>
      <c r="Y572" s="163"/>
      <c r="Z572" s="30"/>
      <c r="AA572" s="32"/>
      <c r="AB572" s="33"/>
    </row>
    <row r="573" ht="15.75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3"/>
      <c r="X573" s="163"/>
      <c r="Y573" s="163"/>
      <c r="Z573" s="30"/>
      <c r="AA573" s="32"/>
      <c r="AB573" s="33"/>
    </row>
    <row r="574" ht="15.75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3"/>
      <c r="X574" s="163"/>
      <c r="Y574" s="163"/>
      <c r="Z574" s="30"/>
      <c r="AA574" s="32"/>
      <c r="AB574" s="33"/>
    </row>
    <row r="575" ht="15.75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3"/>
      <c r="X575" s="163"/>
      <c r="Y575" s="163"/>
      <c r="Z575" s="30"/>
      <c r="AA575" s="32"/>
      <c r="AB575" s="33"/>
    </row>
    <row r="576" ht="15.75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3"/>
      <c r="X576" s="163"/>
      <c r="Y576" s="163"/>
      <c r="Z576" s="30"/>
      <c r="AA576" s="32"/>
      <c r="AB576" s="33"/>
    </row>
    <row r="577" ht="15.75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3"/>
      <c r="X577" s="163"/>
      <c r="Y577" s="163"/>
      <c r="Z577" s="30"/>
      <c r="AA577" s="32"/>
      <c r="AB577" s="33"/>
    </row>
    <row r="578" ht="15.75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3"/>
      <c r="X578" s="163"/>
      <c r="Y578" s="163"/>
      <c r="Z578" s="30"/>
      <c r="AA578" s="32"/>
      <c r="AB578" s="33"/>
    </row>
    <row r="579" ht="15.75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3"/>
      <c r="X579" s="163"/>
      <c r="Y579" s="163"/>
      <c r="Z579" s="30"/>
      <c r="AA579" s="32"/>
      <c r="AB579" s="33"/>
    </row>
    <row r="580" ht="15.75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3"/>
      <c r="X580" s="163"/>
      <c r="Y580" s="163"/>
      <c r="Z580" s="30"/>
      <c r="AA580" s="32"/>
      <c r="AB580" s="33"/>
    </row>
    <row r="581" ht="15.75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3"/>
      <c r="X581" s="163"/>
      <c r="Y581" s="163"/>
      <c r="Z581" s="30"/>
      <c r="AA581" s="32"/>
      <c r="AB581" s="33"/>
    </row>
    <row r="582" ht="15.75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3"/>
      <c r="X582" s="163"/>
      <c r="Y582" s="163"/>
      <c r="Z582" s="30"/>
      <c r="AA582" s="32"/>
      <c r="AB582" s="33"/>
    </row>
    <row r="583" ht="15.75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3"/>
      <c r="X583" s="163"/>
      <c r="Y583" s="163"/>
      <c r="Z583" s="30"/>
      <c r="AA583" s="32"/>
      <c r="AB583" s="33"/>
    </row>
    <row r="584" ht="15.75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3"/>
      <c r="X584" s="163"/>
      <c r="Y584" s="163"/>
      <c r="Z584" s="30"/>
      <c r="AA584" s="32"/>
      <c r="AB584" s="33"/>
    </row>
    <row r="585" ht="15.75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3"/>
      <c r="X585" s="163"/>
      <c r="Y585" s="163"/>
      <c r="Z585" s="30"/>
      <c r="AA585" s="32"/>
      <c r="AB585" s="33"/>
    </row>
    <row r="586" ht="15.75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3"/>
      <c r="X586" s="163"/>
      <c r="Y586" s="163"/>
      <c r="Z586" s="30"/>
      <c r="AA586" s="32"/>
      <c r="AB586" s="33"/>
    </row>
    <row r="587" ht="15.75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3"/>
      <c r="X587" s="163"/>
      <c r="Y587" s="163"/>
      <c r="Z587" s="30"/>
      <c r="AA587" s="32"/>
      <c r="AB587" s="33"/>
    </row>
    <row r="588" ht="15.75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3"/>
      <c r="X588" s="163"/>
      <c r="Y588" s="163"/>
      <c r="Z588" s="30"/>
      <c r="AA588" s="32"/>
      <c r="AB588" s="33"/>
    </row>
    <row r="589" ht="15.75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3"/>
      <c r="X589" s="163"/>
      <c r="Y589" s="163"/>
      <c r="Z589" s="30"/>
      <c r="AA589" s="32"/>
      <c r="AB589" s="33"/>
    </row>
    <row r="590" ht="15.75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3"/>
      <c r="X590" s="163"/>
      <c r="Y590" s="163"/>
      <c r="Z590" s="30"/>
      <c r="AA590" s="32"/>
      <c r="AB590" s="33"/>
    </row>
    <row r="591" ht="15.75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3"/>
      <c r="X591" s="163"/>
      <c r="Y591" s="163"/>
      <c r="Z591" s="30"/>
      <c r="AA591" s="32"/>
      <c r="AB591" s="33"/>
    </row>
    <row r="592" ht="15.75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3"/>
      <c r="X592" s="163"/>
      <c r="Y592" s="163"/>
      <c r="Z592" s="30"/>
      <c r="AA592" s="32"/>
      <c r="AB592" s="33"/>
    </row>
    <row r="593" ht="15.75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3"/>
      <c r="X593" s="163"/>
      <c r="Y593" s="163"/>
      <c r="Z593" s="30"/>
      <c r="AA593" s="32"/>
      <c r="AB593" s="33"/>
    </row>
    <row r="594" ht="15.75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3"/>
      <c r="X594" s="163"/>
      <c r="Y594" s="163"/>
      <c r="Z594" s="30"/>
      <c r="AA594" s="32"/>
      <c r="AB594" s="33"/>
    </row>
    <row r="595" ht="15.75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3"/>
      <c r="X595" s="163"/>
      <c r="Y595" s="163"/>
      <c r="Z595" s="30"/>
      <c r="AA595" s="32"/>
      <c r="AB595" s="33"/>
    </row>
    <row r="596" ht="15.75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3"/>
      <c r="X596" s="163"/>
      <c r="Y596" s="163"/>
      <c r="Z596" s="30"/>
      <c r="AA596" s="32"/>
      <c r="AB596" s="33"/>
    </row>
    <row r="597" ht="15.75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3"/>
      <c r="X597" s="163"/>
      <c r="Y597" s="163"/>
      <c r="Z597" s="30"/>
      <c r="AA597" s="32"/>
      <c r="AB597" s="33"/>
    </row>
    <row r="598" ht="15.75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3"/>
      <c r="X598" s="163"/>
      <c r="Y598" s="163"/>
      <c r="Z598" s="30"/>
      <c r="AA598" s="32"/>
      <c r="AB598" s="33"/>
    </row>
    <row r="599" ht="15.75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3"/>
      <c r="X599" s="163"/>
      <c r="Y599" s="163"/>
      <c r="Z599" s="30"/>
      <c r="AA599" s="32"/>
      <c r="AB599" s="33"/>
    </row>
    <row r="600" ht="15.75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3"/>
      <c r="X600" s="163"/>
      <c r="Y600" s="163"/>
      <c r="Z600" s="30"/>
      <c r="AA600" s="32"/>
      <c r="AB600" s="33"/>
    </row>
    <row r="601" ht="15.75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3"/>
      <c r="X601" s="163"/>
      <c r="Y601" s="163"/>
      <c r="Z601" s="30"/>
      <c r="AA601" s="32"/>
      <c r="AB601" s="33"/>
    </row>
    <row r="602" ht="15.75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3"/>
      <c r="X602" s="163"/>
      <c r="Y602" s="163"/>
      <c r="Z602" s="30"/>
      <c r="AA602" s="32"/>
      <c r="AB602" s="33"/>
    </row>
    <row r="603" ht="15.75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3"/>
      <c r="X603" s="163"/>
      <c r="Y603" s="163"/>
      <c r="Z603" s="30"/>
      <c r="AA603" s="32"/>
      <c r="AB603" s="33"/>
    </row>
    <row r="604" ht="15.75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3"/>
      <c r="X604" s="163"/>
      <c r="Y604" s="163"/>
      <c r="Z604" s="30"/>
      <c r="AA604" s="32"/>
      <c r="AB604" s="33"/>
    </row>
    <row r="605" ht="15.75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3"/>
      <c r="X605" s="163"/>
      <c r="Y605" s="163"/>
      <c r="Z605" s="30"/>
      <c r="AA605" s="32"/>
      <c r="AB605" s="33"/>
    </row>
    <row r="606" ht="15.75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3"/>
      <c r="X606" s="163"/>
      <c r="Y606" s="163"/>
      <c r="Z606" s="30"/>
      <c r="AA606" s="32"/>
      <c r="AB606" s="33"/>
    </row>
    <row r="607" ht="15.75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3"/>
      <c r="X607" s="163"/>
      <c r="Y607" s="163"/>
      <c r="Z607" s="30"/>
      <c r="AA607" s="32"/>
      <c r="AB607" s="33"/>
    </row>
    <row r="608" ht="15.75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3"/>
      <c r="X608" s="163"/>
      <c r="Y608" s="163"/>
      <c r="Z608" s="30"/>
      <c r="AA608" s="32"/>
      <c r="AB608" s="33"/>
    </row>
    <row r="609" ht="15.75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3"/>
      <c r="X609" s="163"/>
      <c r="Y609" s="163"/>
      <c r="Z609" s="30"/>
      <c r="AA609" s="32"/>
      <c r="AB609" s="33"/>
    </row>
    <row r="610" ht="15.75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3"/>
      <c r="X610" s="163"/>
      <c r="Y610" s="163"/>
      <c r="Z610" s="30"/>
      <c r="AA610" s="32"/>
      <c r="AB610" s="33"/>
    </row>
    <row r="611" ht="15.75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3"/>
      <c r="X611" s="163"/>
      <c r="Y611" s="163"/>
      <c r="Z611" s="30"/>
      <c r="AA611" s="32"/>
      <c r="AB611" s="33"/>
    </row>
    <row r="612" ht="15.75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3"/>
      <c r="X612" s="163"/>
      <c r="Y612" s="163"/>
      <c r="Z612" s="30"/>
      <c r="AA612" s="32"/>
      <c r="AB612" s="33"/>
    </row>
    <row r="613" ht="15.75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3"/>
      <c r="X613" s="163"/>
      <c r="Y613" s="163"/>
      <c r="Z613" s="30"/>
      <c r="AA613" s="32"/>
      <c r="AB613" s="33"/>
    </row>
    <row r="614" ht="15.75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3"/>
      <c r="X614" s="163"/>
      <c r="Y614" s="163"/>
      <c r="Z614" s="30"/>
      <c r="AA614" s="32"/>
      <c r="AB614" s="33"/>
    </row>
    <row r="615" ht="15.75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3"/>
      <c r="X615" s="163"/>
      <c r="Y615" s="163"/>
      <c r="Z615" s="30"/>
      <c r="AA615" s="32"/>
      <c r="AB615" s="33"/>
    </row>
    <row r="616" ht="15.75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3"/>
      <c r="X616" s="163"/>
      <c r="Y616" s="163"/>
      <c r="Z616" s="30"/>
      <c r="AA616" s="32"/>
      <c r="AB616" s="33"/>
    </row>
    <row r="617" ht="15.75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3"/>
      <c r="X617" s="163"/>
      <c r="Y617" s="163"/>
      <c r="Z617" s="30"/>
      <c r="AA617" s="32"/>
      <c r="AB617" s="33"/>
    </row>
    <row r="618" ht="15.75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3"/>
      <c r="X618" s="163"/>
      <c r="Y618" s="163"/>
      <c r="Z618" s="30"/>
      <c r="AA618" s="32"/>
      <c r="AB618" s="33"/>
    </row>
    <row r="619" ht="15.75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3"/>
      <c r="X619" s="163"/>
      <c r="Y619" s="163"/>
      <c r="Z619" s="30"/>
      <c r="AA619" s="32"/>
      <c r="AB619" s="33"/>
    </row>
    <row r="620" ht="15.75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3"/>
      <c r="X620" s="163"/>
      <c r="Y620" s="163"/>
      <c r="Z620" s="30"/>
      <c r="AA620" s="32"/>
      <c r="AB620" s="33"/>
    </row>
    <row r="621" ht="15.75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3"/>
      <c r="X621" s="163"/>
      <c r="Y621" s="163"/>
      <c r="Z621" s="30"/>
      <c r="AA621" s="32"/>
      <c r="AB621" s="33"/>
    </row>
    <row r="622" ht="15.75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3"/>
      <c r="X622" s="163"/>
      <c r="Y622" s="163"/>
      <c r="Z622" s="30"/>
      <c r="AA622" s="32"/>
      <c r="AB622" s="33"/>
    </row>
    <row r="623" ht="15.75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3"/>
      <c r="X623" s="163"/>
      <c r="Y623" s="163"/>
      <c r="Z623" s="30"/>
      <c r="AA623" s="32"/>
      <c r="AB623" s="33"/>
    </row>
    <row r="624" ht="15.75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3"/>
      <c r="X624" s="163"/>
      <c r="Y624" s="163"/>
      <c r="Z624" s="30"/>
      <c r="AA624" s="32"/>
      <c r="AB624" s="33"/>
    </row>
    <row r="625" ht="15.75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3"/>
      <c r="X625" s="163"/>
      <c r="Y625" s="163"/>
      <c r="Z625" s="30"/>
      <c r="AA625" s="32"/>
      <c r="AB625" s="33"/>
    </row>
    <row r="626" ht="15.75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3"/>
      <c r="X626" s="163"/>
      <c r="Y626" s="163"/>
      <c r="Z626" s="30"/>
      <c r="AA626" s="32"/>
      <c r="AB626" s="33"/>
    </row>
    <row r="627" ht="15.75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3"/>
      <c r="X627" s="163"/>
      <c r="Y627" s="163"/>
      <c r="Z627" s="30"/>
      <c r="AA627" s="32"/>
      <c r="AB627" s="33"/>
    </row>
    <row r="628" ht="15.75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3"/>
      <c r="X628" s="163"/>
      <c r="Y628" s="163"/>
      <c r="Z628" s="30"/>
      <c r="AA628" s="32"/>
      <c r="AB628" s="33"/>
    </row>
    <row r="629" ht="15.75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3"/>
      <c r="X629" s="163"/>
      <c r="Y629" s="163"/>
      <c r="Z629" s="30"/>
      <c r="AA629" s="32"/>
      <c r="AB629" s="33"/>
    </row>
    <row r="630" ht="15.75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3"/>
      <c r="X630" s="163"/>
      <c r="Y630" s="163"/>
      <c r="Z630" s="30"/>
      <c r="AA630" s="32"/>
      <c r="AB630" s="33"/>
    </row>
    <row r="631" ht="15.75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3"/>
      <c r="X631" s="163"/>
      <c r="Y631" s="163"/>
      <c r="Z631" s="30"/>
      <c r="AA631" s="32"/>
      <c r="AB631" s="33"/>
    </row>
    <row r="632" ht="15.75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3"/>
      <c r="X632" s="163"/>
      <c r="Y632" s="163"/>
      <c r="Z632" s="30"/>
      <c r="AA632" s="32"/>
      <c r="AB632" s="33"/>
    </row>
    <row r="633" ht="15.75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3"/>
      <c r="X633" s="163"/>
      <c r="Y633" s="163"/>
      <c r="Z633" s="30"/>
      <c r="AA633" s="32"/>
      <c r="AB633" s="33"/>
    </row>
    <row r="634" ht="15.75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3"/>
      <c r="X634" s="163"/>
      <c r="Y634" s="163"/>
      <c r="Z634" s="30"/>
      <c r="AA634" s="32"/>
      <c r="AB634" s="33"/>
    </row>
    <row r="635" ht="15.75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3"/>
      <c r="X635" s="163"/>
      <c r="Y635" s="163"/>
      <c r="Z635" s="30"/>
      <c r="AA635" s="32"/>
      <c r="AB635" s="33"/>
    </row>
    <row r="636" ht="15.75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3"/>
      <c r="X636" s="163"/>
      <c r="Y636" s="163"/>
      <c r="Z636" s="30"/>
      <c r="AA636" s="32"/>
      <c r="AB636" s="33"/>
    </row>
    <row r="637" ht="15.75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3"/>
      <c r="X637" s="163"/>
      <c r="Y637" s="163"/>
      <c r="Z637" s="30"/>
      <c r="AA637" s="32"/>
      <c r="AB637" s="33"/>
    </row>
    <row r="638" ht="15.75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3"/>
      <c r="X638" s="163"/>
      <c r="Y638" s="163"/>
      <c r="Z638" s="30"/>
      <c r="AA638" s="32"/>
      <c r="AB638" s="33"/>
    </row>
    <row r="639" ht="15.75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3"/>
      <c r="X639" s="163"/>
      <c r="Y639" s="163"/>
      <c r="Z639" s="30"/>
      <c r="AA639" s="32"/>
      <c r="AB639" s="33"/>
    </row>
    <row r="640" ht="15.75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3"/>
      <c r="X640" s="163"/>
      <c r="Y640" s="163"/>
      <c r="Z640" s="30"/>
      <c r="AA640" s="32"/>
      <c r="AB640" s="33"/>
    </row>
    <row r="641" ht="15.75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3"/>
      <c r="X641" s="163"/>
      <c r="Y641" s="163"/>
      <c r="Z641" s="30"/>
      <c r="AA641" s="32"/>
      <c r="AB641" s="33"/>
    </row>
    <row r="642" ht="15.75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3"/>
      <c r="X642" s="163"/>
      <c r="Y642" s="163"/>
      <c r="Z642" s="30"/>
      <c r="AA642" s="32"/>
      <c r="AB642" s="33"/>
    </row>
    <row r="643" ht="15.75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3"/>
      <c r="X643" s="163"/>
      <c r="Y643" s="163"/>
      <c r="Z643" s="30"/>
      <c r="AA643" s="32"/>
      <c r="AB643" s="33"/>
    </row>
    <row r="644" ht="15.75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3"/>
      <c r="X644" s="163"/>
      <c r="Y644" s="163"/>
      <c r="Z644" s="30"/>
      <c r="AA644" s="32"/>
      <c r="AB644" s="33"/>
    </row>
    <row r="645" ht="15.75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3"/>
      <c r="X645" s="163"/>
      <c r="Y645" s="163"/>
      <c r="Z645" s="30"/>
      <c r="AA645" s="32"/>
      <c r="AB645" s="33"/>
    </row>
    <row r="646" ht="15.75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3"/>
      <c r="X646" s="163"/>
      <c r="Y646" s="163"/>
      <c r="Z646" s="30"/>
      <c r="AA646" s="32"/>
      <c r="AB646" s="33"/>
    </row>
    <row r="647" ht="15.75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3"/>
      <c r="X647" s="163"/>
      <c r="Y647" s="163"/>
      <c r="Z647" s="30"/>
      <c r="AA647" s="32"/>
      <c r="AB647" s="33"/>
    </row>
    <row r="648" ht="15.75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3"/>
      <c r="X648" s="163"/>
      <c r="Y648" s="163"/>
      <c r="Z648" s="30"/>
      <c r="AA648" s="32"/>
      <c r="AB648" s="33"/>
    </row>
    <row r="649" ht="15.75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3"/>
      <c r="X649" s="163"/>
      <c r="Y649" s="163"/>
      <c r="Z649" s="30"/>
      <c r="AA649" s="32"/>
      <c r="AB649" s="33"/>
    </row>
    <row r="650" ht="15.75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3"/>
      <c r="X650" s="163"/>
      <c r="Y650" s="163"/>
      <c r="Z650" s="30"/>
      <c r="AA650" s="32"/>
      <c r="AB650" s="33"/>
    </row>
    <row r="651" ht="15.75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3"/>
      <c r="X651" s="163"/>
      <c r="Y651" s="163"/>
      <c r="Z651" s="30"/>
      <c r="AA651" s="32"/>
      <c r="AB651" s="33"/>
    </row>
    <row r="652" ht="15.75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3"/>
      <c r="X652" s="163"/>
      <c r="Y652" s="163"/>
      <c r="Z652" s="30"/>
      <c r="AA652" s="32"/>
      <c r="AB652" s="33"/>
    </row>
    <row r="653" ht="15.75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3"/>
      <c r="X653" s="163"/>
      <c r="Y653" s="163"/>
      <c r="Z653" s="30"/>
      <c r="AA653" s="32"/>
      <c r="AB653" s="33"/>
    </row>
    <row r="654" ht="15.75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3"/>
      <c r="X654" s="163"/>
      <c r="Y654" s="163"/>
      <c r="Z654" s="30"/>
      <c r="AA654" s="32"/>
      <c r="AB654" s="33"/>
    </row>
    <row r="655" ht="15.75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3"/>
      <c r="X655" s="163"/>
      <c r="Y655" s="163"/>
      <c r="Z655" s="30"/>
      <c r="AA655" s="32"/>
      <c r="AB655" s="33"/>
    </row>
    <row r="656" ht="15.75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3"/>
      <c r="X656" s="163"/>
      <c r="Y656" s="163"/>
      <c r="Z656" s="30"/>
      <c r="AA656" s="32"/>
      <c r="AB656" s="33"/>
    </row>
    <row r="657" ht="15.75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3"/>
      <c r="X657" s="163"/>
      <c r="Y657" s="163"/>
      <c r="Z657" s="30"/>
      <c r="AA657" s="32"/>
      <c r="AB657" s="33"/>
    </row>
    <row r="658" ht="15.75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3"/>
      <c r="X658" s="163"/>
      <c r="Y658" s="163"/>
      <c r="Z658" s="30"/>
      <c r="AA658" s="32"/>
      <c r="AB658" s="33"/>
    </row>
    <row r="659" ht="15.75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3"/>
      <c r="X659" s="163"/>
      <c r="Y659" s="163"/>
      <c r="Z659" s="30"/>
      <c r="AA659" s="32"/>
      <c r="AB659" s="33"/>
    </row>
    <row r="660" ht="15.75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3"/>
      <c r="X660" s="163"/>
      <c r="Y660" s="163"/>
      <c r="Z660" s="30"/>
      <c r="AA660" s="32"/>
      <c r="AB660" s="33"/>
    </row>
    <row r="661" ht="15.75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3"/>
      <c r="X661" s="163"/>
      <c r="Y661" s="163"/>
      <c r="Z661" s="30"/>
      <c r="AA661" s="32"/>
      <c r="AB661" s="33"/>
    </row>
    <row r="662" ht="15.75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3"/>
      <c r="X662" s="163"/>
      <c r="Y662" s="163"/>
      <c r="Z662" s="30"/>
      <c r="AA662" s="32"/>
      <c r="AB662" s="33"/>
    </row>
    <row r="663" ht="15.75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3"/>
      <c r="X663" s="163"/>
      <c r="Y663" s="163"/>
      <c r="Z663" s="30"/>
      <c r="AA663" s="32"/>
      <c r="AB663" s="33"/>
    </row>
    <row r="664" ht="15.75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3"/>
      <c r="X664" s="163"/>
      <c r="Y664" s="163"/>
      <c r="Z664" s="30"/>
      <c r="AA664" s="32"/>
      <c r="AB664" s="33"/>
    </row>
    <row r="665" ht="15.75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3"/>
      <c r="X665" s="163"/>
      <c r="Y665" s="163"/>
      <c r="Z665" s="30"/>
      <c r="AA665" s="32"/>
      <c r="AB665" s="33"/>
    </row>
    <row r="666" ht="15.75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3"/>
      <c r="X666" s="163"/>
      <c r="Y666" s="163"/>
      <c r="Z666" s="30"/>
      <c r="AA666" s="32"/>
      <c r="AB666" s="33"/>
    </row>
    <row r="667" ht="15.75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3"/>
      <c r="X667" s="163"/>
      <c r="Y667" s="163"/>
      <c r="Z667" s="30"/>
      <c r="AA667" s="32"/>
      <c r="AB667" s="33"/>
    </row>
    <row r="668" ht="15.75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3"/>
      <c r="X668" s="163"/>
      <c r="Y668" s="163"/>
      <c r="Z668" s="30"/>
      <c r="AA668" s="32"/>
      <c r="AB668" s="33"/>
    </row>
    <row r="669" ht="15.75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3"/>
      <c r="X669" s="163"/>
      <c r="Y669" s="163"/>
      <c r="Z669" s="30"/>
      <c r="AA669" s="32"/>
      <c r="AB669" s="33"/>
    </row>
    <row r="670" ht="15.75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3"/>
      <c r="X670" s="163"/>
      <c r="Y670" s="163"/>
      <c r="Z670" s="30"/>
      <c r="AA670" s="32"/>
      <c r="AB670" s="33"/>
    </row>
    <row r="671" ht="15.75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3"/>
      <c r="X671" s="163"/>
      <c r="Y671" s="163"/>
      <c r="Z671" s="30"/>
      <c r="AA671" s="32"/>
      <c r="AB671" s="33"/>
    </row>
    <row r="672" ht="15.75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3"/>
      <c r="X672" s="163"/>
      <c r="Y672" s="163"/>
      <c r="Z672" s="30"/>
      <c r="AA672" s="32"/>
      <c r="AB672" s="33"/>
    </row>
    <row r="673" ht="15.75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3"/>
      <c r="X673" s="163"/>
      <c r="Y673" s="163"/>
      <c r="Z673" s="30"/>
      <c r="AA673" s="32"/>
      <c r="AB673" s="33"/>
    </row>
    <row r="674" ht="15.75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3"/>
      <c r="X674" s="163"/>
      <c r="Y674" s="163"/>
      <c r="Z674" s="30"/>
      <c r="AA674" s="32"/>
      <c r="AB674" s="33"/>
    </row>
    <row r="675" ht="15.75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3"/>
      <c r="X675" s="163"/>
      <c r="Y675" s="163"/>
      <c r="Z675" s="30"/>
      <c r="AA675" s="32"/>
      <c r="AB675" s="33"/>
    </row>
    <row r="676" ht="15.75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3"/>
      <c r="X676" s="163"/>
      <c r="Y676" s="163"/>
      <c r="Z676" s="30"/>
      <c r="AA676" s="32"/>
      <c r="AB676" s="33"/>
    </row>
    <row r="677" ht="15.75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3"/>
      <c r="X677" s="163"/>
      <c r="Y677" s="163"/>
      <c r="Z677" s="30"/>
      <c r="AA677" s="32"/>
      <c r="AB677" s="33"/>
    </row>
    <row r="678" ht="15.75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3"/>
      <c r="X678" s="163"/>
      <c r="Y678" s="163"/>
      <c r="Z678" s="30"/>
      <c r="AA678" s="32"/>
      <c r="AB678" s="33"/>
    </row>
    <row r="679" ht="15.75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3"/>
      <c r="X679" s="163"/>
      <c r="Y679" s="163"/>
      <c r="Z679" s="30"/>
      <c r="AA679" s="32"/>
      <c r="AB679" s="33"/>
    </row>
    <row r="680" ht="15.75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3"/>
      <c r="X680" s="163"/>
      <c r="Y680" s="163"/>
      <c r="Z680" s="30"/>
      <c r="AA680" s="32"/>
      <c r="AB680" s="33"/>
    </row>
    <row r="681" ht="15.75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3"/>
      <c r="X681" s="163"/>
      <c r="Y681" s="163"/>
      <c r="Z681" s="30"/>
      <c r="AA681" s="32"/>
      <c r="AB681" s="33"/>
    </row>
    <row r="682" ht="15.75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3"/>
      <c r="X682" s="163"/>
      <c r="Y682" s="163"/>
      <c r="Z682" s="30"/>
      <c r="AA682" s="32"/>
      <c r="AB682" s="33"/>
    </row>
    <row r="683" ht="15.75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3"/>
      <c r="X683" s="163"/>
      <c r="Y683" s="163"/>
      <c r="Z683" s="30"/>
      <c r="AA683" s="32"/>
      <c r="AB683" s="33"/>
    </row>
    <row r="684" ht="15.75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3"/>
      <c r="X684" s="163"/>
      <c r="Y684" s="163"/>
      <c r="Z684" s="30"/>
      <c r="AA684" s="32"/>
      <c r="AB684" s="33"/>
    </row>
    <row r="685" ht="15.75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3"/>
      <c r="X685" s="163"/>
      <c r="Y685" s="163"/>
      <c r="Z685" s="30"/>
      <c r="AA685" s="32"/>
      <c r="AB685" s="33"/>
    </row>
    <row r="686" ht="15.75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3"/>
      <c r="X686" s="163"/>
      <c r="Y686" s="163"/>
      <c r="Z686" s="30"/>
      <c r="AA686" s="32"/>
      <c r="AB686" s="33"/>
    </row>
    <row r="687" ht="15.75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3"/>
      <c r="X687" s="163"/>
      <c r="Y687" s="163"/>
      <c r="Z687" s="30"/>
      <c r="AA687" s="32"/>
      <c r="AB687" s="33"/>
    </row>
    <row r="688" ht="15.75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3"/>
      <c r="X688" s="163"/>
      <c r="Y688" s="163"/>
      <c r="Z688" s="30"/>
      <c r="AA688" s="32"/>
      <c r="AB688" s="33"/>
    </row>
    <row r="689" ht="15.75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3"/>
      <c r="X689" s="163"/>
      <c r="Y689" s="163"/>
      <c r="Z689" s="30"/>
      <c r="AA689" s="32"/>
      <c r="AB689" s="33"/>
    </row>
    <row r="690" ht="15.75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3"/>
      <c r="X690" s="163"/>
      <c r="Y690" s="163"/>
      <c r="Z690" s="30"/>
      <c r="AA690" s="32"/>
      <c r="AB690" s="33"/>
    </row>
    <row r="691" ht="15.75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3"/>
      <c r="X691" s="163"/>
      <c r="Y691" s="163"/>
      <c r="Z691" s="30"/>
      <c r="AA691" s="32"/>
      <c r="AB691" s="33"/>
    </row>
    <row r="692" ht="15.75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3"/>
      <c r="X692" s="163"/>
      <c r="Y692" s="163"/>
      <c r="Z692" s="30"/>
      <c r="AA692" s="32"/>
      <c r="AB692" s="33"/>
    </row>
    <row r="693" ht="15.75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3"/>
      <c r="X693" s="163"/>
      <c r="Y693" s="163"/>
      <c r="Z693" s="30"/>
      <c r="AA693" s="32"/>
      <c r="AB693" s="33"/>
    </row>
    <row r="694" ht="15.75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3"/>
      <c r="X694" s="163"/>
      <c r="Y694" s="163"/>
      <c r="Z694" s="30"/>
      <c r="AA694" s="32"/>
      <c r="AB694" s="33"/>
    </row>
    <row r="695" ht="15.75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3"/>
      <c r="X695" s="163"/>
      <c r="Y695" s="163"/>
      <c r="Z695" s="30"/>
      <c r="AA695" s="32"/>
      <c r="AB695" s="33"/>
    </row>
    <row r="696" ht="15.75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3"/>
      <c r="X696" s="163"/>
      <c r="Y696" s="163"/>
      <c r="Z696" s="30"/>
      <c r="AA696" s="32"/>
      <c r="AB696" s="33"/>
    </row>
    <row r="697" ht="15.75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3"/>
      <c r="X697" s="163"/>
      <c r="Y697" s="163"/>
      <c r="Z697" s="30"/>
      <c r="AA697" s="32"/>
      <c r="AB697" s="33"/>
    </row>
    <row r="698" ht="15.75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3"/>
      <c r="X698" s="163"/>
      <c r="Y698" s="163"/>
      <c r="Z698" s="30"/>
      <c r="AA698" s="32"/>
      <c r="AB698" s="33"/>
    </row>
    <row r="699" ht="15.75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3"/>
      <c r="X699" s="163"/>
      <c r="Y699" s="163"/>
      <c r="Z699" s="30"/>
      <c r="AA699" s="32"/>
      <c r="AB699" s="33"/>
    </row>
    <row r="700" ht="15.75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3"/>
      <c r="X700" s="163"/>
      <c r="Y700" s="163"/>
      <c r="Z700" s="30"/>
      <c r="AA700" s="32"/>
      <c r="AB700" s="33"/>
    </row>
    <row r="701" ht="15.75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3"/>
      <c r="X701" s="163"/>
      <c r="Y701" s="163"/>
      <c r="Z701" s="30"/>
      <c r="AA701" s="32"/>
      <c r="AB701" s="33"/>
    </row>
    <row r="702" ht="15.75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3"/>
      <c r="X702" s="163"/>
      <c r="Y702" s="163"/>
      <c r="Z702" s="30"/>
      <c r="AA702" s="32"/>
      <c r="AB702" s="33"/>
    </row>
    <row r="703" ht="15.75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3"/>
      <c r="X703" s="163"/>
      <c r="Y703" s="163"/>
      <c r="Z703" s="30"/>
      <c r="AA703" s="32"/>
      <c r="AB703" s="33"/>
    </row>
    <row r="704" ht="15.75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3"/>
      <c r="X704" s="163"/>
      <c r="Y704" s="163"/>
      <c r="Z704" s="30"/>
      <c r="AA704" s="32"/>
      <c r="AB704" s="33"/>
    </row>
    <row r="705" ht="15.75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3"/>
      <c r="X705" s="163"/>
      <c r="Y705" s="163"/>
      <c r="Z705" s="30"/>
      <c r="AA705" s="32"/>
      <c r="AB705" s="33"/>
    </row>
    <row r="706" ht="15.75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3"/>
      <c r="X706" s="163"/>
      <c r="Y706" s="163"/>
      <c r="Z706" s="30"/>
      <c r="AA706" s="32"/>
      <c r="AB706" s="33"/>
    </row>
    <row r="707" ht="15.75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3"/>
      <c r="X707" s="163"/>
      <c r="Y707" s="163"/>
      <c r="Z707" s="30"/>
      <c r="AA707" s="32"/>
      <c r="AB707" s="33"/>
    </row>
    <row r="708" ht="15.75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3"/>
      <c r="X708" s="163"/>
      <c r="Y708" s="163"/>
      <c r="Z708" s="30"/>
      <c r="AA708" s="32"/>
      <c r="AB708" s="33"/>
    </row>
    <row r="709" ht="15.75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3"/>
      <c r="X709" s="163"/>
      <c r="Y709" s="163"/>
      <c r="Z709" s="30"/>
      <c r="AA709" s="32"/>
      <c r="AB709" s="33"/>
    </row>
    <row r="710" ht="15.75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3"/>
      <c r="X710" s="163"/>
      <c r="Y710" s="163"/>
      <c r="Z710" s="30"/>
      <c r="AA710" s="32"/>
      <c r="AB710" s="33"/>
    </row>
    <row r="711" ht="15.75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3"/>
      <c r="X711" s="163"/>
      <c r="Y711" s="163"/>
      <c r="Z711" s="30"/>
      <c r="AA711" s="32"/>
      <c r="AB711" s="33"/>
    </row>
    <row r="712" ht="15.75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3"/>
      <c r="X712" s="163"/>
      <c r="Y712" s="163"/>
      <c r="Z712" s="30"/>
      <c r="AA712" s="32"/>
      <c r="AB712" s="33"/>
    </row>
    <row r="713" ht="15.75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3"/>
      <c r="X713" s="163"/>
      <c r="Y713" s="163"/>
      <c r="Z713" s="30"/>
      <c r="AA713" s="32"/>
      <c r="AB713" s="33"/>
    </row>
    <row r="714" ht="15.75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3"/>
      <c r="X714" s="163"/>
      <c r="Y714" s="163"/>
      <c r="Z714" s="30"/>
      <c r="AA714" s="32"/>
      <c r="AB714" s="33"/>
    </row>
    <row r="715" ht="15.75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3"/>
      <c r="X715" s="163"/>
      <c r="Y715" s="163"/>
      <c r="Z715" s="30"/>
      <c r="AA715" s="32"/>
      <c r="AB715" s="33"/>
    </row>
    <row r="716" ht="15.75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3"/>
      <c r="X716" s="163"/>
      <c r="Y716" s="163"/>
      <c r="Z716" s="30"/>
      <c r="AA716" s="32"/>
      <c r="AB716" s="33"/>
    </row>
    <row r="717" ht="15.75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3"/>
      <c r="X717" s="163"/>
      <c r="Y717" s="163"/>
      <c r="Z717" s="30"/>
      <c r="AA717" s="32"/>
      <c r="AB717" s="33"/>
    </row>
    <row r="718" ht="15.75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3"/>
      <c r="X718" s="163"/>
      <c r="Y718" s="163"/>
      <c r="Z718" s="30"/>
      <c r="AA718" s="32"/>
      <c r="AB718" s="33"/>
    </row>
    <row r="719" ht="15.75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3"/>
      <c r="X719" s="163"/>
      <c r="Y719" s="163"/>
      <c r="Z719" s="30"/>
      <c r="AA719" s="32"/>
      <c r="AB719" s="33"/>
    </row>
    <row r="720" ht="15.75" customHeight="1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3"/>
      <c r="X720" s="163"/>
      <c r="Y720" s="163"/>
      <c r="Z720" s="30"/>
      <c r="AA720" s="32"/>
      <c r="AB720" s="33"/>
    </row>
    <row r="721" ht="15.75" customHeight="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3"/>
      <c r="X721" s="163"/>
      <c r="Y721" s="163"/>
      <c r="Z721" s="30"/>
      <c r="AA721" s="32"/>
      <c r="AB721" s="33"/>
    </row>
    <row r="722" ht="15.75" customHeight="1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3"/>
      <c r="X722" s="163"/>
      <c r="Y722" s="163"/>
      <c r="Z722" s="30"/>
      <c r="AA722" s="32"/>
      <c r="AB722" s="33"/>
    </row>
    <row r="723" ht="15.75" customHeight="1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3"/>
      <c r="X723" s="163"/>
      <c r="Y723" s="163"/>
      <c r="Z723" s="30"/>
      <c r="AA723" s="32"/>
      <c r="AB723" s="33"/>
    </row>
    <row r="724" ht="15.75" customHeight="1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3"/>
      <c r="X724" s="163"/>
      <c r="Y724" s="163"/>
      <c r="Z724" s="30"/>
      <c r="AA724" s="32"/>
      <c r="AB724" s="33"/>
    </row>
    <row r="725" ht="15.75" customHeight="1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3"/>
      <c r="X725" s="163"/>
      <c r="Y725" s="163"/>
      <c r="Z725" s="30"/>
      <c r="AA725" s="32"/>
      <c r="AB725" s="33"/>
    </row>
    <row r="726" ht="15.75" customHeight="1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3"/>
      <c r="X726" s="163"/>
      <c r="Y726" s="163"/>
      <c r="Z726" s="30"/>
      <c r="AA726" s="32"/>
      <c r="AB726" s="33"/>
    </row>
    <row r="727" ht="15.75" customHeight="1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3"/>
      <c r="X727" s="163"/>
      <c r="Y727" s="163"/>
      <c r="Z727" s="30"/>
      <c r="AA727" s="32"/>
      <c r="AB727" s="33"/>
    </row>
    <row r="728" ht="15.75" customHeight="1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3"/>
      <c r="X728" s="163"/>
      <c r="Y728" s="163"/>
      <c r="Z728" s="30"/>
      <c r="AA728" s="32"/>
      <c r="AB728" s="33"/>
    </row>
    <row r="729" ht="15.75" customHeight="1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3"/>
      <c r="X729" s="163"/>
      <c r="Y729" s="163"/>
      <c r="Z729" s="30"/>
      <c r="AA729" s="32"/>
      <c r="AB729" s="33"/>
    </row>
    <row r="730" ht="15.75" customHeight="1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3"/>
      <c r="X730" s="163"/>
      <c r="Y730" s="163"/>
      <c r="Z730" s="30"/>
      <c r="AA730" s="32"/>
      <c r="AB730" s="33"/>
    </row>
    <row r="731" ht="15.75" customHeight="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3"/>
      <c r="X731" s="163"/>
      <c r="Y731" s="163"/>
      <c r="Z731" s="30"/>
      <c r="AA731" s="32"/>
      <c r="AB731" s="33"/>
    </row>
    <row r="732" ht="15.75" customHeight="1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3"/>
      <c r="X732" s="163"/>
      <c r="Y732" s="163"/>
      <c r="Z732" s="30"/>
      <c r="AA732" s="32"/>
      <c r="AB732" s="33"/>
    </row>
    <row r="733" ht="15.75" customHeight="1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3"/>
      <c r="X733" s="163"/>
      <c r="Y733" s="163"/>
      <c r="Z733" s="30"/>
      <c r="AA733" s="32"/>
      <c r="AB733" s="33"/>
    </row>
    <row r="734" ht="15.75" customHeight="1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3"/>
      <c r="X734" s="163"/>
      <c r="Y734" s="163"/>
      <c r="Z734" s="30"/>
      <c r="AA734" s="32"/>
      <c r="AB734" s="33"/>
    </row>
    <row r="735" ht="15.75" customHeight="1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3"/>
      <c r="X735" s="163"/>
      <c r="Y735" s="163"/>
      <c r="Z735" s="30"/>
      <c r="AA735" s="32"/>
      <c r="AB735" s="33"/>
    </row>
    <row r="736" ht="15.75" customHeight="1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3"/>
      <c r="X736" s="163"/>
      <c r="Y736" s="163"/>
      <c r="Z736" s="30"/>
      <c r="AA736" s="32"/>
      <c r="AB736" s="33"/>
    </row>
    <row r="737" ht="15.75" customHeight="1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3"/>
      <c r="X737" s="163"/>
      <c r="Y737" s="163"/>
      <c r="Z737" s="30"/>
      <c r="AA737" s="32"/>
      <c r="AB737" s="33"/>
    </row>
    <row r="738" ht="15.75" customHeight="1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3"/>
      <c r="X738" s="163"/>
      <c r="Y738" s="163"/>
      <c r="Z738" s="30"/>
      <c r="AA738" s="32"/>
      <c r="AB738" s="33"/>
    </row>
    <row r="739" ht="15.75" customHeight="1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3"/>
      <c r="X739" s="163"/>
      <c r="Y739" s="163"/>
      <c r="Z739" s="30"/>
      <c r="AA739" s="32"/>
      <c r="AB739" s="33"/>
    </row>
    <row r="740" ht="15.75" customHeight="1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3"/>
      <c r="X740" s="163"/>
      <c r="Y740" s="163"/>
      <c r="Z740" s="30"/>
      <c r="AA740" s="32"/>
      <c r="AB740" s="33"/>
    </row>
    <row r="741" ht="15.75" customHeight="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3"/>
      <c r="X741" s="163"/>
      <c r="Y741" s="163"/>
      <c r="Z741" s="30"/>
      <c r="AA741" s="32"/>
      <c r="AB741" s="33"/>
    </row>
    <row r="742" ht="15.75" customHeight="1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3"/>
      <c r="X742" s="163"/>
      <c r="Y742" s="163"/>
      <c r="Z742" s="30"/>
      <c r="AA742" s="32"/>
      <c r="AB742" s="33"/>
    </row>
    <row r="743" ht="15.75" customHeight="1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3"/>
      <c r="X743" s="163"/>
      <c r="Y743" s="163"/>
      <c r="Z743" s="30"/>
      <c r="AA743" s="32"/>
      <c r="AB743" s="33"/>
    </row>
    <row r="744" ht="15.75" customHeight="1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3"/>
      <c r="X744" s="163"/>
      <c r="Y744" s="163"/>
      <c r="Z744" s="30"/>
      <c r="AA744" s="32"/>
      <c r="AB744" s="33"/>
    </row>
    <row r="745" ht="15.75" customHeight="1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3"/>
      <c r="X745" s="163"/>
      <c r="Y745" s="163"/>
      <c r="Z745" s="30"/>
      <c r="AA745" s="32"/>
      <c r="AB745" s="33"/>
    </row>
    <row r="746" ht="15.75" customHeight="1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3"/>
      <c r="X746" s="163"/>
      <c r="Y746" s="163"/>
      <c r="Z746" s="30"/>
      <c r="AA746" s="32"/>
      <c r="AB746" s="33"/>
    </row>
    <row r="747" ht="15.75" customHeight="1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3"/>
      <c r="X747" s="163"/>
      <c r="Y747" s="163"/>
      <c r="Z747" s="30"/>
      <c r="AA747" s="32"/>
      <c r="AB747" s="33"/>
    </row>
    <row r="748" ht="15.75" customHeight="1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3"/>
      <c r="X748" s="163"/>
      <c r="Y748" s="163"/>
      <c r="Z748" s="30"/>
      <c r="AA748" s="32"/>
      <c r="AB748" s="33"/>
    </row>
    <row r="749" ht="15.75" customHeight="1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3"/>
      <c r="X749" s="163"/>
      <c r="Y749" s="163"/>
      <c r="Z749" s="30"/>
      <c r="AA749" s="32"/>
      <c r="AB749" s="33"/>
    </row>
    <row r="750" ht="15.75" customHeight="1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3"/>
      <c r="X750" s="163"/>
      <c r="Y750" s="163"/>
      <c r="Z750" s="30"/>
      <c r="AA750" s="32"/>
      <c r="AB750" s="33"/>
    </row>
    <row r="751" ht="15.75" customHeight="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3"/>
      <c r="X751" s="163"/>
      <c r="Y751" s="163"/>
      <c r="Z751" s="30"/>
      <c r="AA751" s="32"/>
      <c r="AB751" s="33"/>
    </row>
    <row r="752" ht="15.75" customHeight="1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3"/>
      <c r="X752" s="163"/>
      <c r="Y752" s="163"/>
      <c r="Z752" s="30"/>
      <c r="AA752" s="32"/>
      <c r="AB752" s="33"/>
    </row>
    <row r="753" ht="15.75" customHeight="1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3"/>
      <c r="X753" s="163"/>
      <c r="Y753" s="163"/>
      <c r="Z753" s="30"/>
      <c r="AA753" s="32"/>
      <c r="AB753" s="33"/>
    </row>
    <row r="754" ht="15.75" customHeight="1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3"/>
      <c r="X754" s="163"/>
      <c r="Y754" s="163"/>
      <c r="Z754" s="30"/>
      <c r="AA754" s="32"/>
      <c r="AB754" s="33"/>
    </row>
    <row r="755" ht="15.75" customHeight="1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3"/>
      <c r="X755" s="163"/>
      <c r="Y755" s="163"/>
      <c r="Z755" s="30"/>
      <c r="AA755" s="32"/>
      <c r="AB755" s="33"/>
    </row>
    <row r="756" ht="15.75" customHeight="1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3"/>
      <c r="X756" s="163"/>
      <c r="Y756" s="163"/>
      <c r="Z756" s="30"/>
      <c r="AA756" s="32"/>
      <c r="AB756" s="33"/>
    </row>
    <row r="757" ht="15.75" customHeight="1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3"/>
      <c r="X757" s="163"/>
      <c r="Y757" s="163"/>
      <c r="Z757" s="30"/>
      <c r="AA757" s="32"/>
      <c r="AB757" s="33"/>
    </row>
    <row r="758" ht="15.75" customHeight="1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3"/>
      <c r="X758" s="163"/>
      <c r="Y758" s="163"/>
      <c r="Z758" s="30"/>
      <c r="AA758" s="32"/>
      <c r="AB758" s="33"/>
    </row>
    <row r="759" ht="15.75" customHeight="1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3"/>
      <c r="X759" s="163"/>
      <c r="Y759" s="163"/>
      <c r="Z759" s="30"/>
      <c r="AA759" s="32"/>
      <c r="AB759" s="33"/>
    </row>
    <row r="760" ht="15.75" customHeight="1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3"/>
      <c r="X760" s="163"/>
      <c r="Y760" s="163"/>
      <c r="Z760" s="30"/>
      <c r="AA760" s="32"/>
      <c r="AB760" s="33"/>
    </row>
    <row r="761" ht="15.75" customHeight="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3"/>
      <c r="X761" s="163"/>
      <c r="Y761" s="163"/>
      <c r="Z761" s="30"/>
      <c r="AA761" s="32"/>
      <c r="AB761" s="33"/>
    </row>
    <row r="762" ht="15.75" customHeight="1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3"/>
      <c r="X762" s="163"/>
      <c r="Y762" s="163"/>
      <c r="Z762" s="30"/>
      <c r="AA762" s="32"/>
      <c r="AB762" s="33"/>
    </row>
    <row r="763" ht="15.75" customHeight="1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3"/>
      <c r="X763" s="163"/>
      <c r="Y763" s="163"/>
      <c r="Z763" s="30"/>
      <c r="AA763" s="32"/>
      <c r="AB763" s="33"/>
    </row>
    <row r="764" ht="15.75" customHeight="1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3"/>
      <c r="X764" s="163"/>
      <c r="Y764" s="163"/>
      <c r="Z764" s="30"/>
      <c r="AA764" s="32"/>
      <c r="AB764" s="33"/>
    </row>
    <row r="765" ht="15.75" customHeight="1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3"/>
      <c r="X765" s="163"/>
      <c r="Y765" s="163"/>
      <c r="Z765" s="30"/>
      <c r="AA765" s="32"/>
      <c r="AB765" s="33"/>
    </row>
    <row r="766" ht="15.75" customHeight="1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3"/>
      <c r="X766" s="163"/>
      <c r="Y766" s="163"/>
      <c r="Z766" s="30"/>
      <c r="AA766" s="32"/>
      <c r="AB766" s="33"/>
    </row>
    <row r="767" ht="15.75" customHeight="1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3"/>
      <c r="X767" s="163"/>
      <c r="Y767" s="163"/>
      <c r="Z767" s="30"/>
      <c r="AA767" s="32"/>
      <c r="AB767" s="33"/>
    </row>
    <row r="768" ht="15.75" customHeight="1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3"/>
      <c r="X768" s="163"/>
      <c r="Y768" s="163"/>
      <c r="Z768" s="30"/>
      <c r="AA768" s="32"/>
      <c r="AB768" s="33"/>
    </row>
    <row r="769" ht="15.75" customHeight="1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3"/>
      <c r="X769" s="163"/>
      <c r="Y769" s="163"/>
      <c r="Z769" s="30"/>
      <c r="AA769" s="32"/>
      <c r="AB769" s="33"/>
    </row>
    <row r="770" ht="15.75" customHeight="1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3"/>
      <c r="X770" s="163"/>
      <c r="Y770" s="163"/>
      <c r="Z770" s="30"/>
      <c r="AA770" s="32"/>
      <c r="AB770" s="33"/>
    </row>
    <row r="771" ht="15.75" customHeight="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3"/>
      <c r="X771" s="163"/>
      <c r="Y771" s="163"/>
      <c r="Z771" s="30"/>
      <c r="AA771" s="32"/>
      <c r="AB771" s="33"/>
    </row>
    <row r="772" ht="15.75" customHeight="1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3"/>
      <c r="X772" s="163"/>
      <c r="Y772" s="163"/>
      <c r="Z772" s="30"/>
      <c r="AA772" s="32"/>
      <c r="AB772" s="33"/>
    </row>
    <row r="773" ht="15.75" customHeight="1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3"/>
      <c r="X773" s="163"/>
      <c r="Y773" s="163"/>
      <c r="Z773" s="30"/>
      <c r="AA773" s="32"/>
      <c r="AB773" s="33"/>
    </row>
    <row r="774" ht="15.75" customHeight="1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3"/>
      <c r="X774" s="163"/>
      <c r="Y774" s="163"/>
      <c r="Z774" s="30"/>
      <c r="AA774" s="32"/>
      <c r="AB774" s="33"/>
    </row>
    <row r="775" ht="15.75" customHeight="1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3"/>
      <c r="X775" s="163"/>
      <c r="Y775" s="163"/>
      <c r="Z775" s="30"/>
      <c r="AA775" s="32"/>
      <c r="AB775" s="33"/>
    </row>
    <row r="776" ht="15.75" customHeight="1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3"/>
      <c r="X776" s="163"/>
      <c r="Y776" s="163"/>
      <c r="Z776" s="30"/>
      <c r="AA776" s="32"/>
      <c r="AB776" s="33"/>
    </row>
    <row r="777" ht="15.75" customHeight="1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3"/>
      <c r="X777" s="163"/>
      <c r="Y777" s="163"/>
      <c r="Z777" s="30"/>
      <c r="AA777" s="32"/>
      <c r="AB777" s="33"/>
    </row>
    <row r="778" ht="15.75" customHeight="1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3"/>
      <c r="X778" s="163"/>
      <c r="Y778" s="163"/>
      <c r="Z778" s="30"/>
      <c r="AA778" s="32"/>
      <c r="AB778" s="33"/>
    </row>
    <row r="779" ht="15.75" customHeight="1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3"/>
      <c r="X779" s="163"/>
      <c r="Y779" s="163"/>
      <c r="Z779" s="30"/>
      <c r="AA779" s="32"/>
      <c r="AB779" s="33"/>
    </row>
    <row r="780" ht="15.75" customHeight="1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3"/>
      <c r="X780" s="163"/>
      <c r="Y780" s="163"/>
      <c r="Z780" s="30"/>
      <c r="AA780" s="32"/>
      <c r="AB780" s="33"/>
    </row>
    <row r="781" ht="15.75" customHeight="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3"/>
      <c r="X781" s="163"/>
      <c r="Y781" s="163"/>
      <c r="Z781" s="30"/>
      <c r="AA781" s="32"/>
      <c r="AB781" s="33"/>
    </row>
    <row r="782" ht="15.75" customHeight="1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3"/>
      <c r="X782" s="163"/>
      <c r="Y782" s="163"/>
      <c r="Z782" s="30"/>
      <c r="AA782" s="32"/>
      <c r="AB782" s="33"/>
    </row>
    <row r="783" ht="15.75" customHeight="1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3"/>
      <c r="X783" s="163"/>
      <c r="Y783" s="163"/>
      <c r="Z783" s="30"/>
      <c r="AA783" s="32"/>
      <c r="AB783" s="33"/>
    </row>
    <row r="784" ht="15.75" customHeight="1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3"/>
      <c r="X784" s="163"/>
      <c r="Y784" s="163"/>
      <c r="Z784" s="30"/>
      <c r="AA784" s="32"/>
      <c r="AB784" s="33"/>
    </row>
    <row r="785" ht="15.75" customHeight="1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3"/>
      <c r="X785" s="163"/>
      <c r="Y785" s="163"/>
      <c r="Z785" s="30"/>
      <c r="AA785" s="32"/>
      <c r="AB785" s="33"/>
    </row>
    <row r="786" ht="15.75" customHeight="1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3"/>
      <c r="X786" s="163"/>
      <c r="Y786" s="163"/>
      <c r="Z786" s="30"/>
      <c r="AA786" s="32"/>
      <c r="AB786" s="33"/>
    </row>
    <row r="787" ht="15.75" customHeight="1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3"/>
      <c r="X787" s="163"/>
      <c r="Y787" s="163"/>
      <c r="Z787" s="30"/>
      <c r="AA787" s="32"/>
      <c r="AB787" s="33"/>
    </row>
    <row r="788" ht="15.75" customHeight="1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3"/>
      <c r="X788" s="163"/>
      <c r="Y788" s="163"/>
      <c r="Z788" s="30"/>
      <c r="AA788" s="32"/>
      <c r="AB788" s="33"/>
    </row>
    <row r="789" ht="15.75" customHeight="1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3"/>
      <c r="X789" s="163"/>
      <c r="Y789" s="163"/>
      <c r="Z789" s="30"/>
      <c r="AA789" s="32"/>
      <c r="AB789" s="33"/>
    </row>
    <row r="790" ht="15.75" customHeight="1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3"/>
      <c r="X790" s="163"/>
      <c r="Y790" s="163"/>
      <c r="Z790" s="30"/>
      <c r="AA790" s="32"/>
      <c r="AB790" s="33"/>
    </row>
    <row r="791" ht="15.75" customHeight="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3"/>
      <c r="X791" s="163"/>
      <c r="Y791" s="163"/>
      <c r="Z791" s="30"/>
      <c r="AA791" s="32"/>
      <c r="AB791" s="33"/>
    </row>
    <row r="792" ht="15.75" customHeight="1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3"/>
      <c r="X792" s="163"/>
      <c r="Y792" s="163"/>
      <c r="Z792" s="30"/>
      <c r="AA792" s="32"/>
      <c r="AB792" s="33"/>
    </row>
    <row r="793" ht="15.75" customHeight="1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3"/>
      <c r="X793" s="163"/>
      <c r="Y793" s="163"/>
      <c r="Z793" s="30"/>
      <c r="AA793" s="32"/>
      <c r="AB793" s="33"/>
    </row>
    <row r="794" ht="15.75" customHeight="1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3"/>
      <c r="X794" s="163"/>
      <c r="Y794" s="163"/>
      <c r="Z794" s="30"/>
      <c r="AA794" s="32"/>
      <c r="AB794" s="33"/>
    </row>
    <row r="795" ht="15.75" customHeight="1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3"/>
      <c r="X795" s="163"/>
      <c r="Y795" s="163"/>
      <c r="Z795" s="30"/>
      <c r="AA795" s="32"/>
      <c r="AB795" s="33"/>
    </row>
    <row r="796" ht="15.75" customHeight="1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3"/>
      <c r="X796" s="163"/>
      <c r="Y796" s="163"/>
      <c r="Z796" s="30"/>
      <c r="AA796" s="32"/>
      <c r="AB796" s="33"/>
    </row>
    <row r="797" ht="15.75" customHeight="1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3"/>
      <c r="X797" s="163"/>
      <c r="Y797" s="163"/>
      <c r="Z797" s="30"/>
      <c r="AA797" s="32"/>
      <c r="AB797" s="33"/>
    </row>
    <row r="798" ht="15.75" customHeight="1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3"/>
      <c r="X798" s="163"/>
      <c r="Y798" s="163"/>
      <c r="Z798" s="30"/>
      <c r="AA798" s="32"/>
      <c r="AB798" s="33"/>
    </row>
    <row r="799" ht="15.75" customHeight="1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3"/>
      <c r="X799" s="163"/>
      <c r="Y799" s="163"/>
      <c r="Z799" s="30"/>
      <c r="AA799" s="32"/>
      <c r="AB799" s="33"/>
    </row>
    <row r="800" ht="15.75" customHeight="1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3"/>
      <c r="X800" s="163"/>
      <c r="Y800" s="163"/>
      <c r="Z800" s="30"/>
      <c r="AA800" s="32"/>
      <c r="AB800" s="33"/>
    </row>
    <row r="801" ht="15.75" customHeight="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3"/>
      <c r="X801" s="163"/>
      <c r="Y801" s="163"/>
      <c r="Z801" s="30"/>
      <c r="AA801" s="32"/>
      <c r="AB801" s="33"/>
    </row>
    <row r="802" ht="15.75" customHeight="1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3"/>
      <c r="X802" s="163"/>
      <c r="Y802" s="163"/>
      <c r="Z802" s="30"/>
      <c r="AA802" s="32"/>
      <c r="AB802" s="33"/>
    </row>
    <row r="803" ht="15.75" customHeight="1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3"/>
      <c r="X803" s="163"/>
      <c r="Y803" s="163"/>
      <c r="Z803" s="30"/>
      <c r="AA803" s="32"/>
      <c r="AB803" s="33"/>
    </row>
    <row r="804" ht="15.75" customHeight="1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3"/>
      <c r="X804" s="163"/>
      <c r="Y804" s="163"/>
      <c r="Z804" s="30"/>
      <c r="AA804" s="32"/>
      <c r="AB804" s="33"/>
    </row>
    <row r="805" ht="15.75" customHeight="1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3"/>
      <c r="X805" s="163"/>
      <c r="Y805" s="163"/>
      <c r="Z805" s="30"/>
      <c r="AA805" s="32"/>
      <c r="AB805" s="33"/>
    </row>
    <row r="806" ht="15.75" customHeight="1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3"/>
      <c r="X806" s="163"/>
      <c r="Y806" s="163"/>
      <c r="Z806" s="30"/>
      <c r="AA806" s="32"/>
      <c r="AB806" s="33"/>
    </row>
    <row r="807" ht="15.75" customHeight="1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3"/>
      <c r="X807" s="163"/>
      <c r="Y807" s="163"/>
      <c r="Z807" s="30"/>
      <c r="AA807" s="32"/>
      <c r="AB807" s="33"/>
    </row>
    <row r="808" ht="15.75" customHeight="1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3"/>
      <c r="X808" s="163"/>
      <c r="Y808" s="163"/>
      <c r="Z808" s="30"/>
      <c r="AA808" s="32"/>
      <c r="AB808" s="33"/>
    </row>
    <row r="809" ht="15.75" customHeight="1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3"/>
      <c r="X809" s="163"/>
      <c r="Y809" s="163"/>
      <c r="Z809" s="30"/>
      <c r="AA809" s="32"/>
      <c r="AB809" s="33"/>
    </row>
    <row r="810" ht="15.75" customHeight="1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3"/>
      <c r="X810" s="163"/>
      <c r="Y810" s="163"/>
      <c r="Z810" s="30"/>
      <c r="AA810" s="32"/>
      <c r="AB810" s="33"/>
    </row>
    <row r="811" ht="15.75" customHeight="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3"/>
      <c r="X811" s="163"/>
      <c r="Y811" s="163"/>
      <c r="Z811" s="30"/>
      <c r="AA811" s="32"/>
      <c r="AB811" s="33"/>
    </row>
    <row r="812" ht="15.75" customHeight="1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3"/>
      <c r="X812" s="163"/>
      <c r="Y812" s="163"/>
      <c r="Z812" s="30"/>
      <c r="AA812" s="32"/>
      <c r="AB812" s="33"/>
    </row>
    <row r="813" ht="15.75" customHeight="1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3"/>
      <c r="X813" s="163"/>
      <c r="Y813" s="163"/>
      <c r="Z813" s="30"/>
      <c r="AA813" s="32"/>
      <c r="AB813" s="33"/>
    </row>
    <row r="814" ht="15.75" customHeight="1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3"/>
      <c r="X814" s="163"/>
      <c r="Y814" s="163"/>
      <c r="Z814" s="30"/>
      <c r="AA814" s="32"/>
      <c r="AB814" s="33"/>
    </row>
    <row r="815" ht="15.75" customHeight="1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3"/>
      <c r="X815" s="163"/>
      <c r="Y815" s="163"/>
      <c r="Z815" s="30"/>
      <c r="AA815" s="32"/>
      <c r="AB815" s="33"/>
    </row>
    <row r="816" ht="15.75" customHeight="1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3"/>
      <c r="X816" s="163"/>
      <c r="Y816" s="163"/>
      <c r="Z816" s="30"/>
      <c r="AA816" s="32"/>
      <c r="AB816" s="33"/>
    </row>
    <row r="817" ht="15.75" customHeight="1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3"/>
      <c r="X817" s="163"/>
      <c r="Y817" s="163"/>
      <c r="Z817" s="30"/>
      <c r="AA817" s="32"/>
      <c r="AB817" s="33"/>
    </row>
    <row r="818" ht="15.75" customHeight="1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3"/>
      <c r="X818" s="163"/>
      <c r="Y818" s="163"/>
      <c r="Z818" s="30"/>
      <c r="AA818" s="32"/>
      <c r="AB818" s="33"/>
    </row>
    <row r="819" ht="15.75" customHeight="1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3"/>
      <c r="X819" s="163"/>
      <c r="Y819" s="163"/>
      <c r="Z819" s="30"/>
      <c r="AA819" s="32"/>
      <c r="AB819" s="33"/>
    </row>
    <row r="820" ht="15.75" customHeight="1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3"/>
      <c r="X820" s="163"/>
      <c r="Y820" s="163"/>
      <c r="Z820" s="30"/>
      <c r="AA820" s="32"/>
      <c r="AB820" s="33"/>
    </row>
    <row r="821" ht="15.75" customHeight="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3"/>
      <c r="X821" s="163"/>
      <c r="Y821" s="163"/>
      <c r="Z821" s="30"/>
      <c r="AA821" s="32"/>
      <c r="AB821" s="33"/>
    </row>
    <row r="822" ht="15.75" customHeight="1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3"/>
      <c r="X822" s="163"/>
      <c r="Y822" s="163"/>
      <c r="Z822" s="30"/>
      <c r="AA822" s="32"/>
      <c r="AB822" s="33"/>
    </row>
    <row r="823" ht="15.75" customHeight="1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3"/>
      <c r="X823" s="163"/>
      <c r="Y823" s="163"/>
      <c r="Z823" s="30"/>
      <c r="AA823" s="32"/>
      <c r="AB823" s="33"/>
    </row>
    <row r="824" ht="15.75" customHeight="1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3"/>
      <c r="X824" s="163"/>
      <c r="Y824" s="163"/>
      <c r="Z824" s="30"/>
      <c r="AA824" s="32"/>
      <c r="AB824" s="33"/>
    </row>
    <row r="825" ht="15.75" customHeight="1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3"/>
      <c r="X825" s="163"/>
      <c r="Y825" s="163"/>
      <c r="Z825" s="30"/>
      <c r="AA825" s="32"/>
      <c r="AB825" s="33"/>
    </row>
    <row r="826" ht="15.75" customHeight="1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3"/>
      <c r="X826" s="163"/>
      <c r="Y826" s="163"/>
      <c r="Z826" s="30"/>
      <c r="AA826" s="32"/>
      <c r="AB826" s="33"/>
    </row>
    <row r="827" ht="15.75" customHeight="1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3"/>
      <c r="X827" s="163"/>
      <c r="Y827" s="163"/>
      <c r="Z827" s="30"/>
      <c r="AA827" s="32"/>
      <c r="AB827" s="33"/>
    </row>
    <row r="828" ht="15.75" customHeight="1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3"/>
      <c r="X828" s="163"/>
      <c r="Y828" s="163"/>
      <c r="Z828" s="30"/>
      <c r="AA828" s="32"/>
      <c r="AB828" s="33"/>
    </row>
    <row r="829" ht="15.75" customHeight="1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3"/>
      <c r="X829" s="163"/>
      <c r="Y829" s="163"/>
      <c r="Z829" s="30"/>
      <c r="AA829" s="32"/>
      <c r="AB829" s="33"/>
    </row>
    <row r="830" ht="15.75" customHeight="1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3"/>
      <c r="X830" s="163"/>
      <c r="Y830" s="163"/>
      <c r="Z830" s="30"/>
      <c r="AA830" s="32"/>
      <c r="AB830" s="33"/>
    </row>
    <row r="831" ht="15.75" customHeight="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3"/>
      <c r="X831" s="163"/>
      <c r="Y831" s="163"/>
      <c r="Z831" s="30"/>
      <c r="AA831" s="32"/>
      <c r="AB831" s="33"/>
    </row>
    <row r="832" ht="15.75" customHeight="1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3"/>
      <c r="X832" s="163"/>
      <c r="Y832" s="163"/>
      <c r="Z832" s="30"/>
      <c r="AA832" s="32"/>
      <c r="AB832" s="33"/>
    </row>
    <row r="833" ht="15.75" customHeight="1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3"/>
      <c r="X833" s="163"/>
      <c r="Y833" s="163"/>
      <c r="Z833" s="30"/>
      <c r="AA833" s="32"/>
      <c r="AB833" s="33"/>
    </row>
    <row r="834" ht="15.75" customHeight="1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3"/>
      <c r="X834" s="163"/>
      <c r="Y834" s="163"/>
      <c r="Z834" s="30"/>
      <c r="AA834" s="32"/>
      <c r="AB834" s="33"/>
    </row>
    <row r="835" ht="15.75" customHeight="1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3"/>
      <c r="X835" s="163"/>
      <c r="Y835" s="163"/>
      <c r="Z835" s="30"/>
      <c r="AA835" s="32"/>
      <c r="AB835" s="33"/>
    </row>
    <row r="836" ht="15.75" customHeight="1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3"/>
      <c r="X836" s="163"/>
      <c r="Y836" s="163"/>
      <c r="Z836" s="30"/>
      <c r="AA836" s="32"/>
      <c r="AB836" s="33"/>
    </row>
    <row r="837" ht="15.75" customHeight="1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3"/>
      <c r="X837" s="163"/>
      <c r="Y837" s="163"/>
      <c r="Z837" s="30"/>
      <c r="AA837" s="32"/>
      <c r="AB837" s="33"/>
    </row>
    <row r="838" ht="15.75" customHeight="1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3"/>
      <c r="X838" s="163"/>
      <c r="Y838" s="163"/>
      <c r="Z838" s="30"/>
      <c r="AA838" s="32"/>
      <c r="AB838" s="33"/>
    </row>
    <row r="839" ht="15.75" customHeight="1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3"/>
      <c r="X839" s="163"/>
      <c r="Y839" s="163"/>
      <c r="Z839" s="30"/>
      <c r="AA839" s="32"/>
      <c r="AB839" s="33"/>
    </row>
    <row r="840" ht="15.75" customHeight="1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3"/>
      <c r="X840" s="163"/>
      <c r="Y840" s="163"/>
      <c r="Z840" s="30"/>
      <c r="AA840" s="32"/>
      <c r="AB840" s="33"/>
    </row>
    <row r="841" ht="15.75" customHeight="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3"/>
      <c r="X841" s="163"/>
      <c r="Y841" s="163"/>
      <c r="Z841" s="30"/>
      <c r="AA841" s="32"/>
      <c r="AB841" s="33"/>
    </row>
    <row r="842" ht="15.75" customHeight="1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3"/>
      <c r="X842" s="163"/>
      <c r="Y842" s="163"/>
      <c r="Z842" s="30"/>
      <c r="AA842" s="32"/>
      <c r="AB842" s="33"/>
    </row>
    <row r="843" ht="15.75" customHeight="1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3"/>
      <c r="X843" s="163"/>
      <c r="Y843" s="163"/>
      <c r="Z843" s="30"/>
      <c r="AA843" s="32"/>
      <c r="AB843" s="33"/>
    </row>
    <row r="844" ht="15.75" customHeight="1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3"/>
      <c r="X844" s="163"/>
      <c r="Y844" s="163"/>
      <c r="Z844" s="30"/>
      <c r="AA844" s="32"/>
      <c r="AB844" s="33"/>
    </row>
    <row r="845" ht="15.75" customHeight="1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3"/>
      <c r="X845" s="163"/>
      <c r="Y845" s="163"/>
      <c r="Z845" s="30"/>
      <c r="AA845" s="32"/>
      <c r="AB845" s="33"/>
    </row>
    <row r="846" ht="15.75" customHeight="1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3"/>
      <c r="X846" s="163"/>
      <c r="Y846" s="163"/>
      <c r="Z846" s="30"/>
      <c r="AA846" s="32"/>
      <c r="AB846" s="33"/>
    </row>
    <row r="847" ht="15.75" customHeight="1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3"/>
      <c r="X847" s="163"/>
      <c r="Y847" s="163"/>
      <c r="Z847" s="30"/>
      <c r="AA847" s="32"/>
      <c r="AB847" s="33"/>
    </row>
    <row r="848" ht="15.75" customHeight="1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3"/>
      <c r="X848" s="163"/>
      <c r="Y848" s="163"/>
      <c r="Z848" s="30"/>
      <c r="AA848" s="32"/>
      <c r="AB848" s="33"/>
    </row>
    <row r="849" ht="15.75" customHeight="1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3"/>
      <c r="X849" s="163"/>
      <c r="Y849" s="163"/>
      <c r="Z849" s="30"/>
      <c r="AA849" s="32"/>
      <c r="AB849" s="33"/>
    </row>
    <row r="850" ht="15.75" customHeight="1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3"/>
      <c r="X850" s="163"/>
      <c r="Y850" s="163"/>
      <c r="Z850" s="30"/>
      <c r="AA850" s="32"/>
      <c r="AB850" s="33"/>
    </row>
    <row r="851" ht="15.75" customHeight="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3"/>
      <c r="X851" s="163"/>
      <c r="Y851" s="163"/>
      <c r="Z851" s="30"/>
      <c r="AA851" s="32"/>
      <c r="AB851" s="33"/>
    </row>
    <row r="852" ht="15.75" customHeight="1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3"/>
      <c r="X852" s="163"/>
      <c r="Y852" s="163"/>
      <c r="Z852" s="30"/>
      <c r="AA852" s="32"/>
      <c r="AB852" s="33"/>
    </row>
    <row r="853" ht="15.75" customHeight="1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3"/>
      <c r="X853" s="163"/>
      <c r="Y853" s="163"/>
      <c r="Z853" s="30"/>
      <c r="AA853" s="32"/>
      <c r="AB853" s="33"/>
    </row>
    <row r="854" ht="15.75" customHeight="1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3"/>
      <c r="X854" s="163"/>
      <c r="Y854" s="163"/>
      <c r="Z854" s="30"/>
      <c r="AA854" s="32"/>
      <c r="AB854" s="33"/>
    </row>
    <row r="855" ht="15.75" customHeight="1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3"/>
      <c r="X855" s="163"/>
      <c r="Y855" s="163"/>
      <c r="Z855" s="30"/>
      <c r="AA855" s="32"/>
      <c r="AB855" s="33"/>
    </row>
    <row r="856" ht="15.75" customHeight="1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3"/>
      <c r="X856" s="163"/>
      <c r="Y856" s="163"/>
      <c r="Z856" s="30"/>
      <c r="AA856" s="32"/>
      <c r="AB856" s="33"/>
    </row>
    <row r="857" ht="15.75" customHeight="1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3"/>
      <c r="X857" s="163"/>
      <c r="Y857" s="163"/>
      <c r="Z857" s="30"/>
      <c r="AA857" s="32"/>
      <c r="AB857" s="33"/>
    </row>
    <row r="858" ht="15.75" customHeight="1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3"/>
      <c r="X858" s="163"/>
      <c r="Y858" s="163"/>
      <c r="Z858" s="30"/>
      <c r="AA858" s="32"/>
      <c r="AB858" s="33"/>
    </row>
    <row r="859" ht="15.75" customHeight="1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3"/>
      <c r="X859" s="163"/>
      <c r="Y859" s="163"/>
      <c r="Z859" s="30"/>
      <c r="AA859" s="32"/>
      <c r="AB859" s="33"/>
    </row>
    <row r="860" ht="15.75" customHeight="1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3"/>
      <c r="X860" s="163"/>
      <c r="Y860" s="163"/>
      <c r="Z860" s="30"/>
      <c r="AA860" s="32"/>
      <c r="AB860" s="33"/>
    </row>
    <row r="861" ht="15.75" customHeight="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3"/>
      <c r="X861" s="163"/>
      <c r="Y861" s="163"/>
      <c r="Z861" s="30"/>
      <c r="AA861" s="32"/>
      <c r="AB861" s="33"/>
    </row>
    <row r="862" ht="15.75" customHeight="1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3"/>
      <c r="X862" s="163"/>
      <c r="Y862" s="163"/>
      <c r="Z862" s="30"/>
      <c r="AA862" s="32"/>
      <c r="AB862" s="33"/>
    </row>
    <row r="863" ht="15.75" customHeight="1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3"/>
      <c r="X863" s="163"/>
      <c r="Y863" s="163"/>
      <c r="Z863" s="30"/>
      <c r="AA863" s="32"/>
      <c r="AB863" s="33"/>
    </row>
    <row r="864" ht="15.75" customHeight="1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3"/>
      <c r="X864" s="163"/>
      <c r="Y864" s="163"/>
      <c r="Z864" s="30"/>
      <c r="AA864" s="32"/>
      <c r="AB864" s="33"/>
    </row>
    <row r="865" ht="15.75" customHeight="1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3"/>
      <c r="X865" s="163"/>
      <c r="Y865" s="163"/>
      <c r="Z865" s="30"/>
      <c r="AA865" s="32"/>
      <c r="AB865" s="33"/>
    </row>
    <row r="866" ht="15.75" customHeight="1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3"/>
      <c r="X866" s="163"/>
      <c r="Y866" s="163"/>
      <c r="Z866" s="30"/>
      <c r="AA866" s="32"/>
      <c r="AB866" s="33"/>
    </row>
    <row r="867" ht="15.75" customHeight="1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3"/>
      <c r="X867" s="163"/>
      <c r="Y867" s="163"/>
      <c r="Z867" s="30"/>
      <c r="AA867" s="32"/>
      <c r="AB867" s="33"/>
    </row>
    <row r="868" ht="15.75" customHeight="1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3"/>
      <c r="X868" s="163"/>
      <c r="Y868" s="163"/>
      <c r="Z868" s="30"/>
      <c r="AA868" s="32"/>
      <c r="AB868" s="33"/>
    </row>
    <row r="869" ht="15.75" customHeight="1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3"/>
      <c r="X869" s="163"/>
      <c r="Y869" s="163"/>
      <c r="Z869" s="30"/>
      <c r="AA869" s="32"/>
      <c r="AB869" s="33"/>
    </row>
    <row r="870" ht="15.75" customHeight="1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3"/>
      <c r="X870" s="163"/>
      <c r="Y870" s="163"/>
      <c r="Z870" s="30"/>
      <c r="AA870" s="32"/>
      <c r="AB870" s="33"/>
    </row>
    <row r="871" ht="15.75" customHeight="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3"/>
      <c r="X871" s="163"/>
      <c r="Y871" s="163"/>
      <c r="Z871" s="30"/>
      <c r="AA871" s="32"/>
      <c r="AB871" s="33"/>
    </row>
    <row r="872" ht="15.75" customHeight="1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3"/>
      <c r="X872" s="163"/>
      <c r="Y872" s="163"/>
      <c r="Z872" s="30"/>
      <c r="AA872" s="32"/>
      <c r="AB872" s="33"/>
    </row>
    <row r="873" ht="15.75" customHeight="1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3"/>
      <c r="X873" s="163"/>
      <c r="Y873" s="163"/>
      <c r="Z873" s="30"/>
      <c r="AA873" s="32"/>
      <c r="AB873" s="33"/>
    </row>
    <row r="874" ht="15.75" customHeight="1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3"/>
      <c r="X874" s="163"/>
      <c r="Y874" s="163"/>
      <c r="Z874" s="30"/>
      <c r="AA874" s="32"/>
      <c r="AB874" s="33"/>
    </row>
    <row r="875" ht="15.75" customHeight="1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3"/>
      <c r="X875" s="163"/>
      <c r="Y875" s="163"/>
      <c r="Z875" s="30"/>
      <c r="AA875" s="32"/>
      <c r="AB875" s="33"/>
    </row>
    <row r="876" ht="15.75" customHeight="1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3"/>
      <c r="X876" s="163"/>
      <c r="Y876" s="163"/>
      <c r="Z876" s="30"/>
      <c r="AA876" s="32"/>
      <c r="AB876" s="33"/>
    </row>
    <row r="877" ht="15.75" customHeight="1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3"/>
      <c r="X877" s="163"/>
      <c r="Y877" s="163"/>
      <c r="Z877" s="30"/>
      <c r="AA877" s="32"/>
      <c r="AB877" s="33"/>
    </row>
    <row r="878" ht="15.75" customHeight="1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3"/>
      <c r="X878" s="163"/>
      <c r="Y878" s="163"/>
      <c r="Z878" s="30"/>
      <c r="AA878" s="32"/>
      <c r="AB878" s="33"/>
    </row>
    <row r="879" ht="15.75" customHeight="1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3"/>
      <c r="X879" s="163"/>
      <c r="Y879" s="163"/>
      <c r="Z879" s="30"/>
      <c r="AA879" s="32"/>
      <c r="AB879" s="33"/>
    </row>
    <row r="880" ht="15.75" customHeight="1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3"/>
      <c r="X880" s="163"/>
      <c r="Y880" s="163"/>
      <c r="Z880" s="30"/>
      <c r="AA880" s="32"/>
      <c r="AB880" s="33"/>
    </row>
    <row r="881" ht="15.75" customHeight="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3"/>
      <c r="X881" s="163"/>
      <c r="Y881" s="163"/>
      <c r="Z881" s="30"/>
      <c r="AA881" s="32"/>
      <c r="AB881" s="33"/>
    </row>
    <row r="882" ht="15.75" customHeight="1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3"/>
      <c r="X882" s="163"/>
      <c r="Y882" s="163"/>
      <c r="Z882" s="30"/>
      <c r="AA882" s="32"/>
      <c r="AB882" s="33"/>
    </row>
    <row r="883" ht="15.75" customHeight="1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3"/>
      <c r="X883" s="163"/>
      <c r="Y883" s="163"/>
      <c r="Z883" s="30"/>
      <c r="AA883" s="32"/>
      <c r="AB883" s="33"/>
    </row>
    <row r="884" ht="15.75" customHeight="1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3"/>
      <c r="X884" s="163"/>
      <c r="Y884" s="163"/>
      <c r="Z884" s="30"/>
      <c r="AA884" s="32"/>
      <c r="AB884" s="33"/>
    </row>
    <row r="885" ht="15.75" customHeight="1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3"/>
      <c r="X885" s="163"/>
      <c r="Y885" s="163"/>
      <c r="Z885" s="30"/>
      <c r="AA885" s="32"/>
      <c r="AB885" s="33"/>
    </row>
    <row r="886" ht="15.75" customHeight="1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3"/>
      <c r="X886" s="163"/>
      <c r="Y886" s="163"/>
      <c r="Z886" s="30"/>
      <c r="AA886" s="32"/>
      <c r="AB886" s="33"/>
    </row>
    <row r="887" ht="15.75" customHeight="1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3"/>
      <c r="X887" s="163"/>
      <c r="Y887" s="163"/>
      <c r="Z887" s="30"/>
      <c r="AA887" s="32"/>
      <c r="AB887" s="33"/>
    </row>
    <row r="888" ht="15.75" customHeight="1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3"/>
      <c r="X888" s="163"/>
      <c r="Y888" s="163"/>
      <c r="Z888" s="30"/>
      <c r="AA888" s="32"/>
      <c r="AB888" s="33"/>
    </row>
    <row r="889" ht="15.75" customHeight="1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3"/>
      <c r="X889" s="163"/>
      <c r="Y889" s="163"/>
      <c r="Z889" s="30"/>
      <c r="AA889" s="32"/>
      <c r="AB889" s="33"/>
    </row>
    <row r="890" ht="15.75" customHeight="1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3"/>
      <c r="X890" s="163"/>
      <c r="Y890" s="163"/>
      <c r="Z890" s="30"/>
      <c r="AA890" s="32"/>
      <c r="AB890" s="33"/>
    </row>
    <row r="891" ht="15.75" customHeight="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3"/>
      <c r="X891" s="163"/>
      <c r="Y891" s="163"/>
      <c r="Z891" s="30"/>
      <c r="AA891" s="32"/>
      <c r="AB891" s="33"/>
    </row>
    <row r="892" ht="15.75" customHeight="1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3"/>
      <c r="X892" s="163"/>
      <c r="Y892" s="163"/>
      <c r="Z892" s="30"/>
      <c r="AA892" s="32"/>
      <c r="AB892" s="33"/>
    </row>
    <row r="893" ht="15.75" customHeight="1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3"/>
      <c r="X893" s="163"/>
      <c r="Y893" s="163"/>
      <c r="Z893" s="30"/>
      <c r="AA893" s="32"/>
      <c r="AB893" s="33"/>
    </row>
    <row r="894" ht="15.75" customHeight="1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3"/>
      <c r="X894" s="163"/>
      <c r="Y894" s="163"/>
      <c r="Z894" s="30"/>
      <c r="AA894" s="32"/>
      <c r="AB894" s="33"/>
    </row>
    <row r="895" ht="15.75" customHeight="1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3"/>
      <c r="X895" s="163"/>
      <c r="Y895" s="163"/>
      <c r="Z895" s="30"/>
      <c r="AA895" s="32"/>
      <c r="AB895" s="33"/>
    </row>
    <row r="896" ht="15.75" customHeight="1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3"/>
      <c r="X896" s="163"/>
      <c r="Y896" s="163"/>
      <c r="Z896" s="30"/>
      <c r="AA896" s="32"/>
      <c r="AB896" s="33"/>
    </row>
    <row r="897" ht="15.75" customHeight="1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3"/>
      <c r="X897" s="163"/>
      <c r="Y897" s="163"/>
      <c r="Z897" s="30"/>
      <c r="AA897" s="32"/>
      <c r="AB897" s="33"/>
    </row>
    <row r="898" ht="15.75" customHeight="1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3"/>
      <c r="X898" s="163"/>
      <c r="Y898" s="163"/>
      <c r="Z898" s="30"/>
      <c r="AA898" s="32"/>
      <c r="AB898" s="33"/>
    </row>
    <row r="899" ht="15.75" customHeight="1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3"/>
      <c r="X899" s="163"/>
      <c r="Y899" s="163"/>
      <c r="Z899" s="30"/>
      <c r="AA899" s="32"/>
      <c r="AB899" s="33"/>
    </row>
    <row r="900" ht="15.75" customHeight="1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3"/>
      <c r="X900" s="163"/>
      <c r="Y900" s="163"/>
      <c r="Z900" s="30"/>
      <c r="AA900" s="32"/>
      <c r="AB900" s="33"/>
    </row>
    <row r="901" ht="15.75" customHeight="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3"/>
      <c r="X901" s="163"/>
      <c r="Y901" s="163"/>
      <c r="Z901" s="30"/>
      <c r="AA901" s="32"/>
      <c r="AB901" s="33"/>
    </row>
    <row r="902" ht="15.75" customHeight="1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3"/>
      <c r="X902" s="163"/>
      <c r="Y902" s="163"/>
      <c r="Z902" s="30"/>
      <c r="AA902" s="32"/>
      <c r="AB902" s="33"/>
    </row>
    <row r="903" ht="15.75" customHeight="1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3"/>
      <c r="X903" s="163"/>
      <c r="Y903" s="163"/>
      <c r="Z903" s="30"/>
      <c r="AA903" s="32"/>
      <c r="AB903" s="33"/>
    </row>
    <row r="904" ht="15.75" customHeight="1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3"/>
      <c r="X904" s="163"/>
      <c r="Y904" s="163"/>
      <c r="Z904" s="30"/>
      <c r="AA904" s="32"/>
      <c r="AB904" s="33"/>
    </row>
    <row r="905" ht="15.75" customHeight="1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3"/>
      <c r="X905" s="163"/>
      <c r="Y905" s="163"/>
      <c r="Z905" s="30"/>
      <c r="AA905" s="32"/>
      <c r="AB905" s="33"/>
    </row>
    <row r="906" ht="15.75" customHeight="1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3"/>
      <c r="X906" s="163"/>
      <c r="Y906" s="163"/>
      <c r="Z906" s="30"/>
      <c r="AA906" s="32"/>
      <c r="AB906" s="33"/>
    </row>
    <row r="907" ht="15.75" customHeight="1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3"/>
      <c r="X907" s="163"/>
      <c r="Y907" s="163"/>
      <c r="Z907" s="30"/>
      <c r="AA907" s="32"/>
      <c r="AB907" s="33"/>
    </row>
    <row r="908" ht="15.75" customHeight="1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3"/>
      <c r="X908" s="163"/>
      <c r="Y908" s="163"/>
      <c r="Z908" s="30"/>
      <c r="AA908" s="32"/>
      <c r="AB908" s="33"/>
    </row>
    <row r="909" ht="15.75" customHeight="1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3"/>
      <c r="X909" s="163"/>
      <c r="Y909" s="163"/>
      <c r="Z909" s="30"/>
      <c r="AA909" s="32"/>
      <c r="AB909" s="33"/>
    </row>
    <row r="910" ht="15.75" customHeight="1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3"/>
      <c r="X910" s="163"/>
      <c r="Y910" s="163"/>
      <c r="Z910" s="30"/>
      <c r="AA910" s="32"/>
      <c r="AB910" s="33"/>
    </row>
    <row r="911" ht="15.75" customHeight="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3"/>
      <c r="X911" s="163"/>
      <c r="Y911" s="163"/>
      <c r="Z911" s="30"/>
      <c r="AA911" s="32"/>
      <c r="AB911" s="33"/>
    </row>
    <row r="912" ht="15.75" customHeight="1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3"/>
      <c r="X912" s="163"/>
      <c r="Y912" s="163"/>
      <c r="Z912" s="30"/>
      <c r="AA912" s="32"/>
      <c r="AB912" s="33"/>
    </row>
    <row r="913" ht="15.75" customHeight="1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3"/>
      <c r="X913" s="163"/>
      <c r="Y913" s="163"/>
      <c r="Z913" s="30"/>
      <c r="AA913" s="32"/>
      <c r="AB913" s="33"/>
    </row>
    <row r="914" ht="15.75" customHeight="1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3"/>
      <c r="X914" s="163"/>
      <c r="Y914" s="163"/>
      <c r="Z914" s="30"/>
      <c r="AA914" s="32"/>
      <c r="AB914" s="33"/>
    </row>
    <row r="915" ht="15.75" customHeight="1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3"/>
      <c r="X915" s="163"/>
      <c r="Y915" s="163"/>
      <c r="Z915" s="30"/>
      <c r="AA915" s="32"/>
      <c r="AB915" s="33"/>
    </row>
    <row r="916" ht="15.75" customHeight="1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3"/>
      <c r="X916" s="163"/>
      <c r="Y916" s="163"/>
      <c r="Z916" s="30"/>
      <c r="AA916" s="32"/>
      <c r="AB916" s="33"/>
    </row>
    <row r="917" ht="15.75" customHeight="1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3"/>
      <c r="X917" s="163"/>
      <c r="Y917" s="163"/>
      <c r="Z917" s="30"/>
      <c r="AA917" s="32"/>
      <c r="AB917" s="33"/>
    </row>
    <row r="918" ht="15.75" customHeight="1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3"/>
      <c r="X918" s="163"/>
      <c r="Y918" s="163"/>
      <c r="Z918" s="30"/>
      <c r="AA918" s="32"/>
      <c r="AB918" s="33"/>
    </row>
    <row r="919" ht="15.75" customHeight="1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3"/>
      <c r="X919" s="163"/>
      <c r="Y919" s="163"/>
      <c r="Z919" s="30"/>
      <c r="AA919" s="32"/>
      <c r="AB919" s="33"/>
    </row>
    <row r="920" ht="15.75" customHeight="1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3"/>
      <c r="X920" s="163"/>
      <c r="Y920" s="163"/>
      <c r="Z920" s="30"/>
      <c r="AA920" s="32"/>
      <c r="AB920" s="33"/>
    </row>
    <row r="921" ht="15.75" customHeight="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3"/>
      <c r="X921" s="163"/>
      <c r="Y921" s="163"/>
      <c r="Z921" s="30"/>
      <c r="AA921" s="32"/>
      <c r="AB921" s="33"/>
    </row>
    <row r="922" ht="15.75" customHeight="1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3"/>
      <c r="X922" s="163"/>
      <c r="Y922" s="163"/>
      <c r="Z922" s="30"/>
      <c r="AA922" s="32"/>
      <c r="AB922" s="33"/>
    </row>
    <row r="923" ht="15.75" customHeight="1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3"/>
      <c r="X923" s="163"/>
      <c r="Y923" s="163"/>
      <c r="Z923" s="30"/>
      <c r="AA923" s="32"/>
      <c r="AB923" s="33"/>
    </row>
    <row r="924" ht="15.75" customHeight="1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3"/>
      <c r="X924" s="163"/>
      <c r="Y924" s="163"/>
      <c r="Z924" s="30"/>
      <c r="AA924" s="32"/>
      <c r="AB924" s="33"/>
    </row>
    <row r="925" ht="15.75" customHeight="1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3"/>
      <c r="X925" s="163"/>
      <c r="Y925" s="163"/>
      <c r="Z925" s="30"/>
      <c r="AA925" s="32"/>
      <c r="AB925" s="33"/>
    </row>
    <row r="926" ht="15.75" customHeight="1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3"/>
      <c r="X926" s="163"/>
      <c r="Y926" s="163"/>
      <c r="Z926" s="30"/>
      <c r="AA926" s="32"/>
      <c r="AB926" s="33"/>
    </row>
    <row r="927" ht="15.75" customHeight="1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3"/>
      <c r="X927" s="163"/>
      <c r="Y927" s="163"/>
      <c r="Z927" s="30"/>
      <c r="AA927" s="32"/>
      <c r="AB927" s="33"/>
    </row>
    <row r="928" ht="15.75" customHeight="1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3"/>
      <c r="X928" s="163"/>
      <c r="Y928" s="163"/>
      <c r="Z928" s="30"/>
      <c r="AA928" s="32"/>
      <c r="AB928" s="33"/>
    </row>
    <row r="929" ht="15.75" customHeight="1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3"/>
      <c r="X929" s="163"/>
      <c r="Y929" s="163"/>
      <c r="Z929" s="30"/>
      <c r="AA929" s="32"/>
      <c r="AB929" s="33"/>
    </row>
    <row r="930" ht="15.75" customHeight="1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3"/>
      <c r="X930" s="163"/>
      <c r="Y930" s="163"/>
      <c r="Z930" s="30"/>
      <c r="AA930" s="32"/>
      <c r="AB930" s="33"/>
    </row>
    <row r="931" ht="15.75" customHeight="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3"/>
      <c r="X931" s="163"/>
      <c r="Y931" s="163"/>
      <c r="Z931" s="30"/>
      <c r="AA931" s="32"/>
      <c r="AB931" s="33"/>
    </row>
    <row r="932" ht="15.75" customHeight="1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3"/>
      <c r="X932" s="163"/>
      <c r="Y932" s="163"/>
      <c r="Z932" s="30"/>
      <c r="AA932" s="32"/>
      <c r="AB932" s="33"/>
    </row>
    <row r="933" ht="15.75" customHeight="1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3"/>
      <c r="X933" s="163"/>
      <c r="Y933" s="163"/>
      <c r="Z933" s="30"/>
      <c r="AA933" s="32"/>
      <c r="AB933" s="33"/>
    </row>
    <row r="934" ht="15.75" customHeight="1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3"/>
      <c r="X934" s="163"/>
      <c r="Y934" s="163"/>
      <c r="Z934" s="30"/>
      <c r="AA934" s="32"/>
      <c r="AB934" s="33"/>
    </row>
    <row r="935" ht="15.75" customHeight="1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3"/>
      <c r="X935" s="163"/>
      <c r="Y935" s="163"/>
      <c r="Z935" s="30"/>
      <c r="AA935" s="32"/>
      <c r="AB935" s="33"/>
    </row>
    <row r="936" ht="15.75" customHeight="1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3"/>
      <c r="X936" s="163"/>
      <c r="Y936" s="163"/>
      <c r="Z936" s="30"/>
      <c r="AA936" s="32"/>
      <c r="AB936" s="33"/>
    </row>
    <row r="937" ht="15.75" customHeight="1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3"/>
      <c r="X937" s="163"/>
      <c r="Y937" s="163"/>
      <c r="Z937" s="30"/>
      <c r="AA937" s="32"/>
      <c r="AB937" s="33"/>
    </row>
    <row r="938" ht="15.75" customHeight="1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3"/>
      <c r="X938" s="163"/>
      <c r="Y938" s="163"/>
      <c r="Z938" s="30"/>
      <c r="AA938" s="32"/>
      <c r="AB938" s="33"/>
    </row>
    <row r="939" ht="15.75" customHeight="1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3"/>
      <c r="X939" s="163"/>
      <c r="Y939" s="163"/>
      <c r="Z939" s="30"/>
      <c r="AA939" s="32"/>
      <c r="AB939" s="33"/>
    </row>
    <row r="940" ht="15.75" customHeight="1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3"/>
      <c r="X940" s="163"/>
      <c r="Y940" s="163"/>
      <c r="Z940" s="30"/>
      <c r="AA940" s="32"/>
      <c r="AB940" s="33"/>
    </row>
    <row r="941" ht="15.75" customHeight="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3"/>
      <c r="X941" s="163"/>
      <c r="Y941" s="163"/>
      <c r="Z941" s="30"/>
      <c r="AA941" s="32"/>
      <c r="AB941" s="33"/>
    </row>
    <row r="942" ht="15.75" customHeight="1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3"/>
      <c r="X942" s="163"/>
      <c r="Y942" s="163"/>
      <c r="Z942" s="30"/>
      <c r="AA942" s="32"/>
      <c r="AB942" s="33"/>
    </row>
    <row r="943" ht="15.75" customHeight="1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3"/>
      <c r="X943" s="163"/>
      <c r="Y943" s="163"/>
      <c r="Z943" s="30"/>
      <c r="AA943" s="32"/>
      <c r="AB943" s="33"/>
    </row>
    <row r="944" ht="15.75" customHeight="1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3"/>
      <c r="X944" s="163"/>
      <c r="Y944" s="163"/>
      <c r="Z944" s="30"/>
      <c r="AA944" s="32"/>
      <c r="AB944" s="33"/>
    </row>
    <row r="945" ht="15.75" customHeight="1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3"/>
      <c r="X945" s="163"/>
      <c r="Y945" s="163"/>
      <c r="Z945" s="30"/>
      <c r="AA945" s="32"/>
      <c r="AB945" s="33"/>
    </row>
    <row r="946" ht="15.75" customHeight="1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3"/>
      <c r="X946" s="163"/>
      <c r="Y946" s="163"/>
      <c r="Z946" s="30"/>
      <c r="AA946" s="32"/>
      <c r="AB946" s="33"/>
    </row>
    <row r="947" ht="15.75" customHeight="1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3"/>
      <c r="X947" s="163"/>
      <c r="Y947" s="163"/>
      <c r="Z947" s="30"/>
      <c r="AA947" s="32"/>
      <c r="AB947" s="33"/>
    </row>
    <row r="948" ht="15.75" customHeight="1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3"/>
      <c r="X948" s="163"/>
      <c r="Y948" s="163"/>
      <c r="Z948" s="30"/>
      <c r="AA948" s="32"/>
      <c r="AB948" s="33"/>
    </row>
    <row r="949" ht="15.75" customHeight="1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3"/>
      <c r="X949" s="163"/>
      <c r="Y949" s="163"/>
      <c r="Z949" s="30"/>
      <c r="AA949" s="32"/>
      <c r="AB949" s="33"/>
    </row>
    <row r="950" ht="15.75" customHeight="1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3"/>
      <c r="X950" s="163"/>
      <c r="Y950" s="163"/>
      <c r="Z950" s="30"/>
      <c r="AA950" s="32"/>
      <c r="AB950" s="33"/>
    </row>
    <row r="951" ht="15.75" customHeight="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3"/>
      <c r="X951" s="163"/>
      <c r="Y951" s="163"/>
      <c r="Z951" s="30"/>
      <c r="AA951" s="32"/>
      <c r="AB951" s="33"/>
    </row>
    <row r="952" ht="15.75" customHeight="1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3"/>
      <c r="X952" s="163"/>
      <c r="Y952" s="163"/>
      <c r="Z952" s="30"/>
      <c r="AA952" s="32"/>
      <c r="AB952" s="33"/>
    </row>
    <row r="953" ht="15.75" customHeight="1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3"/>
      <c r="X953" s="163"/>
      <c r="Y953" s="163"/>
      <c r="Z953" s="30"/>
      <c r="AA953" s="32"/>
      <c r="AB953" s="33"/>
    </row>
    <row r="954" ht="15.75" customHeight="1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3"/>
      <c r="X954" s="163"/>
      <c r="Y954" s="163"/>
      <c r="Z954" s="30"/>
      <c r="AA954" s="32"/>
      <c r="AB954" s="33"/>
    </row>
    <row r="955" ht="15.75" customHeight="1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3"/>
      <c r="X955" s="163"/>
      <c r="Y955" s="163"/>
      <c r="Z955" s="30"/>
      <c r="AA955" s="32"/>
      <c r="AB955" s="33"/>
    </row>
    <row r="956" ht="15.75" customHeight="1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3"/>
      <c r="X956" s="163"/>
      <c r="Y956" s="163"/>
      <c r="Z956" s="30"/>
      <c r="AA956" s="32"/>
      <c r="AB956" s="33"/>
    </row>
    <row r="957" ht="15.75" customHeight="1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3"/>
      <c r="X957" s="163"/>
      <c r="Y957" s="163"/>
      <c r="Z957" s="30"/>
      <c r="AA957" s="32"/>
      <c r="AB957" s="33"/>
    </row>
    <row r="958" ht="15.75" customHeight="1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3"/>
      <c r="X958" s="163"/>
      <c r="Y958" s="163"/>
      <c r="Z958" s="30"/>
      <c r="AA958" s="32"/>
      <c r="AB958" s="33"/>
    </row>
    <row r="959" ht="15.75" customHeight="1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3"/>
      <c r="X959" s="163"/>
      <c r="Y959" s="163"/>
      <c r="Z959" s="30"/>
      <c r="AA959" s="32"/>
      <c r="AB959" s="33"/>
    </row>
    <row r="960" ht="15.75" customHeight="1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3"/>
      <c r="X960" s="163"/>
      <c r="Y960" s="163"/>
      <c r="Z960" s="30"/>
      <c r="AA960" s="32"/>
      <c r="AB960" s="33"/>
    </row>
    <row r="961" ht="15.75" customHeight="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3"/>
      <c r="X961" s="163"/>
      <c r="Y961" s="163"/>
      <c r="Z961" s="30"/>
      <c r="AA961" s="32"/>
      <c r="AB961" s="33"/>
    </row>
    <row r="962" ht="15.75" customHeight="1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3"/>
      <c r="X962" s="163"/>
      <c r="Y962" s="163"/>
      <c r="Z962" s="30"/>
      <c r="AA962" s="32"/>
      <c r="AB962" s="33"/>
    </row>
    <row r="963" ht="15.75" customHeight="1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3"/>
      <c r="X963" s="163"/>
      <c r="Y963" s="163"/>
      <c r="Z963" s="30"/>
      <c r="AA963" s="32"/>
      <c r="AB963" s="33"/>
    </row>
    <row r="964" ht="15.75" customHeight="1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3"/>
      <c r="X964" s="163"/>
      <c r="Y964" s="163"/>
      <c r="Z964" s="30"/>
      <c r="AA964" s="32"/>
      <c r="AB964" s="33"/>
    </row>
    <row r="965" ht="15.75" customHeight="1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3"/>
      <c r="X965" s="163"/>
      <c r="Y965" s="163"/>
      <c r="Z965" s="30"/>
      <c r="AA965" s="32"/>
      <c r="AB965" s="33"/>
    </row>
    <row r="966" ht="15.75" customHeight="1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3"/>
      <c r="X966" s="163"/>
      <c r="Y966" s="163"/>
      <c r="Z966" s="30"/>
      <c r="AA966" s="32"/>
      <c r="AB966" s="33"/>
    </row>
    <row r="967" ht="15.75" customHeight="1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3"/>
      <c r="X967" s="163"/>
      <c r="Y967" s="163"/>
      <c r="Z967" s="30"/>
      <c r="AA967" s="32"/>
      <c r="AB967" s="33"/>
    </row>
    <row r="968" ht="15.75" customHeight="1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3"/>
      <c r="X968" s="163"/>
      <c r="Y968" s="163"/>
      <c r="Z968" s="30"/>
      <c r="AA968" s="32"/>
      <c r="AB968" s="33"/>
    </row>
    <row r="969" ht="15.75" customHeight="1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3"/>
      <c r="X969" s="163"/>
      <c r="Y969" s="163"/>
      <c r="Z969" s="30"/>
      <c r="AA969" s="32"/>
      <c r="AB969" s="33"/>
    </row>
    <row r="970" ht="15.75" customHeight="1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3"/>
      <c r="X970" s="163"/>
      <c r="Y970" s="163"/>
      <c r="Z970" s="30"/>
      <c r="AA970" s="32"/>
      <c r="AB970" s="33"/>
    </row>
    <row r="971" ht="15.75" customHeight="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3"/>
      <c r="X971" s="163"/>
      <c r="Y971" s="163"/>
      <c r="Z971" s="30"/>
      <c r="AA971" s="32"/>
      <c r="AB971" s="33"/>
    </row>
    <row r="972" ht="15.75" customHeight="1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3"/>
      <c r="X972" s="163"/>
      <c r="Y972" s="163"/>
      <c r="Z972" s="30"/>
      <c r="AA972" s="32"/>
      <c r="AB972" s="33"/>
    </row>
    <row r="973" ht="15.75" customHeight="1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3"/>
      <c r="X973" s="163"/>
      <c r="Y973" s="163"/>
      <c r="Z973" s="30"/>
      <c r="AA973" s="32"/>
      <c r="AB973" s="33"/>
    </row>
    <row r="974" ht="15.75" customHeight="1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3"/>
      <c r="X974" s="163"/>
      <c r="Y974" s="163"/>
      <c r="Z974" s="30"/>
      <c r="AA974" s="32"/>
      <c r="AB974" s="33"/>
    </row>
    <row r="975" ht="15.75" customHeight="1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3"/>
      <c r="X975" s="163"/>
      <c r="Y975" s="163"/>
      <c r="Z975" s="30"/>
      <c r="AA975" s="32"/>
      <c r="AB975" s="33"/>
    </row>
    <row r="976" ht="15.75" customHeight="1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3"/>
      <c r="X976" s="163"/>
      <c r="Y976" s="163"/>
      <c r="Z976" s="30"/>
      <c r="AA976" s="32"/>
      <c r="AB976" s="33"/>
    </row>
    <row r="977" ht="15.75" customHeight="1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3"/>
      <c r="X977" s="163"/>
      <c r="Y977" s="163"/>
      <c r="Z977" s="30"/>
      <c r="AA977" s="32"/>
      <c r="AB977" s="33"/>
    </row>
    <row r="978" ht="15.75" customHeight="1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3"/>
      <c r="X978" s="163"/>
      <c r="Y978" s="163"/>
      <c r="Z978" s="30"/>
      <c r="AA978" s="32"/>
      <c r="AB978" s="33"/>
    </row>
    <row r="979" ht="15.75" customHeight="1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3"/>
      <c r="X979" s="163"/>
      <c r="Y979" s="163"/>
      <c r="Z979" s="30"/>
      <c r="AA979" s="32"/>
      <c r="AB979" s="33"/>
    </row>
    <row r="980" ht="15.75" customHeight="1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3"/>
      <c r="X980" s="163"/>
      <c r="Y980" s="163"/>
      <c r="Z980" s="30"/>
      <c r="AA980" s="32"/>
      <c r="AB980" s="33"/>
    </row>
    <row r="981" ht="15.75" customHeight="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3"/>
      <c r="X981" s="163"/>
      <c r="Y981" s="163"/>
      <c r="Z981" s="30"/>
      <c r="AA981" s="32"/>
      <c r="AB981" s="33"/>
    </row>
    <row r="982" ht="15.75" customHeight="1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3"/>
      <c r="X982" s="163"/>
      <c r="Y982" s="163"/>
      <c r="Z982" s="30"/>
      <c r="AA982" s="32"/>
      <c r="AB982" s="33"/>
    </row>
    <row r="983" ht="15.75" customHeight="1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3"/>
      <c r="X983" s="163"/>
      <c r="Y983" s="163"/>
      <c r="Z983" s="30"/>
      <c r="AA983" s="32"/>
      <c r="AB983" s="33"/>
    </row>
    <row r="984" ht="15.75" customHeight="1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3"/>
      <c r="X984" s="163"/>
      <c r="Y984" s="163"/>
      <c r="Z984" s="30"/>
      <c r="AA984" s="32"/>
      <c r="AB984" s="33"/>
    </row>
    <row r="985" ht="15.75" customHeight="1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3"/>
      <c r="X985" s="163"/>
      <c r="Y985" s="163"/>
      <c r="Z985" s="30"/>
      <c r="AA985" s="32"/>
      <c r="AB985" s="33"/>
    </row>
    <row r="986" ht="15.75" customHeight="1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3"/>
      <c r="X986" s="163"/>
      <c r="Y986" s="163"/>
      <c r="Z986" s="30"/>
      <c r="AA986" s="32"/>
      <c r="AB986" s="33"/>
    </row>
    <row r="987" ht="15.75" customHeight="1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3"/>
      <c r="X987" s="163"/>
      <c r="Y987" s="163"/>
      <c r="Z987" s="30"/>
      <c r="AA987" s="32"/>
      <c r="AB987" s="33"/>
    </row>
    <row r="988" ht="15.75" customHeight="1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3"/>
      <c r="X988" s="163"/>
      <c r="Y988" s="163"/>
      <c r="Z988" s="30"/>
      <c r="AA988" s="32"/>
      <c r="AB988" s="33"/>
    </row>
    <row r="989" ht="15.75" customHeight="1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3"/>
      <c r="X989" s="163"/>
      <c r="Y989" s="163"/>
      <c r="Z989" s="30"/>
      <c r="AA989" s="32"/>
      <c r="AB989" s="33"/>
    </row>
    <row r="990" ht="15.75" customHeight="1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3"/>
      <c r="X990" s="163"/>
      <c r="Y990" s="163"/>
      <c r="Z990" s="30"/>
      <c r="AA990" s="32"/>
      <c r="AB990" s="33"/>
    </row>
    <row r="991" ht="15.75" customHeight="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3"/>
      <c r="X991" s="163"/>
      <c r="Y991" s="163"/>
      <c r="Z991" s="30"/>
      <c r="AA991" s="32"/>
      <c r="AB991" s="33"/>
    </row>
    <row r="992" ht="15.75" customHeight="1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3"/>
      <c r="X992" s="163"/>
      <c r="Y992" s="163"/>
      <c r="Z992" s="30"/>
      <c r="AA992" s="32"/>
      <c r="AB992" s="33"/>
    </row>
    <row r="993" ht="15.75" customHeight="1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3"/>
      <c r="X993" s="163"/>
      <c r="Y993" s="163"/>
      <c r="Z993" s="30"/>
      <c r="AA993" s="32"/>
      <c r="AB993" s="33"/>
    </row>
    <row r="994" ht="15.75" customHeight="1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3"/>
      <c r="X994" s="163"/>
      <c r="Y994" s="163"/>
      <c r="Z994" s="30"/>
      <c r="AA994" s="32"/>
      <c r="AB994" s="33"/>
    </row>
    <row r="995" ht="15.75" customHeight="1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3"/>
      <c r="X995" s="163"/>
      <c r="Y995" s="163"/>
      <c r="Z995" s="30"/>
      <c r="AA995" s="32"/>
      <c r="AB995" s="33"/>
    </row>
    <row r="996" ht="15.75" customHeight="1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3"/>
      <c r="X996" s="163"/>
      <c r="Y996" s="163"/>
      <c r="Z996" s="30"/>
      <c r="AA996" s="32"/>
      <c r="AB996" s="33"/>
    </row>
    <row r="997" ht="15.75" customHeight="1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3"/>
      <c r="X997" s="163"/>
      <c r="Y997" s="163"/>
      <c r="Z997" s="30"/>
      <c r="AA997" s="32"/>
      <c r="AB997" s="33"/>
    </row>
    <row r="998" ht="15.75" customHeight="1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3"/>
      <c r="X998" s="163"/>
      <c r="Y998" s="163"/>
      <c r="Z998" s="30"/>
      <c r="AA998" s="32"/>
      <c r="AB998" s="33"/>
    </row>
    <row r="999" ht="15.75" customHeight="1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3"/>
      <c r="X999" s="163"/>
      <c r="Y999" s="163"/>
      <c r="Z999" s="30"/>
      <c r="AA999" s="32"/>
      <c r="AB999" s="33"/>
    </row>
    <row r="1000" ht="15.75" customHeight="1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3"/>
      <c r="X1000" s="163"/>
      <c r="Y1000" s="163"/>
      <c r="Z1000" s="30"/>
      <c r="AA1000" s="32"/>
      <c r="AB1000" s="33"/>
    </row>
  </sheetData>
  <mergeCells count="657">
    <mergeCell ref="O169:O173"/>
    <mergeCell ref="W169:W173"/>
    <mergeCell ref="H169:H173"/>
    <mergeCell ref="I169:I173"/>
    <mergeCell ref="J169:J173"/>
    <mergeCell ref="K169:K173"/>
    <mergeCell ref="L169:L173"/>
    <mergeCell ref="M169:M173"/>
    <mergeCell ref="N169:N173"/>
    <mergeCell ref="O137:O152"/>
    <mergeCell ref="W137:W152"/>
    <mergeCell ref="H137:H152"/>
    <mergeCell ref="I137:I152"/>
    <mergeCell ref="J137:J152"/>
    <mergeCell ref="K137:K152"/>
    <mergeCell ref="L137:L152"/>
    <mergeCell ref="M137:M152"/>
    <mergeCell ref="N137:N152"/>
    <mergeCell ref="A137:A152"/>
    <mergeCell ref="B137:B152"/>
    <mergeCell ref="C137:C152"/>
    <mergeCell ref="D137:D152"/>
    <mergeCell ref="E137:E152"/>
    <mergeCell ref="F137:F152"/>
    <mergeCell ref="G137:G152"/>
    <mergeCell ref="O153:O168"/>
    <mergeCell ref="W153:W168"/>
    <mergeCell ref="H153:H168"/>
    <mergeCell ref="I153:I168"/>
    <mergeCell ref="J153:J168"/>
    <mergeCell ref="K153:K168"/>
    <mergeCell ref="L153:L168"/>
    <mergeCell ref="M153:M168"/>
    <mergeCell ref="N153:N168"/>
    <mergeCell ref="A153:A168"/>
    <mergeCell ref="B153:B168"/>
    <mergeCell ref="C153:C168"/>
    <mergeCell ref="D153:D168"/>
    <mergeCell ref="E153:E168"/>
    <mergeCell ref="F153:F168"/>
    <mergeCell ref="G153:G168"/>
    <mergeCell ref="A169:A173"/>
    <mergeCell ref="B169:B173"/>
    <mergeCell ref="C169:C173"/>
    <mergeCell ref="D169:D173"/>
    <mergeCell ref="E169:E173"/>
    <mergeCell ref="F169:F173"/>
    <mergeCell ref="G169:G173"/>
    <mergeCell ref="O259:O261"/>
    <mergeCell ref="W259:W261"/>
    <mergeCell ref="H259:H261"/>
    <mergeCell ref="I259:I261"/>
    <mergeCell ref="J259:J261"/>
    <mergeCell ref="K259:K261"/>
    <mergeCell ref="L259:L261"/>
    <mergeCell ref="M259:M261"/>
    <mergeCell ref="N259:N261"/>
    <mergeCell ref="O252:O255"/>
    <mergeCell ref="W252:W255"/>
    <mergeCell ref="H252:H255"/>
    <mergeCell ref="I252:I255"/>
    <mergeCell ref="J252:J255"/>
    <mergeCell ref="K252:K255"/>
    <mergeCell ref="L252:L255"/>
    <mergeCell ref="M252:M255"/>
    <mergeCell ref="N252:N255"/>
    <mergeCell ref="A252:A255"/>
    <mergeCell ref="B252:B255"/>
    <mergeCell ref="C252:C255"/>
    <mergeCell ref="D252:D255"/>
    <mergeCell ref="E252:E255"/>
    <mergeCell ref="F252:F255"/>
    <mergeCell ref="G252:G255"/>
    <mergeCell ref="O256:O257"/>
    <mergeCell ref="W256:W257"/>
    <mergeCell ref="H256:H257"/>
    <mergeCell ref="I256:I257"/>
    <mergeCell ref="J256:J257"/>
    <mergeCell ref="K256:K257"/>
    <mergeCell ref="L256:L257"/>
    <mergeCell ref="M256:M257"/>
    <mergeCell ref="N256:N257"/>
    <mergeCell ref="A256:A257"/>
    <mergeCell ref="B256:B257"/>
    <mergeCell ref="C256:C257"/>
    <mergeCell ref="D256:D257"/>
    <mergeCell ref="E256:E257"/>
    <mergeCell ref="F256:F257"/>
    <mergeCell ref="G256:G257"/>
    <mergeCell ref="A259:A261"/>
    <mergeCell ref="B259:B261"/>
    <mergeCell ref="C259:C261"/>
    <mergeCell ref="D259:D261"/>
    <mergeCell ref="E259:E261"/>
    <mergeCell ref="F259:F261"/>
    <mergeCell ref="G259:G261"/>
    <mergeCell ref="O282:O284"/>
    <mergeCell ref="W282:W284"/>
    <mergeCell ref="H282:H284"/>
    <mergeCell ref="I282:I284"/>
    <mergeCell ref="J282:J284"/>
    <mergeCell ref="K282:K284"/>
    <mergeCell ref="L282:L284"/>
    <mergeCell ref="M282:M284"/>
    <mergeCell ref="N282:N284"/>
    <mergeCell ref="O264:O265"/>
    <mergeCell ref="W264:W265"/>
    <mergeCell ref="H264:H265"/>
    <mergeCell ref="I264:I265"/>
    <mergeCell ref="J264:J265"/>
    <mergeCell ref="K264:K265"/>
    <mergeCell ref="L264:L265"/>
    <mergeCell ref="M264:M265"/>
    <mergeCell ref="N264:N265"/>
    <mergeCell ref="A264:A265"/>
    <mergeCell ref="B264:B265"/>
    <mergeCell ref="C264:C265"/>
    <mergeCell ref="D264:D265"/>
    <mergeCell ref="E264:E265"/>
    <mergeCell ref="F264:F265"/>
    <mergeCell ref="G264:G265"/>
    <mergeCell ref="O266:O281"/>
    <mergeCell ref="W266:W281"/>
    <mergeCell ref="H266:H281"/>
    <mergeCell ref="I266:I281"/>
    <mergeCell ref="J266:J281"/>
    <mergeCell ref="K266:K281"/>
    <mergeCell ref="L266:L281"/>
    <mergeCell ref="M266:M281"/>
    <mergeCell ref="N266:N281"/>
    <mergeCell ref="A266:A281"/>
    <mergeCell ref="B266:B281"/>
    <mergeCell ref="C266:C281"/>
    <mergeCell ref="D266:D281"/>
    <mergeCell ref="E266:E281"/>
    <mergeCell ref="F266:F281"/>
    <mergeCell ref="G266:G281"/>
    <mergeCell ref="A282:A284"/>
    <mergeCell ref="B282:B284"/>
    <mergeCell ref="C282:C284"/>
    <mergeCell ref="D282:D284"/>
    <mergeCell ref="E282:E284"/>
    <mergeCell ref="F282:F284"/>
    <mergeCell ref="G282:G284"/>
    <mergeCell ref="A1:C2"/>
    <mergeCell ref="D1:V2"/>
    <mergeCell ref="W1:Y1"/>
    <mergeCell ref="W2:Y2"/>
    <mergeCell ref="A3:D3"/>
    <mergeCell ref="E3:N3"/>
    <mergeCell ref="T3:V3"/>
    <mergeCell ref="B6:B7"/>
    <mergeCell ref="C6:C7"/>
    <mergeCell ref="D6:D7"/>
    <mergeCell ref="E6:E7"/>
    <mergeCell ref="F6:F7"/>
    <mergeCell ref="G6:G7"/>
    <mergeCell ref="H6:H7"/>
    <mergeCell ref="I6:I7"/>
    <mergeCell ref="Q6:Q7"/>
    <mergeCell ref="R6:R7"/>
    <mergeCell ref="S6:S7"/>
    <mergeCell ref="T6:T7"/>
    <mergeCell ref="W6:W7"/>
    <mergeCell ref="X6:X7"/>
    <mergeCell ref="Y6:Y7"/>
    <mergeCell ref="U6:U7"/>
    <mergeCell ref="V6:V7"/>
    <mergeCell ref="W9:W26"/>
    <mergeCell ref="A4:D4"/>
    <mergeCell ref="E4:N4"/>
    <mergeCell ref="T4:V4"/>
    <mergeCell ref="A5:D5"/>
    <mergeCell ref="E5:H5"/>
    <mergeCell ref="T5:V5"/>
    <mergeCell ref="A6:A7"/>
    <mergeCell ref="H9:H26"/>
    <mergeCell ref="I9:I26"/>
    <mergeCell ref="J9:J26"/>
    <mergeCell ref="K9:K26"/>
    <mergeCell ref="L9:L26"/>
    <mergeCell ref="M9:M26"/>
    <mergeCell ref="N9:N26"/>
    <mergeCell ref="O9:O26"/>
    <mergeCell ref="J6:O6"/>
    <mergeCell ref="P6:P7"/>
    <mergeCell ref="A9:A26"/>
    <mergeCell ref="B9:B26"/>
    <mergeCell ref="C9:C26"/>
    <mergeCell ref="D9:D26"/>
    <mergeCell ref="E9:E26"/>
    <mergeCell ref="O51:O61"/>
    <mergeCell ref="W51:W61"/>
    <mergeCell ref="H51:H61"/>
    <mergeCell ref="I51:I61"/>
    <mergeCell ref="J51:J61"/>
    <mergeCell ref="K51:K61"/>
    <mergeCell ref="L51:L61"/>
    <mergeCell ref="M51:M61"/>
    <mergeCell ref="N51:N61"/>
    <mergeCell ref="M27:M39"/>
    <mergeCell ref="N27:N39"/>
    <mergeCell ref="O27:O39"/>
    <mergeCell ref="W27:W39"/>
    <mergeCell ref="F27:F39"/>
    <mergeCell ref="G27:G39"/>
    <mergeCell ref="H27:H39"/>
    <mergeCell ref="I27:I39"/>
    <mergeCell ref="J27:J39"/>
    <mergeCell ref="K27:K39"/>
    <mergeCell ref="L27:L39"/>
    <mergeCell ref="F9:F26"/>
    <mergeCell ref="G9:G26"/>
    <mergeCell ref="A27:A39"/>
    <mergeCell ref="B27:B39"/>
    <mergeCell ref="C27:C39"/>
    <mergeCell ref="D27:D39"/>
    <mergeCell ref="E27:E39"/>
    <mergeCell ref="O40:O50"/>
    <mergeCell ref="W40:W50"/>
    <mergeCell ref="H40:H50"/>
    <mergeCell ref="I40:I50"/>
    <mergeCell ref="J40:J50"/>
    <mergeCell ref="K40:K50"/>
    <mergeCell ref="L40:L50"/>
    <mergeCell ref="M40:M50"/>
    <mergeCell ref="N40:N50"/>
    <mergeCell ref="A40:A50"/>
    <mergeCell ref="B40:B50"/>
    <mergeCell ref="C40:C50"/>
    <mergeCell ref="D40:D50"/>
    <mergeCell ref="E40:E50"/>
    <mergeCell ref="F40:F50"/>
    <mergeCell ref="G40:G50"/>
    <mergeCell ref="A51:A61"/>
    <mergeCell ref="B51:B61"/>
    <mergeCell ref="C51:C61"/>
    <mergeCell ref="D51:D61"/>
    <mergeCell ref="E51:E61"/>
    <mergeCell ref="F51:F61"/>
    <mergeCell ref="G51:G61"/>
    <mergeCell ref="O83:O89"/>
    <mergeCell ref="W83:W89"/>
    <mergeCell ref="H83:H89"/>
    <mergeCell ref="I83:I89"/>
    <mergeCell ref="J83:J89"/>
    <mergeCell ref="K83:K89"/>
    <mergeCell ref="L83:L89"/>
    <mergeCell ref="M83:M89"/>
    <mergeCell ref="N83:N89"/>
    <mergeCell ref="O62:O79"/>
    <mergeCell ref="W62:W79"/>
    <mergeCell ref="H62:H79"/>
    <mergeCell ref="I62:I79"/>
    <mergeCell ref="J62:J79"/>
    <mergeCell ref="K62:K79"/>
    <mergeCell ref="L62:L79"/>
    <mergeCell ref="M62:M79"/>
    <mergeCell ref="N62:N79"/>
    <mergeCell ref="A62:A79"/>
    <mergeCell ref="B62:B79"/>
    <mergeCell ref="C62:C79"/>
    <mergeCell ref="D62:D79"/>
    <mergeCell ref="E62:E79"/>
    <mergeCell ref="F62:F79"/>
    <mergeCell ref="G62:G79"/>
    <mergeCell ref="O80:O82"/>
    <mergeCell ref="W80:W82"/>
    <mergeCell ref="H80:H82"/>
    <mergeCell ref="I80:I82"/>
    <mergeCell ref="J80:J82"/>
    <mergeCell ref="K80:K82"/>
    <mergeCell ref="L80:L82"/>
    <mergeCell ref="M80:M82"/>
    <mergeCell ref="N80:N82"/>
    <mergeCell ref="A80:A82"/>
    <mergeCell ref="B80:B82"/>
    <mergeCell ref="C80:C82"/>
    <mergeCell ref="D80:D82"/>
    <mergeCell ref="E80:E82"/>
    <mergeCell ref="F80:F82"/>
    <mergeCell ref="G80:G82"/>
    <mergeCell ref="A83:A89"/>
    <mergeCell ref="B83:B89"/>
    <mergeCell ref="C83:C89"/>
    <mergeCell ref="D83:D89"/>
    <mergeCell ref="E83:E89"/>
    <mergeCell ref="F83:F89"/>
    <mergeCell ref="G83:G89"/>
    <mergeCell ref="O285:O286"/>
    <mergeCell ref="W285:W286"/>
    <mergeCell ref="H285:H286"/>
    <mergeCell ref="I285:I286"/>
    <mergeCell ref="J285:J286"/>
    <mergeCell ref="K285:K286"/>
    <mergeCell ref="L285:L286"/>
    <mergeCell ref="M285:M286"/>
    <mergeCell ref="N285:N286"/>
    <mergeCell ref="A285:A286"/>
    <mergeCell ref="B285:B286"/>
    <mergeCell ref="C285:C286"/>
    <mergeCell ref="D285:D286"/>
    <mergeCell ref="E285:E286"/>
    <mergeCell ref="F285:F286"/>
    <mergeCell ref="G285:G286"/>
    <mergeCell ref="A287:A291"/>
    <mergeCell ref="B287:B291"/>
    <mergeCell ref="C287:C291"/>
    <mergeCell ref="D287:D291"/>
    <mergeCell ref="E287:E291"/>
    <mergeCell ref="F287:F291"/>
    <mergeCell ref="G287:G291"/>
    <mergeCell ref="O287:O291"/>
    <mergeCell ref="W287:W291"/>
    <mergeCell ref="H287:H291"/>
    <mergeCell ref="I287:I291"/>
    <mergeCell ref="J287:J291"/>
    <mergeCell ref="K287:K291"/>
    <mergeCell ref="L287:L291"/>
    <mergeCell ref="M287:M291"/>
    <mergeCell ref="N287:N291"/>
    <mergeCell ref="O98:O102"/>
    <mergeCell ref="W98:W102"/>
    <mergeCell ref="H98:H102"/>
    <mergeCell ref="I98:I102"/>
    <mergeCell ref="J98:J102"/>
    <mergeCell ref="K98:K102"/>
    <mergeCell ref="L98:L102"/>
    <mergeCell ref="M98:M102"/>
    <mergeCell ref="N98:N102"/>
    <mergeCell ref="O90:O93"/>
    <mergeCell ref="W90:W93"/>
    <mergeCell ref="H90:H93"/>
    <mergeCell ref="I90:I93"/>
    <mergeCell ref="J90:J93"/>
    <mergeCell ref="K90:K93"/>
    <mergeCell ref="L90:L93"/>
    <mergeCell ref="M90:M93"/>
    <mergeCell ref="N90:N93"/>
    <mergeCell ref="A90:A93"/>
    <mergeCell ref="B90:B93"/>
    <mergeCell ref="C90:C93"/>
    <mergeCell ref="D90:D93"/>
    <mergeCell ref="E90:E93"/>
    <mergeCell ref="F90:F93"/>
    <mergeCell ref="G90:G93"/>
    <mergeCell ref="O95:O97"/>
    <mergeCell ref="W95:W97"/>
    <mergeCell ref="H95:H97"/>
    <mergeCell ref="I95:I97"/>
    <mergeCell ref="J95:J97"/>
    <mergeCell ref="K95:K97"/>
    <mergeCell ref="L95:L97"/>
    <mergeCell ref="M95:M97"/>
    <mergeCell ref="N95:N97"/>
    <mergeCell ref="A95:A97"/>
    <mergeCell ref="B95:B97"/>
    <mergeCell ref="C95:C97"/>
    <mergeCell ref="D95:D97"/>
    <mergeCell ref="E95:E97"/>
    <mergeCell ref="F95:F97"/>
    <mergeCell ref="G95:G97"/>
    <mergeCell ref="A98:A102"/>
    <mergeCell ref="B98:B102"/>
    <mergeCell ref="C98:C102"/>
    <mergeCell ref="D98:D102"/>
    <mergeCell ref="E98:E102"/>
    <mergeCell ref="F98:F102"/>
    <mergeCell ref="G98:G102"/>
    <mergeCell ref="O115:O118"/>
    <mergeCell ref="W115:W118"/>
    <mergeCell ref="H115:H118"/>
    <mergeCell ref="I115:I118"/>
    <mergeCell ref="J115:J118"/>
    <mergeCell ref="K115:K118"/>
    <mergeCell ref="L115:L118"/>
    <mergeCell ref="M115:M118"/>
    <mergeCell ref="N115:N118"/>
    <mergeCell ref="O103:O109"/>
    <mergeCell ref="W103:W109"/>
    <mergeCell ref="H103:H109"/>
    <mergeCell ref="I103:I109"/>
    <mergeCell ref="J103:J109"/>
    <mergeCell ref="K103:K109"/>
    <mergeCell ref="L103:L109"/>
    <mergeCell ref="M103:M109"/>
    <mergeCell ref="N103:N109"/>
    <mergeCell ref="A103:A109"/>
    <mergeCell ref="B103:B109"/>
    <mergeCell ref="C103:C109"/>
    <mergeCell ref="D103:D109"/>
    <mergeCell ref="E103:E109"/>
    <mergeCell ref="F103:F109"/>
    <mergeCell ref="G103:G109"/>
    <mergeCell ref="O110:O113"/>
    <mergeCell ref="W110:W113"/>
    <mergeCell ref="H110:H113"/>
    <mergeCell ref="I110:I113"/>
    <mergeCell ref="J110:J113"/>
    <mergeCell ref="K110:K113"/>
    <mergeCell ref="L110:L113"/>
    <mergeCell ref="M110:M113"/>
    <mergeCell ref="N110:N113"/>
    <mergeCell ref="A110:A113"/>
    <mergeCell ref="B110:B113"/>
    <mergeCell ref="C110:C113"/>
    <mergeCell ref="D110:D113"/>
    <mergeCell ref="E110:E113"/>
    <mergeCell ref="F110:F113"/>
    <mergeCell ref="G110:G113"/>
    <mergeCell ref="A115:A118"/>
    <mergeCell ref="B115:B118"/>
    <mergeCell ref="C115:C118"/>
    <mergeCell ref="D115:D118"/>
    <mergeCell ref="E115:E118"/>
    <mergeCell ref="F115:F118"/>
    <mergeCell ref="G115:G118"/>
    <mergeCell ref="O127:O136"/>
    <mergeCell ref="W127:W136"/>
    <mergeCell ref="H127:H136"/>
    <mergeCell ref="I127:I136"/>
    <mergeCell ref="J127:J136"/>
    <mergeCell ref="K127:K136"/>
    <mergeCell ref="L127:L136"/>
    <mergeCell ref="M127:M136"/>
    <mergeCell ref="N127:N136"/>
    <mergeCell ref="O119:O120"/>
    <mergeCell ref="W119:W120"/>
    <mergeCell ref="H119:H120"/>
    <mergeCell ref="I119:I120"/>
    <mergeCell ref="J119:J120"/>
    <mergeCell ref="K119:K120"/>
    <mergeCell ref="L119:L120"/>
    <mergeCell ref="M119:M120"/>
    <mergeCell ref="N119:N120"/>
    <mergeCell ref="A119:A120"/>
    <mergeCell ref="B119:B120"/>
    <mergeCell ref="C119:C120"/>
    <mergeCell ref="D119:D120"/>
    <mergeCell ref="E119:E120"/>
    <mergeCell ref="F119:F120"/>
    <mergeCell ref="G119:G120"/>
    <mergeCell ref="O121:O126"/>
    <mergeCell ref="W121:W126"/>
    <mergeCell ref="H121:H126"/>
    <mergeCell ref="I121:I126"/>
    <mergeCell ref="J121:J126"/>
    <mergeCell ref="K121:K126"/>
    <mergeCell ref="L121:L126"/>
    <mergeCell ref="M121:M126"/>
    <mergeCell ref="N121:N126"/>
    <mergeCell ref="A121:A126"/>
    <mergeCell ref="B121:B126"/>
    <mergeCell ref="C121:C126"/>
    <mergeCell ref="D121:D126"/>
    <mergeCell ref="E121:E126"/>
    <mergeCell ref="F121:F126"/>
    <mergeCell ref="G121:G126"/>
    <mergeCell ref="A127:A136"/>
    <mergeCell ref="B127:B136"/>
    <mergeCell ref="C127:C136"/>
    <mergeCell ref="D127:D136"/>
    <mergeCell ref="E127:E136"/>
    <mergeCell ref="F127:F136"/>
    <mergeCell ref="G127:G136"/>
    <mergeCell ref="O187:O198"/>
    <mergeCell ref="W187:W198"/>
    <mergeCell ref="H187:H198"/>
    <mergeCell ref="I187:I198"/>
    <mergeCell ref="J187:J198"/>
    <mergeCell ref="K187:K198"/>
    <mergeCell ref="L187:L198"/>
    <mergeCell ref="M187:M198"/>
    <mergeCell ref="N187:N198"/>
    <mergeCell ref="O174:O182"/>
    <mergeCell ref="W174:W182"/>
    <mergeCell ref="H174:H182"/>
    <mergeCell ref="I174:I182"/>
    <mergeCell ref="J174:J182"/>
    <mergeCell ref="K174:K182"/>
    <mergeCell ref="L174:L182"/>
    <mergeCell ref="M174:M182"/>
    <mergeCell ref="N174:N182"/>
    <mergeCell ref="A174:A182"/>
    <mergeCell ref="B174:B182"/>
    <mergeCell ref="C174:C182"/>
    <mergeCell ref="D174:D182"/>
    <mergeCell ref="E174:E182"/>
    <mergeCell ref="F174:F182"/>
    <mergeCell ref="G174:G182"/>
    <mergeCell ref="O183:O186"/>
    <mergeCell ref="W183:W186"/>
    <mergeCell ref="H183:H186"/>
    <mergeCell ref="I183:I186"/>
    <mergeCell ref="J183:J186"/>
    <mergeCell ref="K183:K186"/>
    <mergeCell ref="L183:L186"/>
    <mergeCell ref="M183:M186"/>
    <mergeCell ref="N183:N186"/>
    <mergeCell ref="A183:A186"/>
    <mergeCell ref="B183:B186"/>
    <mergeCell ref="C183:C186"/>
    <mergeCell ref="D183:D186"/>
    <mergeCell ref="E183:E186"/>
    <mergeCell ref="F183:F186"/>
    <mergeCell ref="G183:G186"/>
    <mergeCell ref="A187:A198"/>
    <mergeCell ref="B187:B198"/>
    <mergeCell ref="C187:C198"/>
    <mergeCell ref="D187:D198"/>
    <mergeCell ref="E187:E198"/>
    <mergeCell ref="F187:F198"/>
    <mergeCell ref="G187:G198"/>
    <mergeCell ref="O223:O226"/>
    <mergeCell ref="W223:W226"/>
    <mergeCell ref="H223:H226"/>
    <mergeCell ref="I223:I226"/>
    <mergeCell ref="J223:J226"/>
    <mergeCell ref="K223:K226"/>
    <mergeCell ref="L223:L226"/>
    <mergeCell ref="M223:M226"/>
    <mergeCell ref="N223:N226"/>
    <mergeCell ref="O199:O207"/>
    <mergeCell ref="W199:W207"/>
    <mergeCell ref="H199:H207"/>
    <mergeCell ref="I199:I207"/>
    <mergeCell ref="J199:J207"/>
    <mergeCell ref="K199:K207"/>
    <mergeCell ref="L199:L207"/>
    <mergeCell ref="M199:M207"/>
    <mergeCell ref="N199:N207"/>
    <mergeCell ref="A199:A207"/>
    <mergeCell ref="B199:B207"/>
    <mergeCell ref="C199:C207"/>
    <mergeCell ref="D199:D207"/>
    <mergeCell ref="E199:E207"/>
    <mergeCell ref="F199:F207"/>
    <mergeCell ref="G199:G207"/>
    <mergeCell ref="O208:O222"/>
    <mergeCell ref="W208:W222"/>
    <mergeCell ref="H208:H222"/>
    <mergeCell ref="I208:I222"/>
    <mergeCell ref="J208:J222"/>
    <mergeCell ref="K208:K222"/>
    <mergeCell ref="L208:L222"/>
    <mergeCell ref="M208:M222"/>
    <mergeCell ref="N208:N222"/>
    <mergeCell ref="A208:A222"/>
    <mergeCell ref="B208:B222"/>
    <mergeCell ref="C208:C222"/>
    <mergeCell ref="D208:D222"/>
    <mergeCell ref="E208:E222"/>
    <mergeCell ref="F208:F222"/>
    <mergeCell ref="G208:G222"/>
    <mergeCell ref="A223:A226"/>
    <mergeCell ref="B223:B226"/>
    <mergeCell ref="C223:C226"/>
    <mergeCell ref="D223:D226"/>
    <mergeCell ref="E223:E226"/>
    <mergeCell ref="F223:F226"/>
    <mergeCell ref="G223:G226"/>
    <mergeCell ref="O235:O239"/>
    <mergeCell ref="W235:W239"/>
    <mergeCell ref="H235:H239"/>
    <mergeCell ref="I235:I239"/>
    <mergeCell ref="J235:J239"/>
    <mergeCell ref="K235:K239"/>
    <mergeCell ref="L235:L239"/>
    <mergeCell ref="M235:M239"/>
    <mergeCell ref="N235:N239"/>
    <mergeCell ref="O227:O229"/>
    <mergeCell ref="W227:W229"/>
    <mergeCell ref="H227:H229"/>
    <mergeCell ref="I227:I229"/>
    <mergeCell ref="J227:J229"/>
    <mergeCell ref="K227:K229"/>
    <mergeCell ref="L227:L229"/>
    <mergeCell ref="M227:M229"/>
    <mergeCell ref="N227:N229"/>
    <mergeCell ref="A227:A229"/>
    <mergeCell ref="B227:B229"/>
    <mergeCell ref="C227:C229"/>
    <mergeCell ref="D227:D229"/>
    <mergeCell ref="E227:E229"/>
    <mergeCell ref="F227:F229"/>
    <mergeCell ref="G227:G229"/>
    <mergeCell ref="O230:O234"/>
    <mergeCell ref="W230:W234"/>
    <mergeCell ref="H230:H234"/>
    <mergeCell ref="I230:I234"/>
    <mergeCell ref="J230:J234"/>
    <mergeCell ref="K230:K234"/>
    <mergeCell ref="L230:L234"/>
    <mergeCell ref="M230:M234"/>
    <mergeCell ref="N230:N234"/>
    <mergeCell ref="A230:A234"/>
    <mergeCell ref="B230:B234"/>
    <mergeCell ref="C230:C234"/>
    <mergeCell ref="D230:D234"/>
    <mergeCell ref="E230:E234"/>
    <mergeCell ref="F230:F234"/>
    <mergeCell ref="G230:G234"/>
    <mergeCell ref="A235:A239"/>
    <mergeCell ref="B235:B239"/>
    <mergeCell ref="C235:C239"/>
    <mergeCell ref="D235:D239"/>
    <mergeCell ref="E235:E239"/>
    <mergeCell ref="F235:F239"/>
    <mergeCell ref="G235:G239"/>
    <mergeCell ref="O249:O251"/>
    <mergeCell ref="W249:W251"/>
    <mergeCell ref="H249:H251"/>
    <mergeCell ref="I249:I251"/>
    <mergeCell ref="J249:J251"/>
    <mergeCell ref="K249:K251"/>
    <mergeCell ref="L249:L251"/>
    <mergeCell ref="M249:M251"/>
    <mergeCell ref="N249:N251"/>
    <mergeCell ref="O240:O245"/>
    <mergeCell ref="W240:W245"/>
    <mergeCell ref="H240:H245"/>
    <mergeCell ref="I240:I245"/>
    <mergeCell ref="J240:J245"/>
    <mergeCell ref="K240:K245"/>
    <mergeCell ref="L240:L245"/>
    <mergeCell ref="M240:M245"/>
    <mergeCell ref="N240:N245"/>
    <mergeCell ref="A240:A245"/>
    <mergeCell ref="B240:B245"/>
    <mergeCell ref="C240:C245"/>
    <mergeCell ref="D240:D245"/>
    <mergeCell ref="E240:E245"/>
    <mergeCell ref="F240:F245"/>
    <mergeCell ref="G240:G245"/>
    <mergeCell ref="O246:O248"/>
    <mergeCell ref="W246:W248"/>
    <mergeCell ref="H246:H248"/>
    <mergeCell ref="I246:I248"/>
    <mergeCell ref="J246:J248"/>
    <mergeCell ref="K246:K248"/>
    <mergeCell ref="L246:L248"/>
    <mergeCell ref="M246:M248"/>
    <mergeCell ref="N246:N248"/>
    <mergeCell ref="A246:A248"/>
    <mergeCell ref="B246:B248"/>
    <mergeCell ref="C246:C248"/>
    <mergeCell ref="D246:D248"/>
    <mergeCell ref="E246:E248"/>
    <mergeCell ref="F246:F248"/>
    <mergeCell ref="G246:G248"/>
    <mergeCell ref="A249:A251"/>
    <mergeCell ref="B249:B251"/>
    <mergeCell ref="C249:C251"/>
    <mergeCell ref="D249:D251"/>
    <mergeCell ref="E249:E251"/>
    <mergeCell ref="F249:F251"/>
    <mergeCell ref="G249:G251"/>
  </mergeCells>
  <conditionalFormatting sqref="F8:F9 F27 F40 F51 F62 F80 F83 F90 F94:F96 F98 F103 F110 F114:F115 F119 F121 F127 F137 F153 F169:F171 F174 F183 F187 F199 F208 F223:F224 F227 F230 F235 F240 F246:F247 F249 F252 F256 F258:F260 F262:F264 F266 F282:F283 F285 F287">
    <cfRule type="containsText" dxfId="0" priority="1" operator="containsText" text="N/A">
      <formula>NOT(ISERROR(SEARCH(("N/A"),(F8))))</formula>
    </cfRule>
  </conditionalFormatting>
  <conditionalFormatting sqref="G8:G9 G27 G40 G51 G62 G80 G83 G90 G94:G96 G98 G103 G110 G114:G115 G119 G121 G127 G137 G153 G169:G171 G174 G183 G187 G199 G208 G223:G224 G227 G230 G235 G240 G246:G247 G249 G252 G256 G258:G260 G262:G264 G266 G282:G283 G285 G287">
    <cfRule type="expression" dxfId="0" priority="2">
      <formula>IF(F8="N/A",TRUE,FALSE)</formula>
    </cfRule>
  </conditionalFormatting>
  <conditionalFormatting sqref="H8:H9 H27 H40 H51 H62 H80 H83 H90 H94:H96 H98 H103 H110 H114:H115 H119 H121 H127 H137 H153 H169:H171 H174 H183 H187 H199 H208 H223:H224 H227 H230 H235 H240 H246:H247 H249 H252 H256 H258:H260 H262:H264 H266 H282:H283 H285 H287">
    <cfRule type="expression" dxfId="0" priority="3">
      <formula>IF(F8="N/A",TRUE,FALSE)</formula>
    </cfRule>
  </conditionalFormatting>
  <conditionalFormatting sqref="I8:I9 I27 I40 I51 I62 I80 I83 I90 I94:I96 I98 I103 I110 I114:I115 I119 I121 I127 I137 I153 I169:I171 I174 I183 I187 I199 I208 I223:I224 I227 I230 I235 I240 I246:I247 I249 I252 I256 I258:I260 I262:I264 I266 I282:I283 I285 I287">
    <cfRule type="expression" dxfId="0" priority="4">
      <formula>IF(F8="N/A",TRUE,FALSE)</formula>
    </cfRule>
  </conditionalFormatting>
  <conditionalFormatting sqref="J8:J9 J27 J40 J51 J62 J80 J83 J90 J94:J96 J98 J103 J110 J114:J115 J119 J121 J127 J137 J153 J169:J171 J174 J183 J187 J199 J208 J223:J224 J227 J230 J235 J240 J246:J247 J249 J252 J256 J258:J260 J262:J264 J266 J282:J283 J285 J287">
    <cfRule type="expression" dxfId="0" priority="5">
      <formula>IF(F8="N/A",TRUE,FALSE)</formula>
    </cfRule>
  </conditionalFormatting>
  <conditionalFormatting sqref="K8:K9 K27 K40 K51 K62 K80 K83 K90 K94:K96 K98 K103 K110 K114:K115 K119 K121 K127 K137 K153 K169:K171 K174 K183 K187 K199 K208 K223:K224 K227 K230 K235 K240 K246:K247 K249 K252 K256 K258:K260 K262:K264 K266 K282:K283 K285 K287">
    <cfRule type="expression" dxfId="0" priority="6">
      <formula>IF(F8="N/A",TRUE,FALSE)</formula>
    </cfRule>
  </conditionalFormatting>
  <conditionalFormatting sqref="L8:L9 L27 L40 L51 L62 L80 L83 L90 L94:L96 L98 L103 L110 L114:L115 L119 L121 L127 L137 L153 L169:L171 L174 L183 L187 L199 L208 L223:L224 L227 L230 L235 L240 L246:L247 L249 L252 L256 L258:L260 L262:L264 L266 L282:L283 L285 L287">
    <cfRule type="expression" dxfId="0" priority="7">
      <formula>IF(F8="N/A",TRUE,FALSE)</formula>
    </cfRule>
  </conditionalFormatting>
  <conditionalFormatting sqref="M8:M9 M27 M40 M51 M62 M80 M83 M90 M94:M96 M98 M103 M110 M114:M115 M119 M121 M127 M137 M153 M169:M171 M174 M183 M187 M199 M208 M223:M224 M227 M230 M235 M240 M246:M247 M249 M252 M256 M258:M260 M262:M264 M266 M282:M283 M285 M287">
    <cfRule type="expression" dxfId="0" priority="8">
      <formula>IF(F8="N/A",TRUE,FALSE)</formula>
    </cfRule>
  </conditionalFormatting>
  <conditionalFormatting sqref="N8:N9 N27 N40 N51 N62 N80 N83 N90 N94:N96 N98 N103 N110 N114:N115 N119 N121 N127 N137 N153 N169:N171 N174 N183 N187 N199 N208 N223:N224 N227 N230 N235 N240 N246:N247 N249 N252 N256 N258:N260 N262:N264 N266 N282:N283 N285 N287">
    <cfRule type="expression" dxfId="0" priority="9">
      <formula>IF(F8="N/A",TRUE,FALSE)</formula>
    </cfRule>
  </conditionalFormatting>
  <conditionalFormatting sqref="O8:O9 O27 O40 O51 O62 O80 O83 O90 O94:O96 O98 O103 O110 O114:O115 O119 O121 O127 O137 O153 O169:O171 O174 O183 O187 O199 O208 O223:O224 O227 O230 O235 O240 O246:O247 O249 O252 O256 O258:O260 O262:O264 O266 O282:O283 O285 O287 W8:W9 W27 W40 W51 W62 W80 W83 W90 W94:W96 W98 W103 W110 W114:W115 W119 W121 W127 W137 W153 W169:W171 W174 W183 W187 W199 W208 W223:W224 W227 W230 W235 W240 W246:W247 W249 W252 W256 W258:W260 W262:W264 W266 W282:W283 W285 W287">
    <cfRule type="containsText" dxfId="1" priority="10" operator="containsText" text="ACEPTABLE CON REVISIÓN">
      <formula>NOT(ISERROR(SEARCH(("ACEPTABLE CON REVISIÓN"),(O8))))</formula>
    </cfRule>
  </conditionalFormatting>
  <conditionalFormatting sqref="O8:O9 O27 O40 O51 O62 O80 O83 O90 O94:O96 O98 O103 O110 O114:O115 O119 O121 O127 O137 O153 O169:O171 O174 O183 O187 O199 O208 O223:O224 O227 O230 O235 O240 O246:O247 O249 O252 O256 O258:O260 O262:O264 O266 O282:O283 O285 O287">
    <cfRule type="expression" dxfId="0" priority="11">
      <formula>IF(F8="N/A",TRUE,FALSE)</formula>
    </cfRule>
  </conditionalFormatting>
  <conditionalFormatting sqref="O8:O9 O27 O40 O51 O62 O80 O83 O90 O94:O96 O98 O103 O110 O114:O115 O119 O121 O127 O137 O153 O169:O171 O174 O183 O187 O199 O208 O223:O224 O227 O230 O235 O240 O246:O247 O249 O252 O256 O258:O260 O262:O264 O266 O282:O283 O285 O287 W8:W9 W27 W40 W51 W62 W80 W83 W90 W94:W96 W98 W103 W110 W114:W115 W119 W121 W127 W137 W153 W169:W171 W174 W183 W187 W199 W208 W223:W224 W227 W230 W235 W240 W246:W247 W249 W252 W256 W258:W260 W262:W264 W266 W282:W283 W285 W287">
    <cfRule type="containsText" dxfId="2" priority="12" operator="containsText" text="BAJA">
      <formula>NOT(ISERROR(SEARCH(("BAJA"),(O8))))</formula>
    </cfRule>
  </conditionalFormatting>
  <conditionalFormatting sqref="O8:O9 O27 O40 O51 O62 O80 O83 O90 O94:O96 O98 O103 O110 O114:O115 O119 O121 O127 O137 O153 O169:O171 O174 O183 O187 O199 O208 O223:O224 O227 O230 O235 O240 O246:O247 O249 O252 O256 O258:O260 O262:O264 O266 O282:O283 O285 O287 W8:W9 W27 W40 W51 W62 W80 W83 W90 W94:W96 W98 W103 W110 W114:W115 W119 W121 W127 W137 W153 W169:W171 W174 W183 W187 W199 W208 W223:W224 W227 W230 W235 W240 W246:W247 W249 W252 W256 W258:W260 W262:W264 W266 W282:W283 W285 W287">
    <cfRule type="containsText" dxfId="3" priority="13" operator="containsText" text="SUSTANCIAL">
      <formula>NOT(ISERROR(SEARCH(("SUSTANCIAL"),(O8))))</formula>
    </cfRule>
  </conditionalFormatting>
  <conditionalFormatting sqref="O8:O9 O27 O40 O51 O62 O80 O83 O90 O94:O96 O98 O103 O110 O114:O115 O119 O121 O127 O137 O153 O169:O171 O174 O183 O187 O199 O208 O223:O224 O227 O230 O235 O240 O246:O247 O249 O252 O256 O258:O260 O262:O264 O266 O282:O283 O285 O287 W8:W9 W27 W40 W51 W62 W80 W83 W90 W94:W96 W98 W103 W110 W114:W115 W119 W121 W127 W137 W153 W169:W171 W174 W183 W187 W199 W208 W223:W224 W227 W230 W235 W240 W246:W247 W249 W252 W256 W258:W260 W262:W264 W266 W282:W283 W285 W287">
    <cfRule type="containsText" dxfId="4" priority="14" operator="containsText" text="INACEPTABLE">
      <formula>NOT(ISERROR(SEARCH(("INACEPTABLE"),(O8))))</formula>
    </cfRule>
  </conditionalFormatting>
  <conditionalFormatting sqref="O8:O9 O27 O40 O51 O62 O80 O83 O90 O94:O96 O98 O103 O110 O114:O115 O119 O121 O127 O137 O153 O169:O171 O174 O183 O187 O199 O208 O223:O224 O227 O230 O235 O240 O246:O247 O249 O252 O256 O258:O260 O262:O264 O266 O282:O283 O285 O287 W8:W9 W27 W40 W51 W62 W80 W83 W90 W94:W96 W98 W103 W110 W114:W115 W119 W121 W127 W137 W153 W169:W171 W174 W183 W187 W199 W208 W223:W224 W227 W230 W235 W240 W246:W247 W249 W252 W256 W258:W260 W262:W264 W266 W282:W283 W285 W287">
    <cfRule type="containsText" dxfId="5" priority="15" operator="containsText" text="ACEPTABLE">
      <formula>NOT(ISERROR(SEARCH(("ACEPTABLE"),(O8))))</formula>
    </cfRule>
  </conditionalFormatting>
  <conditionalFormatting sqref="V8:V291">
    <cfRule type="containsText" dxfId="6" priority="16" operator="containsText" text="Control/Acción No Eficaz">
      <formula>NOT(ISERROR(SEARCH(("Control/Acción No Eficaz"),(V8))))</formula>
    </cfRule>
  </conditionalFormatting>
  <conditionalFormatting sqref="V8:V291">
    <cfRule type="containsText" dxfId="7" priority="17" operator="containsText" text="Control/Acción Satisfactorio">
      <formula>NOT(ISERROR(SEARCH(("Control/Acción Satisfactorio"),(V8))))</formula>
    </cfRule>
  </conditionalFormatting>
  <conditionalFormatting sqref="V8:V291">
    <cfRule type="containsText" dxfId="8" priority="18" operator="containsText" text="Control/Acción Eficaz">
      <formula>NOT(ISERROR(SEARCH(("Control/Acción Eficaz"),(V8))))</formula>
    </cfRule>
  </conditionalFormatting>
  <conditionalFormatting sqref="W8:W9 W27 W40 W51 W62 W80 W83 W90 W94:W96 W98 W103 W110 W114:W115 W119 W121 W127 W137 W153 W169:W171 W174 W183 W187 W199 W208 W223:W224 W227 W230 W235 W240 W246:W247 W249 W252 W256 W258:W260 W262:W264 W266 W282:W283 W285 W287">
    <cfRule type="expression" dxfId="0" priority="19">
      <formula>IF(F8="N/A",TRUE,FALSE)</formula>
    </cfRule>
  </conditionalFormatting>
  <dataValidations>
    <dataValidation type="list" allowBlank="1" showErrorMessage="1" sqref="D8:D9 D27 D40 D51 D62 D80 D83 D90 D94:D95 D98 D103 D110 D114:D115 D119 D121 D127 D137 D153 D169 D174 D183 D187 D199 D208 D223 D227 D230 D235 D240 D246 D249 D252 D256 D258:D259 D262:D264 D266 D282 D285 D287">
      <formula1>"Normal,Anormal,Emergencia,Social,Ambiental,Económico,Político"</formula1>
    </dataValidation>
    <dataValidation type="list" allowBlank="1" showErrorMessage="1" sqref="R8:R291">
      <formula1>IF(AA8="SEGURIDAD",FV_SE,IF(AA8="MEDIO AMBIENTE",FV_MA,IF(AA8="SALUD",FV_SA,IF(OR(AA8="DSRC/Estratégico",AA8="DSRC/Operativo"),FV_DS,IF(AA8="Rel. Gubernamentales",FV_G,IF(AA8="OPERACIONAL",FV_OP,IF(AA8="FINANCIERO",FV_FI,FV_L)))))))</formula1>
    </dataValidation>
    <dataValidation type="list" allowBlank="1" showErrorMessage="1" sqref="H8:H9 H27 H40 H51 H62 H80 H83 H90 H94:H95 H98 H103 H110 H114:H115 H119 H121 H127 H137 H153 H169 H174 H183 H187 H199 H208 H223 H227 H230 H235 H240 H246 H249 H252 H256 H258:H259 H262:H264 H266 H282 H285 H287">
      <formula1>IF(F8="N/A","",IF(E8="SEGURIDAD",FR_SE,IF(E8="MEDIO AMBIENTE",FI_MA,IF(E8="SALUD",FR_SA,IF(OR(E8="DSRC/Estratégico",E8="DSRC/Operativo"),FR_DS,IF(E8="Rel. Gubernamentales",FR_G,IF(E8="OPERACIONAL",FR_OP,IF(E8="FINANCIERO",FR_FI,FR_L))))))))</formula1>
    </dataValidation>
    <dataValidation type="list" allowBlank="1" showErrorMessage="1" sqref="T8:T291">
      <formula1>"A. Mayor 80%,B. 50% y 80%,C. Menor a 50%"</formula1>
    </dataValidation>
    <dataValidation type="custom" allowBlank="1" showInputMessage="1" prompt="Celda bloqueada - No se puede introducir una descripción, debe elegir una opción diferente a N/A en el campo familia Peligro/Aspecto" sqref="G8:G9 G27 G40 G51 G62 G80 G83 G90 G94:G95 G98 G103 G110 G114:G115 G119 G121 G127 G137 G153 G169 G174 G183 G187 G199 G208 G223 G227 G230 G235 G240 G246 G249 G252 G256 G258:G259 G262:G264 G266 G282 G285 G287">
      <formula1>F8&lt;&gt;"N/A"</formula1>
    </dataValidation>
    <dataValidation type="list" allowBlank="1" showErrorMessage="1" sqref="S8:S291">
      <formula1>IF(AA8="SEGURIDAD",VS,IF(AA8="MEDIO AMBIENTE",FV_MA,IF(AA8="SALUD",FV_SA,IF(OR(AA8="DSRC/Estratégico",AA8="DSRC/Operativo"),FV_DS,IF(AA8="Rel. Gubernamentales",FV_G,IF(AA8="OPERACIONAL",FV_OP,IF(AA8="FINANCIERO",FV_FI,FV_L)))))))</formula1>
    </dataValidation>
    <dataValidation type="list" allowBlank="1" showErrorMessage="1" sqref="U8:U291">
      <formula1>IF(AA8="SEGURIDAD",JC_SE,IF(AA8="MEDIO AMBIENTE",JC_MA,IF(AA8="SALUD",JC_SA,IF(OR(AA8="DSRC/Estratégico",AA8="DSRC/Operativo"),JC_DS,IF(AA8="Rel. Gubernamentales",JC_G,JC_L)))))</formula1>
    </dataValidation>
    <dataValidation type="custom" allowBlank="1" showInputMessage="1" showErrorMessage="1" prompt="Celda Bloqueada - No se puede introducir una descripción, debe elegir una opción diferente a N/A en el campo familia Peligro/Aspecto" sqref="I8:I9 I27 I40 I51 I62 I80 I83 I90 I94:I95 I98 I103 I110 I114:I115 I119 I121 I127 I137 I153 I169 I174 I183 I187 I199 I208 I223 I227 I230 I235 I240 I246 I249 I252 I256 I258:I259 I262:I264 I266 I282 I285 I287">
      <formula1>F8&lt;&gt;"N/A"</formula1>
    </dataValidation>
    <dataValidation type="custom" allowBlank="1" showInputMessage="1" prompt="ADVERTENCIA - Esta celda no debe ser modificada manualmente, el cambiar el parametro puede afectar al resto de la planilla." sqref="L8:L9 L27 L40 L51 L62 L80 L83 L90 L94:L95 L98 L103 L110 L114:L115 L119 L121 L127 L137 L153 L169 L174 L183 L187 L199 L208 L223 L227 L230 L235 L240 L246 L249 L252 L256 L258:L259 L262:L264 L266 L282 L285 L287">
      <formula1>F8&lt;&gt;"N/A"</formula1>
    </dataValidation>
    <dataValidation type="list" allowBlank="1" showErrorMessage="1" sqref="P8:P291">
      <formula1>IF(AA8="SEGURIDAD",FC_SE,IF(AA8="MEDIO AMBIENTE",FC_MA,IF(AA8="SALUD",FC_SA,IF(OR(AA8="DSRC/Estratégico",AA8="DSRC/Operativo"), FC_DS,IF(AA8="Rel. Gubernamentales",FC_G,IF(AA8="OPERACIONAL",FC_OP,IF(AA8="FINANCIERO",FC_FI,FC_L)))))))</formula1>
    </dataValidation>
    <dataValidation type="list" allowBlank="1" showErrorMessage="1" sqref="E8:E9 E27 E40 E51 E62 E80 E83 E90 E94:E95 E98 E103 E110 E114:E115 E119 E121 E127 E137 E153 E169 E174 E183 E187 E199 E208 E223 E227 E230 E235 E240 E246 E249 E252 E256 E258:E259 E262:E264 E266 E282 E285 E287">
      <formula1>"Seguridad,Salud,Medio Ambiente,Operacional,Legal,DSRC/Estratégico,DSRC/Operativo,Rel. Gubernamentales,Financiero"</formula1>
    </dataValidation>
    <dataValidation type="custom" allowBlank="1" showInputMessage="1" prompt="ADVERTENCIA - Esta celda no debe ser modificada manualmente, el cambiar el parametro puede afectar al resto de la planilla." sqref="N8:N9 N27 N40 N51 N62 N80 N83 N90 N94:N95 N98 N103 N110 N114:N115 N119 N121 N127 N137 N153 N169 N174 N183 N187 N199 N208 N223 N227 N230 N235 N240 N246 N249 N252 N256 N258:N259 N262:N264 N266 N282 N285 N287">
      <formula1>F8&lt;&gt;"N/A"</formula1>
    </dataValidation>
    <dataValidation type="custom" allowBlank="1" showInputMessage="1" prompt="ADVERTENCIA - Esta celda no debe ser modificada manualmente, el cambiar el parametro puede afectar al resto de la planilla." sqref="O8:O9 O27 O40 O51 O62 O80 O83 O90 O94:O95 O98 O103 O110 O114:O115 O119 O121 O127 O137 O153 O169 O174 O183 O187 O199 O208 O223 O227 O230 O235 O240 O246 O249 O252 O256 O258:O259 O262:O264 O266 O282 O285 O287">
      <formula1>F8&lt;&gt;"N/A"</formula1>
    </dataValidation>
    <dataValidation type="list" allowBlank="1" showErrorMessage="1" sqref="F8:F9 F27 F40 F51 F62 F80 F83 F90 F94:F95 F98 F103 F110 F114:F115 F119 F121 F127 F137 F153 F169 F174 F183 F187 F199 F208 F223 F227 F230 F235 F240 F246 F249 F252 F256 F258:F259 F262:F264 F266 F282 F285 F287">
      <formula1>IF(E8="SEGURIDAD",FP_SE,IF(E8="MEDIO AMBIENTE",FA_MA,IF(E8="SALUD",FP_SA,IF(OR(E8="DSRC/Estratégico",E8="DSRC/Operativo"),FP_DS,IF(E8="Rel. Gubernamentales",FP_G,IF(E8="OPERACIONAL",FP_op,IF(E8="FINANCIERO",FP_FI,FP_L)))))))</formula1>
    </dataValidation>
    <dataValidation type="custom" allowBlank="1" showInputMessage="1" prompt="Celda Bloqueada - No se puede introducir una descripción, debe elegir una opción diferente a N/A en el campo familia Peligro/Aspecto" sqref="J8:J9 J27 J40 J51 J62 J80 J83 J90 J94:J95 J98 J103 J110 J114:J115 J119 J121 J127 J137 J153 J169 J174 J183 J187 J199 J208 J223 J227 J230 J235 J240 J246 J249 J252 J256 J258:J259 J262:J264 J266 J282 J285 J287">
      <formula1>F8&lt;&gt;"N/A"</formula1>
    </dataValidation>
    <dataValidation type="custom" allowBlank="1" showInputMessage="1" prompt="Celda Bloqueada - No se puede introducir una descripción, debe elegir una opción diferente a N/A en el campo familia Peligro/Aspecto" sqref="K8:K9 K27 K40 K51 K62 K80 K83 K90 K94:K95 K98 K103 K110 K114:K115 K119 K121 K127 K137 K153 K169 K174 K183 K187 K199 K208 K223 K227 K230 K235 K240 K246 K249 K252 K256 K258:K259 K262:K264 K266 K282 K285 K287">
      <formula1>F8&lt;&gt;"N/A"</formula1>
    </dataValidation>
    <dataValidation type="custom" allowBlank="1" showInputMessage="1" prompt="Celda Bloqueada - No se puede introducir una descripción, debe elegir una opción diferente a N/A en el campo familia Peligro/Aspecto" sqref="M8:M9 M27 M40 M51 M62 M80 M83 M90 M94:M95 M98 M103 M110 M114:M115 M119 M121 M127 M137 M153 M169 M174 M183 M187 M199 M208 M223 M227 M230 M235 M240 M246 M249 M252 M256 M258:M259 M262:M264 M266 M282 M285 M287">
      <formula1>F8&lt;&gt;"N/A"</formula1>
    </dataValidation>
    <dataValidation type="custom" allowBlank="1" showInputMessage="1" prompt="ADVERTENCIA - Esta celda no debe ser modificada manualmente, el cambiar el parametro puede afectar al resto de la planilla." sqref="W8:W9 W27 W40 W51 W62 W80 W83 W90 W94:W95 W98 W103 W110 W114:W115 W119 W121 W127 W137 W153 W169 W174 W183 W187 W199 W208 W223 W227 W230 W235 W240 W246 W249 W252 W256 W258:W259 W262:W264 W266 W282 W285 W287">
      <formula1>F8&lt;&gt;"N/A"</formula1>
    </dataValidation>
  </dataValidations>
  <printOptions horizontalCentered="1"/>
  <pageMargins bottom="0.5905511811023623" footer="0.0" header="0.0" left="0.5905511811023623" right="0.5905511811023623" top="0.5905511811023623"/>
  <pageSetup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4.71"/>
    <col customWidth="1" min="9" max="9" width="9.14"/>
    <col customWidth="1" min="10" max="10" width="3.71"/>
    <col customWidth="1" min="11" max="11" width="45.0"/>
    <col customWidth="1" min="12" max="14" width="19.29"/>
    <col customWidth="1" min="15" max="15" width="9.14"/>
    <col customWidth="1" min="16" max="16" width="72.86"/>
    <col customWidth="1" min="17" max="17" width="2.71"/>
    <col customWidth="1" min="18" max="18" width="53.71"/>
    <col customWidth="1" min="19" max="19" width="2.71"/>
    <col customWidth="1" min="20" max="20" width="33.43"/>
    <col customWidth="1" min="21" max="21" width="2.86"/>
    <col customWidth="1" min="22" max="22" width="51.57"/>
    <col customWidth="1" min="23" max="23" width="4.57"/>
    <col customWidth="1" min="24" max="24" width="51.57"/>
    <col customWidth="1" min="25" max="25" width="9.14"/>
    <col customWidth="1" min="26" max="26" width="47.86"/>
    <col customWidth="1" min="27" max="27" width="4.0"/>
    <col customWidth="1" min="28" max="28" width="39.86"/>
    <col customWidth="1" min="29" max="29" width="4.14"/>
    <col customWidth="1" min="30" max="30" width="43.71"/>
    <col customWidth="1" min="31" max="31" width="3.86"/>
    <col customWidth="1" min="32" max="32" width="44.71"/>
    <col customWidth="1" min="33" max="33" width="3.29"/>
    <col customWidth="1" min="34" max="34" width="24.86"/>
    <col customWidth="1" min="35" max="35" width="3.29"/>
    <col customWidth="1" min="36" max="36" width="23.86"/>
    <col customWidth="1" min="37" max="37" width="2.29"/>
    <col customWidth="1" min="38" max="38" width="27.0"/>
    <col customWidth="1" min="39" max="39" width="2.57"/>
    <col customWidth="1" min="40" max="40" width="33.29"/>
    <col customWidth="1" min="41" max="41" width="9.14"/>
    <col customWidth="1" min="42" max="42" width="24.43"/>
    <col customWidth="1" min="43" max="43" width="3.29"/>
    <col customWidth="1" min="44" max="44" width="23.43"/>
    <col customWidth="1" min="45" max="45" width="3.86"/>
    <col customWidth="1" min="46" max="46" width="26.57"/>
    <col customWidth="1" min="47" max="47" width="2.57"/>
    <col customWidth="1" min="48" max="48" width="30.14"/>
    <col customWidth="1" min="49" max="49" width="9.14"/>
    <col customWidth="1" min="50" max="50" width="69.29"/>
    <col customWidth="1" min="51" max="51" width="3.43"/>
    <col customWidth="1" min="52" max="52" width="90.43"/>
    <col customWidth="1" min="53" max="53" width="3.14"/>
    <col customWidth="1" min="54" max="54" width="79.43"/>
    <col customWidth="1" min="55" max="55" width="4.29"/>
    <col customWidth="1" min="56" max="56" width="29.29"/>
    <col customWidth="1" min="57" max="57" width="9.14"/>
    <col customWidth="1" min="58" max="58" width="25.14"/>
    <col customWidth="1" min="59" max="59" width="3.71"/>
    <col customWidth="1" min="60" max="60" width="22.57"/>
    <col customWidth="1" min="61" max="61" width="4.14"/>
    <col customWidth="1" min="62" max="62" width="25.57"/>
    <col customWidth="1" min="63" max="63" width="4.43"/>
    <col customWidth="1" min="64" max="64" width="29.14"/>
    <col customWidth="1" min="65" max="65" width="9.14"/>
    <col customWidth="1" min="66" max="66" width="23.57"/>
    <col customWidth="1" min="67" max="67" width="5.71"/>
    <col customWidth="1" min="68" max="68" width="20.86"/>
    <col customWidth="1" min="69" max="69" width="4.57"/>
    <col customWidth="1" min="70" max="70" width="23.57"/>
    <col customWidth="1" min="71" max="71" width="4.71"/>
    <col customWidth="1" min="72" max="72" width="27.43"/>
    <col customWidth="1" min="73" max="73" width="9.14"/>
    <col customWidth="1" min="74" max="74" width="34.29"/>
    <col customWidth="1" min="75" max="75" width="5.0"/>
    <col customWidth="1" min="76" max="76" width="29.29"/>
    <col customWidth="1" min="77" max="77" width="4.71"/>
    <col customWidth="1" min="78" max="78" width="32.14"/>
    <col customWidth="1" min="79" max="79" width="4.0"/>
    <col customWidth="1" min="80" max="80" width="35.57"/>
  </cols>
  <sheetData>
    <row r="1" ht="15.0" customHeight="1">
      <c r="A1" s="1" t="s">
        <v>0</v>
      </c>
      <c r="I1" s="2"/>
      <c r="J1" s="3" t="s">
        <v>1</v>
      </c>
      <c r="K1" s="4" t="s">
        <v>2</v>
      </c>
      <c r="L1" s="5"/>
      <c r="M1" s="5"/>
      <c r="N1" s="6"/>
      <c r="O1" s="2"/>
      <c r="P1" s="2"/>
      <c r="Q1" s="2"/>
      <c r="R1" s="2"/>
      <c r="S1" s="2"/>
      <c r="T1" s="2"/>
      <c r="U1" s="2"/>
      <c r="V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>
      <c r="A2" s="2"/>
      <c r="B2" s="7" t="s">
        <v>3</v>
      </c>
      <c r="C2" s="7">
        <v>1.0</v>
      </c>
      <c r="D2" s="7">
        <v>2.0</v>
      </c>
      <c r="E2" s="7">
        <v>3.0</v>
      </c>
      <c r="F2" s="7">
        <v>4.0</v>
      </c>
      <c r="G2" s="7">
        <v>5.0</v>
      </c>
      <c r="H2" s="7">
        <v>6.0</v>
      </c>
      <c r="I2" s="2"/>
      <c r="J2" s="8"/>
      <c r="K2" s="7" t="s">
        <v>4</v>
      </c>
      <c r="L2" s="7" t="s">
        <v>5</v>
      </c>
      <c r="M2" s="7" t="s">
        <v>6</v>
      </c>
      <c r="N2" s="7" t="s">
        <v>7</v>
      </c>
      <c r="O2" s="2"/>
      <c r="P2" s="9" t="s">
        <v>8</v>
      </c>
      <c r="Q2" s="2"/>
      <c r="R2" s="9" t="s">
        <v>9</v>
      </c>
      <c r="S2" s="2"/>
      <c r="T2" s="9" t="s">
        <v>10</v>
      </c>
      <c r="U2" s="2"/>
      <c r="V2" s="9" t="s">
        <v>11</v>
      </c>
      <c r="X2" s="9" t="s">
        <v>12</v>
      </c>
      <c r="Y2" s="2"/>
      <c r="Z2" s="10" t="s">
        <v>13</v>
      </c>
      <c r="AA2" s="2"/>
      <c r="AB2" s="10" t="s">
        <v>14</v>
      </c>
      <c r="AC2" s="2"/>
      <c r="AD2" s="10" t="s">
        <v>15</v>
      </c>
      <c r="AE2" s="2"/>
      <c r="AF2" s="10" t="s">
        <v>16</v>
      </c>
      <c r="AG2" s="2"/>
      <c r="AH2" s="11" t="s">
        <v>17</v>
      </c>
      <c r="AI2" s="2"/>
      <c r="AJ2" s="11" t="s">
        <v>18</v>
      </c>
      <c r="AK2" s="2"/>
      <c r="AL2" s="11" t="s">
        <v>19</v>
      </c>
      <c r="AM2" s="2"/>
      <c r="AN2" s="11" t="s">
        <v>20</v>
      </c>
      <c r="AO2" s="2"/>
      <c r="AP2" s="12" t="s">
        <v>21</v>
      </c>
      <c r="AQ2" s="2"/>
      <c r="AR2" s="12" t="s">
        <v>22</v>
      </c>
      <c r="AS2" s="2"/>
      <c r="AT2" s="12" t="s">
        <v>23</v>
      </c>
      <c r="AU2" s="2"/>
      <c r="AV2" s="12" t="s">
        <v>24</v>
      </c>
      <c r="AW2" s="2"/>
      <c r="AX2" s="13" t="s">
        <v>25</v>
      </c>
      <c r="AY2" s="2"/>
      <c r="AZ2" s="13" t="s">
        <v>26</v>
      </c>
      <c r="BA2" s="2"/>
      <c r="BB2" s="14" t="s">
        <v>27</v>
      </c>
      <c r="BC2" s="2"/>
      <c r="BD2" s="13" t="s">
        <v>28</v>
      </c>
      <c r="BE2" s="2"/>
      <c r="BF2" s="15" t="s">
        <v>29</v>
      </c>
      <c r="BG2" s="2"/>
      <c r="BH2" s="15" t="s">
        <v>30</v>
      </c>
      <c r="BI2" s="2"/>
      <c r="BJ2" s="15" t="s">
        <v>31</v>
      </c>
      <c r="BK2" s="2"/>
      <c r="BL2" s="15" t="s">
        <v>32</v>
      </c>
      <c r="BM2" s="2"/>
      <c r="BN2" s="16" t="s">
        <v>33</v>
      </c>
      <c r="BO2" s="2"/>
      <c r="BP2" s="16" t="s">
        <v>34</v>
      </c>
      <c r="BQ2" s="2"/>
      <c r="BR2" s="16" t="s">
        <v>35</v>
      </c>
      <c r="BS2" s="2"/>
      <c r="BT2" s="16" t="s">
        <v>36</v>
      </c>
      <c r="BU2" s="2"/>
      <c r="BV2" s="17" t="s">
        <v>37</v>
      </c>
      <c r="BW2" s="2"/>
      <c r="BX2" s="17" t="s">
        <v>38</v>
      </c>
      <c r="BY2" s="2"/>
      <c r="BZ2" s="17" t="s">
        <v>39</v>
      </c>
      <c r="CA2" s="2"/>
      <c r="CB2" s="17" t="s">
        <v>40</v>
      </c>
    </row>
    <row r="3">
      <c r="A3" s="19" t="s">
        <v>41</v>
      </c>
      <c r="B3" s="7">
        <v>1.0</v>
      </c>
      <c r="C3" s="21">
        <v>5.0</v>
      </c>
      <c r="D3" s="21">
        <v>5.0</v>
      </c>
      <c r="E3" s="21">
        <v>4.0</v>
      </c>
      <c r="F3" s="21">
        <v>4.0</v>
      </c>
      <c r="G3" s="21">
        <v>3.0</v>
      </c>
      <c r="H3" s="21">
        <v>3.0</v>
      </c>
      <c r="I3" s="2"/>
      <c r="J3" s="8"/>
      <c r="K3" s="7" t="s">
        <v>43</v>
      </c>
      <c r="L3" s="23" t="s">
        <v>44</v>
      </c>
      <c r="M3" s="23" t="s">
        <v>44</v>
      </c>
      <c r="N3" s="24" t="s">
        <v>45</v>
      </c>
      <c r="O3" s="2"/>
      <c r="P3" s="26" t="s">
        <v>47</v>
      </c>
      <c r="Q3" s="2"/>
      <c r="R3" s="29" t="s">
        <v>48</v>
      </c>
      <c r="S3" s="2"/>
      <c r="T3" s="31" t="s">
        <v>49</v>
      </c>
      <c r="U3" s="2"/>
      <c r="V3" s="31" t="s">
        <v>50</v>
      </c>
      <c r="X3" s="31" t="s">
        <v>51</v>
      </c>
      <c r="Y3" s="2"/>
      <c r="Z3" s="26" t="s">
        <v>52</v>
      </c>
      <c r="AA3" s="2"/>
      <c r="AB3" s="26" t="s">
        <v>53</v>
      </c>
      <c r="AC3" s="2"/>
      <c r="AD3" s="2" t="s">
        <v>54</v>
      </c>
      <c r="AE3" s="2"/>
      <c r="AF3" s="2" t="s">
        <v>55</v>
      </c>
      <c r="AG3" s="2"/>
      <c r="AH3" s="26" t="s">
        <v>56</v>
      </c>
      <c r="AI3" s="2"/>
      <c r="AJ3" s="26" t="s">
        <v>57</v>
      </c>
      <c r="AK3" s="2"/>
      <c r="AL3" s="26"/>
      <c r="AM3" s="2"/>
      <c r="AN3" s="26"/>
      <c r="AO3" s="2"/>
      <c r="AP3" s="26" t="s">
        <v>59</v>
      </c>
      <c r="AQ3" s="2"/>
      <c r="AR3" s="37" t="s">
        <v>59</v>
      </c>
      <c r="AS3" s="2"/>
      <c r="AT3" s="37" t="s">
        <v>59</v>
      </c>
      <c r="AU3" s="2"/>
      <c r="AV3" s="37" t="s">
        <v>59</v>
      </c>
      <c r="AW3" s="2"/>
      <c r="AX3" s="39" t="s">
        <v>61</v>
      </c>
      <c r="AY3" s="2"/>
      <c r="AZ3" s="39" t="s">
        <v>63</v>
      </c>
      <c r="BA3" s="2"/>
      <c r="BB3" s="26" t="s">
        <v>64</v>
      </c>
      <c r="BC3" s="41" t="s">
        <v>65</v>
      </c>
      <c r="BD3" s="39" t="s">
        <v>66</v>
      </c>
      <c r="BE3" s="2"/>
      <c r="BF3" s="26" t="s">
        <v>67</v>
      </c>
      <c r="BG3" s="2"/>
      <c r="BH3" s="26" t="s">
        <v>67</v>
      </c>
      <c r="BI3" s="2"/>
      <c r="BJ3" s="26" t="s">
        <v>67</v>
      </c>
      <c r="BK3" s="2"/>
      <c r="BL3" s="26"/>
      <c r="BM3" s="2"/>
      <c r="BN3" s="26" t="s">
        <v>70</v>
      </c>
      <c r="BO3" s="2"/>
      <c r="BP3" s="26" t="s">
        <v>71</v>
      </c>
      <c r="BQ3" s="2"/>
      <c r="BR3" s="26" t="s">
        <v>72</v>
      </c>
      <c r="BS3" s="2"/>
      <c r="BT3" s="26" t="s">
        <v>73</v>
      </c>
      <c r="BU3" s="2"/>
      <c r="BV3" s="26" t="s">
        <v>74</v>
      </c>
      <c r="BW3" s="2"/>
      <c r="BX3" s="26" t="s">
        <v>74</v>
      </c>
      <c r="BY3" s="2"/>
      <c r="BZ3" s="26" t="s">
        <v>74</v>
      </c>
      <c r="CA3" s="2"/>
      <c r="CB3" s="26" t="s">
        <v>74</v>
      </c>
    </row>
    <row r="4">
      <c r="B4" s="7">
        <v>2.0</v>
      </c>
      <c r="C4" s="21">
        <v>5.0</v>
      </c>
      <c r="D4" s="21">
        <v>5.0</v>
      </c>
      <c r="E4" s="21">
        <v>4.0</v>
      </c>
      <c r="F4" s="21">
        <v>3.0</v>
      </c>
      <c r="G4" s="21">
        <v>3.0</v>
      </c>
      <c r="H4" s="21">
        <v>3.0</v>
      </c>
      <c r="I4" s="2"/>
      <c r="J4" s="8"/>
      <c r="K4" s="7" t="s">
        <v>77</v>
      </c>
      <c r="L4" s="23" t="s">
        <v>44</v>
      </c>
      <c r="M4" s="23" t="s">
        <v>44</v>
      </c>
      <c r="N4" s="24" t="s">
        <v>45</v>
      </c>
      <c r="O4" s="2"/>
      <c r="P4" s="37" t="s">
        <v>79</v>
      </c>
      <c r="Q4" s="2"/>
      <c r="R4" s="47" t="s">
        <v>80</v>
      </c>
      <c r="S4" s="2"/>
      <c r="T4" s="48" t="s">
        <v>82</v>
      </c>
      <c r="U4" s="2"/>
      <c r="V4" s="48" t="s">
        <v>83</v>
      </c>
      <c r="X4" s="48" t="s">
        <v>84</v>
      </c>
      <c r="Y4" s="2"/>
      <c r="Z4" s="37" t="s">
        <v>85</v>
      </c>
      <c r="AA4" s="2"/>
      <c r="AB4" s="37" t="s">
        <v>86</v>
      </c>
      <c r="AC4" s="2"/>
      <c r="AD4" s="2" t="s">
        <v>88</v>
      </c>
      <c r="AE4" s="2"/>
      <c r="AF4" s="2" t="s">
        <v>89</v>
      </c>
      <c r="AG4" s="2"/>
      <c r="AH4" s="37" t="s">
        <v>91</v>
      </c>
      <c r="AI4" s="2"/>
      <c r="AJ4" s="37" t="s">
        <v>92</v>
      </c>
      <c r="AK4" s="2"/>
      <c r="AL4" s="37" t="s">
        <v>92</v>
      </c>
      <c r="AM4" s="2"/>
      <c r="AN4" s="37" t="s">
        <v>92</v>
      </c>
      <c r="AO4" s="2"/>
      <c r="AP4" s="37" t="s">
        <v>59</v>
      </c>
      <c r="AQ4" s="2"/>
      <c r="AR4" s="37" t="s">
        <v>59</v>
      </c>
      <c r="AS4" s="2"/>
      <c r="AT4" s="37" t="s">
        <v>59</v>
      </c>
      <c r="AU4" s="2"/>
      <c r="AV4" s="37" t="s">
        <v>59</v>
      </c>
      <c r="AW4" s="2"/>
      <c r="AX4" s="51" t="s">
        <v>93</v>
      </c>
      <c r="AY4" s="2"/>
      <c r="AZ4" s="37" t="s">
        <v>96</v>
      </c>
      <c r="BA4" s="2"/>
      <c r="BB4" s="37" t="s">
        <v>99</v>
      </c>
      <c r="BC4" s="41" t="s">
        <v>65</v>
      </c>
      <c r="BD4" s="51" t="s">
        <v>100</v>
      </c>
      <c r="BE4" s="2"/>
      <c r="BF4" s="37" t="s">
        <v>67</v>
      </c>
      <c r="BG4" s="2"/>
      <c r="BH4" s="37" t="s">
        <v>67</v>
      </c>
      <c r="BI4" s="2"/>
      <c r="BJ4" s="37" t="s">
        <v>67</v>
      </c>
      <c r="BK4" s="2"/>
      <c r="BL4" s="37" t="s">
        <v>67</v>
      </c>
      <c r="BM4" s="2"/>
      <c r="BN4" s="37" t="s">
        <v>103</v>
      </c>
      <c r="BO4" s="2"/>
      <c r="BP4" s="37" t="s">
        <v>104</v>
      </c>
      <c r="BQ4" s="2"/>
      <c r="BR4" s="37" t="s">
        <v>105</v>
      </c>
      <c r="BS4" s="2"/>
      <c r="BT4" s="54" t="s">
        <v>106</v>
      </c>
      <c r="BU4" s="2"/>
      <c r="BV4" s="37" t="s">
        <v>74</v>
      </c>
      <c r="BW4" s="2"/>
      <c r="BX4" s="37" t="s">
        <v>74</v>
      </c>
      <c r="BY4" s="2"/>
      <c r="BZ4" s="37" t="s">
        <v>74</v>
      </c>
      <c r="CA4" s="2"/>
      <c r="CB4" s="37" t="s">
        <v>74</v>
      </c>
    </row>
    <row r="5">
      <c r="B5" s="7">
        <v>3.0</v>
      </c>
      <c r="C5" s="21">
        <v>4.0</v>
      </c>
      <c r="D5" s="21">
        <v>4.0</v>
      </c>
      <c r="E5" s="21">
        <v>4.0</v>
      </c>
      <c r="F5" s="21">
        <v>3.0</v>
      </c>
      <c r="G5" s="21">
        <v>2.0</v>
      </c>
      <c r="H5" s="21">
        <v>2.0</v>
      </c>
      <c r="I5" s="2"/>
      <c r="J5" s="8"/>
      <c r="K5" s="7" t="s">
        <v>111</v>
      </c>
      <c r="L5" s="56" t="s">
        <v>113</v>
      </c>
      <c r="M5" s="23" t="s">
        <v>44</v>
      </c>
      <c r="N5" s="24" t="s">
        <v>45</v>
      </c>
      <c r="O5" s="2"/>
      <c r="P5" s="37" t="s">
        <v>115</v>
      </c>
      <c r="Q5" s="2"/>
      <c r="R5" s="47" t="s">
        <v>116</v>
      </c>
      <c r="S5" s="2"/>
      <c r="T5" s="48" t="s">
        <v>117</v>
      </c>
      <c r="U5" s="2"/>
      <c r="V5" s="48" t="s">
        <v>118</v>
      </c>
      <c r="X5" s="48" t="s">
        <v>120</v>
      </c>
      <c r="Y5" s="2"/>
      <c r="Z5" s="37" t="s">
        <v>121</v>
      </c>
      <c r="AA5" s="2"/>
      <c r="AB5" s="37" t="s">
        <v>122</v>
      </c>
      <c r="AC5" s="2"/>
      <c r="AD5" s="2" t="s">
        <v>124</v>
      </c>
      <c r="AE5" s="2"/>
      <c r="AF5" s="2" t="s">
        <v>125</v>
      </c>
      <c r="AG5" s="2"/>
      <c r="AH5" s="37" t="s">
        <v>91</v>
      </c>
      <c r="AI5" s="2"/>
      <c r="AJ5" s="37" t="s">
        <v>92</v>
      </c>
      <c r="AK5" s="2"/>
      <c r="AL5" s="37" t="s">
        <v>92</v>
      </c>
      <c r="AM5" s="2"/>
      <c r="AN5" s="37" t="s">
        <v>92</v>
      </c>
      <c r="AO5" s="2"/>
      <c r="AP5" s="37" t="s">
        <v>59</v>
      </c>
      <c r="AQ5" s="2"/>
      <c r="AR5" s="37" t="s">
        <v>59</v>
      </c>
      <c r="AS5" s="2"/>
      <c r="AT5" s="37" t="s">
        <v>59</v>
      </c>
      <c r="AU5" s="2"/>
      <c r="AV5" s="37" t="s">
        <v>59</v>
      </c>
      <c r="AW5" s="2"/>
      <c r="AX5" s="51" t="s">
        <v>127</v>
      </c>
      <c r="AY5" s="2"/>
      <c r="AZ5" s="37" t="s">
        <v>128</v>
      </c>
      <c r="BA5" s="2"/>
      <c r="BB5" s="37" t="s">
        <v>129</v>
      </c>
      <c r="BC5" s="41" t="s">
        <v>65</v>
      </c>
      <c r="BD5" s="62"/>
      <c r="BE5" s="2"/>
      <c r="BF5" s="37" t="s">
        <v>67</v>
      </c>
      <c r="BG5" s="2"/>
      <c r="BH5" s="37" t="s">
        <v>67</v>
      </c>
      <c r="BI5" s="2"/>
      <c r="BJ5" s="37" t="s">
        <v>67</v>
      </c>
      <c r="BK5" s="2"/>
      <c r="BL5" s="37" t="s">
        <v>67</v>
      </c>
      <c r="BM5" s="2"/>
      <c r="BN5" s="37" t="s">
        <v>132</v>
      </c>
      <c r="BO5" s="2"/>
      <c r="BP5" s="54" t="s">
        <v>133</v>
      </c>
      <c r="BQ5" s="2"/>
      <c r="BR5" s="37" t="s">
        <v>134</v>
      </c>
      <c r="BS5" s="2"/>
      <c r="BT5" s="54" t="s">
        <v>100</v>
      </c>
      <c r="BU5" s="2"/>
      <c r="BV5" s="37" t="s">
        <v>74</v>
      </c>
      <c r="BW5" s="2"/>
      <c r="BX5" s="37" t="s">
        <v>74</v>
      </c>
      <c r="BY5" s="2"/>
      <c r="BZ5" s="37" t="s">
        <v>74</v>
      </c>
      <c r="CA5" s="2"/>
      <c r="CB5" s="37" t="s">
        <v>74</v>
      </c>
    </row>
    <row r="6">
      <c r="B6" s="7">
        <v>4.0</v>
      </c>
      <c r="C6" s="21">
        <v>4.0</v>
      </c>
      <c r="D6" s="21">
        <v>3.0</v>
      </c>
      <c r="E6" s="21">
        <v>3.0</v>
      </c>
      <c r="F6" s="21">
        <v>2.0</v>
      </c>
      <c r="G6" s="21">
        <v>2.0</v>
      </c>
      <c r="H6" s="21">
        <v>1.0</v>
      </c>
      <c r="I6" s="2"/>
      <c r="J6" s="8"/>
      <c r="K6" s="7" t="s">
        <v>137</v>
      </c>
      <c r="L6" s="56" t="s">
        <v>113</v>
      </c>
      <c r="M6" s="23" t="s">
        <v>44</v>
      </c>
      <c r="N6" s="24" t="s">
        <v>45</v>
      </c>
      <c r="O6" s="2"/>
      <c r="P6" s="37" t="s">
        <v>138</v>
      </c>
      <c r="Q6" s="2"/>
      <c r="R6" s="47" t="s">
        <v>140</v>
      </c>
      <c r="S6" s="2"/>
      <c r="T6" s="48" t="s">
        <v>141</v>
      </c>
      <c r="U6" s="2"/>
      <c r="V6" s="48" t="s">
        <v>142</v>
      </c>
      <c r="X6" s="48" t="s">
        <v>143</v>
      </c>
      <c r="Y6" s="2"/>
      <c r="Z6" s="37" t="s">
        <v>144</v>
      </c>
      <c r="AA6" s="2"/>
      <c r="AB6" s="37" t="s">
        <v>146</v>
      </c>
      <c r="AC6" s="2"/>
      <c r="AD6" s="2" t="s">
        <v>147</v>
      </c>
      <c r="AE6" s="2"/>
      <c r="AF6" s="2" t="s">
        <v>148</v>
      </c>
      <c r="AG6" s="2"/>
      <c r="AH6" s="37" t="s">
        <v>91</v>
      </c>
      <c r="AI6" s="2"/>
      <c r="AJ6" s="37" t="s">
        <v>92</v>
      </c>
      <c r="AK6" s="2"/>
      <c r="AL6" s="37" t="s">
        <v>92</v>
      </c>
      <c r="AM6" s="2"/>
      <c r="AN6" s="37" t="s">
        <v>92</v>
      </c>
      <c r="AO6" s="2"/>
      <c r="AP6" s="37" t="s">
        <v>59</v>
      </c>
      <c r="AQ6" s="2"/>
      <c r="AR6" s="37" t="s">
        <v>59</v>
      </c>
      <c r="AS6" s="2"/>
      <c r="AT6" s="37" t="s">
        <v>59</v>
      </c>
      <c r="AU6" s="2"/>
      <c r="AV6" s="37" t="s">
        <v>59</v>
      </c>
      <c r="AW6" s="2"/>
      <c r="AX6" s="51" t="s">
        <v>150</v>
      </c>
      <c r="AY6" s="2"/>
      <c r="AZ6" s="37" t="s">
        <v>151</v>
      </c>
      <c r="BA6" s="2"/>
      <c r="BB6" s="37" t="s">
        <v>152</v>
      </c>
      <c r="BC6" s="41" t="s">
        <v>65</v>
      </c>
      <c r="BD6" s="62"/>
      <c r="BE6" s="2"/>
      <c r="BF6" s="37" t="s">
        <v>67</v>
      </c>
      <c r="BG6" s="2"/>
      <c r="BH6" s="37" t="s">
        <v>67</v>
      </c>
      <c r="BI6" s="2"/>
      <c r="BJ6" s="37" t="s">
        <v>67</v>
      </c>
      <c r="BK6" s="2"/>
      <c r="BL6" s="37" t="s">
        <v>67</v>
      </c>
      <c r="BM6" s="2"/>
      <c r="BN6" s="54" t="s">
        <v>153</v>
      </c>
      <c r="BO6" s="2"/>
      <c r="BP6" s="54" t="s">
        <v>155</v>
      </c>
      <c r="BQ6" s="2"/>
      <c r="BR6" s="54" t="s">
        <v>156</v>
      </c>
      <c r="BS6" s="2"/>
      <c r="BT6" s="37" t="s">
        <v>157</v>
      </c>
      <c r="BU6" s="2"/>
      <c r="BV6" s="37" t="s">
        <v>74</v>
      </c>
      <c r="BW6" s="2"/>
      <c r="BX6" s="37" t="s">
        <v>74</v>
      </c>
      <c r="BY6" s="2"/>
      <c r="BZ6" s="37" t="s">
        <v>74</v>
      </c>
      <c r="CA6" s="2"/>
      <c r="CB6" s="37" t="s">
        <v>74</v>
      </c>
    </row>
    <row r="7">
      <c r="B7" s="7">
        <v>5.0</v>
      </c>
      <c r="C7" s="21">
        <v>3.0</v>
      </c>
      <c r="D7" s="21">
        <v>3.0</v>
      </c>
      <c r="E7" s="21">
        <v>2.0</v>
      </c>
      <c r="F7" s="21">
        <v>2.0</v>
      </c>
      <c r="G7" s="21">
        <v>1.0</v>
      </c>
      <c r="H7" s="21">
        <v>1.0</v>
      </c>
      <c r="I7" s="2"/>
      <c r="J7" s="8"/>
      <c r="K7" s="7" t="s">
        <v>162</v>
      </c>
      <c r="L7" s="56" t="s">
        <v>113</v>
      </c>
      <c r="M7" s="23" t="s">
        <v>44</v>
      </c>
      <c r="N7" s="24" t="s">
        <v>45</v>
      </c>
      <c r="O7" s="2"/>
      <c r="P7" s="37" t="s">
        <v>164</v>
      </c>
      <c r="Q7" s="2"/>
      <c r="R7" s="47" t="s">
        <v>165</v>
      </c>
      <c r="S7" s="2"/>
      <c r="T7" s="48" t="s">
        <v>166</v>
      </c>
      <c r="U7" s="2"/>
      <c r="V7" s="48" t="s">
        <v>106</v>
      </c>
      <c r="X7" s="48" t="s">
        <v>167</v>
      </c>
      <c r="Y7" s="2"/>
      <c r="Z7" s="37" t="s">
        <v>168</v>
      </c>
      <c r="AA7" s="2"/>
      <c r="AB7" s="37" t="s">
        <v>169</v>
      </c>
      <c r="AC7" s="2"/>
      <c r="AD7" s="2" t="s">
        <v>170</v>
      </c>
      <c r="AE7" s="2"/>
      <c r="AF7" s="2" t="s">
        <v>171</v>
      </c>
      <c r="AG7" s="2"/>
      <c r="AH7" s="37" t="s">
        <v>91</v>
      </c>
      <c r="AI7" s="2"/>
      <c r="AJ7" s="37" t="s">
        <v>92</v>
      </c>
      <c r="AK7" s="2"/>
      <c r="AL7" s="37" t="s">
        <v>92</v>
      </c>
      <c r="AM7" s="2"/>
      <c r="AN7" s="37" t="s">
        <v>92</v>
      </c>
      <c r="AO7" s="2"/>
      <c r="AP7" s="37" t="s">
        <v>59</v>
      </c>
      <c r="AQ7" s="2"/>
      <c r="AR7" s="37" t="s">
        <v>59</v>
      </c>
      <c r="AS7" s="2"/>
      <c r="AT7" s="37" t="s">
        <v>59</v>
      </c>
      <c r="AU7" s="2"/>
      <c r="AV7" s="37" t="s">
        <v>59</v>
      </c>
      <c r="AW7" s="2"/>
      <c r="AX7" s="51" t="s">
        <v>174</v>
      </c>
      <c r="AY7" s="2"/>
      <c r="AZ7" s="37" t="s">
        <v>175</v>
      </c>
      <c r="BA7" s="2"/>
      <c r="BB7" s="37" t="s">
        <v>176</v>
      </c>
      <c r="BC7" s="41" t="s">
        <v>65</v>
      </c>
      <c r="BD7" s="62"/>
      <c r="BE7" s="2"/>
      <c r="BF7" s="37" t="s">
        <v>67</v>
      </c>
      <c r="BG7" s="2"/>
      <c r="BH7" s="37" t="s">
        <v>67</v>
      </c>
      <c r="BI7" s="2"/>
      <c r="BJ7" s="37" t="s">
        <v>67</v>
      </c>
      <c r="BK7" s="2"/>
      <c r="BL7" s="37" t="s">
        <v>67</v>
      </c>
      <c r="BM7" s="2"/>
      <c r="BN7" s="54" t="s">
        <v>178</v>
      </c>
      <c r="BO7" s="2"/>
      <c r="BP7" s="54" t="s">
        <v>179</v>
      </c>
      <c r="BQ7" s="2"/>
      <c r="BR7" s="54" t="s">
        <v>180</v>
      </c>
      <c r="BS7" s="2"/>
      <c r="BT7" s="2"/>
      <c r="BU7" s="2"/>
      <c r="BV7" s="37" t="s">
        <v>74</v>
      </c>
      <c r="BW7" s="2"/>
      <c r="BX7" s="37" t="s">
        <v>74</v>
      </c>
      <c r="BY7" s="2"/>
      <c r="BZ7" s="37" t="s">
        <v>74</v>
      </c>
      <c r="CA7" s="2"/>
      <c r="CB7" s="37" t="s">
        <v>74</v>
      </c>
    </row>
    <row r="8">
      <c r="B8" s="7">
        <v>6.0</v>
      </c>
      <c r="C8" s="21">
        <v>3.0</v>
      </c>
      <c r="D8" s="21">
        <v>3.0</v>
      </c>
      <c r="E8" s="21">
        <v>2.0</v>
      </c>
      <c r="F8" s="21">
        <v>1.0</v>
      </c>
      <c r="G8" s="21">
        <v>1.0</v>
      </c>
      <c r="H8" s="21">
        <v>1.0</v>
      </c>
      <c r="I8" s="2"/>
      <c r="J8" s="81"/>
      <c r="K8" s="7" t="s">
        <v>182</v>
      </c>
      <c r="L8" s="56" t="s">
        <v>113</v>
      </c>
      <c r="M8" s="56" t="s">
        <v>113</v>
      </c>
      <c r="N8" s="23" t="s">
        <v>44</v>
      </c>
      <c r="O8" s="2"/>
      <c r="P8" s="37" t="s">
        <v>183</v>
      </c>
      <c r="Q8" s="2"/>
      <c r="R8" s="47" t="s">
        <v>184</v>
      </c>
      <c r="S8" s="2"/>
      <c r="T8" s="48" t="s">
        <v>185</v>
      </c>
      <c r="U8" s="2"/>
      <c r="V8" s="82" t="s">
        <v>73</v>
      </c>
      <c r="X8" s="48" t="s">
        <v>186</v>
      </c>
      <c r="Y8" s="2"/>
      <c r="Z8" s="37" t="s">
        <v>187</v>
      </c>
      <c r="AA8" s="2"/>
      <c r="AB8" s="37" t="s">
        <v>71</v>
      </c>
      <c r="AC8" s="2"/>
      <c r="AD8" s="2" t="s">
        <v>188</v>
      </c>
      <c r="AE8" s="2"/>
      <c r="AF8" s="2" t="s">
        <v>189</v>
      </c>
      <c r="AG8" s="2"/>
      <c r="AH8" s="37" t="s">
        <v>91</v>
      </c>
      <c r="AI8" s="2"/>
      <c r="AJ8" s="37" t="s">
        <v>92</v>
      </c>
      <c r="AK8" s="2"/>
      <c r="AL8" s="37" t="s">
        <v>92</v>
      </c>
      <c r="AM8" s="2"/>
      <c r="AN8" s="37" t="s">
        <v>92</v>
      </c>
      <c r="AO8" s="2"/>
      <c r="AP8" s="37" t="s">
        <v>59</v>
      </c>
      <c r="AQ8" s="2"/>
      <c r="AR8" s="37" t="s">
        <v>59</v>
      </c>
      <c r="AS8" s="2"/>
      <c r="AT8" s="37" t="s">
        <v>59</v>
      </c>
      <c r="AU8" s="2"/>
      <c r="AV8" s="37" t="s">
        <v>59</v>
      </c>
      <c r="AW8" s="2"/>
      <c r="AX8" s="51" t="s">
        <v>190</v>
      </c>
      <c r="AY8" s="2"/>
      <c r="AZ8" s="37" t="s">
        <v>191</v>
      </c>
      <c r="BA8" s="2"/>
      <c r="BB8" s="37" t="s">
        <v>192</v>
      </c>
      <c r="BC8" s="41" t="s">
        <v>65</v>
      </c>
      <c r="BD8" s="37"/>
      <c r="BE8" s="2"/>
      <c r="BF8" s="37" t="s">
        <v>67</v>
      </c>
      <c r="BG8" s="2"/>
      <c r="BH8" s="37" t="s">
        <v>67</v>
      </c>
      <c r="BI8" s="2"/>
      <c r="BJ8" s="37" t="s">
        <v>67</v>
      </c>
      <c r="BK8" s="2"/>
      <c r="BL8" s="37" t="s">
        <v>67</v>
      </c>
      <c r="BM8" s="2"/>
      <c r="BN8" s="54" t="s">
        <v>194</v>
      </c>
      <c r="BO8" s="2"/>
      <c r="BP8" s="54" t="s">
        <v>195</v>
      </c>
      <c r="BQ8" s="2"/>
      <c r="BR8" s="54" t="s">
        <v>196</v>
      </c>
      <c r="BS8" s="2"/>
      <c r="BT8" s="2"/>
      <c r="BU8" s="2"/>
      <c r="BV8" s="37" t="s">
        <v>74</v>
      </c>
      <c r="BW8" s="2"/>
      <c r="BX8" s="37" t="s">
        <v>74</v>
      </c>
      <c r="BY8" s="2"/>
      <c r="BZ8" s="37" t="s">
        <v>74</v>
      </c>
      <c r="CA8" s="2"/>
      <c r="CB8" s="37" t="s">
        <v>74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7" t="s">
        <v>198</v>
      </c>
      <c r="Q9" s="2"/>
      <c r="R9" s="47" t="s">
        <v>199</v>
      </c>
      <c r="S9" s="2"/>
      <c r="T9" s="48" t="s">
        <v>200</v>
      </c>
      <c r="U9" s="2"/>
      <c r="V9" s="2"/>
      <c r="X9" s="48" t="s">
        <v>201</v>
      </c>
      <c r="Y9" s="2"/>
      <c r="Z9" s="37" t="s">
        <v>202</v>
      </c>
      <c r="AA9" s="2"/>
      <c r="AB9" s="37" t="s">
        <v>203</v>
      </c>
      <c r="AC9" s="2"/>
      <c r="AD9" s="2" t="s">
        <v>204</v>
      </c>
      <c r="AE9" s="2"/>
      <c r="AF9" s="2" t="s">
        <v>205</v>
      </c>
      <c r="AG9" s="2"/>
      <c r="AH9" s="37" t="s">
        <v>91</v>
      </c>
      <c r="AI9" s="2"/>
      <c r="AJ9" s="37" t="s">
        <v>92</v>
      </c>
      <c r="AK9" s="2"/>
      <c r="AL9" s="37" t="s">
        <v>92</v>
      </c>
      <c r="AM9" s="2"/>
      <c r="AN9" s="37" t="s">
        <v>92</v>
      </c>
      <c r="AO9" s="2"/>
      <c r="AP9" s="37" t="s">
        <v>59</v>
      </c>
      <c r="AQ9" s="2"/>
      <c r="AR9" s="37" t="s">
        <v>59</v>
      </c>
      <c r="AS9" s="2"/>
      <c r="AT9" s="37" t="s">
        <v>59</v>
      </c>
      <c r="AU9" s="2"/>
      <c r="AV9" s="37" t="s">
        <v>59</v>
      </c>
      <c r="AW9" s="2"/>
      <c r="AX9" s="51" t="s">
        <v>206</v>
      </c>
      <c r="AY9" s="2"/>
      <c r="AZ9" s="37" t="s">
        <v>207</v>
      </c>
      <c r="BA9" s="2"/>
      <c r="BB9" s="37" t="s">
        <v>208</v>
      </c>
      <c r="BC9" s="41" t="s">
        <v>65</v>
      </c>
      <c r="BD9" s="37"/>
      <c r="BE9" s="2"/>
      <c r="BF9" s="37" t="s">
        <v>67</v>
      </c>
      <c r="BG9" s="2"/>
      <c r="BH9" s="37" t="s">
        <v>67</v>
      </c>
      <c r="BI9" s="2"/>
      <c r="BJ9" s="37" t="s">
        <v>67</v>
      </c>
      <c r="BK9" s="2"/>
      <c r="BL9" s="37" t="s">
        <v>67</v>
      </c>
      <c r="BM9" s="2"/>
      <c r="BN9" s="37" t="s">
        <v>209</v>
      </c>
      <c r="BO9" s="2"/>
      <c r="BP9" s="54" t="s">
        <v>210</v>
      </c>
      <c r="BQ9" s="2"/>
      <c r="BR9" s="54" t="s">
        <v>82</v>
      </c>
      <c r="BS9" s="2"/>
      <c r="BT9" s="37"/>
      <c r="BU9" s="2"/>
      <c r="BV9" s="37" t="s">
        <v>74</v>
      </c>
      <c r="BW9" s="2"/>
      <c r="BX9" s="37" t="s">
        <v>74</v>
      </c>
      <c r="BY9" s="2"/>
      <c r="BZ9" s="37" t="s">
        <v>74</v>
      </c>
      <c r="CA9" s="2"/>
      <c r="CB9" s="37" t="s">
        <v>74</v>
      </c>
    </row>
    <row r="10" ht="15.0" customHeight="1">
      <c r="A10" s="2"/>
      <c r="B10" s="83" t="s">
        <v>211</v>
      </c>
      <c r="C10" s="59"/>
      <c r="D10" s="59"/>
      <c r="E10" s="59"/>
      <c r="F10" s="59"/>
      <c r="G10" s="59"/>
      <c r="H10" s="60"/>
      <c r="I10" s="2"/>
      <c r="J10" s="84" t="s">
        <v>213</v>
      </c>
      <c r="K10" s="85" t="s">
        <v>214</v>
      </c>
      <c r="L10" s="5"/>
      <c r="M10" s="5"/>
      <c r="N10" s="6"/>
      <c r="O10" s="2"/>
      <c r="P10" s="37" t="s">
        <v>215</v>
      </c>
      <c r="Q10" s="2"/>
      <c r="R10" s="47" t="s">
        <v>216</v>
      </c>
      <c r="S10" s="2"/>
      <c r="T10" s="48" t="s">
        <v>89</v>
      </c>
      <c r="U10" s="2"/>
      <c r="V10" s="2"/>
      <c r="X10" s="48" t="s">
        <v>217</v>
      </c>
      <c r="Y10" s="2"/>
      <c r="Z10" s="37" t="s">
        <v>218</v>
      </c>
      <c r="AA10" s="2"/>
      <c r="AB10" s="37" t="s">
        <v>219</v>
      </c>
      <c r="AC10" s="2"/>
      <c r="AD10" s="2" t="s">
        <v>220</v>
      </c>
      <c r="AE10" s="2"/>
      <c r="AF10" s="2" t="s">
        <v>221</v>
      </c>
      <c r="AG10" s="2"/>
      <c r="AH10" s="37" t="s">
        <v>91</v>
      </c>
      <c r="AI10" s="2"/>
      <c r="AJ10" s="37" t="s">
        <v>92</v>
      </c>
      <c r="AK10" s="2"/>
      <c r="AL10" s="37" t="s">
        <v>92</v>
      </c>
      <c r="AM10" s="2"/>
      <c r="AN10" s="37" t="s">
        <v>92</v>
      </c>
      <c r="AO10" s="2"/>
      <c r="AP10" s="37" t="s">
        <v>59</v>
      </c>
      <c r="AQ10" s="2"/>
      <c r="AR10" s="37" t="s">
        <v>59</v>
      </c>
      <c r="AS10" s="2"/>
      <c r="AT10" s="37" t="s">
        <v>59</v>
      </c>
      <c r="AU10" s="2"/>
      <c r="AV10" s="37" t="s">
        <v>59</v>
      </c>
      <c r="AW10" s="2"/>
      <c r="AX10" s="51" t="s">
        <v>222</v>
      </c>
      <c r="AY10" s="2"/>
      <c r="AZ10" s="51" t="s">
        <v>223</v>
      </c>
      <c r="BA10" s="2"/>
      <c r="BB10" s="37" t="s">
        <v>224</v>
      </c>
      <c r="BC10" s="41" t="s">
        <v>65</v>
      </c>
      <c r="BD10" s="37"/>
      <c r="BE10" s="2"/>
      <c r="BF10" s="37" t="s">
        <v>67</v>
      </c>
      <c r="BG10" s="2"/>
      <c r="BH10" s="37" t="s">
        <v>67</v>
      </c>
      <c r="BI10" s="2"/>
      <c r="BJ10" s="37" t="s">
        <v>67</v>
      </c>
      <c r="BK10" s="2"/>
      <c r="BL10" s="37" t="s">
        <v>67</v>
      </c>
      <c r="BM10" s="2"/>
      <c r="BN10" s="37" t="s">
        <v>225</v>
      </c>
      <c r="BO10" s="2"/>
      <c r="BP10" s="37" t="s">
        <v>226</v>
      </c>
      <c r="BQ10" s="2"/>
      <c r="BR10" s="37" t="s">
        <v>89</v>
      </c>
      <c r="BS10" s="2"/>
      <c r="BT10" s="37"/>
      <c r="BU10" s="2"/>
      <c r="BV10" s="37" t="s">
        <v>74</v>
      </c>
      <c r="BW10" s="2"/>
      <c r="BX10" s="37" t="s">
        <v>74</v>
      </c>
      <c r="BY10" s="2"/>
      <c r="BZ10" s="37" t="s">
        <v>74</v>
      </c>
      <c r="CA10" s="2"/>
      <c r="CB10" s="37" t="s">
        <v>74</v>
      </c>
    </row>
    <row r="11">
      <c r="A11" s="2"/>
      <c r="B11" s="83" t="s">
        <v>227</v>
      </c>
      <c r="C11" s="59"/>
      <c r="D11" s="86">
        <v>5.0</v>
      </c>
      <c r="E11" s="86">
        <v>4.0</v>
      </c>
      <c r="F11" s="86">
        <v>3.0</v>
      </c>
      <c r="G11" s="86">
        <v>2.0</v>
      </c>
      <c r="H11" s="87">
        <v>1.0</v>
      </c>
      <c r="I11" s="2"/>
      <c r="J11" s="8"/>
      <c r="K11" s="7" t="s">
        <v>4</v>
      </c>
      <c r="L11" s="7" t="s">
        <v>5</v>
      </c>
      <c r="M11" s="7" t="s">
        <v>6</v>
      </c>
      <c r="N11" s="7" t="s">
        <v>7</v>
      </c>
      <c r="O11" s="2"/>
      <c r="P11" s="37" t="s">
        <v>228</v>
      </c>
      <c r="Q11" s="2"/>
      <c r="R11" s="47" t="s">
        <v>229</v>
      </c>
      <c r="S11" s="2"/>
      <c r="T11" s="47" t="s">
        <v>230</v>
      </c>
      <c r="U11" s="2"/>
      <c r="V11" s="2"/>
      <c r="X11" s="48" t="s">
        <v>231</v>
      </c>
      <c r="Y11" s="2"/>
      <c r="Z11" s="37" t="s">
        <v>232</v>
      </c>
      <c r="AA11" s="2"/>
      <c r="AB11" s="37" t="s">
        <v>233</v>
      </c>
      <c r="AC11" s="2"/>
      <c r="AD11" s="2" t="s">
        <v>234</v>
      </c>
      <c r="AE11" s="2"/>
      <c r="AF11" s="2" t="s">
        <v>66</v>
      </c>
      <c r="AG11" s="2"/>
      <c r="AH11" s="37" t="s">
        <v>91</v>
      </c>
      <c r="AI11" s="2"/>
      <c r="AJ11" s="37" t="s">
        <v>92</v>
      </c>
      <c r="AK11" s="2"/>
      <c r="AL11" s="37" t="s">
        <v>92</v>
      </c>
      <c r="AM11" s="2"/>
      <c r="AN11" s="37" t="s">
        <v>92</v>
      </c>
      <c r="AO11" s="2"/>
      <c r="AP11" s="37" t="s">
        <v>59</v>
      </c>
      <c r="AQ11" s="2"/>
      <c r="AR11" s="37" t="s">
        <v>59</v>
      </c>
      <c r="AS11" s="2"/>
      <c r="AT11" s="37" t="s">
        <v>59</v>
      </c>
      <c r="AU11" s="2"/>
      <c r="AV11" s="37" t="s">
        <v>59</v>
      </c>
      <c r="AW11" s="2"/>
      <c r="AX11" s="51" t="s">
        <v>235</v>
      </c>
      <c r="AY11" s="2"/>
      <c r="AZ11" s="88"/>
      <c r="BA11" s="2"/>
      <c r="BB11" s="37" t="s">
        <v>236</v>
      </c>
      <c r="BC11" s="41" t="s">
        <v>65</v>
      </c>
      <c r="BD11" s="37"/>
      <c r="BE11" s="2"/>
      <c r="BF11" s="37" t="s">
        <v>67</v>
      </c>
      <c r="BG11" s="2"/>
      <c r="BH11" s="37" t="s">
        <v>67</v>
      </c>
      <c r="BI11" s="2"/>
      <c r="BJ11" s="37" t="s">
        <v>67</v>
      </c>
      <c r="BK11" s="2"/>
      <c r="BL11" s="37" t="s">
        <v>67</v>
      </c>
      <c r="BM11" s="2"/>
      <c r="BN11" s="37"/>
      <c r="BO11" s="2"/>
      <c r="BP11" s="37" t="s">
        <v>237</v>
      </c>
      <c r="BQ11" s="2"/>
      <c r="BR11" s="37"/>
      <c r="BS11" s="2"/>
      <c r="BT11" s="37"/>
      <c r="BU11" s="2"/>
      <c r="BV11" s="37" t="s">
        <v>74</v>
      </c>
      <c r="BW11" s="2"/>
      <c r="BX11" s="37" t="s">
        <v>74</v>
      </c>
      <c r="BY11" s="2"/>
      <c r="BZ11" s="37" t="s">
        <v>74</v>
      </c>
      <c r="CA11" s="2"/>
      <c r="CB11" s="37" t="s">
        <v>74</v>
      </c>
    </row>
    <row r="12">
      <c r="A12" s="2"/>
      <c r="B12" s="90" t="s">
        <v>160</v>
      </c>
      <c r="C12" s="91">
        <v>5.0</v>
      </c>
      <c r="D12" s="92" t="s">
        <v>238</v>
      </c>
      <c r="E12" s="92" t="s">
        <v>238</v>
      </c>
      <c r="F12" s="93" t="s">
        <v>239</v>
      </c>
      <c r="G12" s="94" t="s">
        <v>240</v>
      </c>
      <c r="H12" s="95" t="s">
        <v>241</v>
      </c>
      <c r="I12" s="2"/>
      <c r="J12" s="8"/>
      <c r="K12" s="7" t="s">
        <v>242</v>
      </c>
      <c r="L12" s="23" t="s">
        <v>44</v>
      </c>
      <c r="M12" s="23" t="s">
        <v>44</v>
      </c>
      <c r="N12" s="24" t="s">
        <v>45</v>
      </c>
      <c r="O12" s="2"/>
      <c r="P12" s="37" t="s">
        <v>244</v>
      </c>
      <c r="Q12" s="2"/>
      <c r="R12" s="47" t="s">
        <v>245</v>
      </c>
      <c r="S12" s="2"/>
      <c r="T12" s="47" t="s">
        <v>246</v>
      </c>
      <c r="U12" s="2"/>
      <c r="V12" s="2"/>
      <c r="X12" s="48" t="s">
        <v>247</v>
      </c>
      <c r="Y12" s="2"/>
      <c r="Z12" s="37" t="s">
        <v>248</v>
      </c>
      <c r="AA12" s="2"/>
      <c r="AB12" s="37" t="s">
        <v>250</v>
      </c>
      <c r="AC12" s="2"/>
      <c r="AD12" s="2" t="s">
        <v>251</v>
      </c>
      <c r="AE12" s="2"/>
      <c r="AF12" s="2" t="s">
        <v>252</v>
      </c>
      <c r="AG12" s="2"/>
      <c r="AH12" s="37" t="s">
        <v>91</v>
      </c>
      <c r="AI12" s="2"/>
      <c r="AJ12" s="37" t="s">
        <v>92</v>
      </c>
      <c r="AK12" s="2"/>
      <c r="AL12" s="37" t="s">
        <v>92</v>
      </c>
      <c r="AM12" s="2"/>
      <c r="AN12" s="37" t="s">
        <v>92</v>
      </c>
      <c r="AO12" s="2"/>
      <c r="AP12" s="37" t="s">
        <v>59</v>
      </c>
      <c r="AQ12" s="2"/>
      <c r="AR12" s="37" t="s">
        <v>59</v>
      </c>
      <c r="AS12" s="2"/>
      <c r="AT12" s="37" t="s">
        <v>59</v>
      </c>
      <c r="AU12" s="2"/>
      <c r="AV12" s="37" t="s">
        <v>59</v>
      </c>
      <c r="AW12" s="2"/>
      <c r="AX12" s="51" t="s">
        <v>253</v>
      </c>
      <c r="AY12" s="2"/>
      <c r="AZ12" s="98"/>
      <c r="BA12" s="2"/>
      <c r="BB12" s="37" t="s">
        <v>254</v>
      </c>
      <c r="BC12" s="41" t="s">
        <v>65</v>
      </c>
      <c r="BD12" s="37"/>
      <c r="BE12" s="2"/>
      <c r="BF12" s="37" t="s">
        <v>67</v>
      </c>
      <c r="BG12" s="2"/>
      <c r="BH12" s="37" t="s">
        <v>67</v>
      </c>
      <c r="BI12" s="2"/>
      <c r="BJ12" s="37" t="s">
        <v>67</v>
      </c>
      <c r="BK12" s="2"/>
      <c r="BL12" s="37" t="s">
        <v>67</v>
      </c>
      <c r="BM12" s="2"/>
      <c r="BN12" s="37"/>
      <c r="BO12" s="2"/>
      <c r="BP12" s="37"/>
      <c r="BQ12" s="2"/>
      <c r="BR12" s="37"/>
      <c r="BS12" s="2"/>
      <c r="BT12" s="37"/>
      <c r="BU12" s="2"/>
      <c r="BV12" s="37" t="s">
        <v>74</v>
      </c>
      <c r="BW12" s="2"/>
      <c r="BX12" s="37" t="s">
        <v>74</v>
      </c>
      <c r="BY12" s="2"/>
      <c r="BZ12" s="37" t="s">
        <v>74</v>
      </c>
      <c r="CA12" s="2"/>
      <c r="CB12" s="37" t="s">
        <v>74</v>
      </c>
    </row>
    <row r="13" ht="15.0" customHeight="1">
      <c r="A13" s="2"/>
      <c r="B13" s="99"/>
      <c r="C13" s="100">
        <v>4.0</v>
      </c>
      <c r="D13" s="92" t="s">
        <v>238</v>
      </c>
      <c r="E13" s="92" t="s">
        <v>238</v>
      </c>
      <c r="F13" s="93" t="s">
        <v>239</v>
      </c>
      <c r="G13" s="94" t="s">
        <v>240</v>
      </c>
      <c r="H13" s="95" t="s">
        <v>241</v>
      </c>
      <c r="I13" s="2"/>
      <c r="J13" s="8"/>
      <c r="K13" s="7" t="s">
        <v>255</v>
      </c>
      <c r="L13" s="23" t="s">
        <v>44</v>
      </c>
      <c r="M13" s="23" t="s">
        <v>44</v>
      </c>
      <c r="N13" s="24" t="s">
        <v>45</v>
      </c>
      <c r="O13" s="2"/>
      <c r="P13" s="37" t="s">
        <v>256</v>
      </c>
      <c r="Q13" s="2"/>
      <c r="R13" s="47" t="s">
        <v>257</v>
      </c>
      <c r="S13" s="2"/>
      <c r="T13" s="47" t="s">
        <v>258</v>
      </c>
      <c r="U13" s="2"/>
      <c r="V13" s="2"/>
      <c r="X13" s="48" t="s">
        <v>259</v>
      </c>
      <c r="Y13" s="2"/>
      <c r="Z13" s="37" t="s">
        <v>260</v>
      </c>
      <c r="AA13" s="2"/>
      <c r="AB13" s="37" t="s">
        <v>261</v>
      </c>
      <c r="AC13" s="2"/>
      <c r="AD13" s="2" t="s">
        <v>262</v>
      </c>
      <c r="AE13" s="2"/>
      <c r="AF13" s="2"/>
      <c r="AG13" s="2"/>
      <c r="AH13" s="37" t="s">
        <v>91</v>
      </c>
      <c r="AI13" s="2"/>
      <c r="AJ13" s="37" t="s">
        <v>92</v>
      </c>
      <c r="AK13" s="2"/>
      <c r="AL13" s="37" t="s">
        <v>92</v>
      </c>
      <c r="AM13" s="2"/>
      <c r="AN13" s="37" t="s">
        <v>92</v>
      </c>
      <c r="AO13" s="2"/>
      <c r="AP13" s="37" t="s">
        <v>59</v>
      </c>
      <c r="AQ13" s="2"/>
      <c r="AR13" s="37" t="s">
        <v>59</v>
      </c>
      <c r="AS13" s="2"/>
      <c r="AT13" s="37" t="s">
        <v>59</v>
      </c>
      <c r="AU13" s="2"/>
      <c r="AV13" s="37" t="s">
        <v>59</v>
      </c>
      <c r="AW13" s="2"/>
      <c r="AX13" s="51" t="s">
        <v>263</v>
      </c>
      <c r="AY13" s="2"/>
      <c r="AZ13" s="98"/>
      <c r="BA13" s="2"/>
      <c r="BB13" s="37" t="s">
        <v>264</v>
      </c>
      <c r="BC13" s="41" t="s">
        <v>65</v>
      </c>
      <c r="BD13" s="37"/>
      <c r="BE13" s="2"/>
      <c r="BF13" s="37" t="s">
        <v>67</v>
      </c>
      <c r="BG13" s="2"/>
      <c r="BH13" s="37" t="s">
        <v>67</v>
      </c>
      <c r="BI13" s="2"/>
      <c r="BJ13" s="37" t="s">
        <v>67</v>
      </c>
      <c r="BK13" s="2"/>
      <c r="BL13" s="37" t="s">
        <v>67</v>
      </c>
      <c r="BM13" s="2"/>
      <c r="BN13" s="37"/>
      <c r="BO13" s="2"/>
      <c r="BP13" s="37"/>
      <c r="BQ13" s="2"/>
      <c r="BR13" s="37"/>
      <c r="BS13" s="2"/>
      <c r="BT13" s="37"/>
      <c r="BU13" s="2"/>
      <c r="BV13" s="37" t="s">
        <v>74</v>
      </c>
      <c r="BW13" s="2"/>
      <c r="BX13" s="37" t="s">
        <v>74</v>
      </c>
      <c r="BY13" s="2"/>
      <c r="BZ13" s="37" t="s">
        <v>74</v>
      </c>
      <c r="CA13" s="2"/>
      <c r="CB13" s="37" t="s">
        <v>74</v>
      </c>
    </row>
    <row r="14">
      <c r="A14" s="2"/>
      <c r="B14" s="99"/>
      <c r="C14" s="100">
        <v>3.0</v>
      </c>
      <c r="D14" s="93" t="s">
        <v>239</v>
      </c>
      <c r="E14" s="93" t="s">
        <v>239</v>
      </c>
      <c r="F14" s="94" t="s">
        <v>240</v>
      </c>
      <c r="G14" s="95" t="s">
        <v>241</v>
      </c>
      <c r="H14" s="95" t="s">
        <v>241</v>
      </c>
      <c r="I14" s="2"/>
      <c r="J14" s="8"/>
      <c r="K14" s="7" t="s">
        <v>266</v>
      </c>
      <c r="L14" s="56" t="s">
        <v>113</v>
      </c>
      <c r="M14" s="23" t="s">
        <v>44</v>
      </c>
      <c r="N14" s="24" t="s">
        <v>45</v>
      </c>
      <c r="O14" s="2"/>
      <c r="P14" s="37" t="s">
        <v>267</v>
      </c>
      <c r="Q14" s="2"/>
      <c r="R14" s="47" t="s">
        <v>268</v>
      </c>
      <c r="S14" s="2"/>
      <c r="T14" s="47" t="s">
        <v>269</v>
      </c>
      <c r="U14" s="2"/>
      <c r="V14" s="2"/>
      <c r="X14" s="48" t="s">
        <v>270</v>
      </c>
      <c r="Y14" s="2"/>
      <c r="Z14" s="37" t="s">
        <v>271</v>
      </c>
      <c r="AA14" s="2"/>
      <c r="AB14" s="37" t="s">
        <v>272</v>
      </c>
      <c r="AC14" s="2"/>
      <c r="AD14" s="2" t="s">
        <v>273</v>
      </c>
      <c r="AE14" s="2"/>
      <c r="AF14" s="2"/>
      <c r="AG14" s="2"/>
      <c r="AH14" s="37" t="s">
        <v>91</v>
      </c>
      <c r="AI14" s="2"/>
      <c r="AJ14" s="37" t="s">
        <v>92</v>
      </c>
      <c r="AK14" s="2"/>
      <c r="AL14" s="37" t="s">
        <v>92</v>
      </c>
      <c r="AM14" s="2"/>
      <c r="AN14" s="37" t="s">
        <v>92</v>
      </c>
      <c r="AO14" s="2"/>
      <c r="AP14" s="37" t="s">
        <v>59</v>
      </c>
      <c r="AQ14" s="2"/>
      <c r="AR14" s="37" t="s">
        <v>59</v>
      </c>
      <c r="AS14" s="2"/>
      <c r="AT14" s="37" t="s">
        <v>59</v>
      </c>
      <c r="AU14" s="2"/>
      <c r="AV14" s="37" t="s">
        <v>59</v>
      </c>
      <c r="AW14" s="2"/>
      <c r="AX14" s="101"/>
      <c r="AY14" s="2"/>
      <c r="AZ14" s="98"/>
      <c r="BA14" s="2"/>
      <c r="BB14" s="37" t="s">
        <v>274</v>
      </c>
      <c r="BC14" s="41" t="s">
        <v>65</v>
      </c>
      <c r="BD14" s="37"/>
      <c r="BE14" s="2"/>
      <c r="BF14" s="37" t="s">
        <v>67</v>
      </c>
      <c r="BG14" s="2"/>
      <c r="BH14" s="37" t="s">
        <v>67</v>
      </c>
      <c r="BI14" s="2"/>
      <c r="BJ14" s="37" t="s">
        <v>67</v>
      </c>
      <c r="BK14" s="2"/>
      <c r="BL14" s="37" t="s">
        <v>67</v>
      </c>
      <c r="BM14" s="2"/>
      <c r="BN14" s="37"/>
      <c r="BO14" s="2"/>
      <c r="BP14" s="37"/>
      <c r="BQ14" s="2"/>
      <c r="BR14" s="37"/>
      <c r="BS14" s="2"/>
      <c r="BT14" s="37"/>
      <c r="BU14" s="2"/>
      <c r="BV14" s="37"/>
      <c r="BW14" s="2"/>
      <c r="BX14" s="37"/>
      <c r="BY14" s="2"/>
      <c r="BZ14" s="37"/>
      <c r="CA14" s="2"/>
      <c r="CB14" s="37"/>
    </row>
    <row r="15">
      <c r="A15" s="2"/>
      <c r="B15" s="99"/>
      <c r="C15" s="100">
        <v>2.0</v>
      </c>
      <c r="D15" s="94" t="s">
        <v>240</v>
      </c>
      <c r="E15" s="94" t="s">
        <v>240</v>
      </c>
      <c r="F15" s="95" t="s">
        <v>241</v>
      </c>
      <c r="G15" s="95" t="s">
        <v>241</v>
      </c>
      <c r="H15" s="102" t="s">
        <v>275</v>
      </c>
      <c r="I15" s="2"/>
      <c r="J15" s="8"/>
      <c r="K15" s="7" t="s">
        <v>276</v>
      </c>
      <c r="L15" s="56" t="s">
        <v>113</v>
      </c>
      <c r="M15" s="23" t="s">
        <v>44</v>
      </c>
      <c r="N15" s="24" t="s">
        <v>45</v>
      </c>
      <c r="O15" s="2"/>
      <c r="P15" s="37" t="s">
        <v>277</v>
      </c>
      <c r="Q15" s="2"/>
      <c r="R15" s="47" t="s">
        <v>278</v>
      </c>
      <c r="S15" s="2"/>
      <c r="T15" s="47" t="s">
        <v>196</v>
      </c>
      <c r="U15" s="2"/>
      <c r="V15" s="2"/>
      <c r="X15" s="48" t="s">
        <v>279</v>
      </c>
      <c r="Y15" s="2"/>
      <c r="Z15" s="37" t="s">
        <v>280</v>
      </c>
      <c r="AA15" s="2"/>
      <c r="AB15" s="37" t="s">
        <v>281</v>
      </c>
      <c r="AC15" s="2"/>
      <c r="AD15" s="2" t="s">
        <v>282</v>
      </c>
      <c r="AE15" s="2"/>
      <c r="AF15" s="2"/>
      <c r="AG15" s="2"/>
      <c r="AH15" s="37" t="s">
        <v>91</v>
      </c>
      <c r="AI15" s="2"/>
      <c r="AJ15" s="37" t="s">
        <v>92</v>
      </c>
      <c r="AK15" s="2"/>
      <c r="AL15" s="37" t="s">
        <v>92</v>
      </c>
      <c r="AM15" s="2"/>
      <c r="AN15" s="37" t="s">
        <v>92</v>
      </c>
      <c r="AO15" s="2"/>
      <c r="AP15" s="37" t="s">
        <v>59</v>
      </c>
      <c r="AQ15" s="2"/>
      <c r="AR15" s="37" t="s">
        <v>59</v>
      </c>
      <c r="AS15" s="2"/>
      <c r="AT15" s="37" t="s">
        <v>59</v>
      </c>
      <c r="AU15" s="2"/>
      <c r="AV15" s="37" t="s">
        <v>59</v>
      </c>
      <c r="AW15" s="2"/>
      <c r="AX15" s="101"/>
      <c r="AY15" s="2"/>
      <c r="AZ15" s="98"/>
      <c r="BA15" s="2"/>
      <c r="BB15" s="37" t="s">
        <v>283</v>
      </c>
      <c r="BC15" s="41" t="s">
        <v>65</v>
      </c>
      <c r="BD15" s="37"/>
      <c r="BE15" s="2"/>
      <c r="BF15" s="37" t="s">
        <v>67</v>
      </c>
      <c r="BG15" s="2"/>
      <c r="BH15" s="37" t="s">
        <v>67</v>
      </c>
      <c r="BI15" s="2"/>
      <c r="BJ15" s="37" t="s">
        <v>67</v>
      </c>
      <c r="BK15" s="2"/>
      <c r="BL15" s="37" t="s">
        <v>67</v>
      </c>
      <c r="BM15" s="2"/>
      <c r="BN15" s="37"/>
      <c r="BO15" s="2"/>
      <c r="BP15" s="37"/>
      <c r="BQ15" s="2"/>
      <c r="BR15" s="37"/>
      <c r="BS15" s="2"/>
      <c r="BT15" s="37"/>
      <c r="BU15" s="2"/>
      <c r="BV15" s="37"/>
      <c r="BW15" s="2"/>
      <c r="BX15" s="37"/>
      <c r="BY15" s="2"/>
      <c r="BZ15" s="37"/>
      <c r="CA15" s="2"/>
      <c r="CB15" s="37"/>
    </row>
    <row r="16">
      <c r="A16" s="2"/>
      <c r="B16" s="103"/>
      <c r="C16" s="104">
        <v>1.0</v>
      </c>
      <c r="D16" s="95" t="s">
        <v>241</v>
      </c>
      <c r="E16" s="95" t="s">
        <v>241</v>
      </c>
      <c r="F16" s="95" t="s">
        <v>241</v>
      </c>
      <c r="G16" s="102" t="s">
        <v>275</v>
      </c>
      <c r="H16" s="102" t="s">
        <v>275</v>
      </c>
      <c r="I16" s="2"/>
      <c r="J16" s="8"/>
      <c r="K16" s="7" t="s">
        <v>284</v>
      </c>
      <c r="L16" s="56" t="s">
        <v>113</v>
      </c>
      <c r="M16" s="23" t="s">
        <v>44</v>
      </c>
      <c r="N16" s="24" t="s">
        <v>45</v>
      </c>
      <c r="O16" s="2"/>
      <c r="P16" s="37" t="s">
        <v>285</v>
      </c>
      <c r="Q16" s="2"/>
      <c r="R16" s="47" t="s">
        <v>286</v>
      </c>
      <c r="S16" s="2"/>
      <c r="T16" s="47" t="s">
        <v>105</v>
      </c>
      <c r="U16" s="2"/>
      <c r="V16" s="2"/>
      <c r="X16" s="48" t="s">
        <v>287</v>
      </c>
      <c r="Y16" s="2"/>
      <c r="Z16" s="37" t="s">
        <v>288</v>
      </c>
      <c r="AA16" s="2"/>
      <c r="AB16" s="37" t="s">
        <v>289</v>
      </c>
      <c r="AC16" s="2"/>
      <c r="AD16" s="2" t="s">
        <v>290</v>
      </c>
      <c r="AE16" s="2"/>
      <c r="AF16" s="2"/>
      <c r="AG16" s="2"/>
      <c r="AH16" s="37" t="s">
        <v>91</v>
      </c>
      <c r="AI16" s="2"/>
      <c r="AJ16" s="37" t="s">
        <v>92</v>
      </c>
      <c r="AK16" s="2"/>
      <c r="AL16" s="37" t="s">
        <v>92</v>
      </c>
      <c r="AM16" s="2"/>
      <c r="AN16" s="37" t="s">
        <v>92</v>
      </c>
      <c r="AO16" s="2"/>
      <c r="AP16" s="37" t="s">
        <v>59</v>
      </c>
      <c r="AQ16" s="2"/>
      <c r="AR16" s="37" t="s">
        <v>59</v>
      </c>
      <c r="AS16" s="2"/>
      <c r="AT16" s="37" t="s">
        <v>59</v>
      </c>
      <c r="AU16" s="2"/>
      <c r="AV16" s="37" t="s">
        <v>59</v>
      </c>
      <c r="AW16" s="2"/>
      <c r="AX16" s="101"/>
      <c r="AY16" s="2"/>
      <c r="AZ16" s="98"/>
      <c r="BA16" s="2"/>
      <c r="BB16" s="37" t="s">
        <v>291</v>
      </c>
      <c r="BC16" s="41" t="s">
        <v>65</v>
      </c>
      <c r="BD16" s="37"/>
      <c r="BE16" s="2"/>
      <c r="BF16" s="37" t="s">
        <v>67</v>
      </c>
      <c r="BG16" s="2"/>
      <c r="BH16" s="37" t="s">
        <v>67</v>
      </c>
      <c r="BI16" s="2"/>
      <c r="BJ16" s="37" t="s">
        <v>67</v>
      </c>
      <c r="BK16" s="2"/>
      <c r="BL16" s="37" t="s">
        <v>67</v>
      </c>
      <c r="BM16" s="2"/>
      <c r="BN16" s="37"/>
      <c r="BO16" s="2"/>
      <c r="BP16" s="37"/>
      <c r="BQ16" s="2"/>
      <c r="BR16" s="37"/>
      <c r="BS16" s="2"/>
      <c r="BT16" s="37"/>
      <c r="BU16" s="2"/>
      <c r="BV16" s="37"/>
      <c r="BW16" s="2"/>
      <c r="BX16" s="37"/>
      <c r="BY16" s="2"/>
      <c r="BZ16" s="37"/>
      <c r="CA16" s="2"/>
      <c r="CB16" s="37"/>
    </row>
    <row r="17">
      <c r="A17" s="2"/>
      <c r="B17" s="2"/>
      <c r="C17" s="2"/>
      <c r="D17" s="2"/>
      <c r="E17" s="2"/>
      <c r="F17" s="2"/>
      <c r="G17" s="2"/>
      <c r="H17" s="2"/>
      <c r="I17" s="2"/>
      <c r="J17" s="81"/>
      <c r="K17" s="7" t="s">
        <v>292</v>
      </c>
      <c r="L17" s="56" t="s">
        <v>113</v>
      </c>
      <c r="M17" s="56" t="s">
        <v>113</v>
      </c>
      <c r="N17" s="23" t="s">
        <v>44</v>
      </c>
      <c r="O17" s="2"/>
      <c r="P17" s="37" t="s">
        <v>293</v>
      </c>
      <c r="Q17" s="2"/>
      <c r="R17" s="47" t="s">
        <v>294</v>
      </c>
      <c r="S17" s="2"/>
      <c r="T17" s="47" t="s">
        <v>243</v>
      </c>
      <c r="U17" s="2"/>
      <c r="V17" s="2"/>
      <c r="X17" s="48" t="s">
        <v>295</v>
      </c>
      <c r="Y17" s="2"/>
      <c r="Z17" s="37" t="s">
        <v>296</v>
      </c>
      <c r="AA17" s="2"/>
      <c r="AB17" s="37" t="s">
        <v>297</v>
      </c>
      <c r="AC17" s="2"/>
      <c r="AD17" s="2" t="s">
        <v>298</v>
      </c>
      <c r="AE17" s="2"/>
      <c r="AF17" s="2"/>
      <c r="AG17" s="2"/>
      <c r="AH17" s="37" t="s">
        <v>91</v>
      </c>
      <c r="AI17" s="2"/>
      <c r="AJ17" s="37" t="s">
        <v>92</v>
      </c>
      <c r="AK17" s="2"/>
      <c r="AL17" s="37" t="s">
        <v>92</v>
      </c>
      <c r="AM17" s="2"/>
      <c r="AN17" s="37" t="s">
        <v>92</v>
      </c>
      <c r="AO17" s="2"/>
      <c r="AP17" s="37" t="s">
        <v>59</v>
      </c>
      <c r="AQ17" s="2"/>
      <c r="AR17" s="37" t="s">
        <v>59</v>
      </c>
      <c r="AS17" s="2"/>
      <c r="AT17" s="37" t="s">
        <v>59</v>
      </c>
      <c r="AU17" s="2"/>
      <c r="AV17" s="37" t="s">
        <v>59</v>
      </c>
      <c r="AW17" s="2"/>
      <c r="AX17" s="101"/>
      <c r="AY17" s="2"/>
      <c r="AZ17" s="37"/>
      <c r="BA17" s="2"/>
      <c r="BB17" s="37" t="s">
        <v>299</v>
      </c>
      <c r="BC17" s="41" t="s">
        <v>65</v>
      </c>
      <c r="BD17" s="37"/>
      <c r="BE17" s="2"/>
      <c r="BF17" s="37"/>
      <c r="BG17" s="2"/>
      <c r="BH17" s="37"/>
      <c r="BI17" s="2"/>
      <c r="BJ17" s="37"/>
      <c r="BK17" s="2"/>
      <c r="BL17" s="37"/>
      <c r="BM17" s="2"/>
      <c r="BN17" s="37"/>
      <c r="BO17" s="2"/>
      <c r="BP17" s="37"/>
      <c r="BQ17" s="2"/>
      <c r="BR17" s="37"/>
      <c r="BS17" s="2"/>
      <c r="BT17" s="37"/>
      <c r="BU17" s="2"/>
      <c r="BV17" s="37"/>
      <c r="BW17" s="2"/>
      <c r="BX17" s="37"/>
      <c r="BY17" s="2"/>
      <c r="BZ17" s="37"/>
      <c r="CA17" s="2"/>
      <c r="CB17" s="37"/>
    </row>
    <row r="18">
      <c r="A18" s="2"/>
      <c r="B18" s="2"/>
      <c r="C18" s="2">
        <v>1.0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7" t="s">
        <v>300</v>
      </c>
      <c r="Q18" s="2"/>
      <c r="R18" s="47" t="s">
        <v>301</v>
      </c>
      <c r="S18" s="2"/>
      <c r="T18" s="47" t="s">
        <v>302</v>
      </c>
      <c r="U18" s="2"/>
      <c r="V18" s="2"/>
      <c r="X18" s="48" t="s">
        <v>303</v>
      </c>
      <c r="Y18" s="2"/>
      <c r="Z18" s="37" t="s">
        <v>304</v>
      </c>
      <c r="AA18" s="2"/>
      <c r="AB18" s="37" t="s">
        <v>133</v>
      </c>
      <c r="AC18" s="2"/>
      <c r="AD18" s="2" t="s">
        <v>305</v>
      </c>
      <c r="AE18" s="2"/>
      <c r="AF18" s="2"/>
      <c r="AG18" s="2"/>
      <c r="AH18" s="37" t="s">
        <v>91</v>
      </c>
      <c r="AI18" s="2"/>
      <c r="AJ18" s="37" t="s">
        <v>92</v>
      </c>
      <c r="AK18" s="2"/>
      <c r="AL18" s="37" t="s">
        <v>92</v>
      </c>
      <c r="AM18" s="2"/>
      <c r="AN18" s="37" t="s">
        <v>92</v>
      </c>
      <c r="AO18" s="2"/>
      <c r="AP18" s="37" t="s">
        <v>59</v>
      </c>
      <c r="AQ18" s="2"/>
      <c r="AR18" s="37" t="s">
        <v>59</v>
      </c>
      <c r="AS18" s="2"/>
      <c r="AT18" s="37" t="s">
        <v>59</v>
      </c>
      <c r="AU18" s="2"/>
      <c r="AV18" s="37" t="s">
        <v>59</v>
      </c>
      <c r="AW18" s="2"/>
      <c r="AX18" s="101"/>
      <c r="AY18" s="2"/>
      <c r="AZ18" s="37"/>
      <c r="BA18" s="2"/>
      <c r="BB18" s="37"/>
      <c r="BC18" s="41" t="s">
        <v>65</v>
      </c>
      <c r="BD18" s="37"/>
      <c r="BE18" s="2"/>
      <c r="BF18" s="37"/>
      <c r="BG18" s="2"/>
      <c r="BH18" s="37"/>
      <c r="BI18" s="2"/>
      <c r="BJ18" s="37"/>
      <c r="BK18" s="2"/>
      <c r="BL18" s="37"/>
      <c r="BM18" s="2"/>
      <c r="BN18" s="37"/>
      <c r="BO18" s="2"/>
      <c r="BP18" s="37"/>
      <c r="BQ18" s="2"/>
      <c r="BR18" s="37"/>
      <c r="BS18" s="2"/>
      <c r="BT18" s="37"/>
      <c r="BU18" s="2"/>
      <c r="BV18" s="37"/>
      <c r="BW18" s="2"/>
      <c r="BX18" s="37"/>
      <c r="BY18" s="2"/>
      <c r="BZ18" s="37"/>
      <c r="CA18" s="2"/>
      <c r="CB18" s="37"/>
    </row>
    <row r="19">
      <c r="A19" s="2"/>
      <c r="B19" s="2"/>
      <c r="C19" s="2">
        <v>2.0</v>
      </c>
      <c r="D19" s="2"/>
      <c r="E19" s="2"/>
      <c r="F19" s="2"/>
      <c r="G19" s="2"/>
      <c r="H19" s="2"/>
      <c r="I19" s="2"/>
      <c r="J19" s="105" t="s">
        <v>306</v>
      </c>
      <c r="K19" s="106" t="s">
        <v>307</v>
      </c>
      <c r="L19" s="5"/>
      <c r="M19" s="5"/>
      <c r="N19" s="6"/>
      <c r="O19" s="2"/>
      <c r="P19" s="37" t="s">
        <v>308</v>
      </c>
      <c r="Q19" s="2"/>
      <c r="R19" s="47" t="s">
        <v>309</v>
      </c>
      <c r="S19" s="2"/>
      <c r="T19" s="107"/>
      <c r="U19" s="2"/>
      <c r="V19" s="2"/>
      <c r="X19" s="48" t="s">
        <v>310</v>
      </c>
      <c r="Y19" s="2"/>
      <c r="Z19" s="37" t="s">
        <v>311</v>
      </c>
      <c r="AA19" s="2"/>
      <c r="AB19" s="37" t="s">
        <v>312</v>
      </c>
      <c r="AC19" s="2"/>
      <c r="AD19" s="2" t="s">
        <v>313</v>
      </c>
      <c r="AE19" s="2"/>
      <c r="AF19" s="2"/>
      <c r="AG19" s="2"/>
      <c r="AH19" s="37" t="s">
        <v>91</v>
      </c>
      <c r="AI19" s="2"/>
      <c r="AJ19" s="37" t="s">
        <v>92</v>
      </c>
      <c r="AK19" s="2"/>
      <c r="AL19" s="37" t="s">
        <v>92</v>
      </c>
      <c r="AM19" s="2"/>
      <c r="AN19" s="37" t="s">
        <v>92</v>
      </c>
      <c r="AO19" s="2"/>
      <c r="AP19" s="37" t="s">
        <v>59</v>
      </c>
      <c r="AQ19" s="2"/>
      <c r="AR19" s="37" t="s">
        <v>59</v>
      </c>
      <c r="AS19" s="2"/>
      <c r="AT19" s="37" t="s">
        <v>59</v>
      </c>
      <c r="AU19" s="2"/>
      <c r="AV19" s="37" t="s">
        <v>59</v>
      </c>
      <c r="AW19" s="2"/>
      <c r="AX19" s="101"/>
      <c r="AY19" s="2"/>
      <c r="AZ19" s="37"/>
      <c r="BA19" s="2"/>
      <c r="BB19" s="37"/>
      <c r="BC19" s="41" t="s">
        <v>65</v>
      </c>
      <c r="BD19" s="37"/>
      <c r="BE19" s="2"/>
      <c r="BF19" s="37"/>
      <c r="BG19" s="2"/>
      <c r="BH19" s="37"/>
      <c r="BI19" s="2"/>
      <c r="BJ19" s="37"/>
      <c r="BK19" s="2"/>
      <c r="BL19" s="37"/>
      <c r="BM19" s="2"/>
      <c r="BN19" s="37"/>
      <c r="BO19" s="2"/>
      <c r="BP19" s="37"/>
      <c r="BQ19" s="2"/>
      <c r="BR19" s="37"/>
      <c r="BS19" s="2"/>
      <c r="BT19" s="37"/>
      <c r="BU19" s="2"/>
      <c r="BV19" s="37"/>
      <c r="BW19" s="2"/>
      <c r="BX19" s="37"/>
      <c r="BY19" s="2"/>
      <c r="BZ19" s="37"/>
      <c r="CA19" s="2"/>
      <c r="CB19" s="37"/>
    </row>
    <row r="20">
      <c r="A20" s="2"/>
      <c r="B20" s="2"/>
      <c r="C20" s="2">
        <v>3.0</v>
      </c>
      <c r="D20" s="2"/>
      <c r="E20" s="2"/>
      <c r="F20" s="2"/>
      <c r="G20" s="2"/>
      <c r="H20" s="2"/>
      <c r="I20" s="2"/>
      <c r="J20" s="8"/>
      <c r="K20" s="7" t="s">
        <v>4</v>
      </c>
      <c r="L20" s="7" t="s">
        <v>5</v>
      </c>
      <c r="M20" s="7" t="s">
        <v>6</v>
      </c>
      <c r="N20" s="7" t="s">
        <v>7</v>
      </c>
      <c r="O20" s="2"/>
      <c r="P20" s="37" t="s">
        <v>315</v>
      </c>
      <c r="Q20" s="2"/>
      <c r="R20" s="47" t="s">
        <v>316</v>
      </c>
      <c r="S20" s="2"/>
      <c r="T20" s="2"/>
      <c r="U20" s="2"/>
      <c r="V20" s="2"/>
      <c r="X20" s="48" t="s">
        <v>265</v>
      </c>
      <c r="Y20" s="2"/>
      <c r="Z20" s="37" t="s">
        <v>317</v>
      </c>
      <c r="AA20" s="2"/>
      <c r="AB20" s="37" t="s">
        <v>319</v>
      </c>
      <c r="AC20" s="2"/>
      <c r="AD20" s="2" t="s">
        <v>320</v>
      </c>
      <c r="AE20" s="2"/>
      <c r="AF20" s="2"/>
      <c r="AG20" s="2"/>
      <c r="AH20" s="37" t="s">
        <v>91</v>
      </c>
      <c r="AI20" s="2"/>
      <c r="AJ20" s="37" t="s">
        <v>92</v>
      </c>
      <c r="AK20" s="2"/>
      <c r="AL20" s="37" t="s">
        <v>92</v>
      </c>
      <c r="AM20" s="2"/>
      <c r="AN20" s="37" t="s">
        <v>92</v>
      </c>
      <c r="AO20" s="2"/>
      <c r="AP20" s="37" t="s">
        <v>59</v>
      </c>
      <c r="AQ20" s="2"/>
      <c r="AR20" s="37" t="s">
        <v>59</v>
      </c>
      <c r="AS20" s="2"/>
      <c r="AT20" s="37" t="s">
        <v>59</v>
      </c>
      <c r="AU20" s="2"/>
      <c r="AV20" s="37" t="s">
        <v>59</v>
      </c>
      <c r="AW20" s="2"/>
      <c r="AX20" s="101"/>
      <c r="AY20" s="2"/>
      <c r="AZ20" s="37"/>
      <c r="BA20" s="2"/>
      <c r="BB20" s="37"/>
      <c r="BC20" s="41" t="s">
        <v>65</v>
      </c>
      <c r="BD20" s="37"/>
      <c r="BE20" s="2"/>
      <c r="BF20" s="37"/>
      <c r="BG20" s="2"/>
      <c r="BH20" s="37"/>
      <c r="BI20" s="2"/>
      <c r="BJ20" s="37"/>
      <c r="BK20" s="2"/>
      <c r="BL20" s="37"/>
      <c r="BM20" s="2"/>
      <c r="BN20" s="37"/>
      <c r="BO20" s="2"/>
      <c r="BP20" s="37"/>
      <c r="BQ20" s="2"/>
      <c r="BR20" s="37"/>
      <c r="BS20" s="2"/>
      <c r="BT20" s="37"/>
      <c r="BU20" s="2"/>
      <c r="BV20" s="37"/>
      <c r="BW20" s="2"/>
      <c r="BX20" s="37"/>
      <c r="BY20" s="2"/>
      <c r="BZ20" s="37"/>
      <c r="CA20" s="2"/>
      <c r="CB20" s="37"/>
    </row>
    <row r="21" ht="15.75" customHeight="1">
      <c r="A21" s="2"/>
      <c r="B21" s="2"/>
      <c r="C21" s="2">
        <v>4.0</v>
      </c>
      <c r="D21" s="2"/>
      <c r="E21" s="2"/>
      <c r="F21" s="2"/>
      <c r="G21" s="2"/>
      <c r="H21" s="2"/>
      <c r="I21" s="2"/>
      <c r="J21" s="8"/>
      <c r="K21" s="7" t="s">
        <v>43</v>
      </c>
      <c r="L21" s="23" t="s">
        <v>44</v>
      </c>
      <c r="M21" s="23" t="s">
        <v>44</v>
      </c>
      <c r="N21" s="24" t="s">
        <v>45</v>
      </c>
      <c r="O21" s="2"/>
      <c r="P21" s="37" t="s">
        <v>323</v>
      </c>
      <c r="Q21" s="2"/>
      <c r="R21" s="47" t="s">
        <v>324</v>
      </c>
      <c r="S21" s="2"/>
      <c r="T21" s="2"/>
      <c r="U21" s="2"/>
      <c r="V21" s="2"/>
      <c r="X21" s="48" t="s">
        <v>325</v>
      </c>
      <c r="Y21" s="2"/>
      <c r="Z21" s="37" t="s">
        <v>326</v>
      </c>
      <c r="AA21" s="2"/>
      <c r="AB21" s="37" t="s">
        <v>327</v>
      </c>
      <c r="AC21" s="2"/>
      <c r="AD21" s="2" t="s">
        <v>328</v>
      </c>
      <c r="AE21" s="2"/>
      <c r="AF21" s="2"/>
      <c r="AG21" s="2"/>
      <c r="AH21" s="37" t="s">
        <v>91</v>
      </c>
      <c r="AI21" s="2"/>
      <c r="AJ21" s="37"/>
      <c r="AK21" s="2"/>
      <c r="AL21" s="37"/>
      <c r="AM21" s="2"/>
      <c r="AN21" s="37"/>
      <c r="AO21" s="2"/>
      <c r="AP21" s="37"/>
      <c r="AQ21" s="2"/>
      <c r="AR21" s="37"/>
      <c r="AS21" s="2"/>
      <c r="AT21" s="37"/>
      <c r="AU21" s="2"/>
      <c r="AV21" s="37"/>
      <c r="AW21" s="2"/>
      <c r="AX21" s="101"/>
      <c r="AY21" s="2"/>
      <c r="AZ21" s="37"/>
      <c r="BA21" s="2"/>
      <c r="BB21" s="37"/>
      <c r="BC21" s="41" t="s">
        <v>65</v>
      </c>
      <c r="BD21" s="37"/>
      <c r="BE21" s="2"/>
      <c r="BF21" s="37"/>
      <c r="BG21" s="2"/>
      <c r="BH21" s="37"/>
      <c r="BI21" s="2"/>
      <c r="BJ21" s="37"/>
      <c r="BK21" s="2"/>
      <c r="BL21" s="37"/>
      <c r="BM21" s="2"/>
      <c r="BN21" s="37"/>
      <c r="BO21" s="2"/>
      <c r="BP21" s="37"/>
      <c r="BQ21" s="2"/>
      <c r="BR21" s="37"/>
      <c r="BS21" s="2"/>
      <c r="BT21" s="37"/>
      <c r="BU21" s="2"/>
      <c r="BV21" s="37"/>
      <c r="BW21" s="2"/>
      <c r="BX21" s="37"/>
      <c r="BY21" s="2"/>
      <c r="BZ21" s="37"/>
      <c r="CA21" s="2"/>
      <c r="CB21" s="37"/>
    </row>
    <row r="22" ht="15.75" customHeight="1">
      <c r="A22" s="2"/>
      <c r="B22" s="2"/>
      <c r="C22" s="2">
        <v>5.0</v>
      </c>
      <c r="D22" s="2"/>
      <c r="E22" s="2"/>
      <c r="F22" s="2"/>
      <c r="G22" s="2"/>
      <c r="H22" s="2"/>
      <c r="I22" s="2"/>
      <c r="J22" s="8"/>
      <c r="K22" s="7" t="s">
        <v>77</v>
      </c>
      <c r="L22" s="23" t="s">
        <v>44</v>
      </c>
      <c r="M22" s="23" t="s">
        <v>44</v>
      </c>
      <c r="N22" s="24" t="s">
        <v>45</v>
      </c>
      <c r="O22" s="2"/>
      <c r="P22" s="37" t="s">
        <v>329</v>
      </c>
      <c r="Q22" s="2"/>
      <c r="R22" s="47" t="s">
        <v>330</v>
      </c>
      <c r="S22" s="2"/>
      <c r="T22" s="2"/>
      <c r="U22" s="2"/>
      <c r="V22" s="2"/>
      <c r="X22" s="48" t="s">
        <v>331</v>
      </c>
      <c r="Y22" s="2"/>
      <c r="Z22" s="37" t="s">
        <v>332</v>
      </c>
      <c r="AA22" s="2"/>
      <c r="AB22" s="37" t="s">
        <v>333</v>
      </c>
      <c r="AC22" s="2"/>
      <c r="AD22" s="2" t="s">
        <v>334</v>
      </c>
      <c r="AE22" s="2"/>
      <c r="AF22" s="2"/>
      <c r="AG22" s="2"/>
      <c r="AH22" s="37" t="s">
        <v>91</v>
      </c>
      <c r="AI22" s="2"/>
      <c r="AJ22" s="37"/>
      <c r="AK22" s="2"/>
      <c r="AL22" s="37"/>
      <c r="AM22" s="2"/>
      <c r="AN22" s="37"/>
      <c r="AO22" s="2"/>
      <c r="AP22" s="37"/>
      <c r="AQ22" s="2"/>
      <c r="AR22" s="37"/>
      <c r="AS22" s="2"/>
      <c r="AT22" s="37"/>
      <c r="AU22" s="2"/>
      <c r="AV22" s="37"/>
      <c r="AW22" s="2"/>
      <c r="AX22" s="101"/>
      <c r="AY22" s="2"/>
      <c r="AZ22" s="37"/>
      <c r="BA22" s="2"/>
      <c r="BB22" s="37"/>
      <c r="BC22" s="41" t="s">
        <v>65</v>
      </c>
      <c r="BD22" s="37"/>
      <c r="BE22" s="2"/>
      <c r="BF22" s="37"/>
      <c r="BG22" s="2"/>
      <c r="BH22" s="37"/>
      <c r="BI22" s="2"/>
      <c r="BJ22" s="37"/>
      <c r="BK22" s="2"/>
      <c r="BL22" s="37"/>
      <c r="BM22" s="2"/>
      <c r="BN22" s="37"/>
      <c r="BO22" s="2"/>
      <c r="BP22" s="37"/>
      <c r="BQ22" s="2"/>
      <c r="BR22" s="37"/>
      <c r="BS22" s="2"/>
      <c r="BT22" s="37"/>
      <c r="BU22" s="2"/>
      <c r="BV22" s="37"/>
      <c r="BW22" s="2"/>
      <c r="BX22" s="37"/>
      <c r="BY22" s="2"/>
      <c r="BZ22" s="37"/>
      <c r="CA22" s="2"/>
      <c r="CB22" s="37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8"/>
      <c r="K23" s="7" t="s">
        <v>111</v>
      </c>
      <c r="L23" s="56" t="s">
        <v>113</v>
      </c>
      <c r="M23" s="23" t="s">
        <v>44</v>
      </c>
      <c r="N23" s="24" t="s">
        <v>45</v>
      </c>
      <c r="O23" s="2"/>
      <c r="P23" s="37" t="s">
        <v>336</v>
      </c>
      <c r="Q23" s="2"/>
      <c r="R23" s="47" t="s">
        <v>337</v>
      </c>
      <c r="S23" s="2"/>
      <c r="T23" s="2"/>
      <c r="U23" s="2"/>
      <c r="V23" s="2"/>
      <c r="X23" s="37"/>
      <c r="Y23" s="2"/>
      <c r="Z23" s="37" t="s">
        <v>338</v>
      </c>
      <c r="AA23" s="2"/>
      <c r="AB23" s="37" t="s">
        <v>155</v>
      </c>
      <c r="AC23" s="2"/>
      <c r="AD23" s="2" t="s">
        <v>339</v>
      </c>
      <c r="AE23" s="2"/>
      <c r="AF23" s="2"/>
      <c r="AG23" s="2"/>
      <c r="AH23" s="37" t="s">
        <v>91</v>
      </c>
      <c r="AI23" s="2"/>
      <c r="AJ23" s="37"/>
      <c r="AK23" s="2"/>
      <c r="AL23" s="37"/>
      <c r="AM23" s="2"/>
      <c r="AN23" s="37"/>
      <c r="AO23" s="2"/>
      <c r="AP23" s="37"/>
      <c r="AQ23" s="2"/>
      <c r="AR23" s="37"/>
      <c r="AS23" s="2"/>
      <c r="AT23" s="37"/>
      <c r="AU23" s="2"/>
      <c r="AV23" s="37"/>
      <c r="AW23" s="2"/>
      <c r="AX23" s="101"/>
      <c r="AY23" s="2"/>
      <c r="AZ23" s="37"/>
      <c r="BA23" s="2"/>
      <c r="BB23" s="37"/>
      <c r="BC23" s="41" t="s">
        <v>65</v>
      </c>
      <c r="BD23" s="37"/>
      <c r="BE23" s="2"/>
      <c r="BF23" s="37"/>
      <c r="BG23" s="2"/>
      <c r="BH23" s="37"/>
      <c r="BI23" s="2"/>
      <c r="BJ23" s="37"/>
      <c r="BK23" s="2"/>
      <c r="BL23" s="37"/>
      <c r="BM23" s="2"/>
      <c r="BN23" s="37"/>
      <c r="BO23" s="2"/>
      <c r="BP23" s="37"/>
      <c r="BQ23" s="2"/>
      <c r="BR23" s="37"/>
      <c r="BS23" s="2"/>
      <c r="BT23" s="37"/>
      <c r="BU23" s="2"/>
      <c r="BV23" s="37"/>
      <c r="BW23" s="2"/>
      <c r="BX23" s="37"/>
      <c r="BY23" s="2"/>
      <c r="BZ23" s="37"/>
      <c r="CA23" s="2"/>
      <c r="CB23" s="37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8"/>
      <c r="K24" s="7" t="s">
        <v>137</v>
      </c>
      <c r="L24" s="56" t="s">
        <v>113</v>
      </c>
      <c r="M24" s="23" t="s">
        <v>44</v>
      </c>
      <c r="N24" s="24" t="s">
        <v>45</v>
      </c>
      <c r="O24" s="2"/>
      <c r="P24" s="37" t="s">
        <v>340</v>
      </c>
      <c r="Q24" s="2"/>
      <c r="R24" s="47" t="s">
        <v>341</v>
      </c>
      <c r="S24" s="2"/>
      <c r="T24" s="2"/>
      <c r="U24" s="2"/>
      <c r="V24" s="2"/>
      <c r="X24" s="37"/>
      <c r="Y24" s="2"/>
      <c r="Z24" s="37" t="s">
        <v>153</v>
      </c>
      <c r="AA24" s="2"/>
      <c r="AB24" s="37" t="s">
        <v>342</v>
      </c>
      <c r="AC24" s="2"/>
      <c r="AD24" s="2" t="s">
        <v>343</v>
      </c>
      <c r="AE24" s="2"/>
      <c r="AF24" s="2"/>
      <c r="AG24" s="2"/>
      <c r="AH24" s="37" t="s">
        <v>91</v>
      </c>
      <c r="AI24" s="2"/>
      <c r="AJ24" s="37"/>
      <c r="AK24" s="2"/>
      <c r="AL24" s="37"/>
      <c r="AM24" s="2"/>
      <c r="AN24" s="37"/>
      <c r="AO24" s="2"/>
      <c r="AP24" s="37"/>
      <c r="AQ24" s="2"/>
      <c r="AR24" s="37"/>
      <c r="AS24" s="2"/>
      <c r="AT24" s="37"/>
      <c r="AU24" s="2"/>
      <c r="AV24" s="37"/>
      <c r="AW24" s="2"/>
      <c r="AX24" s="101"/>
      <c r="AY24" s="2"/>
      <c r="AZ24" s="37"/>
      <c r="BA24" s="2"/>
      <c r="BB24" s="37"/>
      <c r="BC24" s="41" t="s">
        <v>65</v>
      </c>
      <c r="BD24" s="37"/>
      <c r="BE24" s="2"/>
      <c r="BF24" s="37"/>
      <c r="BG24" s="2"/>
      <c r="BH24" s="37"/>
      <c r="BI24" s="2"/>
      <c r="BJ24" s="37"/>
      <c r="BK24" s="2"/>
      <c r="BL24" s="37"/>
      <c r="BM24" s="2"/>
      <c r="BN24" s="37"/>
      <c r="BO24" s="2"/>
      <c r="BP24" s="37"/>
      <c r="BQ24" s="2"/>
      <c r="BR24" s="37"/>
      <c r="BS24" s="2"/>
      <c r="BT24" s="37"/>
      <c r="BU24" s="2"/>
      <c r="BV24" s="37"/>
      <c r="BW24" s="2"/>
      <c r="BX24" s="37"/>
      <c r="BY24" s="2"/>
      <c r="BZ24" s="37"/>
      <c r="CA24" s="2"/>
      <c r="CB24" s="37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8"/>
      <c r="K25" s="7" t="s">
        <v>162</v>
      </c>
      <c r="L25" s="56" t="s">
        <v>113</v>
      </c>
      <c r="M25" s="23" t="s">
        <v>44</v>
      </c>
      <c r="N25" s="24" t="s">
        <v>45</v>
      </c>
      <c r="O25" s="2"/>
      <c r="P25" s="37" t="s">
        <v>344</v>
      </c>
      <c r="Q25" s="2"/>
      <c r="R25" s="47" t="s">
        <v>345</v>
      </c>
      <c r="S25" s="2"/>
      <c r="T25" s="2"/>
      <c r="U25" s="2"/>
      <c r="V25" s="2"/>
      <c r="X25" s="37"/>
      <c r="Y25" s="2"/>
      <c r="Z25" s="37" t="s">
        <v>346</v>
      </c>
      <c r="AA25" s="2"/>
      <c r="AB25" s="37" t="s">
        <v>347</v>
      </c>
      <c r="AC25" s="2"/>
      <c r="AD25" s="2" t="s">
        <v>89</v>
      </c>
      <c r="AE25" s="2"/>
      <c r="AF25" s="2"/>
      <c r="AG25" s="2"/>
      <c r="AH25" s="37" t="s">
        <v>91</v>
      </c>
      <c r="AI25" s="2"/>
      <c r="AJ25" s="37"/>
      <c r="AK25" s="2"/>
      <c r="AL25" s="37"/>
      <c r="AM25" s="2"/>
      <c r="AN25" s="37"/>
      <c r="AO25" s="2"/>
      <c r="AP25" s="37"/>
      <c r="AQ25" s="2"/>
      <c r="AR25" s="37"/>
      <c r="AS25" s="2"/>
      <c r="AT25" s="37"/>
      <c r="AU25" s="2"/>
      <c r="AV25" s="37"/>
      <c r="AW25" s="2"/>
      <c r="AX25" s="112"/>
      <c r="AY25" s="2"/>
      <c r="AZ25" s="37"/>
      <c r="BA25" s="2"/>
      <c r="BB25" s="37"/>
      <c r="BC25" s="41" t="s">
        <v>65</v>
      </c>
      <c r="BD25" s="37"/>
      <c r="BE25" s="2"/>
      <c r="BF25" s="37"/>
      <c r="BG25" s="2"/>
      <c r="BH25" s="37"/>
      <c r="BI25" s="2"/>
      <c r="BJ25" s="37"/>
      <c r="BK25" s="2"/>
      <c r="BL25" s="37"/>
      <c r="BM25" s="2"/>
      <c r="BN25" s="37"/>
      <c r="BO25" s="2"/>
      <c r="BP25" s="37"/>
      <c r="BQ25" s="2"/>
      <c r="BR25" s="37"/>
      <c r="BS25" s="2"/>
      <c r="BT25" s="37"/>
      <c r="BU25" s="2"/>
      <c r="BV25" s="37"/>
      <c r="BW25" s="2"/>
      <c r="BX25" s="37"/>
      <c r="BY25" s="2"/>
      <c r="BZ25" s="37"/>
      <c r="CA25" s="2"/>
      <c r="CB25" s="37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81"/>
      <c r="K26" s="7" t="s">
        <v>182</v>
      </c>
      <c r="L26" s="56" t="s">
        <v>113</v>
      </c>
      <c r="M26" s="56" t="s">
        <v>113</v>
      </c>
      <c r="N26" s="23" t="s">
        <v>44</v>
      </c>
      <c r="O26" s="2"/>
      <c r="P26" s="37" t="s">
        <v>348</v>
      </c>
      <c r="Q26" s="2"/>
      <c r="R26" s="47" t="s">
        <v>349</v>
      </c>
      <c r="S26" s="2"/>
      <c r="T26" s="2"/>
      <c r="U26" s="2"/>
      <c r="V26" s="2"/>
      <c r="X26" s="37"/>
      <c r="Y26" s="2"/>
      <c r="Z26" s="37" t="s">
        <v>350</v>
      </c>
      <c r="AA26" s="2"/>
      <c r="AB26" s="37" t="s">
        <v>351</v>
      </c>
      <c r="AC26" s="2"/>
      <c r="AD26" s="2" t="s">
        <v>352</v>
      </c>
      <c r="AE26" s="2"/>
      <c r="AF26" s="2"/>
      <c r="AG26" s="2"/>
      <c r="AH26" s="37" t="s">
        <v>91</v>
      </c>
      <c r="AI26" s="2"/>
      <c r="AJ26" s="37"/>
      <c r="AK26" s="2"/>
      <c r="AL26" s="37"/>
      <c r="AM26" s="2"/>
      <c r="AN26" s="37"/>
      <c r="AO26" s="2"/>
      <c r="AP26" s="37"/>
      <c r="AQ26" s="2"/>
      <c r="AR26" s="37"/>
      <c r="AS26" s="2"/>
      <c r="AT26" s="37"/>
      <c r="AU26" s="2"/>
      <c r="AV26" s="37"/>
      <c r="AW26" s="2"/>
      <c r="AX26" s="112"/>
      <c r="AY26" s="2"/>
      <c r="AZ26" s="37"/>
      <c r="BA26" s="2"/>
      <c r="BB26" s="37"/>
      <c r="BC26" s="41" t="s">
        <v>65</v>
      </c>
      <c r="BD26" s="37"/>
      <c r="BE26" s="2"/>
      <c r="BF26" s="37"/>
      <c r="BG26" s="2"/>
      <c r="BH26" s="37"/>
      <c r="BI26" s="2"/>
      <c r="BJ26" s="37"/>
      <c r="BK26" s="2"/>
      <c r="BL26" s="37"/>
      <c r="BM26" s="2"/>
      <c r="BN26" s="37"/>
      <c r="BO26" s="2"/>
      <c r="BP26" s="37"/>
      <c r="BQ26" s="2"/>
      <c r="BR26" s="37"/>
      <c r="BS26" s="2"/>
      <c r="BT26" s="37"/>
      <c r="BU26" s="2"/>
      <c r="BV26" s="37"/>
      <c r="BW26" s="2"/>
      <c r="BX26" s="37"/>
      <c r="BY26" s="2"/>
      <c r="BZ26" s="37"/>
      <c r="CA26" s="2"/>
      <c r="CB26" s="37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7" t="s">
        <v>353</v>
      </c>
      <c r="Q27" s="2"/>
      <c r="R27" s="47" t="s">
        <v>354</v>
      </c>
      <c r="S27" s="2"/>
      <c r="T27" s="2"/>
      <c r="U27" s="2"/>
      <c r="V27" s="2"/>
      <c r="X27" s="37"/>
      <c r="Y27" s="2"/>
      <c r="Z27" s="37" t="s">
        <v>355</v>
      </c>
      <c r="AA27" s="2"/>
      <c r="AB27" s="37" t="s">
        <v>356</v>
      </c>
      <c r="AC27" s="2"/>
      <c r="AD27" s="2" t="s">
        <v>357</v>
      </c>
      <c r="AE27" s="2"/>
      <c r="AF27" s="2"/>
      <c r="AG27" s="2"/>
      <c r="AH27" s="37" t="s">
        <v>91</v>
      </c>
      <c r="AI27" s="2"/>
      <c r="AJ27" s="37"/>
      <c r="AK27" s="2"/>
      <c r="AL27" s="37"/>
      <c r="AM27" s="2"/>
      <c r="AN27" s="37"/>
      <c r="AO27" s="2"/>
      <c r="AP27" s="37"/>
      <c r="AQ27" s="2"/>
      <c r="AR27" s="37"/>
      <c r="AS27" s="2"/>
      <c r="AT27" s="37"/>
      <c r="AU27" s="2"/>
      <c r="AV27" s="37"/>
      <c r="AW27" s="2"/>
      <c r="AX27" s="112"/>
      <c r="AY27" s="2"/>
      <c r="AZ27" s="37"/>
      <c r="BA27" s="2"/>
      <c r="BB27" s="37"/>
      <c r="BC27" s="41" t="s">
        <v>65</v>
      </c>
      <c r="BD27" s="37"/>
      <c r="BE27" s="2"/>
      <c r="BF27" s="37"/>
      <c r="BG27" s="2"/>
      <c r="BH27" s="37"/>
      <c r="BI27" s="2"/>
      <c r="BJ27" s="37"/>
      <c r="BK27" s="2"/>
      <c r="BL27" s="37"/>
      <c r="BM27" s="2"/>
      <c r="BN27" s="37"/>
      <c r="BO27" s="2"/>
      <c r="BP27" s="37"/>
      <c r="BQ27" s="2"/>
      <c r="BR27" s="37"/>
      <c r="BS27" s="2"/>
      <c r="BT27" s="37"/>
      <c r="BU27" s="2"/>
      <c r="BV27" s="37"/>
      <c r="BW27" s="2"/>
      <c r="BX27" s="37"/>
      <c r="BY27" s="2"/>
      <c r="BZ27" s="37"/>
      <c r="CA27" s="2"/>
      <c r="CB27" s="37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113" t="s">
        <v>358</v>
      </c>
      <c r="K28" s="114" t="s">
        <v>359</v>
      </c>
      <c r="L28" s="5"/>
      <c r="M28" s="5"/>
      <c r="N28" s="6"/>
      <c r="O28" s="2"/>
      <c r="P28" s="37" t="s">
        <v>360</v>
      </c>
      <c r="Q28" s="2"/>
      <c r="R28" s="47" t="s">
        <v>361</v>
      </c>
      <c r="S28" s="2"/>
      <c r="T28" s="2"/>
      <c r="U28" s="2"/>
      <c r="V28" s="2"/>
      <c r="X28" s="112"/>
      <c r="Y28" s="2"/>
      <c r="Z28" s="37" t="s">
        <v>362</v>
      </c>
      <c r="AA28" s="2"/>
      <c r="AB28" s="37" t="s">
        <v>363</v>
      </c>
      <c r="AC28" s="2"/>
      <c r="AD28" s="2" t="s">
        <v>364</v>
      </c>
      <c r="AE28" s="2"/>
      <c r="AF28" s="2"/>
      <c r="AG28" s="2"/>
      <c r="AH28" s="37" t="s">
        <v>91</v>
      </c>
      <c r="AI28" s="2"/>
      <c r="AJ28" s="37"/>
      <c r="AK28" s="2"/>
      <c r="AL28" s="37"/>
      <c r="AM28" s="2"/>
      <c r="AN28" s="37"/>
      <c r="AO28" s="2"/>
      <c r="AP28" s="37"/>
      <c r="AQ28" s="2"/>
      <c r="AR28" s="37"/>
      <c r="AS28" s="2"/>
      <c r="AT28" s="37"/>
      <c r="AU28" s="2"/>
      <c r="AV28" s="37"/>
      <c r="AW28" s="2"/>
      <c r="AX28" s="112"/>
      <c r="AY28" s="2"/>
      <c r="AZ28" s="37"/>
      <c r="BA28" s="2"/>
      <c r="BB28" s="37"/>
      <c r="BC28" s="41" t="s">
        <v>65</v>
      </c>
      <c r="BD28" s="37"/>
      <c r="BE28" s="2"/>
      <c r="BF28" s="37"/>
      <c r="BG28" s="2"/>
      <c r="BH28" s="37"/>
      <c r="BI28" s="2"/>
      <c r="BJ28" s="37"/>
      <c r="BK28" s="2"/>
      <c r="BL28" s="37"/>
      <c r="BM28" s="2"/>
      <c r="BN28" s="37"/>
      <c r="BO28" s="2"/>
      <c r="BP28" s="37"/>
      <c r="BQ28" s="2"/>
      <c r="BR28" s="37"/>
      <c r="BS28" s="2"/>
      <c r="BT28" s="37"/>
      <c r="BU28" s="2"/>
      <c r="BV28" s="37"/>
      <c r="BW28" s="2"/>
      <c r="BX28" s="37"/>
      <c r="BY28" s="2"/>
      <c r="BZ28" s="37"/>
      <c r="CA28" s="2"/>
      <c r="CB28" s="37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8"/>
      <c r="K29" s="7" t="s">
        <v>4</v>
      </c>
      <c r="L29" s="7" t="s">
        <v>5</v>
      </c>
      <c r="M29" s="7" t="s">
        <v>6</v>
      </c>
      <c r="N29" s="7" t="s">
        <v>7</v>
      </c>
      <c r="O29" s="2"/>
      <c r="P29" s="37" t="s">
        <v>365</v>
      </c>
      <c r="Q29" s="2"/>
      <c r="R29" s="47" t="s">
        <v>366</v>
      </c>
      <c r="S29" s="2"/>
      <c r="T29" s="2"/>
      <c r="U29" s="2"/>
      <c r="V29" s="2"/>
      <c r="Y29" s="2"/>
      <c r="Z29" s="37" t="s">
        <v>367</v>
      </c>
      <c r="AA29" s="2"/>
      <c r="AB29" s="112" t="s">
        <v>368</v>
      </c>
      <c r="AC29" s="2"/>
      <c r="AD29" s="2" t="s">
        <v>369</v>
      </c>
      <c r="AE29" s="2"/>
      <c r="AF29" s="2"/>
      <c r="AG29" s="2"/>
      <c r="AH29" s="37"/>
      <c r="AI29" s="2"/>
      <c r="AJ29" s="37"/>
      <c r="AK29" s="2"/>
      <c r="AL29" s="37"/>
      <c r="AM29" s="2"/>
      <c r="AN29" s="37"/>
      <c r="AO29" s="2"/>
      <c r="AP29" s="37"/>
      <c r="AQ29" s="2"/>
      <c r="AR29" s="37"/>
      <c r="AS29" s="2"/>
      <c r="AT29" s="37"/>
      <c r="AU29" s="2"/>
      <c r="AV29" s="37"/>
      <c r="AW29" s="2"/>
      <c r="AX29" s="112"/>
      <c r="AY29" s="2"/>
      <c r="AZ29" s="37"/>
      <c r="BA29" s="2"/>
      <c r="BB29" s="37"/>
      <c r="BC29" s="41" t="s">
        <v>65</v>
      </c>
      <c r="BD29" s="37"/>
      <c r="BE29" s="2"/>
      <c r="BF29" s="37"/>
      <c r="BG29" s="2"/>
      <c r="BH29" s="37"/>
      <c r="BI29" s="2"/>
      <c r="BJ29" s="37"/>
      <c r="BK29" s="2"/>
      <c r="BL29" s="37"/>
      <c r="BM29" s="2"/>
      <c r="BN29" s="37"/>
      <c r="BO29" s="2"/>
      <c r="BP29" s="37"/>
      <c r="BQ29" s="2"/>
      <c r="BR29" s="37"/>
      <c r="BS29" s="2"/>
      <c r="BT29" s="37"/>
      <c r="BU29" s="2"/>
      <c r="BV29" s="37"/>
      <c r="BW29" s="2"/>
      <c r="BX29" s="37"/>
      <c r="BY29" s="2"/>
      <c r="BZ29" s="37"/>
      <c r="CA29" s="2"/>
      <c r="CB29" s="37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8"/>
      <c r="K30" s="7" t="s">
        <v>43</v>
      </c>
      <c r="L30" s="23" t="s">
        <v>44</v>
      </c>
      <c r="M30" s="23" t="s">
        <v>44</v>
      </c>
      <c r="N30" s="24" t="s">
        <v>45</v>
      </c>
      <c r="O30" s="2"/>
      <c r="P30" s="37" t="s">
        <v>370</v>
      </c>
      <c r="Q30" s="2"/>
      <c r="R30" s="47" t="s">
        <v>371</v>
      </c>
      <c r="S30" s="2"/>
      <c r="T30" s="2"/>
      <c r="U30" s="2"/>
      <c r="V30" s="2"/>
      <c r="Y30" s="2"/>
      <c r="Z30" s="37" t="s">
        <v>372</v>
      </c>
      <c r="AA30" s="2"/>
      <c r="AB30" s="2"/>
      <c r="AC30" s="2"/>
      <c r="AD30" s="2" t="s">
        <v>373</v>
      </c>
      <c r="AE30" s="2"/>
      <c r="AF30" s="2"/>
      <c r="AG30" s="2"/>
      <c r="AH30" s="112"/>
      <c r="AI30" s="2"/>
      <c r="AJ30" s="112"/>
      <c r="AK30" s="2"/>
      <c r="AL30" s="112"/>
      <c r="AM30" s="2"/>
      <c r="AN30" s="112"/>
      <c r="AO30" s="2"/>
      <c r="AP30" s="112"/>
      <c r="AQ30" s="2"/>
      <c r="AR30" s="112"/>
      <c r="AS30" s="2"/>
      <c r="AT30" s="112"/>
      <c r="AU30" s="2"/>
      <c r="AV30" s="112"/>
      <c r="AW30" s="2"/>
      <c r="AX30" s="112"/>
      <c r="AY30" s="2"/>
      <c r="AZ30" s="112"/>
      <c r="BA30" s="2"/>
      <c r="BB30" s="37"/>
      <c r="BC30" s="41" t="s">
        <v>65</v>
      </c>
      <c r="BD30" s="112"/>
      <c r="BE30" s="2"/>
      <c r="BF30" s="112"/>
      <c r="BG30" s="2"/>
      <c r="BH30" s="112"/>
      <c r="BI30" s="2"/>
      <c r="BJ30" s="112"/>
      <c r="BK30" s="2"/>
      <c r="BL30" s="112"/>
      <c r="BM30" s="2"/>
      <c r="BN30" s="112"/>
      <c r="BO30" s="2"/>
      <c r="BP30" s="112"/>
      <c r="BQ30" s="2"/>
      <c r="BR30" s="112"/>
      <c r="BS30" s="2"/>
      <c r="BT30" s="112"/>
      <c r="BU30" s="2"/>
      <c r="BV30" s="112"/>
      <c r="BW30" s="2"/>
      <c r="BX30" s="112"/>
      <c r="BY30" s="2"/>
      <c r="BZ30" s="112"/>
      <c r="CA30" s="2"/>
      <c r="CB30" s="11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8"/>
      <c r="K31" s="7" t="s">
        <v>77</v>
      </c>
      <c r="L31" s="23" t="s">
        <v>44</v>
      </c>
      <c r="M31" s="23" t="s">
        <v>44</v>
      </c>
      <c r="N31" s="24" t="s">
        <v>45</v>
      </c>
      <c r="O31" s="2"/>
      <c r="P31" s="37" t="s">
        <v>375</v>
      </c>
      <c r="Q31" s="2"/>
      <c r="R31" s="47" t="s">
        <v>376</v>
      </c>
      <c r="S31" s="2"/>
      <c r="T31" s="2"/>
      <c r="U31" s="2"/>
      <c r="V31" s="2"/>
      <c r="Y31" s="2"/>
      <c r="Z31" s="37" t="s">
        <v>377</v>
      </c>
      <c r="AA31" s="2"/>
      <c r="AB31" s="2"/>
      <c r="AC31" s="2"/>
      <c r="AD31" s="2" t="s">
        <v>364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7"/>
      <c r="BC31" s="2" t="s">
        <v>65</v>
      </c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8"/>
      <c r="K32" s="7" t="s">
        <v>111</v>
      </c>
      <c r="L32" s="56" t="s">
        <v>113</v>
      </c>
      <c r="M32" s="23" t="s">
        <v>44</v>
      </c>
      <c r="N32" s="24" t="s">
        <v>45</v>
      </c>
      <c r="O32" s="2"/>
      <c r="P32" s="37" t="s">
        <v>378</v>
      </c>
      <c r="Q32" s="2"/>
      <c r="R32" s="47" t="s">
        <v>379</v>
      </c>
      <c r="S32" s="2"/>
      <c r="T32" s="2"/>
      <c r="U32" s="2"/>
      <c r="V32" s="2"/>
      <c r="Y32" s="2"/>
      <c r="Z32" s="37" t="s">
        <v>380</v>
      </c>
      <c r="AA32" s="2"/>
      <c r="AB32" s="2"/>
      <c r="AC32" s="2"/>
      <c r="AD32" s="2" t="s">
        <v>381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7"/>
      <c r="BC32" s="2" t="s">
        <v>65</v>
      </c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8"/>
      <c r="K33" s="7" t="s">
        <v>137</v>
      </c>
      <c r="L33" s="56" t="s">
        <v>113</v>
      </c>
      <c r="M33" s="23" t="s">
        <v>44</v>
      </c>
      <c r="N33" s="24" t="s">
        <v>45</v>
      </c>
      <c r="O33" s="2"/>
      <c r="P33" s="37" t="s">
        <v>193</v>
      </c>
      <c r="Q33" s="2"/>
      <c r="R33" s="47" t="s">
        <v>382</v>
      </c>
      <c r="S33" s="2"/>
      <c r="T33" s="2"/>
      <c r="U33" s="2"/>
      <c r="V33" s="2"/>
      <c r="Y33" s="2"/>
      <c r="Z33" s="37" t="s">
        <v>383</v>
      </c>
      <c r="AA33" s="2"/>
      <c r="AB33" s="2"/>
      <c r="AC33" s="2"/>
      <c r="AD33" s="2" t="s">
        <v>373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7"/>
      <c r="BC33" s="2" t="s">
        <v>65</v>
      </c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8"/>
      <c r="K34" s="7" t="s">
        <v>162</v>
      </c>
      <c r="L34" s="56" t="s">
        <v>113</v>
      </c>
      <c r="M34" s="23" t="s">
        <v>44</v>
      </c>
      <c r="N34" s="24" t="s">
        <v>45</v>
      </c>
      <c r="O34" s="2"/>
      <c r="P34" s="37" t="s">
        <v>318</v>
      </c>
      <c r="Q34" s="2"/>
      <c r="R34" s="47" t="s">
        <v>384</v>
      </c>
      <c r="S34" s="2"/>
      <c r="T34" s="2"/>
      <c r="U34" s="2"/>
      <c r="V34" s="2"/>
      <c r="Y34" s="2"/>
      <c r="Z34" s="37" t="s">
        <v>385</v>
      </c>
      <c r="AA34" s="2"/>
      <c r="AB34" s="2"/>
      <c r="AC34" s="2"/>
      <c r="AD34" s="2" t="s">
        <v>386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7"/>
      <c r="BC34" s="2" t="s">
        <v>65</v>
      </c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81"/>
      <c r="K35" s="7" t="s">
        <v>182</v>
      </c>
      <c r="L35" s="56" t="s">
        <v>113</v>
      </c>
      <c r="M35" s="56" t="s">
        <v>113</v>
      </c>
      <c r="N35" s="23" t="s">
        <v>44</v>
      </c>
      <c r="O35" s="2"/>
      <c r="P35" s="37" t="s">
        <v>387</v>
      </c>
      <c r="Q35" s="2"/>
      <c r="R35" s="47" t="s">
        <v>388</v>
      </c>
      <c r="S35" s="2"/>
      <c r="T35" s="2"/>
      <c r="U35" s="2"/>
      <c r="V35" s="2"/>
      <c r="Y35" s="2"/>
      <c r="Z35" s="37" t="s">
        <v>389</v>
      </c>
      <c r="AA35" s="2"/>
      <c r="AB35" s="2"/>
      <c r="AC35" s="2"/>
      <c r="AD35" s="2" t="s">
        <v>230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7"/>
      <c r="BC35" s="2" t="s">
        <v>65</v>
      </c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7" t="s">
        <v>391</v>
      </c>
      <c r="Q36" s="2"/>
      <c r="R36" s="47" t="s">
        <v>392</v>
      </c>
      <c r="S36" s="2"/>
      <c r="T36" s="2"/>
      <c r="U36" s="2"/>
      <c r="V36" s="2"/>
      <c r="Y36" s="2"/>
      <c r="Z36" s="37" t="s">
        <v>393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7"/>
      <c r="BC36" s="2" t="s">
        <v>65</v>
      </c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122" t="s">
        <v>394</v>
      </c>
      <c r="K37" s="123" t="s">
        <v>395</v>
      </c>
      <c r="L37" s="5"/>
      <c r="M37" s="5"/>
      <c r="N37" s="6"/>
      <c r="O37" s="2"/>
      <c r="P37" s="37" t="s">
        <v>396</v>
      </c>
      <c r="Q37" s="2"/>
      <c r="R37" s="47" t="s">
        <v>397</v>
      </c>
      <c r="S37" s="2"/>
      <c r="T37" s="2"/>
      <c r="U37" s="2"/>
      <c r="V37" s="2"/>
      <c r="Y37" s="2"/>
      <c r="Z37" s="37" t="s">
        <v>398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7"/>
      <c r="BC37" s="2" t="s">
        <v>65</v>
      </c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8"/>
      <c r="K38" s="7" t="s">
        <v>4</v>
      </c>
      <c r="L38" s="7" t="s">
        <v>5</v>
      </c>
      <c r="M38" s="7" t="s">
        <v>6</v>
      </c>
      <c r="N38" s="7" t="s">
        <v>7</v>
      </c>
      <c r="O38" s="2"/>
      <c r="P38" s="37" t="s">
        <v>400</v>
      </c>
      <c r="Q38" s="2"/>
      <c r="R38" s="47" t="s">
        <v>401</v>
      </c>
      <c r="S38" s="2"/>
      <c r="T38" s="2"/>
      <c r="U38" s="2"/>
      <c r="V38" s="2"/>
      <c r="Y38" s="2"/>
      <c r="Z38" s="37" t="s">
        <v>402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7"/>
      <c r="BC38" s="2" t="s">
        <v>65</v>
      </c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8"/>
      <c r="K39" s="7" t="s">
        <v>43</v>
      </c>
      <c r="L39" s="23" t="s">
        <v>44</v>
      </c>
      <c r="M39" s="23" t="s">
        <v>44</v>
      </c>
      <c r="N39" s="24" t="s">
        <v>45</v>
      </c>
      <c r="O39" s="2"/>
      <c r="P39" s="37" t="s">
        <v>403</v>
      </c>
      <c r="Q39" s="2"/>
      <c r="R39" s="47" t="s">
        <v>404</v>
      </c>
      <c r="S39" s="2"/>
      <c r="T39" s="2"/>
      <c r="U39" s="2"/>
      <c r="V39" s="2"/>
      <c r="Y39" s="2"/>
      <c r="Z39" s="37" t="s">
        <v>377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7"/>
      <c r="BC39" s="2" t="s">
        <v>65</v>
      </c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8"/>
      <c r="K40" s="7" t="s">
        <v>77</v>
      </c>
      <c r="L40" s="23" t="s">
        <v>44</v>
      </c>
      <c r="M40" s="23" t="s">
        <v>44</v>
      </c>
      <c r="N40" s="24" t="s">
        <v>45</v>
      </c>
      <c r="O40" s="2"/>
      <c r="P40" s="37" t="s">
        <v>405</v>
      </c>
      <c r="Q40" s="2"/>
      <c r="R40" s="47" t="s">
        <v>406</v>
      </c>
      <c r="S40" s="2"/>
      <c r="T40" s="2"/>
      <c r="U40" s="2"/>
      <c r="V40" s="2"/>
      <c r="Y40" s="2"/>
      <c r="Z40" s="37" t="s">
        <v>407</v>
      </c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7"/>
      <c r="BC40" s="2" t="s">
        <v>65</v>
      </c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8"/>
      <c r="K41" s="7" t="s">
        <v>111</v>
      </c>
      <c r="L41" s="56" t="s">
        <v>113</v>
      </c>
      <c r="M41" s="23" t="s">
        <v>44</v>
      </c>
      <c r="N41" s="24" t="s">
        <v>45</v>
      </c>
      <c r="O41" s="2"/>
      <c r="P41" s="37" t="s">
        <v>409</v>
      </c>
      <c r="Q41" s="2"/>
      <c r="R41" s="47" t="s">
        <v>410</v>
      </c>
      <c r="S41" s="2"/>
      <c r="T41" s="2"/>
      <c r="U41" s="2"/>
      <c r="V41" s="2"/>
      <c r="Y41" s="2"/>
      <c r="Z41" s="37" t="s">
        <v>411</v>
      </c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7"/>
      <c r="BC41" s="2" t="s">
        <v>65</v>
      </c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</row>
    <row r="42" ht="15.0" customHeight="1">
      <c r="A42" s="2"/>
      <c r="B42" s="2"/>
      <c r="C42" s="2"/>
      <c r="D42" s="2"/>
      <c r="E42" s="2"/>
      <c r="F42" s="2"/>
      <c r="G42" s="2"/>
      <c r="H42" s="2"/>
      <c r="I42" s="2"/>
      <c r="J42" s="8"/>
      <c r="K42" s="7" t="s">
        <v>137</v>
      </c>
      <c r="L42" s="56" t="s">
        <v>113</v>
      </c>
      <c r="M42" s="23" t="s">
        <v>44</v>
      </c>
      <c r="N42" s="24" t="s">
        <v>45</v>
      </c>
      <c r="O42" s="2"/>
      <c r="P42" s="37" t="s">
        <v>412</v>
      </c>
      <c r="Q42" s="2"/>
      <c r="R42" s="47" t="s">
        <v>413</v>
      </c>
      <c r="S42" s="2"/>
      <c r="T42" s="2"/>
      <c r="U42" s="2"/>
      <c r="V42" s="2"/>
      <c r="Y42" s="2"/>
      <c r="Z42" s="37" t="s">
        <v>414</v>
      </c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7"/>
      <c r="BC42" s="2" t="s">
        <v>65</v>
      </c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8"/>
      <c r="K43" s="7" t="s">
        <v>162</v>
      </c>
      <c r="L43" s="56" t="s">
        <v>113</v>
      </c>
      <c r="M43" s="23" t="s">
        <v>44</v>
      </c>
      <c r="N43" s="24" t="s">
        <v>45</v>
      </c>
      <c r="O43" s="2"/>
      <c r="P43" s="37" t="s">
        <v>415</v>
      </c>
      <c r="Q43" s="2"/>
      <c r="R43" s="47" t="s">
        <v>416</v>
      </c>
      <c r="S43" s="2"/>
      <c r="T43" s="2"/>
      <c r="U43" s="2"/>
      <c r="V43" s="2"/>
      <c r="Y43" s="2"/>
      <c r="Z43" s="37" t="s">
        <v>380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7"/>
      <c r="BC43" s="2" t="s">
        <v>65</v>
      </c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81"/>
      <c r="K44" s="7" t="s">
        <v>182</v>
      </c>
      <c r="L44" s="56" t="s">
        <v>113</v>
      </c>
      <c r="M44" s="56" t="s">
        <v>113</v>
      </c>
      <c r="N44" s="23" t="s">
        <v>44</v>
      </c>
      <c r="O44" s="2"/>
      <c r="P44" s="37" t="s">
        <v>417</v>
      </c>
      <c r="Q44" s="2"/>
      <c r="R44" s="47" t="s">
        <v>418</v>
      </c>
      <c r="S44" s="2"/>
      <c r="T44" s="2"/>
      <c r="U44" s="2"/>
      <c r="V44" s="2"/>
      <c r="Y44" s="2"/>
      <c r="Z44" s="37" t="s">
        <v>419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7"/>
      <c r="BC44" s="2" t="s">
        <v>65</v>
      </c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7" t="s">
        <v>421</v>
      </c>
      <c r="Q45" s="2"/>
      <c r="R45" s="124" t="s">
        <v>417</v>
      </c>
      <c r="S45" s="2"/>
      <c r="T45" s="2"/>
      <c r="U45" s="2"/>
      <c r="V45" s="2"/>
      <c r="Y45" s="2"/>
      <c r="Z45" s="37" t="s">
        <v>178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7"/>
      <c r="BC45" s="2" t="s">
        <v>65</v>
      </c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125" t="s">
        <v>422</v>
      </c>
      <c r="K46" s="126" t="s">
        <v>423</v>
      </c>
      <c r="L46" s="5"/>
      <c r="M46" s="5"/>
      <c r="N46" s="6"/>
      <c r="O46" s="2"/>
      <c r="P46" s="37"/>
      <c r="Q46" s="2"/>
      <c r="R46" s="124" t="s">
        <v>421</v>
      </c>
      <c r="S46" s="2"/>
      <c r="T46" s="2"/>
      <c r="U46" s="2"/>
      <c r="V46" s="2"/>
      <c r="Y46" s="2"/>
      <c r="Z46" s="37" t="s">
        <v>424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7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8"/>
      <c r="K47" s="7" t="s">
        <v>4</v>
      </c>
      <c r="L47" s="7" t="s">
        <v>5</v>
      </c>
      <c r="M47" s="7" t="s">
        <v>6</v>
      </c>
      <c r="N47" s="7" t="s">
        <v>7</v>
      </c>
      <c r="O47" s="2"/>
      <c r="P47" s="37"/>
      <c r="Q47" s="2"/>
      <c r="R47" s="124"/>
      <c r="S47" s="2"/>
      <c r="T47" s="2"/>
      <c r="U47" s="2"/>
      <c r="V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7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8"/>
      <c r="K48" s="7" t="s">
        <v>43</v>
      </c>
      <c r="L48" s="23" t="s">
        <v>44</v>
      </c>
      <c r="M48" s="23" t="s">
        <v>44</v>
      </c>
      <c r="N48" s="24" t="s">
        <v>45</v>
      </c>
      <c r="O48" s="2"/>
      <c r="P48" s="112"/>
      <c r="Q48" s="2"/>
      <c r="R48" s="107"/>
      <c r="S48" s="2"/>
      <c r="T48" s="2"/>
      <c r="U48" s="2"/>
      <c r="V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7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8"/>
      <c r="K49" s="7" t="s">
        <v>77</v>
      </c>
      <c r="L49" s="23" t="s">
        <v>44</v>
      </c>
      <c r="M49" s="23" t="s">
        <v>44</v>
      </c>
      <c r="N49" s="24" t="s">
        <v>45</v>
      </c>
      <c r="O49" s="2"/>
      <c r="P49" s="37"/>
      <c r="Q49" s="2"/>
      <c r="R49" s="2"/>
      <c r="S49" s="2"/>
      <c r="T49" s="2"/>
      <c r="U49" s="2"/>
      <c r="V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7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8"/>
      <c r="K50" s="7" t="s">
        <v>111</v>
      </c>
      <c r="L50" s="56" t="s">
        <v>113</v>
      </c>
      <c r="M50" s="23" t="s">
        <v>44</v>
      </c>
      <c r="N50" s="24" t="s">
        <v>45</v>
      </c>
      <c r="O50" s="2"/>
      <c r="P50" s="2"/>
      <c r="Q50" s="2"/>
      <c r="R50" s="2"/>
      <c r="S50" s="2"/>
      <c r="T50" s="2"/>
      <c r="U50" s="2"/>
      <c r="V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7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8"/>
      <c r="K51" s="7" t="s">
        <v>137</v>
      </c>
      <c r="L51" s="56" t="s">
        <v>113</v>
      </c>
      <c r="M51" s="23" t="s">
        <v>44</v>
      </c>
      <c r="N51" s="24" t="s">
        <v>45</v>
      </c>
      <c r="O51" s="2"/>
      <c r="P51" s="2"/>
      <c r="Q51" s="2"/>
      <c r="R51" s="2"/>
      <c r="S51" s="2"/>
      <c r="T51" s="2"/>
      <c r="U51" s="2"/>
      <c r="V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7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8"/>
      <c r="K52" s="7" t="s">
        <v>162</v>
      </c>
      <c r="L52" s="56" t="s">
        <v>113</v>
      </c>
      <c r="M52" s="23" t="s">
        <v>44</v>
      </c>
      <c r="N52" s="24" t="s">
        <v>45</v>
      </c>
      <c r="O52" s="2"/>
      <c r="P52" s="2"/>
      <c r="Q52" s="2"/>
      <c r="R52" s="2"/>
      <c r="S52" s="2"/>
      <c r="T52" s="2"/>
      <c r="U52" s="2"/>
      <c r="V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7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81"/>
      <c r="K53" s="7" t="s">
        <v>182</v>
      </c>
      <c r="L53" s="56" t="s">
        <v>113</v>
      </c>
      <c r="M53" s="56" t="s">
        <v>113</v>
      </c>
      <c r="N53" s="23" t="s">
        <v>44</v>
      </c>
      <c r="O53" s="2"/>
      <c r="P53" s="2"/>
      <c r="Q53" s="2"/>
      <c r="R53" s="2"/>
      <c r="S53" s="2"/>
      <c r="T53" s="2"/>
      <c r="U53" s="2"/>
      <c r="V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7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7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27" t="s">
        <v>427</v>
      </c>
      <c r="K55" s="128" t="s">
        <v>429</v>
      </c>
      <c r="L55" s="5"/>
      <c r="M55" s="5"/>
      <c r="N55" s="6"/>
      <c r="O55" s="2"/>
      <c r="P55" s="2"/>
      <c r="Q55" s="2"/>
      <c r="R55" s="2"/>
      <c r="S55" s="2"/>
      <c r="T55" s="2"/>
      <c r="U55" s="2"/>
      <c r="V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7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8"/>
      <c r="K56" s="7" t="s">
        <v>4</v>
      </c>
      <c r="L56" s="7" t="s">
        <v>5</v>
      </c>
      <c r="M56" s="7" t="s">
        <v>6</v>
      </c>
      <c r="N56" s="7" t="s">
        <v>7</v>
      </c>
      <c r="O56" s="2"/>
      <c r="P56" s="2"/>
      <c r="Q56" s="2"/>
      <c r="R56" s="2"/>
      <c r="S56" s="2"/>
      <c r="T56" s="2"/>
      <c r="U56" s="2"/>
      <c r="V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7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8"/>
      <c r="K57" s="7" t="s">
        <v>43</v>
      </c>
      <c r="L57" s="23" t="s">
        <v>44</v>
      </c>
      <c r="M57" s="23" t="s">
        <v>44</v>
      </c>
      <c r="N57" s="24" t="s">
        <v>45</v>
      </c>
      <c r="O57" s="2"/>
      <c r="P57" s="2"/>
      <c r="Q57" s="2"/>
      <c r="R57" s="2"/>
      <c r="S57" s="2"/>
      <c r="T57" s="2"/>
      <c r="U57" s="2"/>
      <c r="V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7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8"/>
      <c r="K58" s="7" t="s">
        <v>77</v>
      </c>
      <c r="L58" s="23" t="s">
        <v>44</v>
      </c>
      <c r="M58" s="23" t="s">
        <v>44</v>
      </c>
      <c r="N58" s="24" t="s">
        <v>45</v>
      </c>
      <c r="O58" s="2"/>
      <c r="P58" s="2"/>
      <c r="Q58" s="2"/>
      <c r="R58" s="2"/>
      <c r="S58" s="2"/>
      <c r="T58" s="2"/>
      <c r="U58" s="2"/>
      <c r="V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11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8"/>
      <c r="K59" s="7" t="s">
        <v>111</v>
      </c>
      <c r="L59" s="56" t="s">
        <v>113</v>
      </c>
      <c r="M59" s="23" t="s">
        <v>44</v>
      </c>
      <c r="N59" s="24" t="s">
        <v>45</v>
      </c>
      <c r="O59" s="2"/>
      <c r="P59" s="2"/>
      <c r="Q59" s="2"/>
      <c r="R59" s="2"/>
      <c r="S59" s="2"/>
      <c r="T59" s="2"/>
      <c r="U59" s="2"/>
      <c r="V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8"/>
      <c r="K60" s="7" t="s">
        <v>137</v>
      </c>
      <c r="L60" s="56" t="s">
        <v>113</v>
      </c>
      <c r="M60" s="23" t="s">
        <v>44</v>
      </c>
      <c r="N60" s="24" t="s">
        <v>45</v>
      </c>
      <c r="O60" s="2"/>
      <c r="P60" s="2"/>
      <c r="Q60" s="2"/>
      <c r="R60" s="2"/>
      <c r="S60" s="2"/>
      <c r="T60" s="2"/>
      <c r="U60" s="2"/>
      <c r="V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8"/>
      <c r="K61" s="7" t="s">
        <v>162</v>
      </c>
      <c r="L61" s="56" t="s">
        <v>113</v>
      </c>
      <c r="M61" s="23" t="s">
        <v>44</v>
      </c>
      <c r="N61" s="24" t="s">
        <v>45</v>
      </c>
      <c r="O61" s="2"/>
      <c r="P61" s="2"/>
      <c r="Q61" s="2"/>
      <c r="R61" s="2"/>
      <c r="S61" s="2"/>
      <c r="T61" s="2"/>
      <c r="U61" s="2"/>
      <c r="V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81"/>
      <c r="K62" s="7" t="s">
        <v>182</v>
      </c>
      <c r="L62" s="56" t="s">
        <v>113</v>
      </c>
      <c r="M62" s="56" t="s">
        <v>113</v>
      </c>
      <c r="N62" s="23" t="s">
        <v>44</v>
      </c>
      <c r="O62" s="2"/>
      <c r="P62" s="2"/>
      <c r="Q62" s="2"/>
      <c r="R62" s="2"/>
      <c r="S62" s="2"/>
      <c r="T62" s="2"/>
      <c r="U62" s="2"/>
      <c r="V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29" t="s">
        <v>433</v>
      </c>
      <c r="K64" s="130" t="s">
        <v>434</v>
      </c>
      <c r="L64" s="5"/>
      <c r="M64" s="5"/>
      <c r="N64" s="6"/>
      <c r="O64" s="2"/>
      <c r="P64" s="2"/>
      <c r="Q64" s="2"/>
      <c r="R64" s="2"/>
      <c r="S64" s="2"/>
      <c r="T64" s="2"/>
      <c r="U64" s="2"/>
      <c r="V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8"/>
      <c r="K65" s="7" t="s">
        <v>4</v>
      </c>
      <c r="L65" s="7" t="s">
        <v>5</v>
      </c>
      <c r="M65" s="7" t="s">
        <v>6</v>
      </c>
      <c r="N65" s="7" t="s">
        <v>7</v>
      </c>
      <c r="O65" s="2"/>
      <c r="P65" s="2"/>
      <c r="Q65" s="2"/>
      <c r="R65" s="2"/>
      <c r="S65" s="2"/>
      <c r="T65" s="2"/>
      <c r="U65" s="2"/>
      <c r="V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8"/>
      <c r="K66" s="7" t="s">
        <v>43</v>
      </c>
      <c r="L66" s="23" t="s">
        <v>44</v>
      </c>
      <c r="M66" s="23" t="s">
        <v>44</v>
      </c>
      <c r="N66" s="24" t="s">
        <v>45</v>
      </c>
      <c r="O66" s="2"/>
      <c r="P66" s="2"/>
      <c r="Q66" s="2"/>
      <c r="R66" s="2"/>
      <c r="S66" s="2"/>
      <c r="T66" s="2"/>
      <c r="U66" s="2"/>
      <c r="V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8"/>
      <c r="K67" s="7" t="s">
        <v>77</v>
      </c>
      <c r="L67" s="23" t="s">
        <v>44</v>
      </c>
      <c r="M67" s="23" t="s">
        <v>44</v>
      </c>
      <c r="N67" s="24" t="s">
        <v>45</v>
      </c>
      <c r="O67" s="2"/>
      <c r="P67" s="2"/>
      <c r="Q67" s="2"/>
      <c r="R67" s="2"/>
      <c r="S67" s="2"/>
      <c r="T67" s="2"/>
      <c r="U67" s="2"/>
      <c r="V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8"/>
      <c r="K68" s="7" t="s">
        <v>111</v>
      </c>
      <c r="L68" s="56" t="s">
        <v>113</v>
      </c>
      <c r="M68" s="23" t="s">
        <v>44</v>
      </c>
      <c r="N68" s="24" t="s">
        <v>45</v>
      </c>
      <c r="O68" s="2"/>
      <c r="P68" s="2"/>
      <c r="Q68" s="2"/>
      <c r="R68" s="2"/>
      <c r="S68" s="2"/>
      <c r="T68" s="2"/>
      <c r="U68" s="2"/>
      <c r="V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8"/>
      <c r="K69" s="7" t="s">
        <v>137</v>
      </c>
      <c r="L69" s="56" t="s">
        <v>113</v>
      </c>
      <c r="M69" s="23" t="s">
        <v>44</v>
      </c>
      <c r="N69" s="24" t="s">
        <v>45</v>
      </c>
      <c r="O69" s="2"/>
      <c r="P69" s="2"/>
      <c r="Q69" s="2"/>
      <c r="R69" s="2"/>
      <c r="S69" s="2"/>
      <c r="T69" s="2"/>
      <c r="U69" s="2"/>
      <c r="V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8"/>
      <c r="K70" s="7" t="s">
        <v>162</v>
      </c>
      <c r="L70" s="56" t="s">
        <v>113</v>
      </c>
      <c r="M70" s="23" t="s">
        <v>44</v>
      </c>
      <c r="N70" s="24" t="s">
        <v>45</v>
      </c>
      <c r="O70" s="2"/>
      <c r="P70" s="2"/>
      <c r="Q70" s="2"/>
      <c r="R70" s="2"/>
      <c r="S70" s="2"/>
      <c r="T70" s="2"/>
      <c r="U70" s="2"/>
      <c r="V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81"/>
      <c r="K71" s="7" t="s">
        <v>182</v>
      </c>
      <c r="L71" s="56" t="s">
        <v>113</v>
      </c>
      <c r="M71" s="56" t="s">
        <v>113</v>
      </c>
      <c r="N71" s="23" t="s">
        <v>44</v>
      </c>
      <c r="O71" s="2"/>
      <c r="P71" s="2"/>
      <c r="Q71" s="2"/>
      <c r="R71" s="2"/>
      <c r="S71" s="2"/>
      <c r="T71" s="2"/>
      <c r="U71" s="2"/>
      <c r="V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 t="s">
        <v>446</v>
      </c>
      <c r="AW92" s="2"/>
      <c r="AX92" s="2"/>
      <c r="AY92" s="2"/>
      <c r="AZ92" s="2" t="s">
        <v>446</v>
      </c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 t="s">
        <v>446</v>
      </c>
      <c r="AW93" s="2"/>
      <c r="AX93" s="2"/>
      <c r="AY93" s="2"/>
      <c r="AZ93" s="2" t="s">
        <v>446</v>
      </c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 t="s">
        <v>446</v>
      </c>
      <c r="AW94" s="2"/>
      <c r="AX94" s="2"/>
      <c r="AY94" s="2"/>
      <c r="AZ94" s="2" t="s">
        <v>446</v>
      </c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 t="s">
        <v>446</v>
      </c>
      <c r="AW95" s="2"/>
      <c r="AX95" s="2"/>
      <c r="AY95" s="2"/>
      <c r="AZ95" s="2" t="s">
        <v>446</v>
      </c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 t="s">
        <v>446</v>
      </c>
      <c r="AW96" s="2"/>
      <c r="AX96" s="2"/>
      <c r="AY96" s="2"/>
      <c r="AZ96" s="2" t="s">
        <v>446</v>
      </c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 t="s">
        <v>446</v>
      </c>
      <c r="AW97" s="2"/>
      <c r="AX97" s="2"/>
      <c r="AY97" s="2"/>
      <c r="AZ97" s="2" t="s">
        <v>446</v>
      </c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 t="s">
        <v>446</v>
      </c>
      <c r="AW98" s="2"/>
      <c r="AX98" s="2"/>
      <c r="AY98" s="2"/>
      <c r="AZ98" s="2" t="s">
        <v>446</v>
      </c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 t="s">
        <v>446</v>
      </c>
      <c r="AW99" s="2"/>
      <c r="AX99" s="2"/>
      <c r="AY99" s="2"/>
      <c r="AZ99" s="2" t="s">
        <v>446</v>
      </c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 t="s">
        <v>446</v>
      </c>
      <c r="AW100" s="2"/>
      <c r="AX100" s="2"/>
      <c r="AY100" s="2"/>
      <c r="AZ100" s="2" t="s">
        <v>446</v>
      </c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 t="s">
        <v>446</v>
      </c>
      <c r="AW101" s="2"/>
      <c r="AX101" s="2"/>
      <c r="AY101" s="2"/>
      <c r="AZ101" s="2" t="s">
        <v>446</v>
      </c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 t="s">
        <v>446</v>
      </c>
      <c r="AW102" s="2"/>
      <c r="AX102" s="2"/>
      <c r="AY102" s="2"/>
      <c r="AZ102" s="2" t="s">
        <v>446</v>
      </c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 t="s">
        <v>446</v>
      </c>
      <c r="AW103" s="2"/>
      <c r="AX103" s="2"/>
      <c r="AY103" s="2"/>
      <c r="AZ103" s="2" t="s">
        <v>446</v>
      </c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 t="s">
        <v>446</v>
      </c>
      <c r="AW104" s="2"/>
      <c r="AX104" s="2"/>
      <c r="AY104" s="2"/>
      <c r="AZ104" s="2" t="s">
        <v>446</v>
      </c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 t="s">
        <v>446</v>
      </c>
      <c r="AW105" s="2"/>
      <c r="AX105" s="2"/>
      <c r="AY105" s="2"/>
      <c r="AZ105" s="2" t="s">
        <v>448</v>
      </c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 t="s">
        <v>446</v>
      </c>
      <c r="AW106" s="2"/>
      <c r="AX106" s="2"/>
      <c r="AY106" s="2"/>
      <c r="AZ106" s="2" t="s">
        <v>446</v>
      </c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 t="s">
        <v>446</v>
      </c>
      <c r="AW107" s="2"/>
      <c r="AX107" s="2"/>
      <c r="AY107" s="2"/>
      <c r="AZ107" s="2" t="s">
        <v>448</v>
      </c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 t="s">
        <v>446</v>
      </c>
      <c r="AW108" s="2"/>
      <c r="AX108" s="2"/>
      <c r="AY108" s="2"/>
      <c r="AZ108" s="2" t="s">
        <v>446</v>
      </c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 t="s">
        <v>446</v>
      </c>
      <c r="AW109" s="2"/>
      <c r="AX109" s="2"/>
      <c r="AY109" s="2"/>
      <c r="AZ109" s="2" t="s">
        <v>446</v>
      </c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 t="s">
        <v>446</v>
      </c>
      <c r="AW110" s="2"/>
      <c r="AX110" s="2"/>
      <c r="AY110" s="2"/>
      <c r="AZ110" s="2" t="s">
        <v>446</v>
      </c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 t="s">
        <v>446</v>
      </c>
      <c r="AW111" s="2"/>
      <c r="AX111" s="2"/>
      <c r="AY111" s="2"/>
      <c r="AZ111" s="2" t="s">
        <v>446</v>
      </c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 t="s">
        <v>450</v>
      </c>
      <c r="AW112" s="2"/>
      <c r="AX112" s="2"/>
      <c r="AY112" s="2"/>
      <c r="AZ112" s="2" t="s">
        <v>446</v>
      </c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 t="s">
        <v>450</v>
      </c>
      <c r="AW113" s="2"/>
      <c r="AX113" s="2"/>
      <c r="AY113" s="2"/>
      <c r="AZ113" s="2" t="s">
        <v>446</v>
      </c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 t="s">
        <v>450</v>
      </c>
      <c r="AW114" s="2"/>
      <c r="AX114" s="2"/>
      <c r="AY114" s="2"/>
      <c r="AZ114" s="2" t="s">
        <v>448</v>
      </c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 t="s">
        <v>450</v>
      </c>
      <c r="AW115" s="2"/>
      <c r="AX115" s="2"/>
      <c r="AY115" s="2"/>
      <c r="AZ115" s="2" t="s">
        <v>446</v>
      </c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 t="s">
        <v>450</v>
      </c>
      <c r="AW116" s="2"/>
      <c r="AX116" s="2"/>
      <c r="AY116" s="2"/>
      <c r="AZ116" s="2" t="s">
        <v>446</v>
      </c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 t="s">
        <v>446</v>
      </c>
      <c r="AW117" s="2"/>
      <c r="AX117" s="2"/>
      <c r="AY117" s="2"/>
      <c r="AZ117" s="2" t="s">
        <v>450</v>
      </c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 t="s">
        <v>446</v>
      </c>
      <c r="AW118" s="2"/>
      <c r="AX118" s="2"/>
      <c r="AY118" s="2"/>
      <c r="AZ118" s="2" t="s">
        <v>450</v>
      </c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 t="s">
        <v>446</v>
      </c>
      <c r="AW119" s="2"/>
      <c r="AX119" s="2"/>
      <c r="AY119" s="2"/>
      <c r="AZ119" s="2" t="s">
        <v>450</v>
      </c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 t="s">
        <v>446</v>
      </c>
      <c r="AW120" s="2"/>
      <c r="AX120" s="2"/>
      <c r="AY120" s="2"/>
      <c r="AZ120" s="2" t="s">
        <v>450</v>
      </c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 t="s">
        <v>446</v>
      </c>
      <c r="AW121" s="2"/>
      <c r="AX121" s="2"/>
      <c r="AY121" s="2"/>
      <c r="AZ121" s="2" t="s">
        <v>446</v>
      </c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 t="s">
        <v>446</v>
      </c>
      <c r="AW122" s="2"/>
      <c r="AX122" s="2"/>
      <c r="AY122" s="2"/>
      <c r="AZ122" s="2" t="s">
        <v>446</v>
      </c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 t="s">
        <v>450</v>
      </c>
      <c r="AW123" s="2"/>
      <c r="AX123" s="2"/>
      <c r="AY123" s="2"/>
      <c r="AZ123" s="2" t="s">
        <v>450</v>
      </c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 t="s">
        <v>446</v>
      </c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 t="s">
        <v>446</v>
      </c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 t="s">
        <v>65</v>
      </c>
      <c r="U214" s="2"/>
      <c r="V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 t="s">
        <v>504</v>
      </c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</row>
  </sheetData>
  <mergeCells count="21">
    <mergeCell ref="B11:C11"/>
    <mergeCell ref="B12:B16"/>
    <mergeCell ref="A1:H1"/>
    <mergeCell ref="J1:J8"/>
    <mergeCell ref="K1:N1"/>
    <mergeCell ref="A3:A8"/>
    <mergeCell ref="B10:H10"/>
    <mergeCell ref="J10:J17"/>
    <mergeCell ref="K10:N10"/>
    <mergeCell ref="J46:J53"/>
    <mergeCell ref="J55:J62"/>
    <mergeCell ref="J64:J71"/>
    <mergeCell ref="K55:N55"/>
    <mergeCell ref="K64:N64"/>
    <mergeCell ref="J19:J26"/>
    <mergeCell ref="K19:N19"/>
    <mergeCell ref="J28:J35"/>
    <mergeCell ref="K28:N28"/>
    <mergeCell ref="J37:J44"/>
    <mergeCell ref="K37:N37"/>
    <mergeCell ref="K46:N46"/>
  </mergeCells>
  <printOptions/>
  <pageMargins bottom="0.75" footer="0.0" header="0.0" left="0.7" right="0.7" top="0.75"/>
  <pageSetup paperSize="9" orientation="portrait"/>
  <drawing r:id="rId1"/>
</worksheet>
</file>